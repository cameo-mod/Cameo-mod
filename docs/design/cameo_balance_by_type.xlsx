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tants" sheetId="1" state="visible" r:id="rId1"/>
    <sheet name="Infantry" sheetId="2" state="visible" r:id="rId2"/>
    <sheet name="Tanks" sheetId="3" state="visible" r:id="rId3"/>
    <sheet name="Vehicles" sheetId="4" state="visible" r:id="rId4"/>
    <sheet name="Aircraft" sheetId="5" state="visible" r:id="rId5"/>
    <sheet name="Defenses" sheetId="6" state="visible" r:id="rId6"/>
    <sheet name="Nav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0"/>
    </font>
    <font/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 wrapText="1"/>
    </xf>
    <xf numFmtId="0" fontId="1" fillId="2" borderId="0" pivotButton="0" quotePrefix="0" xfId="0"/>
    <xf numFmtId="0" fontId="0" fillId="2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balance-pipeline</author>
  </authors>
  <commentList>
    <comment ref="L41" authorId="0" shapeId="0">
      <text>
        <t>raw warhead damages: -2000, -1000, -1
import scales all proportionally</t>
      </text>
    </comment>
    <comment ref="AB41" authorId="0" shapeId="0">
      <text>
        <t>fires when: tkm_upgrade_titanarsenalupgrade</t>
      </text>
    </comment>
    <comment ref="L42" authorId="0" shapeId="0">
      <text>
        <t>raw warhead damages: -2000, -1000, -1
import scales all proportionally</t>
      </text>
    </comment>
    <comment ref="AB42" authorId="0" shapeId="0">
      <text>
        <t>fires when: tkm_upgrade_titanarsenalupgrade</t>
      </text>
    </comment>
    <comment ref="L43" authorId="0" shapeId="0">
      <text>
        <t>raw warhead damages: -2000, -1000, -1
import scales all proportionally</t>
      </text>
    </comment>
    <comment ref="AB43" authorId="0" shapeId="0">
      <text>
        <t>fires when: tkm_upgrade_titanarsenalupgrade</t>
      </text>
    </comment>
    <comment ref="L44" authorId="0" shapeId="0">
      <text>
        <t>raw warhead damages: -2000, -1000, -1
import scales all proportionally</t>
      </text>
    </comment>
    <comment ref="AB44" authorId="0" shapeId="0">
      <text>
        <t>fires when: tkm_upgrade_titanarsenalupgrade</t>
      </text>
    </comment>
    <comment ref="L49" authorId="0" shapeId="0">
      <text>
        <t>raw warhead damages: 1000, 1, 1000, 1, 2000
import scales all proportionally</t>
      </text>
    </comment>
    <comment ref="L50" authorId="0" shapeId="0">
      <text>
        <t>raw warhead damages: 1000, 1, 3200
import scales all proportionally</t>
      </text>
    </comment>
    <comment ref="L56" authorId="0" shapeId="0">
      <text>
        <t>raw warhead damages: -2000, -1000, -1
import scales all proportionally</t>
      </text>
    </comment>
    <comment ref="L57" authorId="0" shapeId="0">
      <text>
        <t>raw warhead damages: -2000, -1000, -1
import scales all proportionally</t>
      </text>
    </comment>
    <comment ref="L60" authorId="0" shapeId="0">
      <text>
        <t>raw warhead damages: -2000, -1000, -1
import scales all proportionally</t>
      </text>
    </comment>
    <comment ref="L61" authorId="0" shapeId="0">
      <text>
        <t>raw warhead damages: -2000, -1000, -1
import scales all proportionally</t>
      </text>
    </comment>
    <comment ref="L63" authorId="0" shapeId="0">
      <text>
        <t>raw warhead damages: 2000, 1000, 1, 1000, 1, 2000, 1, 600, 2000, 1000, 1
import scales all proportionally</t>
      </text>
    </comment>
    <comment ref="L64" authorId="0" shapeId="0">
      <text>
        <t>raw warhead damages: -2000, -1000, -1
import scales all proportionally</t>
      </text>
    </comment>
    <comment ref="L65" authorId="0" shapeId="0">
      <text>
        <t>raw warhead damages: 2000, 1000, 1, 1000, 1, 2000, 1, 600, 2000, 1000, 1
import scales all proportionally</t>
      </text>
    </comment>
    <comment ref="L69" authorId="0" shapeId="0">
      <text>
        <t>raw warhead damages: -2000, -1000, -1
import scales all proportionally</t>
      </text>
    </comment>
    <comment ref="L70" authorId="0" shapeId="0">
      <text>
        <t>raw warhead damages: -2000, -1000, -1
import scales all proportionally</t>
      </text>
    </comment>
    <comment ref="L73" authorId="0" shapeId="0">
      <text>
        <t>raw warhead damages: -1600, -1000, -1
import scales all proportionally</t>
      </text>
    </comment>
    <comment ref="L76" authorId="0" shapeId="0">
      <text>
        <t>raw warhead damages: 2000, 1
import scales all proportionally</t>
      </text>
    </comment>
    <comment ref="AB76" authorId="0" shapeId="0">
      <text>
        <t>fires when: !td_gdi_upgrade_armorpiercingbullets</t>
      </text>
    </comment>
    <comment ref="L77" authorId="0" shapeId="0">
      <text>
        <t>raw warhead damages: 2000, 1
import scales all proportionally</t>
      </text>
    </comment>
    <comment ref="AB77" authorId="0" shapeId="0">
      <text>
        <t>fires when: !td_gdi_upgrade_armorpiercingbullets</t>
      </text>
    </comment>
    <comment ref="L78" authorId="0" shapeId="0">
      <text>
        <t>raw warhead damages: 4000, 2
import scales all proportionally</t>
      </text>
    </comment>
    <comment ref="AB78" authorId="0" shapeId="0">
      <text>
        <t>fires when: td_gdi_upgrade_armorpiercingbullets</t>
      </text>
    </comment>
    <comment ref="L79" authorId="0" shapeId="0">
      <text>
        <t>raw warhead damages: 4000, 2
import scales all proportionally</t>
      </text>
    </comment>
    <comment ref="AB79" authorId="0" shapeId="0">
      <text>
        <t>fires when: td_gdi_upgrade_armorpiercingbullets</t>
      </text>
    </comment>
    <comment ref="L81" authorId="0" shapeId="0">
      <text>
        <t>raw warhead damages: 2000, 1
import scales all proportionally</t>
      </text>
    </comment>
    <comment ref="AB81" authorId="0" shapeId="0">
      <text>
        <t>fires when: !td_gdi_upgrade_armorpiercingbullets</t>
      </text>
    </comment>
    <comment ref="L82" authorId="0" shapeId="0">
      <text>
        <t>raw warhead damages: 2000, 1
import scales all proportionally</t>
      </text>
    </comment>
    <comment ref="AB82" authorId="0" shapeId="0">
      <text>
        <t>fires when: !td_gdi_upgrade_armorpiercingbullets</t>
      </text>
    </comment>
    <comment ref="L83" authorId="0" shapeId="0">
      <text>
        <t>raw warhead damages: 4000, 2
import scales all proportionally</t>
      </text>
    </comment>
    <comment ref="AB83" authorId="0" shapeId="0">
      <text>
        <t>fires when: td_gdi_upgrade_armorpiercingbullets</t>
      </text>
    </comment>
    <comment ref="L84" authorId="0" shapeId="0">
      <text>
        <t>raw warhead damages: 4000, 2
import scales all proportionally</t>
      </text>
    </comment>
    <comment ref="AB84" authorId="0" shapeId="0">
      <text>
        <t>fires when: td_gdi_upgrade_armorpiercingbullets</t>
      </text>
    </comment>
    <comment ref="L86" authorId="0" shapeId="0">
      <text>
        <t>raw warhead damages: 2000, 1
import scales all proportionally</t>
      </text>
    </comment>
    <comment ref="AB86" authorId="0" shapeId="0">
      <text>
        <t>fires when: !td_nod_upgrade_blackmarketupgrades</t>
      </text>
    </comment>
    <comment ref="L87" authorId="0" shapeId="0">
      <text>
        <t>raw warhead damages: 2000, 1
import scales all proportionally</t>
      </text>
    </comment>
    <comment ref="AB87" authorId="0" shapeId="0">
      <text>
        <t>fires when: !td_nod_upgrade_blackmarketupgrades</t>
      </text>
    </comment>
    <comment ref="L88" authorId="0" shapeId="0">
      <text>
        <t>raw warhead damages: 2000, 1, 2000, 1, 2000, 1, 600
import scales all proportionally</t>
      </text>
    </comment>
    <comment ref="AB88" authorId="0" shapeId="0">
      <text>
        <t>fires when: td_nod_upgrade_blackmarketupgrades</t>
      </text>
    </comment>
    <comment ref="L89" authorId="0" shapeId="0">
      <text>
        <t>raw warhead damages: 2000, 1, 2000, 1, 2000, 1, 600
import scales all proportionally</t>
      </text>
    </comment>
    <comment ref="AB89" authorId="0" shapeId="0">
      <text>
        <t>fires when: td_nod_upgrade_blackmarketupgrades</t>
      </text>
    </comment>
    <comment ref="L91" authorId="0" shapeId="0">
      <text>
        <t>raw warhead damages: 2000, 1
import scales all proportionally</t>
      </text>
    </comment>
    <comment ref="AB91" authorId="0" shapeId="0">
      <text>
        <t>fires when: !ra1_allies_upgrade_cryomissiles</t>
      </text>
    </comment>
    <comment ref="L92" authorId="0" shapeId="0">
      <text>
        <t>raw warhead damages: 2000, 1
import scales all proportionally</t>
      </text>
    </comment>
    <comment ref="AB92" authorId="0" shapeId="0">
      <text>
        <t>fires when: !ra1_allies_upgrade_cryomissiles</t>
      </text>
    </comment>
    <comment ref="L93" authorId="0" shapeId="0">
      <text>
        <t>raw warhead damages: 2000, 1
import scales all proportionally</t>
      </text>
    </comment>
    <comment ref="AB93" authorId="0" shapeId="0">
      <text>
        <t>fires when: ra1_allies_upgrade_cryomissiles</t>
      </text>
    </comment>
    <comment ref="L94" authorId="0" shapeId="0">
      <text>
        <t>raw warhead damages: 2000, 1
import scales all proportionally</t>
      </text>
    </comment>
    <comment ref="AB94" authorId="0" shapeId="0">
      <text>
        <t>fires when: ra1_allies_upgrade_cryomissiles</t>
      </text>
    </comment>
    <comment ref="L96" authorId="0" shapeId="0">
      <text>
        <t>raw warhead damages: 2000, 1, 2000, 1
import scales all proportionally</t>
      </text>
    </comment>
    <comment ref="L97" authorId="0" shapeId="0">
      <text>
        <t>raw warhead damages: 2000, 1, 2000, 1
import scales all proportionally</t>
      </text>
    </comment>
    <comment ref="L99" authorId="0" shapeId="0">
      <text>
        <t>raw warhead damages: 2000, 1
import scales all proportionally</t>
      </text>
    </comment>
    <comment ref="AB99" authorId="0" shapeId="0">
      <text>
        <t>fires when: !ra1_soviets_upgrade_incendiarybullets</t>
      </text>
    </comment>
    <comment ref="L100" authorId="0" shapeId="0">
      <text>
        <t>raw warhead damages: 2000, 1
import scales all proportionally</t>
      </text>
    </comment>
    <comment ref="AB100" authorId="0" shapeId="0">
      <text>
        <t>fires when: !ra1_soviets_upgrade_incendiarybullets</t>
      </text>
    </comment>
    <comment ref="L101" authorId="0" shapeId="0">
      <text>
        <t>raw warhead damages: 2000, 1000, 1, 2000, 1
import scales all proportionally</t>
      </text>
    </comment>
    <comment ref="AB101" authorId="0" shapeId="0">
      <text>
        <t>fires when: ra1_soviets_upgrade_incendiarybullets</t>
      </text>
    </comment>
    <comment ref="L102" authorId="0" shapeId="0">
      <text>
        <t>raw warhead damages: 2000, 1000, 1, 2000, 1
import scales all proportionally</t>
      </text>
    </comment>
    <comment ref="AB102" authorId="0" shapeId="0">
      <text>
        <t>fires when: ra1_soviets_upgrade_incendiarybullets</t>
      </text>
    </comment>
    <comment ref="L106" authorId="0" shapeId="0">
      <text>
        <t>raw warhead damages: 2000, 1
import scales all proportionally</t>
      </text>
    </comment>
    <comment ref="AB106" authorId="0" shapeId="0">
      <text>
        <t>fires when: !ts_nod_upgrade_tiberiumlenses</t>
      </text>
    </comment>
    <comment ref="L107" authorId="0" shapeId="0">
      <text>
        <t>raw warhead damages: 2000, 1
import scales all proportionally</t>
      </text>
    </comment>
    <comment ref="AB107" authorId="0" shapeId="0">
      <text>
        <t>fires when: !ts_nod_upgrade_tiberiumlenses</t>
      </text>
    </comment>
    <comment ref="L108" authorId="0" shapeId="0">
      <text>
        <t>raw warhead damages: 2000, 1, 2000, 1, 600
import scales all proportionally</t>
      </text>
    </comment>
    <comment ref="AB108" authorId="0" shapeId="0">
      <text>
        <t>fires when: ts_nod_upgrade_tiberiumlenses</t>
      </text>
    </comment>
    <comment ref="L109" authorId="0" shapeId="0">
      <text>
        <t>raw warhead damages: 2000, 1, 2000, 1, 600
import scales all proportionally</t>
      </text>
    </comment>
    <comment ref="AB109" authorId="0" shapeId="0">
      <text>
        <t>fires when: ts_nod_upgrade_tiberiumlenses</t>
      </text>
    </comment>
    <comment ref="L111" authorId="0" shapeId="0">
      <text>
        <t>raw warhead damages: 2000, 1
import scales all proportionally</t>
      </text>
    </comment>
    <comment ref="L112" authorId="0" shapeId="0">
      <text>
        <t>raw warhead damages: 2000, 1
import scales all proportionally</t>
      </text>
    </comment>
    <comment ref="L114" authorId="0" shapeId="0">
      <text>
        <t>raw warhead damages: 10000, 1
import scales all proportionally</t>
      </text>
    </comment>
    <comment ref="L115" authorId="0" shapeId="0">
      <text>
        <t>raw warhead damages: 10000, 1
import scales all proportionally</t>
      </text>
    </comment>
    <comment ref="L117" authorId="0" shapeId="0">
      <text>
        <t>raw warhead damages: 10000, 1
import scales all proportionally</t>
      </text>
    </comment>
    <comment ref="L118" authorId="0" shapeId="0">
      <text>
        <t>raw warhead damages: 10000, 1
import scales all proportionally</t>
      </text>
    </comment>
    <comment ref="L120" authorId="0" shapeId="0">
      <text>
        <t>raw warhead damages: 10000, 1
import scales all proportionally</t>
      </text>
    </comment>
    <comment ref="L121" authorId="0" shapeId="0">
      <text>
        <t>raw warhead damages: 10000, 1
import scales all proportionally</t>
      </text>
    </comment>
    <comment ref="L123" authorId="0" shapeId="0">
      <text>
        <t>raw warhead damages: 8000, 4
import scales all proportionally</t>
      </text>
    </comment>
    <comment ref="L124" authorId="0" shapeId="0">
      <text>
        <t>raw warhead damages: 8000, 4
import scales all proportionally</t>
      </text>
    </comment>
    <comment ref="L126" authorId="0" shapeId="0">
      <text>
        <t>raw warhead damages: 8000, 4
import scales all proportionally</t>
      </text>
    </comment>
    <comment ref="L127" authorId="0" shapeId="0">
      <text>
        <t>raw warhead damages: 8000, 4
import scales all proportionally</t>
      </text>
    </comment>
    <comment ref="L129" authorId="0" shapeId="0">
      <text>
        <t>raw warhead damages: 2000, 1
import scales all proportionally</t>
      </text>
    </comment>
    <comment ref="AB129" authorId="0" shapeId="0">
      <text>
        <t>fires when: !rank-elite</t>
      </text>
    </comment>
    <comment ref="L130" authorId="0" shapeId="0">
      <text>
        <t>raw warhead damages: 2000, 1
import scales all proportionally</t>
      </text>
    </comment>
    <comment ref="AB130" authorId="0" shapeId="0">
      <text>
        <t>fires when: rank-elite</t>
      </text>
    </comment>
    <comment ref="L131" authorId="0" shapeId="0">
      <text>
        <t>raw warhead damages: 2000, 1, 2000, 1
import scales all proportionally</t>
      </text>
    </comment>
    <comment ref="L133" authorId="0" shapeId="0">
      <text>
        <t>raw warhead damages: 2000, 1
import scales all proportionally</t>
      </text>
    </comment>
    <comment ref="AB133" authorId="0" shapeId="0">
      <text>
        <t>fires when: !deployed &amp;&amp; !ra2_allies_upgrade_elitegi</t>
      </text>
    </comment>
    <comment ref="L134" authorId="0" shapeId="0">
      <text>
        <t>raw warhead damages: 2000, 1
import scales all proportionally</t>
      </text>
    </comment>
    <comment ref="AB134" authorId="0" shapeId="0">
      <text>
        <t>fires when: !deployed &amp;&amp; ra2_allies_upgrade_elitegi</t>
      </text>
    </comment>
    <comment ref="L135" authorId="0" shapeId="0">
      <text>
        <t>raw warhead damages: 2000, 1
import scales all proportionally</t>
      </text>
    </comment>
    <comment ref="L136" authorId="0" shapeId="0">
      <text>
        <t>raw warhead damages: 2000, 1, 2000, 1
import scales all proportionally</t>
      </text>
    </comment>
    <comment ref="L139" authorId="0" shapeId="0">
      <text>
        <t>raw warhead damages: 2000, 1
import scales all proportionally</t>
      </text>
    </comment>
    <comment ref="AB139" authorId="0" shapeId="0">
      <text>
        <t>fires when: !rank-elite</t>
      </text>
    </comment>
    <comment ref="L140" authorId="0" shapeId="0">
      <text>
        <t>raw warhead damages: 2000, 1
import scales all proportionally</t>
      </text>
    </comment>
    <comment ref="AB140" authorId="0" shapeId="0">
      <text>
        <t>fires when: rank-elite</t>
      </text>
    </comment>
    <comment ref="L141" authorId="0" shapeId="0">
      <text>
        <t>raw warhead damages: 2000, 1, 2000, 1
import scales all proportionally</t>
      </text>
    </comment>
    <comment ref="L145" authorId="0" shapeId="0">
      <text>
        <t>raw warhead damages: 6000, 3
import scales all proportionally</t>
      </text>
    </comment>
    <comment ref="AB145" authorId="0" shapeId="0">
      <text>
        <t>fires when: !rank-elite</t>
      </text>
    </comment>
    <comment ref="L146" authorId="0" shapeId="0">
      <text>
        <t>raw warhead damages: 6000, 3
import scales all proportionally</t>
      </text>
    </comment>
    <comment ref="AB146" authorId="0" shapeId="0">
      <text>
        <t>fires when: rank-elite</t>
      </text>
    </comment>
    <comment ref="L147" authorId="0" shapeId="0">
      <text>
        <t>raw warhead damages: 4000, 2000, 2, 4000, 2
import scales all proportionally</t>
      </text>
    </comment>
    <comment ref="AB147" authorId="0" shapeId="0">
      <text>
        <t>fires when: asianalliance_doctrine_modernizedinfantryequipment &amp;&amp; !rank-elite</t>
      </text>
    </comment>
    <comment ref="L148" authorId="0" shapeId="0">
      <text>
        <t>raw warhead damages: 4000, 2000, 2, 4000, 2
import scales all proportionally</t>
      </text>
    </comment>
    <comment ref="AB148" authorId="0" shapeId="0">
      <text>
        <t>fires when: asianalliance_doctrine_modernizedinfantryequipment &amp;&amp; rank-elite</t>
      </text>
    </comment>
    <comment ref="L149" authorId="0" shapeId="0">
      <text>
        <t>raw warhead damages: 6000, 3
import scales all proportionally</t>
      </text>
    </comment>
    <comment ref="AB149" authorId="0" shapeId="0">
      <text>
        <t>fires when: !rank-elite</t>
      </text>
    </comment>
    <comment ref="L150" authorId="0" shapeId="0">
      <text>
        <t>raw warhead damages: 6000, 3
import scales all proportionally</t>
      </text>
    </comment>
    <comment ref="AB150" authorId="0" shapeId="0">
      <text>
        <t>fires when: rank-elite</t>
      </text>
    </comment>
    <comment ref="L151" authorId="0" shapeId="0">
      <text>
        <t>raw warhead damages: 4000, 2000, 2, 4000, 2
import scales all proportionally</t>
      </text>
    </comment>
    <comment ref="AB151" authorId="0" shapeId="0">
      <text>
        <t>fires when: asianalliance_doctrine_modernizedinfantryequipment &amp;&amp; !rank-elite</t>
      </text>
    </comment>
    <comment ref="L152" authorId="0" shapeId="0">
      <text>
        <t>raw warhead damages: 4000, 2000, 2, 4000, 2
import scales all proportionally</t>
      </text>
    </comment>
    <comment ref="AB152" authorId="0" shapeId="0">
      <text>
        <t>fires when: asianalliance_doctrine_modernizedinfantryequipment &amp;&amp; rank-elite</t>
      </text>
    </comment>
    <comment ref="L154" authorId="0" shapeId="0">
      <text>
        <t>raw warhead damages: 2000, 1
import scales all proportionally</t>
      </text>
    </comment>
    <comment ref="AB154" authorId="0" shapeId="0">
      <text>
        <t>fires when: !rank-elite</t>
      </text>
    </comment>
    <comment ref="L155" authorId="0" shapeId="0">
      <text>
        <t>raw warhead damages: 2000, 1
import scales all proportionally</t>
      </text>
    </comment>
    <comment ref="AB155" authorId="0" shapeId="0">
      <text>
        <t>fires when: rank-elite</t>
      </text>
    </comment>
    <comment ref="L156" authorId="0" shapeId="0">
      <text>
        <t>raw warhead damages: 2000, 1000, 1, 2000, 1000, 1, 2000, 1000, 1, 2000, 1000, 1
import scales all proportionally</t>
      </text>
    </comment>
    <comment ref="AB156" authorId="0" shapeId="0">
      <text>
        <t>fires when: latinsyndicate_doctrine_eliteguerillas &amp;&amp; !rank-elite</t>
      </text>
    </comment>
    <comment ref="L157" authorId="0" shapeId="0">
      <text>
        <t>raw warhead damages: 2000, 1000, 1, 2000, 1000, 1, 2000, 1000, 1, 2000, 1000, 1
import scales all proportionally</t>
      </text>
    </comment>
    <comment ref="AB157" authorId="0" shapeId="0">
      <text>
        <t>fires when: latinsyndicate_doctrine_eliteguerillas &amp;&amp; rank-elite</t>
      </text>
    </comment>
    <comment ref="L158" authorId="0" shapeId="0">
      <text>
        <t>raw warhead damages: 2000, 1
import scales all proportionally</t>
      </text>
    </comment>
    <comment ref="AB158" authorId="0" shapeId="0">
      <text>
        <t>fires when: !rank-elite</t>
      </text>
    </comment>
    <comment ref="L159" authorId="0" shapeId="0">
      <text>
        <t>raw warhead damages: 2000, 1
import scales all proportionally</t>
      </text>
    </comment>
    <comment ref="AB159" authorId="0" shapeId="0">
      <text>
        <t>fires when: rank-elite</t>
      </text>
    </comment>
    <comment ref="L160" authorId="0" shapeId="0">
      <text>
        <t>raw warhead damages: 2000, 1000, 1, 2000, 1000, 1, 2000, 1000, 1, 2000, 1000, 1
import scales all proportionally</t>
      </text>
    </comment>
    <comment ref="AB160" authorId="0" shapeId="0">
      <text>
        <t>fires when: latinsyndicate_doctrine_eliteguerillas &amp;&amp; !rank-elite</t>
      </text>
    </comment>
    <comment ref="L161" authorId="0" shapeId="0">
      <text>
        <t>raw warhead damages: 2000, 1000, 1, 2000, 1000, 1, 2000, 1000, 1, 2000, 1000, 1
import scales all proportionally</t>
      </text>
    </comment>
    <comment ref="AB161" authorId="0" shapeId="0">
      <text>
        <t>fires when: latinsyndicate_doctrine_eliteguerillas &amp;&amp; rank-elite</t>
      </text>
    </comment>
    <comment ref="L163" authorId="0" shapeId="0">
      <text>
        <t>raw warhead damages: 24000, 12000, 12
import scales all proportionally</t>
      </text>
    </comment>
    <comment ref="AB163" authorId="0" shapeId="0">
      <text>
        <t>fires when: !rank-elite</t>
      </text>
    </comment>
    <comment ref="L164" authorId="0" shapeId="0">
      <text>
        <t>raw warhead damages: 24000, 12000, 12
import scales all proportionally</t>
      </text>
    </comment>
    <comment ref="AB164" authorId="0" shapeId="0">
      <text>
        <t>fires when: rank-elite</t>
      </text>
    </comment>
    <comment ref="L165" authorId="0" shapeId="0">
      <text>
        <t>raw warhead damages: 24000, 12000, 12
import scales all proportionally</t>
      </text>
    </comment>
    <comment ref="AB165" authorId="0" shapeId="0">
      <text>
        <t>fires when: !rank-elite</t>
      </text>
    </comment>
    <comment ref="L166" authorId="0" shapeId="0">
      <text>
        <t>raw warhead damages: 24000, 12000, 12
import scales all proportionally</t>
      </text>
    </comment>
    <comment ref="AB166" authorId="0" shapeId="0">
      <text>
        <t>fires when: rank-elite</t>
      </text>
    </comment>
    <comment ref="L168" authorId="0" shapeId="0">
      <text>
        <t>raw warhead damages: 16000, 8000, 8
import scales all proportionally</t>
      </text>
    </comment>
    <comment ref="L169" authorId="0" shapeId="0">
      <text>
        <t>raw warhead damages: 4000, 2
import scales all proportionally</t>
      </text>
    </comment>
    <comment ref="AB169" authorId="0" shapeId="0">
      <text>
        <t>fires when: !rank-elite</t>
      </text>
    </comment>
    <comment ref="L170" authorId="0" shapeId="0">
      <text>
        <t>raw warhead damages: 4000, 2
import scales all proportionally</t>
      </text>
    </comment>
    <comment ref="AB170" authorId="0" shapeId="0">
      <text>
        <t>fires when: rank-elite</t>
      </text>
    </comment>
    <comment ref="L172" authorId="0" shapeId="0">
      <text>
        <t>raw warhead damages: 8000, 2
import scales all proportionally</t>
      </text>
    </comment>
    <comment ref="AB172" authorId="0" shapeId="0">
      <text>
        <t>fires when: !rank-elite</t>
      </text>
    </comment>
    <comment ref="L173" authorId="0" shapeId="0">
      <text>
        <t>raw warhead damages: 8000, 2
import scales all proportionally</t>
      </text>
    </comment>
    <comment ref="AB173" authorId="0" shapeId="0">
      <text>
        <t>fires when: rank-elite</t>
      </text>
    </comment>
    <comment ref="L174" authorId="0" shapeId="0">
      <text>
        <t>raw warhead damages: 8000, 2
import scales all proportionally</t>
      </text>
    </comment>
    <comment ref="AB174" authorId="0" shapeId="0">
      <text>
        <t>fires when: !rank-elite</t>
      </text>
    </comment>
    <comment ref="L175" authorId="0" shapeId="0">
      <text>
        <t>raw warhead damages: 8000, 2
import scales all proportionally</t>
      </text>
    </comment>
    <comment ref="AB175" authorId="0" shapeId="0">
      <text>
        <t>fires when: rank-elite</t>
      </text>
    </comment>
    <comment ref="L177" authorId="0" shapeId="0">
      <text>
        <t>raw warhead damages: 4000, 2
import scales all proportionally</t>
      </text>
    </comment>
    <comment ref="AB177" authorId="0" shapeId="0">
      <text>
        <t>fires when: !rank-elite</t>
      </text>
    </comment>
    <comment ref="L178" authorId="0" shapeId="0">
      <text>
        <t>raw warhead damages: 4000, 2
import scales all proportionally</t>
      </text>
    </comment>
    <comment ref="AB178" authorId="0" shapeId="0">
      <text>
        <t>fires when: rank-elite</t>
      </text>
    </comment>
    <comment ref="L179" authorId="0" shapeId="0">
      <text>
        <t>raw warhead damages: 4000, 2
import scales all proportionally</t>
      </text>
    </comment>
    <comment ref="AB179" authorId="0" shapeId="0">
      <text>
        <t>fires when: !rank-elite</t>
      </text>
    </comment>
    <comment ref="L180" authorId="0" shapeId="0">
      <text>
        <t>raw warhead damages: 4000, 2
import scales all proportionally</t>
      </text>
    </comment>
    <comment ref="AB180" authorId="0" shapeId="0">
      <text>
        <t>fires when: rank-elite</t>
      </text>
    </comment>
    <comment ref="L183" authorId="0" shapeId="0">
      <text>
        <t>raw warhead damages: 6000, 3
import scales all proportionally</t>
      </text>
    </comment>
    <comment ref="AB183" authorId="0" shapeId="0">
      <text>
        <t>fires when: !rank-elite</t>
      </text>
    </comment>
    <comment ref="L184" authorId="0" shapeId="0">
      <text>
        <t>raw warhead damages: 6000, 3
import scales all proportionally</t>
      </text>
    </comment>
    <comment ref="AB184" authorId="0" shapeId="0">
      <text>
        <t>fires when: rank-elite</t>
      </text>
    </comment>
    <comment ref="L185" authorId="0" shapeId="0">
      <text>
        <t>raw warhead damages: 6000, 3
import scales all proportionally</t>
      </text>
    </comment>
    <comment ref="AB185" authorId="0" shapeId="0">
      <text>
        <t>fires when: !rank-elite</t>
      </text>
    </comment>
    <comment ref="L186" authorId="0" shapeId="0">
      <text>
        <t>raw warhead damages: 6000, 3
import scales all proportionally</t>
      </text>
    </comment>
    <comment ref="AB186" authorId="0" shapeId="0">
      <text>
        <t>fires when: rank-elite</t>
      </text>
    </comment>
    <comment ref="L188" authorId="0" shapeId="0">
      <text>
        <t>raw warhead damages: 6000, 3
import scales all proportionally</t>
      </text>
    </comment>
    <comment ref="AB188" authorId="0" shapeId="0">
      <text>
        <t>fires when: !rank-elite</t>
      </text>
    </comment>
    <comment ref="L189" authorId="0" shapeId="0">
      <text>
        <t>raw warhead damages: 6000, 3
import scales all proportionally</t>
      </text>
    </comment>
    <comment ref="AB189" authorId="0" shapeId="0">
      <text>
        <t>fires when: rank-elite</t>
      </text>
    </comment>
    <comment ref="L190" authorId="0" shapeId="0">
      <text>
        <t>raw warhead damages: 6000, 3
import scales all proportionally</t>
      </text>
    </comment>
    <comment ref="AB190" authorId="0" shapeId="0">
      <text>
        <t>fires when: !rank-elite</t>
      </text>
    </comment>
    <comment ref="L191" authorId="0" shapeId="0">
      <text>
        <t>raw warhead damages: 6000, 3
import scales all proportionally</t>
      </text>
    </comment>
    <comment ref="AB191" authorId="0" shapeId="0">
      <text>
        <t>fires when: rank-elite</t>
      </text>
    </comment>
    <comment ref="L194" authorId="0" shapeId="0">
      <text>
        <t>raw warhead damages: 2000, 1
import scales all proportionally</t>
      </text>
    </comment>
    <comment ref="AB194" authorId="0" shapeId="0">
      <text>
        <t>fires when: !tkm_upgrade_titanarmorpiercingbulletsupgrade</t>
      </text>
    </comment>
    <comment ref="L195" authorId="0" shapeId="0">
      <text>
        <t>raw warhead damages: 2000, 1
import scales all proportionally</t>
      </text>
    </comment>
    <comment ref="AB195" authorId="0" shapeId="0">
      <text>
        <t>fires when: tkm_upgrade_titanarmorpiercingbulletsupgrade</t>
      </text>
    </comment>
    <comment ref="L196" authorId="0" shapeId="0">
      <text>
        <t>raw warhead damages: 2000, 1
import scales all proportionally</t>
      </text>
    </comment>
    <comment ref="AB196" authorId="0" shapeId="0">
      <text>
        <t>fires when: !tkm_upgrade_titanarmorpiercingbulletsupgrade</t>
      </text>
    </comment>
    <comment ref="L197" authorId="0" shapeId="0">
      <text>
        <t>raw warhead damages: 2000, 1
import scales all proportionally</t>
      </text>
    </comment>
    <comment ref="AB197" authorId="0" shapeId="0">
      <text>
        <t>fires when: tkm_upgrade_titanarmorpiercingbulletsupgrade</t>
      </text>
    </comment>
    <comment ref="L199" authorId="0" shapeId="0">
      <text>
        <t>raw warhead damages: 6000, 4
import scales all proportionally</t>
      </text>
    </comment>
    <comment ref="AB199" authorId="0" shapeId="0">
      <text>
        <t>fires when: !tkm_upgrade_semiautoriflesupgrade</t>
      </text>
    </comment>
    <comment ref="L200" authorId="0" shapeId="0">
      <text>
        <t>raw warhead damages: 10000, 5
import scales all proportionally</t>
      </text>
    </comment>
    <comment ref="AB200" authorId="0" shapeId="0">
      <text>
        <t>fires when: tkm_upgrade_semiautoriflesupgrade</t>
      </text>
    </comment>
    <comment ref="L201" authorId="0" shapeId="0">
      <text>
        <t>raw warhead damages: 6000, 4
import scales all proportionally</t>
      </text>
    </comment>
    <comment ref="L203" authorId="0" shapeId="0">
      <text>
        <t>raw warhead damages: 2000, 1, 2000, 1
import scales all proportionally</t>
      </text>
    </comment>
    <comment ref="AB203" authorId="0" shapeId="0">
      <text>
        <t>fires when: !ixian_upgrade_tungstenneedleguns</t>
      </text>
    </comment>
    <comment ref="L204" authorId="0" shapeId="0">
      <text>
        <t>raw warhead damages: 2000, 1, 2000, 1, 2000, 1
import scales all proportionally</t>
      </text>
    </comment>
    <comment ref="AB204" authorId="0" shapeId="0">
      <text>
        <t>fires when: ixian_upgrade_tungstenneedleguns</t>
      </text>
    </comment>
    <comment ref="L205" authorId="0" shapeId="0">
      <text>
        <t>raw warhead damages: 2000, 1, 2000, 1
import scales all proportionally</t>
      </text>
    </comment>
    <comment ref="AB205" authorId="0" shapeId="0">
      <text>
        <t>fires when: !ixian_upgrade_tungstenneedleguns</t>
      </text>
    </comment>
    <comment ref="L206" authorId="0" shapeId="0">
      <text>
        <t>raw warhead damages: 2000, 1, 2000, 1, 2000, 1
import scales all proportionally</t>
      </text>
    </comment>
    <comment ref="AB206" authorId="0" shapeId="0">
      <text>
        <t>fires when: ixian_upgrade_tungstenneedleguns</t>
      </text>
    </comment>
    <comment ref="L208" authorId="0" shapeId="0">
      <text>
        <t>raw warhead damages: 2000, 1, 2000, 1
import scales all proportionally</t>
      </text>
    </comment>
    <comment ref="AB208" authorId="0" shapeId="0">
      <text>
        <t>fires when: !ordos_upgrade_lasercartridges</t>
      </text>
    </comment>
    <comment ref="L209" authorId="0" shapeId="0">
      <text>
        <t>raw warhead damages: 2000, 1, 600, 2000, 1, 2000, 1
import scales all proportionally</t>
      </text>
    </comment>
    <comment ref="AB209" authorId="0" shapeId="0">
      <text>
        <t>fires when: ordos_upgrade_lasercartridges</t>
      </text>
    </comment>
    <comment ref="L210" authorId="0" shapeId="0">
      <text>
        <t>raw warhead damages: 2000, 1, 2000, 1
import scales all proportionally</t>
      </text>
    </comment>
    <comment ref="AB210" authorId="0" shapeId="0">
      <text>
        <t>fires when: !ordos_upgrade_lasercartridges</t>
      </text>
    </comment>
    <comment ref="L211" authorId="0" shapeId="0">
      <text>
        <t>raw warhead damages: 2000, 1, 600, 2000, 1, 2000, 1
import scales all proportionally</t>
      </text>
    </comment>
    <comment ref="AB211" authorId="0" shapeId="0">
      <text>
        <t>fires when: ordos_upgrade_lasercartridges</t>
      </text>
    </comment>
    <comment ref="L213" authorId="0" shapeId="0">
      <text>
        <t>raw warhead damages: 2000, 1, 2000, 1
import scales all proportionally</t>
      </text>
    </comment>
    <comment ref="AB213" authorId="0" shapeId="0">
      <text>
        <t>fires when: !ixian_upgrade_tungstenneedleguns</t>
      </text>
    </comment>
    <comment ref="L214" authorId="0" shapeId="0">
      <text>
        <t>raw warhead damages: 2000, 1, 2000, 1, 2000, 1
import scales all proportionally</t>
      </text>
    </comment>
    <comment ref="AB214" authorId="0" shapeId="0">
      <text>
        <t>fires when: ixian_upgrade_tungstenneedleguns</t>
      </text>
    </comment>
    <comment ref="L215" authorId="0" shapeId="0">
      <text>
        <t>raw warhead damages: 2000, 1, 2000, 1
import scales all proportionally</t>
      </text>
    </comment>
    <comment ref="AB215" authorId="0" shapeId="0">
      <text>
        <t>fires when: !ixian_upgrade_tungstenneedleguns</t>
      </text>
    </comment>
    <comment ref="L216" authorId="0" shapeId="0">
      <text>
        <t>raw warhead damages: 2000, 1, 2000, 1, 2000, 1
import scales all proportionally</t>
      </text>
    </comment>
    <comment ref="AB216" authorId="0" shapeId="0">
      <text>
        <t>fires when: ixian_upgrade_tungstenneedleguns</t>
      </text>
    </comment>
    <comment ref="L218" authorId="0" shapeId="0">
      <text>
        <t>raw warhead damages: 30000, 15000, 15
import scales all proportionally</t>
      </text>
    </comment>
    <comment ref="L220" authorId="0" shapeId="0">
      <text>
        <t>raw warhead damages: 2000, 1, 2000, 1, 2000, 1
import scales all proportionally</t>
      </text>
    </comment>
    <comment ref="L221" authorId="0" shapeId="0">
      <text>
        <t>raw warhead damages: 2000, 1, 2000, 1, 2000, 1
import scales all proportionally</t>
      </text>
    </comment>
    <comment ref="L224" authorId="0" shapeId="0">
      <text>
        <t>raw warhead damages: 2000, 1, 2000, 1
import scales all proportionally</t>
      </text>
    </comment>
    <comment ref="L225" authorId="0" shapeId="0">
      <text>
        <t>raw warhead damages: 2000, 1, 2000, 1
import scales all proportionally</t>
      </text>
    </comment>
    <comment ref="L227" authorId="0" shapeId="0">
      <text>
        <t>raw warhead damages: 2000, 1, 2000, 1
import scales all proportionally</t>
      </text>
    </comment>
    <comment ref="AB227" authorId="0" shapeId="0">
      <text>
        <t>fires when: !rank-elite &amp;&amp; !asianalliance_doctrine_modernizedinfantryequipment</t>
      </text>
    </comment>
    <comment ref="L228" authorId="0" shapeId="0">
      <text>
        <t>raw warhead damages: 2000, 1, 2000, 1
import scales all proportionally</t>
      </text>
    </comment>
    <comment ref="AB228" authorId="0" shapeId="0">
      <text>
        <t>fires when: (rank-elite &amp;&amp; !asianalliance_doctrine_modernizedinfantryequipment) || (!rank-elite &amp;&amp; asianalliance_doctrine_modernizedinfantryequipment)</t>
      </text>
    </comment>
    <comment ref="L229" authorId="0" shapeId="0">
      <text>
        <t>raw warhead damages: 2000, 1, 2000, 1
import scales all proportionally</t>
      </text>
    </comment>
    <comment ref="AB229" authorId="0" shapeId="0">
      <text>
        <t>fires when: rank-elite &amp;&amp; asianalliance_doctrine_modernizedinfantryequipment</t>
      </text>
    </comment>
    <comment ref="L230" authorId="0" shapeId="0">
      <text>
        <t>raw warhead damages: 2000, 1, 2000, 1
import scales all proportionally</t>
      </text>
    </comment>
    <comment ref="AB230" authorId="0" shapeId="0">
      <text>
        <t>fires when: !rank-elite &amp;&amp; !asianalliance_doctrine_modernizedinfantryequipment</t>
      </text>
    </comment>
    <comment ref="L231" authorId="0" shapeId="0">
      <text>
        <t>raw warhead damages: 2000, 1, 2000, 1
import scales all proportionally</t>
      </text>
    </comment>
    <comment ref="AB231" authorId="0" shapeId="0">
      <text>
        <t>fires when: (rank-elite &amp;&amp; !asianalliance_doctrine_modernizedinfantryequipment) || (!rank-elite &amp;&amp; asianalliance_doctrine_modernizedinfantryequipment)</t>
      </text>
    </comment>
    <comment ref="L232" authorId="0" shapeId="0">
      <text>
        <t>raw warhead damages: 2000, 1, 2000, 1
import scales all proportionally</t>
      </text>
    </comment>
    <comment ref="AB232" authorId="0" shapeId="0">
      <text>
        <t>fires when: rank-elite &amp;&amp; asianalliance_doctrine_modernizedinfantryequipment</t>
      </text>
    </comment>
    <comment ref="L234" authorId="0" shapeId="0">
      <text>
        <t>raw warhead damages: 4000, 1000, 1, 4000, 1
import scales all proportionally</t>
      </text>
    </comment>
    <comment ref="AB234" authorId="0" shapeId="0">
      <text>
        <t>fires when: !rank-elite</t>
      </text>
    </comment>
    <comment ref="L235" authorId="0" shapeId="0">
      <text>
        <t>raw warhead damages: 4000, 1000, 1, 4000, 1
import scales all proportionally</t>
      </text>
    </comment>
    <comment ref="AB235" authorId="0" shapeId="0">
      <text>
        <t>fires when: rank-elite</t>
      </text>
    </comment>
    <comment ref="L236" authorId="0" shapeId="0">
      <text>
        <t>raw warhead damages: 4000, 1000, 1, 4000, 1
import scales all proportionally</t>
      </text>
    </comment>
    <comment ref="AB236" authorId="0" shapeId="0">
      <text>
        <t>fires when: !rank-elite</t>
      </text>
    </comment>
    <comment ref="L237" authorId="0" shapeId="0">
      <text>
        <t>raw warhead damages: 4000, 1000, 1, 4000, 1
import scales all proportionally</t>
      </text>
    </comment>
    <comment ref="AB237" authorId="0" shapeId="0">
      <text>
        <t>fires when: rank-elite</t>
      </text>
    </comment>
    <comment ref="L239" authorId="0" shapeId="0">
      <text>
        <t>raw warhead damages: 2000, 1, 2000, 1
import scales all proportionally</t>
      </text>
    </comment>
    <comment ref="AB239" authorId="0" shapeId="0">
      <text>
        <t>fires when: !rank-elite</t>
      </text>
    </comment>
    <comment ref="L240" authorId="0" shapeId="0">
      <text>
        <t>raw warhead damages: 2000, 1, 2000, 1
import scales all proportionally</t>
      </text>
    </comment>
    <comment ref="AB240" authorId="0" shapeId="0">
      <text>
        <t>fires when: rank-elite</t>
      </text>
    </comment>
    <comment ref="L241" authorId="0" shapeId="0">
      <text>
        <t>raw warhead damages: 2000, 1, 2000, 1
import scales all proportionally</t>
      </text>
    </comment>
    <comment ref="AB241" authorId="0" shapeId="0">
      <text>
        <t>fires when: !rank-elite</t>
      </text>
    </comment>
    <comment ref="L242" authorId="0" shapeId="0">
      <text>
        <t>raw warhead damages: 2000, 1, 2000, 1
import scales all proportionally</t>
      </text>
    </comment>
    <comment ref="AB242" authorId="0" shapeId="0">
      <text>
        <t>fires when: rank-elite</t>
      </text>
    </comment>
    <comment ref="L245" authorId="0" shapeId="0">
      <text>
        <t>raw warhead damages: 8000, 4000, 4, 8000, 4000, 4, 8000, 4000, 4, 8000, 4000, 4, 8000, 4, 8000, 4, 8000, 4, 8000, 4
import scales all proportionally</t>
      </text>
    </comment>
    <comment ref="L246" authorId="0" shapeId="0">
      <text>
        <t>raw warhead damages: 8000, 4000, 4, 8000, 4000, 4, 8000, 4000, 4, 8000, 4000, 4, 8000, 4, 8000, 4, 8000, 4, 8000, 4
import scales all proportionally</t>
      </text>
    </comment>
    <comment ref="L248" authorId="0" shapeId="0">
      <text>
        <t>raw warhead damages: 16000, 8000, 8
import scales all proportionally</t>
      </text>
    </comment>
    <comment ref="L249" authorId="0" shapeId="0">
      <text>
        <t>raw warhead damages: 16000, 8000, 8
import scales all proportionally</t>
      </text>
    </comment>
    <comment ref="L251" authorId="0" shapeId="0">
      <text>
        <t>raw warhead damages: 8000, 4000, 4, 8000, 4000, 4
import scales all proportionally</t>
      </text>
    </comment>
    <comment ref="L252" authorId="0" shapeId="0">
      <text>
        <t>raw warhead damages: 8000, 4000, 4, 8000, 4000, 4
import scales all proportionally</t>
      </text>
    </comment>
    <comment ref="L254" authorId="0" shapeId="0">
      <text>
        <t>raw warhead damages: 8000, 4000, 4, 8000, 4000, 4
import scales all proportionally</t>
      </text>
    </comment>
    <comment ref="AB254" authorId="0" shapeId="0">
      <text>
        <t>fires when: !ra1_soviets_upgrade_scorchedearth</t>
      </text>
    </comment>
    <comment ref="L255" authorId="0" shapeId="0">
      <text>
        <t>raw warhead damages: 8000, 4000, 4, 8000, 4000, 4
import scales all proportionally</t>
      </text>
    </comment>
    <comment ref="AB255" authorId="0" shapeId="0">
      <text>
        <t>fires when: !ra1_soviets_upgrade_scorchedearth</t>
      </text>
    </comment>
    <comment ref="L256" authorId="0" shapeId="0">
      <text>
        <t>raw warhead damages: 4000, 2000, 2, 4000, 2000, 2, 4000, 2000, 2, 4000, 2000, 2
import scales all proportionally</t>
      </text>
    </comment>
    <comment ref="AB256" authorId="0" shapeId="0">
      <text>
        <t>fires when: ra1_soviets_upgrade_scorchedearth</t>
      </text>
    </comment>
    <comment ref="L257" authorId="0" shapeId="0">
      <text>
        <t>raw warhead damages: 4000, 2000, 2, 4000, 2000, 2, 4000, 2000, 2, 4000, 2000, 2
import scales all proportionally</t>
      </text>
    </comment>
    <comment ref="AB257" authorId="0" shapeId="0">
      <text>
        <t>fires when: ra1_soviets_upgrade_scorchedearth</t>
      </text>
    </comment>
    <comment ref="L259" authorId="0" shapeId="0">
      <text>
        <t>raw warhead damages: 12000, 6000, 6, 12000, 6, 6000
import scales all proportionally</t>
      </text>
    </comment>
    <comment ref="AB259" authorId="0" shapeId="0">
      <text>
        <t>fires when: !ts_gdi_upgrade_sonicweaponry</t>
      </text>
    </comment>
    <comment ref="L260" authorId="0" shapeId="0">
      <text>
        <t>raw warhead damages: 12000, 6000, 6, 12000, 6, 6000, 3000, 3, 6000, 3, 888, 6000
import scales all proportionally</t>
      </text>
    </comment>
    <comment ref="AB260" authorId="0" shapeId="0">
      <text>
        <t>fires when: ts_gdi_upgrade_sonicweaponry</t>
      </text>
    </comment>
    <comment ref="L261" authorId="0" shapeId="0">
      <text>
        <t>raw warhead damages: 12000, 6000, 6, 12000, 6, 6000
import scales all proportionally</t>
      </text>
    </comment>
    <comment ref="AB261" authorId="0" shapeId="0">
      <text>
        <t>fires when: !ts_gdi_upgrade_sonicweaponry</t>
      </text>
    </comment>
    <comment ref="L262" authorId="0" shapeId="0">
      <text>
        <t>raw warhead damages: 12000, 6000, 6, 12000, 6, 6000, 3000, 3, 6000, 3, 888, 6000
import scales all proportionally</t>
      </text>
    </comment>
    <comment ref="AB262" authorId="0" shapeId="0">
      <text>
        <t>fires when: ts_gdi_upgrade_sonicweaponry</t>
      </text>
    </comment>
    <comment ref="L264" authorId="0" shapeId="0">
      <text>
        <t>raw warhead damages: 2000, 1000, 1, 2000, 1000, 1, 2000, 1, 1000, 2000, 1
import scales all proportionally</t>
      </text>
    </comment>
    <comment ref="AB264" authorId="0" shapeId="0">
      <text>
        <t>fires when: !rank-elite &amp;&amp; !steelconsortium_upgrade_quantumweaponpower</t>
      </text>
    </comment>
    <comment ref="L265" authorId="0" shapeId="0">
      <text>
        <t>raw warhead damages: 2000, 1000, 1, 2000, 1000, 1, 2000, 1, 1000, 2000, 1
import scales all proportionally</t>
      </text>
    </comment>
    <comment ref="AB265" authorId="0" shapeId="0">
      <text>
        <t>fires when: rank-elite &amp;&amp; !steelconsortium_upgrade_quantumweaponpower</t>
      </text>
    </comment>
    <comment ref="L266" authorId="0" shapeId="0">
      <text>
        <t>raw warhead damages: 2000, 1000, 1, 2000, 1000, 1, 2000, 1, 1000, 2000, 1
import scales all proportionally</t>
      </text>
    </comment>
    <comment ref="AB266" authorId="0" shapeId="0">
      <text>
        <t>fires when: !rank-elite &amp;&amp; !steelconsortium_upgrade_quantumweaponpower</t>
      </text>
    </comment>
    <comment ref="L267" authorId="0" shapeId="0">
      <text>
        <t>raw warhead damages: 2000, 1000, 1, 2000, 1000, 1, 2000, 1, 1000, 2000, 1
import scales all proportionally</t>
      </text>
    </comment>
    <comment ref="AB267" authorId="0" shapeId="0">
      <text>
        <t>fires when: rank-elite &amp;&amp; !steelconsortium_upgrade_quantumweaponpower</t>
      </text>
    </comment>
    <comment ref="L268" authorId="0" shapeId="0">
      <text>
        <t>raw warhead damages: 2000, 1000, 1, 2000, 1000, 1, 2000, 1000, 1, 2000, 1000, 1, 2000, 1, 1000, 2000, 1
import scales all proportionally</t>
      </text>
    </comment>
    <comment ref="AB268" authorId="0" shapeId="0">
      <text>
        <t>fires when: !rank-elite &amp;&amp; steelconsortium_upgrade_quantumweaponpower</t>
      </text>
    </comment>
    <comment ref="L269" authorId="0" shapeId="0">
      <text>
        <t>raw warhead damages: 2000, 1000, 1, 2000, 1000, 1, 2000, 1000, 1, 2000, 1000, 1, 2000, 1, 1000, 2000, 1
import scales all proportionally</t>
      </text>
    </comment>
    <comment ref="AB269" authorId="0" shapeId="0">
      <text>
        <t>fires when: rank-elite &amp;&amp; steelconsortium_upgrade_quantumweaponpower</t>
      </text>
    </comment>
    <comment ref="L270" authorId="0" shapeId="0">
      <text>
        <t>raw warhead damages: 2000, 1000, 1, 2000, 1000, 1, 2000, 1000, 1, 2000, 1000, 1, 2000, 1, 1000, 2000, 1
import scales all proportionally</t>
      </text>
    </comment>
    <comment ref="AB270" authorId="0" shapeId="0">
      <text>
        <t>fires when: !rank-elite &amp;&amp; steelconsortium_upgrade_quantumweaponpower</t>
      </text>
    </comment>
    <comment ref="L271" authorId="0" shapeId="0">
      <text>
        <t>raw warhead damages: 2000, 1000, 1, 2000, 1000, 1, 2000, 1000, 1, 2000, 1000, 1, 2000, 1, 1000, 2000, 1
import scales all proportionally</t>
      </text>
    </comment>
    <comment ref="AB271" authorId="0" shapeId="0">
      <text>
        <t>fires when: rank-elite &amp;&amp; steelconsortium_upgrade_quantumweaponpower</t>
      </text>
    </comment>
    <comment ref="L273" authorId="0" shapeId="0">
      <text>
        <t>raw warhead damages: 10000, 5000, 5, 10000, 5000, 5, 10000, 5
import scales all proportionally</t>
      </text>
    </comment>
    <comment ref="AB273" authorId="0" shapeId="0">
      <text>
        <t>fires when: (!latinsyndicate_upgrade_asianalliancestolentechhotfire &amp;&amp; !rank-elite)</t>
      </text>
    </comment>
    <comment ref="L274" authorId="0" shapeId="0">
      <text>
        <t>raw warhead damages: 10000, 5000, 5, 10000, 5000, 5, 10000, 5
import scales all proportionally</t>
      </text>
    </comment>
    <comment ref="AB274" authorId="0" shapeId="0">
      <text>
        <t>fires when: (latinsyndicate_upgrade_asianalliancestolentechhotfire &amp;&amp; !rank-elite) || (!latinsyndicate_upgrade_asianalliancestolentechhotfire &amp;&amp; rank-elite)</t>
      </text>
    </comment>
    <comment ref="L275" authorId="0" shapeId="0">
      <text>
        <t>raw warhead damages: 10000, 5000, 5, 10000, 5000, 5, 10000, 5
import scales all proportionally</t>
      </text>
    </comment>
    <comment ref="AB275" authorId="0" shapeId="0">
      <text>
        <t>fires when: (latinsyndicate_upgrade_asianalliancestolentechhotfire &amp;&amp; rank-elite)</t>
      </text>
    </comment>
    <comment ref="L276" authorId="0" shapeId="0">
      <text>
        <t>raw warhead damages: 10000, 5000, 5, 10000, 5000, 5, 10000, 5
import scales all proportionally</t>
      </text>
    </comment>
    <comment ref="AB276" authorId="0" shapeId="0">
      <text>
        <t>fires when: (!latinsyndicate_upgrade_asianalliancestolentechhotfire &amp;&amp; !rank-elite)</t>
      </text>
    </comment>
    <comment ref="L277" authorId="0" shapeId="0">
      <text>
        <t>raw warhead damages: 10000, 5000, 5, 10000, 5000, 5, 10000, 5
import scales all proportionally</t>
      </text>
    </comment>
    <comment ref="AB277" authorId="0" shapeId="0">
      <text>
        <t>fires when: (latinsyndicate_upgrade_asianalliancestolentechhotfire &amp;&amp; !rank-elite) || (!latinsyndicate_upgrade_asianalliancestolentechhotfire &amp;&amp; rank-elite)</t>
      </text>
    </comment>
    <comment ref="L278" authorId="0" shapeId="0">
      <text>
        <t>raw warhead damages: 10000, 5000, 5, 10000, 5000, 5, 10000, 5
import scales all proportionally</t>
      </text>
    </comment>
    <comment ref="AB278" authorId="0" shapeId="0">
      <text>
        <t>fires when: (latinsyndicate_upgrade_asianalliancestolentechhotfire &amp;&amp; rank-elite)</t>
      </text>
    </comment>
    <comment ref="L281" authorId="0" shapeId="0">
      <text>
        <t>raw warhead damages: 8000, 4000, 4, 8000, 4000, 4, 8000, 4000, 4, 8000, 4000, 4
import scales all proportionally</t>
      </text>
    </comment>
    <comment ref="AB281" authorId="0" shapeId="0">
      <text>
        <t>fires when: !ra1_soviets_upgrade_scorchedearth</t>
      </text>
    </comment>
    <comment ref="L282" authorId="0" shapeId="0">
      <text>
        <t>raw warhead damages: 8000, 4000, 4, 8000, 4000, 4, 8000, 4000, 4, 8000, 4000, 4
import scales all proportionally</t>
      </text>
    </comment>
    <comment ref="AB282" authorId="0" shapeId="0">
      <text>
        <t>fires when: !ra1_soviets_upgrade_scorchedearth</t>
      </text>
    </comment>
    <comment ref="L283" authorId="0" shapeId="0">
      <text>
        <t>raw warhead damages: 4000, 2, 4000, 2000, 2, 4000, 2000, 2, 4000, 2000, 2, 4000, 2000, 2, 4000, 2000, 2
import scales all proportionally</t>
      </text>
    </comment>
    <comment ref="AB283" authorId="0" shapeId="0">
      <text>
        <t>fires when: ra1_soviets_upgrade_scorchedearth</t>
      </text>
    </comment>
    <comment ref="L284" authorId="0" shapeId="0">
      <text>
        <t>raw warhead damages: 4000, 2, 4000, 2000, 2, 4000, 2000, 2, 4000, 2000, 2, 4000, 2000, 2, 4000, 2000, 2
import scales all proportionally</t>
      </text>
    </comment>
    <comment ref="AB284" authorId="0" shapeId="0">
      <text>
        <t>fires when: ra1_soviets_upgrade_scorchedearth</t>
      </text>
    </comment>
    <comment ref="L286" authorId="0" shapeId="0">
      <text>
        <t>raw warhead damages: 16000, 8000, 8, 16000, 8
import scales all proportionally</t>
      </text>
    </comment>
    <comment ref="AB286" authorId="0" shapeId="0">
      <text>
        <t>fires when: !forgotten_upgrade_chemicalweapons</t>
      </text>
    </comment>
    <comment ref="L287" authorId="0" shapeId="0">
      <text>
        <t>raw warhead damages: 16000, 8000, 8, 16000, 8, 16000, 8000, 8, 16000, 8000, 8
import scales all proportionally</t>
      </text>
    </comment>
    <comment ref="AB287" authorId="0" shapeId="0">
      <text>
        <t>fires when: forgotten_upgrade_chemicalweapons</t>
      </text>
    </comment>
    <comment ref="L288" authorId="0" shapeId="0">
      <text>
        <t>raw warhead damages: 16000, 8000, 8, 16000, 8
import scales all proportionally</t>
      </text>
    </comment>
    <comment ref="AB288" authorId="0" shapeId="0">
      <text>
        <t>fires when: !forgotten_upgrade_chemicalweapons</t>
      </text>
    </comment>
    <comment ref="L289" authorId="0" shapeId="0">
      <text>
        <t>raw warhead damages: 16000, 8000, 8, 16000, 8, 16000, 8000, 8, 16000, 8000, 8
import scales all proportionally</t>
      </text>
    </comment>
    <comment ref="AB289" authorId="0" shapeId="0">
      <text>
        <t>fires when: forgotten_upgrade_chemicalweapons</t>
      </text>
    </comment>
    <comment ref="L291" authorId="0" shapeId="0">
      <text>
        <t>raw warhead damages: 6000, 3000, 3, 6000, 3000, 3, 6000, 3, 6000, 3000, 3, 6000, 3000, 3, 6000, 3
import scales all proportionally</t>
      </text>
    </comment>
    <comment ref="AB291" authorId="0" shapeId="0">
      <text>
        <t>fires when: !rank-elite</t>
      </text>
    </comment>
    <comment ref="L292" authorId="0" shapeId="0">
      <text>
        <t>raw warhead damages: 6000, 3000, 3, 6000, 3000, 3, 6000, 3, 6000, 3000, 3, 6000, 3000, 3, 6000, 3
import scales all proportionally</t>
      </text>
    </comment>
    <comment ref="AB292" authorId="0" shapeId="0">
      <text>
        <t>fires when: rank-elite</t>
      </text>
    </comment>
    <comment ref="L294" authorId="0" shapeId="0">
      <text>
        <t>raw warhead damages: 10000, 5000, 5, 10000, 5000, 5, 10000, 5, 10000, 5
import scales all proportionally</t>
      </text>
    </comment>
    <comment ref="L295" authorId="0" shapeId="0">
      <text>
        <t>raw warhead damages: 10000, 5000, 5, 10000, 5000, 5, 10000, 5, 10000, 5
import scales all proportionally</t>
      </text>
    </comment>
    <comment ref="L297" authorId="0" shapeId="0">
      <text>
        <t>raw warhead damages: 20000, 10, 20000, 10000, 10, 20000, 10000, 10, 20000, 10000, 10
import scales all proportionally</t>
      </text>
    </comment>
    <comment ref="L298" authorId="0" shapeId="0">
      <text>
        <t>raw warhead damages: 20000, 10, 20000, 10000, 10, 20000, 10000, 10, 20000, 10000, 10
import scales all proportionally</t>
      </text>
    </comment>
    <comment ref="L301" authorId="0" shapeId="0">
      <text>
        <t>raw warhead damages: 18000, 9
import scales all proportionally</t>
      </text>
    </comment>
    <comment ref="AB301" authorId="0" shapeId="0">
      <text>
        <t>fires when: !td_gdi_upgrade_advancedmissiletargeting</t>
      </text>
    </comment>
    <comment ref="L302" authorId="0" shapeId="0">
      <text>
        <t>raw warhead damages: 18000, 9
import scales all proportionally</t>
      </text>
    </comment>
    <comment ref="AB302" authorId="0" shapeId="0">
      <text>
        <t>fires when: !td_gdi_upgrade_advancedmissiletargeting</t>
      </text>
    </comment>
    <comment ref="L303" authorId="0" shapeId="0">
      <text>
        <t>raw warhead damages: 18000, 9
import scales all proportionally</t>
      </text>
    </comment>
    <comment ref="AB303" authorId="0" shapeId="0">
      <text>
        <t>fires when: td_gdi_upgrade_advancedmissiletargeting</t>
      </text>
    </comment>
    <comment ref="L304" authorId="0" shapeId="0">
      <text>
        <t>raw warhead damages: 18000, 9
import scales all proportionally</t>
      </text>
    </comment>
    <comment ref="AB304" authorId="0" shapeId="0">
      <text>
        <t>fires when: td_gdi_upgrade_advancedmissiletargeting</t>
      </text>
    </comment>
    <comment ref="L306" authorId="0" shapeId="0">
      <text>
        <t>raw warhead damages: 18000, 9
import scales all proportionally</t>
      </text>
    </comment>
    <comment ref="AB306" authorId="0" shapeId="0">
      <text>
        <t>fires when: !td_gdi_upgrade_advancedmissiletargeting</t>
      </text>
    </comment>
    <comment ref="L307" authorId="0" shapeId="0">
      <text>
        <t>raw warhead damages: 18000, 9
import scales all proportionally</t>
      </text>
    </comment>
    <comment ref="AB307" authorId="0" shapeId="0">
      <text>
        <t>fires when: !td_gdi_upgrade_advancedmissiletargeting</t>
      </text>
    </comment>
    <comment ref="L308" authorId="0" shapeId="0">
      <text>
        <t>raw warhead damages: 18000, 9
import scales all proportionally</t>
      </text>
    </comment>
    <comment ref="AB308" authorId="0" shapeId="0">
      <text>
        <t>fires when: td_gdi_upgrade_advancedmissiletargeting</t>
      </text>
    </comment>
    <comment ref="L309" authorId="0" shapeId="0">
      <text>
        <t>raw warhead damages: 18000, 9
import scales all proportionally</t>
      </text>
    </comment>
    <comment ref="AB309" authorId="0" shapeId="0">
      <text>
        <t>fires when: td_gdi_upgrade_advancedmissiletargeting</t>
      </text>
    </comment>
    <comment ref="L311" authorId="0" shapeId="0">
      <text>
        <t>raw warhead damages: 12000, 6000, 6, 12000, 6000, 6, 12000, 6
import scales all proportionally</t>
      </text>
    </comment>
    <comment ref="L312" authorId="0" shapeId="0">
      <text>
        <t>raw warhead damages: 12000, 6000, 6, 12000, 6000, 6, 12000, 6
import scales all proportionally</t>
      </text>
    </comment>
    <comment ref="L314" authorId="0" shapeId="0">
      <text>
        <t>raw warhead damages: 18000, 9
import scales all proportionally</t>
      </text>
    </comment>
    <comment ref="L315" authorId="0" shapeId="0">
      <text>
        <t>raw warhead damages: 18000, 9
import scales all proportionally</t>
      </text>
    </comment>
    <comment ref="L317" authorId="0" shapeId="0">
      <text>
        <t>raw warhead damages: 10000, 5, 10000, 5
import scales all proportionally</t>
      </text>
    </comment>
    <comment ref="AB317" authorId="0" shapeId="0">
      <text>
        <t>fires when: !ra1_allies_upgrade_cryomissiles</t>
      </text>
    </comment>
    <comment ref="L318" authorId="0" shapeId="0">
      <text>
        <t>raw warhead damages: 10000, 5, 10000, 5
import scales all proportionally</t>
      </text>
    </comment>
    <comment ref="AB318" authorId="0" shapeId="0">
      <text>
        <t>fires when: !ra1_allies_upgrade_cryomissiles</t>
      </text>
    </comment>
    <comment ref="L319" authorId="0" shapeId="0">
      <text>
        <t>raw warhead damages: 10000, 5, 10000, 5
import scales all proportionally</t>
      </text>
    </comment>
    <comment ref="AB319" authorId="0" shapeId="0">
      <text>
        <t>fires when: ra1_allies_upgrade_cryomissiles</t>
      </text>
    </comment>
    <comment ref="L320" authorId="0" shapeId="0">
      <text>
        <t>raw warhead damages: 10000, 5, 10000, 5
import scales all proportionally</t>
      </text>
    </comment>
    <comment ref="AB320" authorId="0" shapeId="0">
      <text>
        <t>fires when: ra1_allies_upgrade_cryomissiles</t>
      </text>
    </comment>
    <comment ref="L322" authorId="0" shapeId="0">
      <text>
        <t>raw warhead damages: 8000, 4, 8000, 4, 1000, 8000, 4, 8000, 4, 8000, 4
import scales all proportionally</t>
      </text>
    </comment>
    <comment ref="L323" authorId="0" shapeId="0">
      <text>
        <t>raw warhead damages: 8000, 4, 8000, 4, 1000, 8000, 4, 8000, 4, 8000, 4
import scales all proportionally</t>
      </text>
    </comment>
    <comment ref="L325" authorId="0" shapeId="0">
      <text>
        <t>raw warhead damages: 8000, 4, 8000, 4, 8000, 4000, 4, 8000, 4
import scales all proportionally</t>
      </text>
    </comment>
    <comment ref="AB325" authorId="0" shapeId="0">
      <text>
        <t>fires when: !ra1_soviets_upgrade_scorchedearth</t>
      </text>
    </comment>
    <comment ref="L326" authorId="0" shapeId="0">
      <text>
        <t>raw warhead damages: 8000, 4, 8000, 4, 8000, 4000, 4, 8000, 4
import scales all proportionally</t>
      </text>
    </comment>
    <comment ref="AB326" authorId="0" shapeId="0">
      <text>
        <t>fires when: !ra1_soviets_upgrade_scorchedearth</t>
      </text>
    </comment>
    <comment ref="L327" authorId="0" shapeId="0">
      <text>
        <t>raw warhead damages: 4000, 2000, 2, 4000, 2, 4000, 2000, 2, 4000, 2000, 2, 4000, 2, 4000, 2, 4000, 2000, 2, 4000, 2
import scales all proportionally</t>
      </text>
    </comment>
    <comment ref="AB327" authorId="0" shapeId="0">
      <text>
        <t>fires when: ra1_soviets_upgrade_scorchedearth</t>
      </text>
    </comment>
    <comment ref="L328" authorId="0" shapeId="0">
      <text>
        <t>raw warhead damages: 4000, 2000, 2, 4000, 2, 4000, 2000, 2, 4000, 2000, 2, 4000, 2, 4000, 2, 4000, 2000, 2, 4000, 2
import scales all proportionally</t>
      </text>
    </comment>
    <comment ref="AB328" authorId="0" shapeId="0">
      <text>
        <t>fires when: ra1_soviets_upgrade_scorchedearth</t>
      </text>
    </comment>
    <comment ref="L330" authorId="0" shapeId="0">
      <text>
        <t>raw warhead damages: 10000, 5, 10000, 5
import scales all proportionally</t>
      </text>
    </comment>
    <comment ref="L331" authorId="0" shapeId="0">
      <text>
        <t>raw warhead damages: 10000, 5, 10000, 5
import scales all proportionally</t>
      </text>
    </comment>
    <comment ref="L333" authorId="0" shapeId="0">
      <text>
        <t>raw warhead damages: 6000, 3, 6000, 3, 6000, 3, 6000, 3, 6000, 3, 6000, 3
import scales all proportionally</t>
      </text>
    </comment>
    <comment ref="L334" authorId="0" shapeId="0">
      <text>
        <t>raw warhead damages: 6000, 3, 6000, 3, 6000, 3, 6000, 3, 6000, 3, 6000, 3
import scales all proportionally</t>
      </text>
    </comment>
    <comment ref="L336" authorId="0" shapeId="0">
      <text>
        <t>raw warhead damages: 6000, 3, 6000, 3
import scales all proportionally</t>
      </text>
    </comment>
    <comment ref="AB336" authorId="0" shapeId="0">
      <text>
        <t>fires when: !cabal_upgrade_darkarmament</t>
      </text>
    </comment>
    <comment ref="L337" authorId="0" shapeId="0">
      <text>
        <t>raw warhead damages: 6000, 3, 6000, 3
import scales all proportionally</t>
      </text>
    </comment>
    <comment ref="AB337" authorId="0" shapeId="0">
      <text>
        <t>fires when: cabal_upgrade_darkarmament</t>
      </text>
    </comment>
    <comment ref="L338" authorId="0" shapeId="0">
      <text>
        <t>raw warhead damages: 6000, 3, 6000, 3
import scales all proportionally</t>
      </text>
    </comment>
    <comment ref="L340" authorId="0" shapeId="0">
      <text>
        <t>raw warhead damages: 2000, 1, 2000, 1
import scales all proportionally</t>
      </text>
    </comment>
    <comment ref="AB340" authorId="0" shapeId="0">
      <text>
        <t>fires when: !ts_nod_upgrade_tiberiumlenses</t>
      </text>
    </comment>
    <comment ref="L341" authorId="0" shapeId="0">
      <text>
        <t>raw warhead damages: 2000, 1, 2000, 1, 2000, 1, 600
import scales all proportionally</t>
      </text>
    </comment>
    <comment ref="AB341" authorId="0" shapeId="0">
      <text>
        <t>fires when: ts_nod_upgrade_tiberiumlenses</t>
      </text>
    </comment>
    <comment ref="L342" authorId="0" shapeId="0">
      <text>
        <t>raw warhead damages: 2000, 1, 2000, 1
import scales all proportionally</t>
      </text>
    </comment>
    <comment ref="AB342" authorId="0" shapeId="0">
      <text>
        <t>fires when: !ts_nod_upgrade_tiberiumlenses</t>
      </text>
    </comment>
    <comment ref="L343" authorId="0" shapeId="0">
      <text>
        <t>raw warhead damages: 2000, 1, 2000, 1, 2000, 1, 600
import scales all proportionally</t>
      </text>
    </comment>
    <comment ref="AB343" authorId="0" shapeId="0">
      <text>
        <t>fires when: ts_nod_upgrade_tiberiumlenses</t>
      </text>
    </comment>
    <comment ref="L344" authorId="0" shapeId="0">
      <text>
        <t>raw warhead damages: 36000, 18000, 18
import scales all proportionally</t>
      </text>
    </comment>
    <comment ref="AB344" authorId="0" shapeId="0">
      <text>
        <t>fires when: ts_nod_upgrade_auxiliaryweapon</t>
      </text>
    </comment>
    <comment ref="L345" authorId="0" shapeId="0">
      <text>
        <t>raw warhead damages: 36000, 18000, 18
import scales all proportionally</t>
      </text>
    </comment>
    <comment ref="AB345" authorId="0" shapeId="0">
      <text>
        <t>fires when: ts_nod_upgrade_auxiliaryweapon</t>
      </text>
    </comment>
    <comment ref="L347" authorId="0" shapeId="0">
      <text>
        <t>raw warhead damages: 24000, 12
import scales all proportionally</t>
      </text>
    </comment>
    <comment ref="AB347" authorId="0" shapeId="0">
      <text>
        <t>fires when: !ts_nod_upgrade_tiberiumcoremissiles</t>
      </text>
    </comment>
    <comment ref="L348" authorId="0" shapeId="0">
      <text>
        <t>raw warhead damages: 24000, 12
import scales all proportionally</t>
      </text>
    </comment>
    <comment ref="AB348" authorId="0" shapeId="0">
      <text>
        <t>fires when: !ts_nod_upgrade_tiberiumcoremissiles</t>
      </text>
    </comment>
    <comment ref="L349" authorId="0" shapeId="0">
      <text>
        <t>raw warhead damages: 6000, 3000, 3, 24000, 12
import scales all proportionally</t>
      </text>
    </comment>
    <comment ref="AB349" authorId="0" shapeId="0">
      <text>
        <t>fires when: ts_nod_upgrade_tiberiumcoremissiles</t>
      </text>
    </comment>
    <comment ref="L350" authorId="0" shapeId="0">
      <text>
        <t>raw warhead damages: 6000, 3000, 3, 24000, 12
import scales all proportionally</t>
      </text>
    </comment>
    <comment ref="AB350" authorId="0" shapeId="0">
      <text>
        <t>fires when: ts_nod_upgrade_tiberiumcoremissiles</t>
      </text>
    </comment>
    <comment ref="L352" authorId="0" shapeId="0">
      <text>
        <t>raw warhead damages: 2000, 1, 2000, 1
import scales all proportionally</t>
      </text>
    </comment>
    <comment ref="AB352" authorId="0" shapeId="0">
      <text>
        <t>fires when: !ts_gdi_upgrade_railgunweaponry</t>
      </text>
    </comment>
    <comment ref="L353" authorId="0" shapeId="0">
      <text>
        <t>raw warhead damages: 2000, 1, 2000, 1
import scales all proportionally</t>
      </text>
    </comment>
    <comment ref="AB353" authorId="0" shapeId="0">
      <text>
        <t>fires when: !ts_gdi_upgrade_railgunweaponry</t>
      </text>
    </comment>
    <comment ref="L354" authorId="0" shapeId="0">
      <text>
        <t>raw warhead damages: 2000, 1, 2000, 1, 2000, 1, 1000
import scales all proportionally</t>
      </text>
    </comment>
    <comment ref="AB354" authorId="0" shapeId="0">
      <text>
        <t>fires when: ts_gdi_upgrade_railgunweaponry</t>
      </text>
    </comment>
    <comment ref="L355" authorId="0" shapeId="0">
      <text>
        <t>raw warhead damages: 2000, 1, 2000, 1, 2000, 1, 1000
import scales all proportionally</t>
      </text>
    </comment>
    <comment ref="AB355" authorId="0" shapeId="0">
      <text>
        <t>fires when: ts_gdi_upgrade_railgunweaponry</t>
      </text>
    </comment>
    <comment ref="L357" authorId="0" shapeId="0">
      <text>
        <t>raw warhead damages: 24000, 12
import scales all proportionally</t>
      </text>
    </comment>
    <comment ref="AB357" authorId="0" shapeId="0">
      <text>
        <t>fires when: !forgotten_upgrade_chemicalweapons</t>
      </text>
    </comment>
    <comment ref="L358" authorId="0" shapeId="0">
      <text>
        <t>raw warhead damages: 24000, 12
import scales all proportionally</t>
      </text>
    </comment>
    <comment ref="AB358" authorId="0" shapeId="0">
      <text>
        <t>fires when: !forgotten_upgrade_chemicalweapons</t>
      </text>
    </comment>
    <comment ref="L359" authorId="0" shapeId="0">
      <text>
        <t>raw warhead damages: 6000, 3000, 3, 24000, 12
import scales all proportionally</t>
      </text>
    </comment>
    <comment ref="AB359" authorId="0" shapeId="0">
      <text>
        <t>fires when: forgotten_upgrade_chemicalweapons</t>
      </text>
    </comment>
    <comment ref="L360" authorId="0" shapeId="0">
      <text>
        <t>raw warhead damages: 6000, 3000, 3, 24000, 12
import scales all proportionally</t>
      </text>
    </comment>
    <comment ref="AB360" authorId="0" shapeId="0">
      <text>
        <t>fires when: forgotten_upgrade_chemicalweapons</t>
      </text>
    </comment>
    <comment ref="L362" authorId="0" shapeId="0">
      <text>
        <t>raw warhead damages: 24000, 12
import scales all proportionally</t>
      </text>
    </comment>
    <comment ref="AB362" authorId="0" shapeId="0">
      <text>
        <t>fires when: !rank-elite</t>
      </text>
    </comment>
    <comment ref="L363" authorId="0" shapeId="0">
      <text>
        <t>raw warhead damages: 24000, 12
import scales all proportionally</t>
      </text>
    </comment>
    <comment ref="AB363" authorId="0" shapeId="0">
      <text>
        <t>fires when: !rank-elite</t>
      </text>
    </comment>
    <comment ref="L364" authorId="0" shapeId="0">
      <text>
        <t>raw warhead damages: 48000, 24
import scales all proportionally</t>
      </text>
    </comment>
    <comment ref="AB364" authorId="0" shapeId="0">
      <text>
        <t>fires when: rank-elite</t>
      </text>
    </comment>
    <comment ref="L365" authorId="0" shapeId="0">
      <text>
        <t>raw warhead damages: 48000, 24
import scales all proportionally</t>
      </text>
    </comment>
    <comment ref="AB365" authorId="0" shapeId="0">
      <text>
        <t>fires when: rank-elite</t>
      </text>
    </comment>
    <comment ref="L367" authorId="0" shapeId="0">
      <text>
        <t>raw warhead damages: 2000, 1, 2000, 1
import scales all proportionally</t>
      </text>
    </comment>
    <comment ref="AB367" authorId="0" shapeId="0">
      <text>
        <t>fires when: !deployed &amp;&amp; !rank-elite &amp;&amp; !ra2_allies_upgrade_elitegi</t>
      </text>
    </comment>
    <comment ref="L368" authorId="0" shapeId="0">
      <text>
        <t>raw warhead damages: 4000, 2
import scales all proportionally</t>
      </text>
    </comment>
    <comment ref="AB368" authorId="0" shapeId="0">
      <text>
        <t>fires when: !deployed &amp;&amp; !rank-elite &amp;&amp; ra2_allies_upgrade_elitegi</t>
      </text>
    </comment>
    <comment ref="L369" authorId="0" shapeId="0">
      <text>
        <t>raw warhead damages: 2000, 1, 2000, 1
import scales all proportionally</t>
      </text>
    </comment>
    <comment ref="AB369" authorId="0" shapeId="0">
      <text>
        <t>fires when: !deployed &amp;&amp; rank-elite &amp;&amp; !ra2_allies_upgrade_elitegi</t>
      </text>
    </comment>
    <comment ref="L370" authorId="0" shapeId="0">
      <text>
        <t>raw warhead damages: 4000, 2
import scales all proportionally</t>
      </text>
    </comment>
    <comment ref="AB370" authorId="0" shapeId="0">
      <text>
        <t>fires when: !deployed &amp;&amp; rank-elite &amp;&amp; ra2_allies_upgrade_elitegi</t>
      </text>
    </comment>
    <comment ref="AB371" authorId="0" shapeId="0">
      <text>
        <t>fires when: botmicro</t>
      </text>
    </comment>
    <comment ref="L372" authorId="0" shapeId="0">
      <text>
        <t>raw warhead damages: 24000, 12
import scales all proportionally</t>
      </text>
    </comment>
    <comment ref="AB372" authorId="0" shapeId="0">
      <text>
        <t>fires when: !rank-elite &amp;&amp; deployed</t>
      </text>
    </comment>
    <comment ref="L373" authorId="0" shapeId="0">
      <text>
        <t>raw warhead damages: 24000, 12
import scales all proportionally</t>
      </text>
    </comment>
    <comment ref="AB373" authorId="0" shapeId="0">
      <text>
        <t>fires when: !rank-elite</t>
      </text>
    </comment>
    <comment ref="L374" authorId="0" shapeId="0">
      <text>
        <t>raw warhead damages: 48000, 24
import scales all proportionally</t>
      </text>
    </comment>
    <comment ref="AB374" authorId="0" shapeId="0">
      <text>
        <t>fires when: rank-elite &amp;&amp; deployed</t>
      </text>
    </comment>
    <comment ref="L375" authorId="0" shapeId="0">
      <text>
        <t>raw warhead damages: 48000, 24
import scales all proportionally</t>
      </text>
    </comment>
    <comment ref="AB375" authorId="0" shapeId="0">
      <text>
        <t>fires when: rank-elite</t>
      </text>
    </comment>
    <comment ref="L377" authorId="0" shapeId="0">
      <text>
        <t>raw warhead damages: 8000, 4
import scales all proportionally</t>
      </text>
    </comment>
    <comment ref="AB377" authorId="0" shapeId="0">
      <text>
        <t>fires when: !rank-elite</t>
      </text>
    </comment>
    <comment ref="L378" authorId="0" shapeId="0">
      <text>
        <t>raw warhead damages: 8000, 4
import scales all proportionally</t>
      </text>
    </comment>
    <comment ref="AB378" authorId="0" shapeId="0">
      <text>
        <t>fires when: !rank-elite</t>
      </text>
    </comment>
    <comment ref="L379" authorId="0" shapeId="0">
      <text>
        <t>raw warhead damages: 8000, 4
import scales all proportionally</t>
      </text>
    </comment>
    <comment ref="AB379" authorId="0" shapeId="0">
      <text>
        <t>fires when: !rank-elite</t>
      </text>
    </comment>
    <comment ref="L380" authorId="0" shapeId="0">
      <text>
        <t>raw warhead damages: 8000, 4
import scales all proportionally</t>
      </text>
    </comment>
    <comment ref="AB380" authorId="0" shapeId="0">
      <text>
        <t>fires when: !rank-elite</t>
      </text>
    </comment>
    <comment ref="L381" authorId="0" shapeId="0">
      <text>
        <t>raw warhead damages: 8000, 4
import scales all proportionally</t>
      </text>
    </comment>
    <comment ref="AB381" authorId="0" shapeId="0">
      <text>
        <t>fires when: rank-elite</t>
      </text>
    </comment>
    <comment ref="L382" authorId="0" shapeId="0">
      <text>
        <t>raw warhead damages: 8000, 4
import scales all proportionally</t>
      </text>
    </comment>
    <comment ref="AB382" authorId="0" shapeId="0">
      <text>
        <t>fires when: rank-elite</t>
      </text>
    </comment>
    <comment ref="L383" authorId="0" shapeId="0">
      <text>
        <t>raw warhead damages: 8000, 4
import scales all proportionally</t>
      </text>
    </comment>
    <comment ref="AB383" authorId="0" shapeId="0">
      <text>
        <t>fires when: rank-elite</t>
      </text>
    </comment>
    <comment ref="L384" authorId="0" shapeId="0">
      <text>
        <t>raw warhead damages: 8000, 4
import scales all proportionally</t>
      </text>
    </comment>
    <comment ref="AB384" authorId="0" shapeId="0">
      <text>
        <t>fires when: rank-elite</t>
      </text>
    </comment>
    <comment ref="L386" authorId="0" shapeId="0">
      <text>
        <t>raw warhead damages: 2000, 1, 2000, 1
import scales all proportionally</t>
      </text>
    </comment>
    <comment ref="L387" authorId="0" shapeId="0">
      <text>
        <t>raw warhead damages: 2000, 1, 2000, 1
import scales all proportionally</t>
      </text>
    </comment>
    <comment ref="L389" authorId="0" shapeId="0">
      <text>
        <t>raw warhead damages: 2000, 1, 2000, 1, 2000, 1000, 1, 2000, 1
import scales all proportionally</t>
      </text>
    </comment>
    <comment ref="AB389" authorId="0" shapeId="0">
      <text>
        <t>fires when: !rank-elite</t>
      </text>
    </comment>
    <comment ref="L390" authorId="0" shapeId="0">
      <text>
        <t>raw warhead damages: 2000, 1, 2000, 1, 2000, 1000, 1, 2000, 1
import scales all proportionally</t>
      </text>
    </comment>
    <comment ref="AB390" authorId="0" shapeId="0">
      <text>
        <t>fires when: !rank-elite</t>
      </text>
    </comment>
    <comment ref="L391" authorId="0" shapeId="0">
      <text>
        <t>raw warhead damages: 2000, 1, 2000, 1, 2000, 1000, 1, 2000, 1
import scales all proportionally</t>
      </text>
    </comment>
    <comment ref="AB391" authorId="0" shapeId="0">
      <text>
        <t>fires when: rank-elite</t>
      </text>
    </comment>
    <comment ref="L392" authorId="0" shapeId="0">
      <text>
        <t>raw warhead damages: 2000, 1, 2000, 1, 2000, 1000, 1, 2000, 1
import scales all proportionally</t>
      </text>
    </comment>
    <comment ref="AB392" authorId="0" shapeId="0">
      <text>
        <t>fires when: rank-elite</t>
      </text>
    </comment>
    <comment ref="L394" authorId="0" shapeId="0">
      <text>
        <t>raw warhead damages: 34000, 17
import scales all proportionally</t>
      </text>
    </comment>
    <comment ref="AB394" authorId="0" shapeId="0">
      <text>
        <t>fires when: !rank-elite &amp;&amp; !asianalliance_doctrine_modernizedinfantryequipment</t>
      </text>
    </comment>
    <comment ref="L395" authorId="0" shapeId="0">
      <text>
        <t>raw warhead damages: 34000, 17
import scales all proportionally</t>
      </text>
    </comment>
    <comment ref="AB395" authorId="0" shapeId="0">
      <text>
        <t>fires when: !rank-elite &amp;&amp; asianalliance_doctrine_modernizedinfantryequipment</t>
      </text>
    </comment>
    <comment ref="L396" authorId="0" shapeId="0">
      <text>
        <t>raw warhead damages: 68000, 34
import scales all proportionally</t>
      </text>
    </comment>
    <comment ref="AB396" authorId="0" shapeId="0">
      <text>
        <t>fires when: rank-elite &amp;&amp; !asianalliance_doctrine_modernizedinfantryequipment</t>
      </text>
    </comment>
    <comment ref="L397" authorId="0" shapeId="0">
      <text>
        <t>raw warhead damages: 68000, 34
import scales all proportionally</t>
      </text>
    </comment>
    <comment ref="AB397" authorId="0" shapeId="0">
      <text>
        <t>fires when: rank-elite &amp;&amp; asianalliance_doctrine_modernizedinfantryequipment</t>
      </text>
    </comment>
    <comment ref="L398" authorId="0" shapeId="0">
      <text>
        <t>raw warhead damages: 34000, 17
import scales all proportionally</t>
      </text>
    </comment>
    <comment ref="AB398" authorId="0" shapeId="0">
      <text>
        <t>fires when: !rank-elite &amp;&amp; !asianalliance_doctrine_modernizedinfantryequipment</t>
      </text>
    </comment>
    <comment ref="L399" authorId="0" shapeId="0">
      <text>
        <t>raw warhead damages: 34000, 17
import scales all proportionally</t>
      </text>
    </comment>
    <comment ref="AB399" authorId="0" shapeId="0">
      <text>
        <t>fires when: !rank-elite &amp;&amp; asianalliance_doctrine_modernizedinfantryequipment</t>
      </text>
    </comment>
    <comment ref="L400" authorId="0" shapeId="0">
      <text>
        <t>raw warhead damages: 68000, 34
import scales all proportionally</t>
      </text>
    </comment>
    <comment ref="AB400" authorId="0" shapeId="0">
      <text>
        <t>fires when: rank-elite &amp;&amp; !asianalliance_doctrine_modernizedinfantryequipment</t>
      </text>
    </comment>
    <comment ref="L401" authorId="0" shapeId="0">
      <text>
        <t>raw warhead damages: 68000, 34
import scales all proportionally</t>
      </text>
    </comment>
    <comment ref="AB401" authorId="0" shapeId="0">
      <text>
        <t>fires when: rank-elite &amp;&amp; asianalliance_doctrine_modernizedinfantryequipment</t>
      </text>
    </comment>
    <comment ref="L403" authorId="0" shapeId="0">
      <text>
        <t>raw warhead damages: 2000, 1, 2000, 1, 2000, 1000, 1, 2000, 1, 888, 2000, 1000, 1, 2000, 1
import scales all proportionally</t>
      </text>
    </comment>
    <comment ref="AB403" authorId="0" shapeId="0">
      <text>
        <t>fires when: !rank-elite</t>
      </text>
    </comment>
    <comment ref="L404" authorId="0" shapeId="0">
      <text>
        <t>raw warhead damages: 2000, 1, 2000, 1, 2000, 1000, 1, 2000, 1, 888, 2000, 1000, 1, 2000, 1
import scales all proportionally</t>
      </text>
    </comment>
    <comment ref="AB404" authorId="0" shapeId="0">
      <text>
        <t>fires when: rank-elite</t>
      </text>
    </comment>
    <comment ref="L405" authorId="0" shapeId="0">
      <text>
        <t>raw warhead damages: 2000, 1, 2000, 1, 2000, 1000, 1, 2000, 1, 888, 2000, 1000, 1, 2000, 1
import scales all proportionally</t>
      </text>
    </comment>
    <comment ref="AB405" authorId="0" shapeId="0">
      <text>
        <t>fires when: !rank-elite</t>
      </text>
    </comment>
    <comment ref="L406" authorId="0" shapeId="0">
      <text>
        <t>raw warhead damages: 2000, 1, 2000, 1, 2000, 1000, 1, 2000, 1, 888, 2000, 1000, 1, 2000, 1
import scales all proportionally</t>
      </text>
    </comment>
    <comment ref="AB406" authorId="0" shapeId="0">
      <text>
        <t>fires when: rank-elite</t>
      </text>
    </comment>
    <comment ref="L408" authorId="0" shapeId="0">
      <text>
        <t>raw warhead damages: 2000, 1, 2000, 1, 2000, 1
import scales all proportionally</t>
      </text>
    </comment>
    <comment ref="AB408" authorId="0" shapeId="0">
      <text>
        <t>fires when: !rank-elite</t>
      </text>
    </comment>
    <comment ref="L409" authorId="0" shapeId="0">
      <text>
        <t>raw warhead damages: 2000, 1, 2000, 1, 2000, 1
import scales all proportionally</t>
      </text>
    </comment>
    <comment ref="AB409" authorId="0" shapeId="0">
      <text>
        <t>fires when: rank-elite</t>
      </text>
    </comment>
    <comment ref="L410" authorId="0" shapeId="0">
      <text>
        <t>raw warhead damages: 2000, 1, 2000, 1, 2000, 1
import scales all proportionally</t>
      </text>
    </comment>
    <comment ref="AB410" authorId="0" shapeId="0">
      <text>
        <t>fires when: !rank-elite</t>
      </text>
    </comment>
    <comment ref="L411" authorId="0" shapeId="0">
      <text>
        <t>raw warhead damages: 2000, 1, 2000, 1, 2000, 1
import scales all proportionally</t>
      </text>
    </comment>
    <comment ref="AB411" authorId="0" shapeId="0">
      <text>
        <t>fires when: rank-elite</t>
      </text>
    </comment>
    <comment ref="L412" authorId="0" shapeId="0">
      <text>
        <t>raw warhead damages: 2000, 1, 2000, 1, 2000, 1
import scales all proportionally</t>
      </text>
    </comment>
    <comment ref="AB412" authorId="0" shapeId="0">
      <text>
        <t>fires when: !rank-elite &amp;&amp; steelconsortium_upgrade_resonanceammo</t>
      </text>
    </comment>
    <comment ref="L413" authorId="0" shapeId="0">
      <text>
        <t>raw warhead damages: 2000, 1, 2000, 1, 2000, 1
import scales all proportionally</t>
      </text>
    </comment>
    <comment ref="AB413" authorId="0" shapeId="0">
      <text>
        <t>fires when: rank-elite &amp;&amp; steelconsortium_upgrade_resonanceammo</t>
      </text>
    </comment>
    <comment ref="L414" authorId="0" shapeId="0">
      <text>
        <t>raw warhead damages: 2000, 1, 2000, 1, 2000, 1
import scales all proportionally</t>
      </text>
    </comment>
    <comment ref="AB414" authorId="0" shapeId="0">
      <text>
        <t>fires when: !rank-elite &amp;&amp; steelconsortium_upgrade_resonanceammo</t>
      </text>
    </comment>
    <comment ref="L415" authorId="0" shapeId="0">
      <text>
        <t>raw warhead damages: 2000, 1, 2000, 1, 2000, 1
import scales all proportionally</t>
      </text>
    </comment>
    <comment ref="AB415" authorId="0" shapeId="0">
      <text>
        <t>fires when: rank-elite &amp;&amp; steelconsortium_upgrade_resonanceammo</t>
      </text>
    </comment>
    <comment ref="L417" authorId="0" shapeId="0">
      <text>
        <t>raw warhead damages: 26000, 13
import scales all proportionally</t>
      </text>
    </comment>
    <comment ref="AB417" authorId="0" shapeId="0">
      <text>
        <t>fires when: !rank-elite</t>
      </text>
    </comment>
    <comment ref="L418" authorId="0" shapeId="0">
      <text>
        <t>raw warhead damages: 26000, 13
import scales all proportionally</t>
      </text>
    </comment>
    <comment ref="AB418" authorId="0" shapeId="0">
      <text>
        <t>fires when: !rank-elite</t>
      </text>
    </comment>
    <comment ref="L419" authorId="0" shapeId="0">
      <text>
        <t>raw warhead damages: 52000, 26
import scales all proportionally</t>
      </text>
    </comment>
    <comment ref="AB419" authorId="0" shapeId="0">
      <text>
        <t>fires when: rank-elite</t>
      </text>
    </comment>
    <comment ref="L420" authorId="0" shapeId="0">
      <text>
        <t>raw warhead damages: 52000, 26
import scales all proportionally</t>
      </text>
    </comment>
    <comment ref="AB420" authorId="0" shapeId="0">
      <text>
        <t>fires when: rank-elite</t>
      </text>
    </comment>
    <comment ref="AB422" authorId="0" shapeId="0">
      <text>
        <t>fires when: !deployed</t>
      </text>
    </comment>
    <comment ref="L423" authorId="0" shapeId="0">
      <text>
        <t>raw warhead damages: 2000, 1000, 1, 2000, 1, 2000, 1, 2000, 1
import scales all proportionally</t>
      </text>
    </comment>
    <comment ref="AB423" authorId="0" shapeId="0">
      <text>
        <t>fires when: (deployed || undeployed) &amp;&amp; !rank-elite</t>
      </text>
    </comment>
    <comment ref="L424" authorId="0" shapeId="0">
      <text>
        <t>raw warhead damages: 2000, 1000, 1, 2000, 1, 2000, 1, 2000, 1
import scales all proportionally</t>
      </text>
    </comment>
    <comment ref="AB424" authorId="0" shapeId="0">
      <text>
        <t>fires when: (deployed || undeployed) &amp;&amp; rank-elite</t>
      </text>
    </comment>
    <comment ref="L425" authorId="0" shapeId="0">
      <text>
        <t>raw warhead damages: 2000, 1000, 1, 2000, 1, 2000, 1, 2000, 1
import scales all proportionally</t>
      </text>
    </comment>
    <comment ref="AB425" authorId="0" shapeId="0">
      <text>
        <t>fires when: !rank-elite</t>
      </text>
    </comment>
    <comment ref="L426" authorId="0" shapeId="0">
      <text>
        <t>raw warhead damages: 2000, 1000, 1, 2000, 1, 2000, 1, 2000, 1
import scales all proportionally</t>
      </text>
    </comment>
    <comment ref="AB426" authorId="0" shapeId="0">
      <text>
        <t>fires when: rank-elite</t>
      </text>
    </comment>
    <comment ref="L428" authorId="0" shapeId="0">
      <text>
        <t>raw warhead damages: 4000, 2000, 2, 4000, 2, 4000, 2
import scales all proportionally</t>
      </text>
    </comment>
    <comment ref="AB428" authorId="0" shapeId="0">
      <text>
        <t>fires when: !rank-elite</t>
      </text>
    </comment>
    <comment ref="L429" authorId="0" shapeId="0">
      <text>
        <t>raw warhead damages: 4000, 2000, 2, 4000, 2, 4000, 2
import scales all proportionally</t>
      </text>
    </comment>
    <comment ref="AB429" authorId="0" shapeId="0">
      <text>
        <t>fires when: rank-elite</t>
      </text>
    </comment>
    <comment ref="L430" authorId="0" shapeId="0">
      <text>
        <t>raw warhead damages: 4000, 2000, 2, 4000, 2, 4000, 2
import scales all proportionally</t>
      </text>
    </comment>
    <comment ref="AB430" authorId="0" shapeId="0">
      <text>
        <t>fires when: !rank-elite</t>
      </text>
    </comment>
    <comment ref="L431" authorId="0" shapeId="0">
      <text>
        <t>raw warhead damages: 4000, 2000, 2, 4000, 2, 4000, 2
import scales all proportionally</t>
      </text>
    </comment>
    <comment ref="AB431" authorId="0" shapeId="0">
      <text>
        <t>fires when: rank-elite</t>
      </text>
    </comment>
    <comment ref="L433" authorId="0" shapeId="0">
      <text>
        <t>raw warhead damages: 2000, 1, 2000, 1, 2000, 1, 2000, 1000, 1, 2000, 1
import scales all proportionally</t>
      </text>
    </comment>
    <comment ref="AB433" authorId="0" shapeId="0">
      <text>
        <t>fires when: !deployed &amp;&amp; !rank-elite</t>
      </text>
    </comment>
    <comment ref="L434" authorId="0" shapeId="0">
      <text>
        <t>raw warhead damages: 2000, 1, 2000, 1, 2000, 1, 2000, 1000, 1, 2000, 1
import scales all proportionally</t>
      </text>
    </comment>
    <comment ref="AB434" authorId="0" shapeId="0">
      <text>
        <t>fires when: deployed &amp;&amp; !rank-elite</t>
      </text>
    </comment>
    <comment ref="L435" authorId="0" shapeId="0">
      <text>
        <t>raw warhead damages: 2000, 1, 2000, 1, 2000, 1, 2000, 1000, 1, 2000, 1
import scales all proportionally</t>
      </text>
    </comment>
    <comment ref="AB435" authorId="0" shapeId="0">
      <text>
        <t>fires when: !rank-elite</t>
      </text>
    </comment>
    <comment ref="L436" authorId="0" shapeId="0">
      <text>
        <t>raw warhead damages: 2000, 1, 2000, 1, 2000, 1, 2000, 1000, 1, 2000, 1
import scales all proportionally</t>
      </text>
    </comment>
    <comment ref="AB436" authorId="0" shapeId="0">
      <text>
        <t>fires when: !deployed &amp;&amp; rank-elite</t>
      </text>
    </comment>
    <comment ref="L437" authorId="0" shapeId="0">
      <text>
        <t>raw warhead damages: 2000, 1, 2000, 1, 2000, 1, 2000, 1000, 1, 2000, 1
import scales all proportionally</t>
      </text>
    </comment>
    <comment ref="AB437" authorId="0" shapeId="0">
      <text>
        <t>fires when: deployed &amp;&amp; rank-elite</t>
      </text>
    </comment>
    <comment ref="L438" authorId="0" shapeId="0">
      <text>
        <t>raw warhead damages: 2000, 1, 2000, 1, 2000, 1, 2000, 1000, 1, 2000, 1
import scales all proportionally</t>
      </text>
    </comment>
    <comment ref="AB438" authorId="0" shapeId="0">
      <text>
        <t>fires when: rank-elite</t>
      </text>
    </comment>
    <comment ref="AB439" authorId="0" shapeId="0">
      <text>
        <t>fires when: botmicro</t>
      </text>
    </comment>
    <comment ref="L441" authorId="0" shapeId="0">
      <text>
        <t>raw warhead damages: 18000, 9
import scales all proportionally</t>
      </text>
    </comment>
    <comment ref="AB441" authorId="0" shapeId="0">
      <text>
        <t>fires when: !tkm_upgrade_cryorocketsupgrade &amp;&amp; !tkm_upgrade_twinrocketsupgrade &amp;&amp; !tkm_upgrade_incendiaryrocketsupgrade</t>
      </text>
    </comment>
    <comment ref="L442" authorId="0" shapeId="0">
      <text>
        <t>raw warhead damages: 18000, 9
import scales all proportionally</t>
      </text>
    </comment>
    <comment ref="AB442" authorId="0" shapeId="0">
      <text>
        <t>fires when: tkm_upgrade_cryorocketsupgrade</t>
      </text>
    </comment>
    <comment ref="L443" authorId="0" shapeId="0">
      <text>
        <t>raw warhead damages: 18000, 9
import scales all proportionally</t>
      </text>
    </comment>
    <comment ref="AB443" authorId="0" shapeId="0">
      <text>
        <t>fires when: tkm_upgrade_twinrocketsupgrade</t>
      </text>
    </comment>
    <comment ref="L444" authorId="0" shapeId="0">
      <text>
        <t>raw warhead damages: 4000, 500, 2, 18000, 9
import scales all proportionally</t>
      </text>
    </comment>
    <comment ref="AB444" authorId="0" shapeId="0">
      <text>
        <t>fires when: tkm_upgrade_incendiaryrocketsupgrade</t>
      </text>
    </comment>
    <comment ref="L445" authorId="0" shapeId="0">
      <text>
        <t>raw warhead damages: 18000, 9
import scales all proportionally</t>
      </text>
    </comment>
    <comment ref="AB445" authorId="0" shapeId="0">
      <text>
        <t>fires when: !tkm_upgrade_cryorocketsupgrade &amp;&amp; !tkm_upgrade_twinrocketsupgrade &amp;&amp; !tkm_upgrade_incendiaryrocketsupgrade</t>
      </text>
    </comment>
    <comment ref="L446" authorId="0" shapeId="0">
      <text>
        <t>raw warhead damages: 18000, 9
import scales all proportionally</t>
      </text>
    </comment>
    <comment ref="AB446" authorId="0" shapeId="0">
      <text>
        <t>fires when: tkm_upgrade_cryorocketsupgrade</t>
      </text>
    </comment>
    <comment ref="L447" authorId="0" shapeId="0">
      <text>
        <t>raw warhead damages: 18000, 9
import scales all proportionally</t>
      </text>
    </comment>
    <comment ref="AB447" authorId="0" shapeId="0">
      <text>
        <t>fires when: tkm_upgrade_twinrocketsupgrade</t>
      </text>
    </comment>
    <comment ref="L448" authorId="0" shapeId="0">
      <text>
        <t>raw warhead damages: 4000, 500, 2, 18000, 9
import scales all proportionally</t>
      </text>
    </comment>
    <comment ref="AB448" authorId="0" shapeId="0">
      <text>
        <t>fires when: tkm_upgrade_incendiaryrocketsupgrade</t>
      </text>
    </comment>
    <comment ref="L450" authorId="0" shapeId="0">
      <text>
        <t>raw warhead damages: 8000, 4, 8000, 4, 8000, 4
import scales all proportionally</t>
      </text>
    </comment>
    <comment ref="L451" authorId="0" shapeId="0">
      <text>
        <t>raw warhead damages: 8000, 4, 8000, 4, 8000, 4
import scales all proportionally</t>
      </text>
    </comment>
    <comment ref="L453" authorId="0" shapeId="0">
      <text>
        <t>raw warhead damages: 10000, 5, 10000, 5, 10000, 5
import scales all proportionally</t>
      </text>
    </comment>
    <comment ref="L454" authorId="0" shapeId="0">
      <text>
        <t>raw warhead damages: 10000, 5000, 5, 10000, 5, 1000, 10000, 5
import scales all proportionally</t>
      </text>
    </comment>
    <comment ref="L455" authorId="0" shapeId="0">
      <text>
        <t>raw warhead damages: 10000, 5, 10000, 5, 10000, 5
import scales all proportionally</t>
      </text>
    </comment>
    <comment ref="L456" authorId="0" shapeId="0">
      <text>
        <t>raw warhead damages: 10000, 5000, 5, 10000, 5, 1000, 10000, 5
import scales all proportionally</t>
      </text>
    </comment>
    <comment ref="L458" authorId="0" shapeId="0">
      <text>
        <t>raw warhead damages: 8000, 4, 8000, 4, 8000, 4
import scales all proportionally</t>
      </text>
    </comment>
    <comment ref="L459" authorId="0" shapeId="0">
      <text>
        <t>raw warhead damages: 8000, 4, 8000, 4, 8000, 4
import scales all proportionally</t>
      </text>
    </comment>
    <comment ref="L461" authorId="0" shapeId="0">
      <text>
        <t>raw warhead damages: 8000, 4, 8000, 4, 8000, 4
import scales all proportionally</t>
      </text>
    </comment>
    <comment ref="L462" authorId="0" shapeId="0">
      <text>
        <t>raw warhead damages: 8000, 4, 8000, 4, 8000, 4
import scales all proportionally</t>
      </text>
    </comment>
    <comment ref="L464" authorId="0" shapeId="0">
      <text>
        <t>raw warhead damages: 8000, 4, 8000, 4, 8000, 4
import scales all proportionally</t>
      </text>
    </comment>
    <comment ref="L465" authorId="0" shapeId="0">
      <text>
        <t>raw warhead damages: 8000, 4000, 4, 8000, 4, 1000, 8000, 4
import scales all proportionally</t>
      </text>
    </comment>
    <comment ref="L466" authorId="0" shapeId="0">
      <text>
        <t>raw warhead damages: 8000, 4, 8000, 4, 8000, 4
import scales all proportionally</t>
      </text>
    </comment>
    <comment ref="L467" authorId="0" shapeId="0">
      <text>
        <t>raw warhead damages: 8000, 4000, 4, 8000, 4, 1000, 8000, 4
import scales all proportionally</t>
      </text>
    </comment>
    <comment ref="L470" authorId="0" shapeId="0">
      <text>
        <t>raw warhead damages: 8000, 4000, 4
import scales all proportionally</t>
      </text>
    </comment>
    <comment ref="L471" authorId="0" shapeId="0">
      <text>
        <t>raw warhead damages: 8000, 4000, 4
import scales all proportionally</t>
      </text>
    </comment>
    <comment ref="L472" authorId="0" shapeId="0">
      <text>
        <t>raw warhead damages: 8000, 4000, 4
import scales all proportionally</t>
      </text>
    </comment>
    <comment ref="L473" authorId="0" shapeId="0">
      <text>
        <t>raw warhead damages: 8000, 4000, 4
import scales all proportionally</t>
      </text>
    </comment>
    <comment ref="L474" authorId="0" shapeId="0">
      <text>
        <t>raw warhead damages: 8000, 4000, 4
import scales all proportionally</t>
      </text>
    </comment>
    <comment ref="L475" authorId="0" shapeId="0">
      <text>
        <t>raw warhead damages: 8000, 4000, 4
import scales all proportionally</t>
      </text>
    </comment>
    <comment ref="L476" authorId="0" shapeId="0">
      <text>
        <t>raw warhead damages: 8000, 4000, 4
import scales all proportionally</t>
      </text>
    </comment>
    <comment ref="L477" authorId="0" shapeId="0">
      <text>
        <t>raw warhead damages: 8000, 4000, 4
import scales all proportionally</t>
      </text>
    </comment>
    <comment ref="L479" authorId="0" shapeId="0">
      <text>
        <t>raw warhead damages: 2000, 1000, 1, 2000, 1, 2000, 1, 2000, 1
import scales all proportionally</t>
      </text>
    </comment>
    <comment ref="L480" authorId="0" shapeId="0">
      <text>
        <t>raw warhead damages: 2000, 1000, 1, 2000, 1, 2000, 1, 2000, 1
import scales all proportionally</t>
      </text>
    </comment>
    <comment ref="L482" authorId="0" shapeId="0">
      <text>
        <t>raw warhead damages: 2000, 1, 2000, 1, 2000, 1
import scales all proportionally</t>
      </text>
    </comment>
    <comment ref="L483" authorId="0" shapeId="0">
      <text>
        <t>raw warhead damages: 2000, 1, 2000, 1, 2000, 1
import scales all proportionally</t>
      </text>
    </comment>
    <comment ref="L485" authorId="0" shapeId="0">
      <text>
        <t>raw warhead damages: 2000, 1, 2000, 1, 2000, 1
import scales all proportionally</t>
      </text>
    </comment>
    <comment ref="L486" authorId="0" shapeId="0">
      <text>
        <t>raw warhead damages: 2000, 1, 2000, 1, 2000, 1
import scales all proportionally</t>
      </text>
    </comment>
    <comment ref="L488" authorId="0" shapeId="0">
      <text>
        <t>raw warhead damages: 4000, 2, 4000, 2, 4000, 2, 4000, 2000, 2, 4000, 2, 4000, 2
import scales all proportionally</t>
      </text>
    </comment>
    <comment ref="L489" authorId="0" shapeId="0">
      <text>
        <t>raw warhead damages: 4000, 2, 4000, 2, 4000, 2, 4000, 2000, 2, 4000, 2, 4000, 2
import scales all proportionally</t>
      </text>
    </comment>
    <comment ref="L491" authorId="0" shapeId="0">
      <text>
        <t>raw warhead damages: 4000, 2, 4000, 2, 4000, 2, 4000, 2000, 2, 4000, 2, 4000, 2
import scales all proportionally</t>
      </text>
    </comment>
    <comment ref="L492" authorId="0" shapeId="0">
      <text>
        <t>raw warhead damages: 4000, 2, 4000, 2, 4000, 2, 4000, 2000, 2, 4000, 2, 4000, 2
import scales all proportionally</t>
      </text>
    </comment>
    <comment ref="L494" authorId="0" shapeId="0">
      <text>
        <t>raw warhead damages: 4000, 2, 4000, 2, 4000, 2, 4000, 2000, 2, 4000, 2, 4000, 2
import scales all proportionally</t>
      </text>
    </comment>
    <comment ref="L495" authorId="0" shapeId="0">
      <text>
        <t>raw warhead damages: 4000, 2, 4000, 2, 4000, 2, 4000, 2000, 2, 4000, 2, 4000, 2
import scales all proportionally</t>
      </text>
    </comment>
    <comment ref="L497" authorId="0" shapeId="0">
      <text>
        <t>raw warhead damages: 4000, 2, 600, 4000, 2, 4000, 2, 4000, 2, 4000, 2, 4000, 2, 4000, 2000, 2, 4000, 2, 4000, 2
import scales all proportionally</t>
      </text>
    </comment>
    <comment ref="L498" authorId="0" shapeId="0">
      <text>
        <t>raw warhead damages: 4000, 2, 600, 4000, 2, 4000, 2, 4000, 2, 4000, 2, 4000, 2, 4000, 2000, 2, 4000, 2, 4000, 2
import scales all proportionally</t>
      </text>
    </comment>
    <comment ref="L500" authorId="0" shapeId="0">
      <text>
        <t>raw warhead damages: 4000, 2, 4000, 2, 4000, 2, 4000, 2000, 2, 4000, 2, 4000, 2
import scales all proportionally</t>
      </text>
    </comment>
    <comment ref="L501" authorId="0" shapeId="0">
      <text>
        <t>raw warhead damages: 4000, 2, 4000, 2, 4000, 2, 4000, 2000, 2, 4000, 2, 4000, 2
import scales all proportionally</t>
      </text>
    </comment>
    <comment ref="L503" authorId="0" shapeId="0">
      <text>
        <t>raw warhead damages: 4000, 2, 4000, 2, 4000, 2, 4000, 2000, 2, 4000, 2, 4000, 2
import scales all proportionally</t>
      </text>
    </comment>
    <comment ref="L504" authorId="0" shapeId="0">
      <text>
        <t>raw warhead damages: 4000, 2, 4000, 2, 4000, 2, 4000, 2000, 2, 4000, 2, 4000, 2
import scales all proportionally</t>
      </text>
    </comment>
    <comment ref="L506" authorId="0" shapeId="0">
      <text>
        <t>raw warhead damages: 4000, 2, 600, 4000, 2, 4000, 2, 4000, 2, 4000, 2, 4000, 2, 4000, 2000, 2, 4000, 2, 4000, 2
import scales all proportionally</t>
      </text>
    </comment>
    <comment ref="L507" authorId="0" shapeId="0">
      <text>
        <t>raw warhead damages: 4000, 2, 600, 4000, 2, 4000, 2, 4000, 2, 4000, 2, 4000, 2, 4000, 2000, 2, 4000, 2, 4000, 2
import scales all proportionally</t>
      </text>
    </comment>
    <comment ref="L510" authorId="0" shapeId="0">
      <text>
        <t>raw warhead damages: 8000, 4, 8000, 4, 8000, 4, 600
import scales all proportionally</t>
      </text>
    </comment>
    <comment ref="L511" authorId="0" shapeId="0">
      <text>
        <t>raw warhead damages: 8000, 4, 8000, 4, 8000, 4, 600
import scales all proportionally</t>
      </text>
    </comment>
    <comment ref="L513" authorId="0" shapeId="0">
      <text>
        <t>raw warhead damages: 2000, 1, 1000, 2000, 1, 2000, 1
import scales all proportionally</t>
      </text>
    </comment>
    <comment ref="AB513" authorId="0" shapeId="0">
      <text>
        <t>fires when: !japan_upgrade_waveforcebullets</t>
      </text>
    </comment>
    <comment ref="L514" authorId="0" shapeId="0">
      <text>
        <t>raw warhead damages: 2000, 1, 1000, 2000, 1, 2000, 1
import scales all proportionally</t>
      </text>
    </comment>
    <comment ref="AB514" authorId="0" shapeId="0">
      <text>
        <t>fires when: !japan_upgrade_waveforcebullets</t>
      </text>
    </comment>
    <comment ref="L515" authorId="0" shapeId="0">
      <text>
        <t>raw warhead damages: 2000, 1, 1000, 2000, 1, 2000, 1
import scales all proportionally</t>
      </text>
    </comment>
    <comment ref="AB515" authorId="0" shapeId="0">
      <text>
        <t>fires when: japan_upgrade_waveforcebullets</t>
      </text>
    </comment>
    <comment ref="L516" authorId="0" shapeId="0">
      <text>
        <t>raw warhead damages: 2000, 1, 1000, 2000, 1, 2000, 1
import scales all proportionally</t>
      </text>
    </comment>
    <comment ref="AB516" authorId="0" shapeId="0">
      <text>
        <t>fires when: japan_upgrade_waveforcebullets</t>
      </text>
    </comment>
    <comment ref="L518" authorId="0" shapeId="0">
      <text>
        <t>raw warhead damages: 4000, 2, 4000, 2, 4000, 2, 600
import scales all proportionally</t>
      </text>
    </comment>
    <comment ref="AB518" authorId="0" shapeId="0">
      <text>
        <t>fires when: !rank-elite &amp;&amp; !schwarzermond_upgrade_crystallens &amp;&amp; !schwarzermond_upgrade_amplifiedlens</t>
      </text>
    </comment>
    <comment ref="L519" authorId="0" shapeId="0">
      <text>
        <t>raw warhead damages: 4000, 2, 4000, 2, 4000, 2, 600
import scales all proportionally</t>
      </text>
    </comment>
    <comment ref="AB519" authorId="0" shapeId="0">
      <text>
        <t>fires when: rank-elite &amp;&amp; !schwarzermond_upgrade_crystallens &amp;&amp; !schwarzermond_upgrade_amplifiedlens</t>
      </text>
    </comment>
    <comment ref="L520" authorId="0" shapeId="0">
      <text>
        <t>raw warhead damages: 4000, 2, 4000, 2, 4000, 2, 600
import scales all proportionally</t>
      </text>
    </comment>
    <comment ref="AB520" authorId="0" shapeId="0">
      <text>
        <t>fires when: !rank-elite &amp;&amp; schwarzermond_upgrade_crystallens &amp;&amp; !schwarzermond_upgrade_amplifiedlens</t>
      </text>
    </comment>
    <comment ref="L521" authorId="0" shapeId="0">
      <text>
        <t>raw warhead damages: 4000, 2, 4000, 2, 4000, 2, 600
import scales all proportionally</t>
      </text>
    </comment>
    <comment ref="AB521" authorId="0" shapeId="0">
      <text>
        <t>fires when: rank-elite &amp;&amp; schwarzermond_upgrade_crystallens &amp;&amp; !schwarzermond_upgrade_amplifiedlens</t>
      </text>
    </comment>
    <comment ref="L522" authorId="0" shapeId="0">
      <text>
        <t>raw warhead damages: 4000, 2, 4000, 2, 4000, 2, 600
import scales all proportionally</t>
      </text>
    </comment>
    <comment ref="AB522" authorId="0" shapeId="0">
      <text>
        <t>fires when: !rank-elite &amp;&amp; schwarzermond_upgrade_amplifiedlens</t>
      </text>
    </comment>
    <comment ref="L523" authorId="0" shapeId="0">
      <text>
        <t>raw warhead damages: 4000, 2, 4000, 2, 4000, 2, 600
import scales all proportionally</t>
      </text>
    </comment>
    <comment ref="AB523" authorId="0" shapeId="0">
      <text>
        <t>fires when: rank-elite &amp;&amp; schwarzermond_upgrade_amplifiedlens</t>
      </text>
    </comment>
    <comment ref="L524" authorId="0" shapeId="0">
      <text>
        <t>raw warhead damages: 4000, 2, 4000, 2, 4000, 2, 600
import scales all proportionally</t>
      </text>
    </comment>
    <comment ref="AB524" authorId="0" shapeId="0">
      <text>
        <t>fires when: !rank-elite &amp;&amp; !schwarzermond_upgrade_crystallens &amp;&amp; !schwarzermond_upgrade_amplifiedlens</t>
      </text>
    </comment>
    <comment ref="L525" authorId="0" shapeId="0">
      <text>
        <t>raw warhead damages: 4000, 2, 4000, 2, 4000, 2, 600
import scales all proportionally</t>
      </text>
    </comment>
    <comment ref="AB525" authorId="0" shapeId="0">
      <text>
        <t>fires when: rank-elite &amp;&amp; !schwarzermond_upgrade_crystallens &amp;&amp; !schwarzermond_upgrade_amplifiedlens</t>
      </text>
    </comment>
    <comment ref="L526" authorId="0" shapeId="0">
      <text>
        <t>raw warhead damages: 4000, 2, 4000, 2, 4000, 2, 600
import scales all proportionally</t>
      </text>
    </comment>
    <comment ref="AB526" authorId="0" shapeId="0">
      <text>
        <t>fires when: !rank-elite &amp;&amp; schwarzermond_upgrade_crystallens &amp;&amp; !schwarzermond_upgrade_amplifiedlens</t>
      </text>
    </comment>
    <comment ref="L527" authorId="0" shapeId="0">
      <text>
        <t>raw warhead damages: 4000, 2, 4000, 2, 4000, 2, 600
import scales all proportionally</t>
      </text>
    </comment>
    <comment ref="AB527" authorId="0" shapeId="0">
      <text>
        <t>fires when: rank-elite &amp;&amp; schwarzermond_upgrade_crystallens &amp;&amp; !schwarzermond_upgrade_amplifiedlens</t>
      </text>
    </comment>
    <comment ref="L528" authorId="0" shapeId="0">
      <text>
        <t>raw warhead damages: 4000, 2, 4000, 2, 4000, 2, 600
import scales all proportionally</t>
      </text>
    </comment>
    <comment ref="AB528" authorId="0" shapeId="0">
      <text>
        <t>fires when: !rank-elite &amp;&amp; schwarzermond_upgrade_amplifiedlens</t>
      </text>
    </comment>
    <comment ref="L529" authorId="0" shapeId="0">
      <text>
        <t>raw warhead damages: 4000, 2, 4000, 2, 4000, 2, 600
import scales all proportionally</t>
      </text>
    </comment>
    <comment ref="AB529" authorId="0" shapeId="0">
      <text>
        <t>fires when: rank-elite &amp;&amp; schwarzermond_upgrade_amplifiedlens</t>
      </text>
    </comment>
    <comment ref="L531" authorId="0" shapeId="0">
      <text>
        <t>raw warhead damages: 2000, 1
import scales all proportionally</t>
      </text>
    </comment>
    <comment ref="L532" authorId="0" shapeId="0">
      <text>
        <t>raw warhead damages: 2000, 1
import scales all proportionally</t>
      </text>
    </comment>
    <comment ref="L533" authorId="0" shapeId="0">
      <text>
        <t>raw warhead damages: 6000, 3000, 3, 6000, 3000, 3
import scales all proportionally</t>
      </text>
    </comment>
    <comment ref="AB533" authorId="0" shapeId="0">
      <text>
        <t>fires when: tkm_upgrade_gp25upgrade</t>
      </text>
    </comment>
    <comment ref="L534" authorId="0" shapeId="0">
      <text>
        <t>raw warhead damages: 6000, 3000, 3, 6000, 3000, 3
import scales all proportionally</t>
      </text>
    </comment>
    <comment ref="AB534" authorId="0" shapeId="0">
      <text>
        <t>fires when: tkm_upgrade_gp25upgrade</t>
      </text>
    </comment>
    <comment ref="L537" authorId="0" shapeId="0">
      <text>
        <t>raw warhead damages: 2000, 1, 2000, 1
import scales all proportionally</t>
      </text>
    </comment>
    <comment ref="AB537" authorId="0" shapeId="0">
      <text>
        <t>fires when: !td_gdi_upgrade_armorpiercingbullets</t>
      </text>
    </comment>
    <comment ref="L538" authorId="0" shapeId="0">
      <text>
        <t>raw warhead damages: 2000, 1, 2000, 1
import scales all proportionally</t>
      </text>
    </comment>
    <comment ref="AB538" authorId="0" shapeId="0">
      <text>
        <t>fires when: !td_gdi_upgrade_armorpiercingbullets</t>
      </text>
    </comment>
    <comment ref="L539" authorId="0" shapeId="0">
      <text>
        <t>raw warhead damages: 4000, 2
import scales all proportionally</t>
      </text>
    </comment>
    <comment ref="AB539" authorId="0" shapeId="0">
      <text>
        <t>fires when: td_gdi_upgrade_armorpiercingbullets</t>
      </text>
    </comment>
    <comment ref="L540" authorId="0" shapeId="0">
      <text>
        <t>raw warhead damages: 4000, 2
import scales all proportionally</t>
      </text>
    </comment>
    <comment ref="AB540" authorId="0" shapeId="0">
      <text>
        <t>fires when: td_gdi_upgrade_armorpiercingbullets</t>
      </text>
    </comment>
    <comment ref="L542" authorId="0" shapeId="0">
      <text>
        <t>raw warhead damages: 10000, 5, 10000, 5000, 5, 10000, 5000, 5, 10000, 5, 1000, 10000, 5
import scales all proportionally</t>
      </text>
    </comment>
    <comment ref="L543" authorId="0" shapeId="0">
      <text>
        <t>raw warhead damages: 10000, 5, 10000, 5000, 5, 10000, 5000, 5, 10000, 5, 1000, 10000, 5
import scales all proportionally</t>
      </text>
    </comment>
    <comment ref="L545" authorId="0" shapeId="0">
      <text>
        <t>raw warhead damages: 4000, 2000, 2
import scales all proportionally</t>
      </text>
    </comment>
    <comment ref="L546" authorId="0" shapeId="0">
      <text>
        <t>raw warhead damages: 4000, 2000, 2
import scales all proportionally</t>
      </text>
    </comment>
    <comment ref="L548" authorId="0" shapeId="0">
      <text>
        <t>raw warhead damages: 2000, 1000, 1, 2000, 1, 2000, 1, 2000, 1000, 1, 2000, 1
import scales all proportionally</t>
      </text>
    </comment>
    <comment ref="L549" authorId="0" shapeId="0">
      <text>
        <t>raw warhead damages: 2000, 1000, 1, 2000, 1, 2000, 1, 2000, 1000, 1, 2000, 1
import scales all proportionally</t>
      </text>
    </comment>
    <comment ref="L551" authorId="0" shapeId="0">
      <text>
        <t>raw warhead damages: 2000, 1000, 1
import scales all proportionally</t>
      </text>
    </comment>
    <comment ref="AB551" authorId="0" shapeId="0">
      <text>
        <t>fires when: !japan_upgrade_advancedplasmaweapons</t>
      </text>
    </comment>
    <comment ref="L552" authorId="0" shapeId="0">
      <text>
        <t>raw warhead damages: 2000, 1000, 1
import scales all proportionally</t>
      </text>
    </comment>
    <comment ref="AB552" authorId="0" shapeId="0">
      <text>
        <t>fires when: !japan_upgrade_advancedplasmaweapons</t>
      </text>
    </comment>
    <comment ref="L553" authorId="0" shapeId="0">
      <text>
        <t>raw warhead damages: 2000, 1000, 1, 2000, 1000, 1
import scales all proportionally</t>
      </text>
    </comment>
    <comment ref="AB553" authorId="0" shapeId="0">
      <text>
        <t>fires when: japan_upgrade_advancedplasmaweapons</t>
      </text>
    </comment>
    <comment ref="L554" authorId="0" shapeId="0">
      <text>
        <t>raw warhead damages: 2000, 1000, 1, 2000, 1000, 1
import scales all proportionally</t>
      </text>
    </comment>
    <comment ref="AB554" authorId="0" shapeId="0">
      <text>
        <t>fires when: japan_upgrade_advancedplasmaweapons</t>
      </text>
    </comment>
    <comment ref="L556" authorId="0" shapeId="0">
      <text>
        <t>raw warhead damages: 8000, 4, 8000, 4, 8000, 4, 1000
import scales all proportionally</t>
      </text>
    </comment>
    <comment ref="L557" authorId="0" shapeId="0">
      <text>
        <t>raw warhead damages: 8000, 4, 8000, 4, 8000, 4, 1000
import scales all proportionally</t>
      </text>
    </comment>
    <comment ref="L558" authorId="0" shapeId="0">
      <text>
        <t>raw warhead damages: 8000, 4000, 4, 8000, 4000, 4, 8000, 4
import scales all proportionally</t>
      </text>
    </comment>
    <comment ref="AB558" authorId="0" shapeId="0">
      <text>
        <t>fires when: japan_upgrade_advancedplasmaweapons</t>
      </text>
    </comment>
    <comment ref="L559" authorId="0" shapeId="0">
      <text>
        <t>raw warhead damages: 8000, 4000, 4, 8000, 4000, 4, 8000, 4
import scales all proportionally</t>
      </text>
    </comment>
    <comment ref="AB559" authorId="0" shapeId="0">
      <text>
        <t>fires when: japan_upgrade_advancedplasmaweapons</t>
      </text>
    </comment>
    <comment ref="L561" authorId="0" shapeId="0">
      <text>
        <t>raw warhead damages: 8000, 4000, 4
import scales all proportionally</t>
      </text>
    </comment>
    <comment ref="AB561" authorId="0" shapeId="0">
      <text>
        <t>fires when: !ra1_soviets_upgrade_scorchedearth</t>
      </text>
    </comment>
    <comment ref="L562" authorId="0" shapeId="0">
      <text>
        <t>raw warhead damages: 8000, 4000, 4
import scales all proportionally</t>
      </text>
    </comment>
    <comment ref="AB562" authorId="0" shapeId="0">
      <text>
        <t>fires when: !ra1_soviets_upgrade_scorchedearth</t>
      </text>
    </comment>
    <comment ref="L563" authorId="0" shapeId="0">
      <text>
        <t>raw warhead damages: 4000, 2000, 2, 4000, 2000, 2
import scales all proportionally</t>
      </text>
    </comment>
    <comment ref="AB563" authorId="0" shapeId="0">
      <text>
        <t>fires when: ra1_soviets_upgrade_scorchedearth</t>
      </text>
    </comment>
    <comment ref="L564" authorId="0" shapeId="0">
      <text>
        <t>raw warhead damages: 4000, 2000, 2, 4000, 2000, 2
import scales all proportionally</t>
      </text>
    </comment>
    <comment ref="AB564" authorId="0" shapeId="0">
      <text>
        <t>fires when: ra1_soviets_upgrade_scorchedearth</t>
      </text>
    </comment>
    <comment ref="L566" authorId="0" shapeId="0">
      <text>
        <t>raw warhead damages: 20000, 10000, 10
import scales all proportionally</t>
      </text>
    </comment>
    <comment ref="AB566" authorId="0" shapeId="0">
      <text>
        <t>fires when: !ra1_soviets_doctrine_teslaandexperimentaltech &amp;&amp; !ra1_soviets_upgrade_teslaarcing</t>
      </text>
    </comment>
    <comment ref="L567" authorId="0" shapeId="0">
      <text>
        <t>raw warhead damages: 20000, 10000, 10
import scales all proportionally</t>
      </text>
    </comment>
    <comment ref="AB567" authorId="0" shapeId="0">
      <text>
        <t>fires when: ra1_soviets_doctrine_teslaandexperimentaltech &amp;&amp; !ra1_soviets_upgrade_teslaarcing</t>
      </text>
    </comment>
    <comment ref="L568" authorId="0" shapeId="0">
      <text>
        <t>raw warhead damages: 20000, 10000, 10
import scales all proportionally</t>
      </text>
    </comment>
    <comment ref="AB568" authorId="0" shapeId="0">
      <text>
        <t>fires when: ra1_soviets_upgrade_teslaarcing</t>
      </text>
    </comment>
    <comment ref="L569" authorId="0" shapeId="0">
      <text>
        <t>raw warhead damages: 20000, 10000, 10
import scales all proportionally</t>
      </text>
    </comment>
    <comment ref="AB569" authorId="0" shapeId="0">
      <text>
        <t>fires when: !ra1_soviets_doctrine_teslaandexperimentaltech &amp;&amp; !ra1_soviets_upgrade_teslaarcing</t>
      </text>
    </comment>
    <comment ref="L570" authorId="0" shapeId="0">
      <text>
        <t>raw warhead damages: 20000, 10000, 10
import scales all proportionally</t>
      </text>
    </comment>
    <comment ref="AB570" authorId="0" shapeId="0">
      <text>
        <t>fires when: ra1_soviets_doctrine_teslaandexperimentaltech &amp;&amp; !ra1_soviets_upgrade_teslaarcing</t>
      </text>
    </comment>
    <comment ref="L571" authorId="0" shapeId="0">
      <text>
        <t>raw warhead damages: 20000, 10000, 10
import scales all proportionally</t>
      </text>
    </comment>
    <comment ref="AB571" authorId="0" shapeId="0">
      <text>
        <t>fires when: ra1_soviets_upgrade_teslaarcing</t>
      </text>
    </comment>
    <comment ref="L573" authorId="0" shapeId="0">
      <text>
        <t>raw warhead damages: 32000, 16000, 16
import scales all proportionally</t>
      </text>
    </comment>
    <comment ref="AB573" authorId="0" shapeId="0">
      <text>
        <t>fires when: !ra1_soviets_upgrade_teslaarcing</t>
      </text>
    </comment>
    <comment ref="L574" authorId="0" shapeId="0">
      <text>
        <t>raw warhead damages: 32000, 16000, 16
import scales all proportionally</t>
      </text>
    </comment>
    <comment ref="AB574" authorId="0" shapeId="0">
      <text>
        <t>fires when: ra1_soviets_upgrade_teslaarcing</t>
      </text>
    </comment>
    <comment ref="L575" authorId="0" shapeId="0">
      <text>
        <t>raw warhead damages: 32000, 16000, 16
import scales all proportionally</t>
      </text>
    </comment>
    <comment ref="AB575" authorId="0" shapeId="0">
      <text>
        <t>fires when: !ra1_soviets_upgrade_teslaarcing</t>
      </text>
    </comment>
    <comment ref="L576" authorId="0" shapeId="0">
      <text>
        <t>raw warhead damages: 32000, 16000, 16
import scales all proportionally</t>
      </text>
    </comment>
    <comment ref="AB576" authorId="0" shapeId="0">
      <text>
        <t>fires when: ra1_soviets_upgrade_teslaarcing</t>
      </text>
    </comment>
    <comment ref="L578" authorId="0" shapeId="0">
      <text>
        <t>raw warhead damages: 2000, 1, 2000, 1
import scales all proportionally</t>
      </text>
    </comment>
    <comment ref="L579" authorId="0" shapeId="0">
      <text>
        <t>raw warhead damages: 2000, 1, 2000, 1
import scales all proportionally</t>
      </text>
    </comment>
    <comment ref="L581" authorId="0" shapeId="0">
      <text>
        <t>raw warhead damages: 50000, 25, 50000, 25000, 25, 50000, 25000, 25
import scales all proportionally</t>
      </text>
    </comment>
    <comment ref="AB581" authorId="0" shapeId="0">
      <text>
        <t>fires when: !cabal_upgrade_neutronnuclearcatalyst</t>
      </text>
    </comment>
    <comment ref="L582" authorId="0" shapeId="0">
      <text>
        <t>raw warhead damages: 50000, 25, 50000, 25000, 25, 50000, 25000, 25, 50000, 1000, 25, 50000, 25, 888, 50000, 25, 1000
import scales all proportionally</t>
      </text>
    </comment>
    <comment ref="AB582" authorId="0" shapeId="0">
      <text>
        <t>fires when: cabal_upgrade_neutronnuclearcatalyst</t>
      </text>
    </comment>
    <comment ref="L583" authorId="0" shapeId="0">
      <text>
        <t>raw warhead damages: 50000, 25, 50000, 25000, 25, 50000, 25000, 25
import scales all proportionally</t>
      </text>
    </comment>
    <comment ref="AB583" authorId="0" shapeId="0">
      <text>
        <t>fires when: !cabal_upgrade_neutronnuclearcatalyst</t>
      </text>
    </comment>
    <comment ref="L584" authorId="0" shapeId="0">
      <text>
        <t>raw warhead damages: 50000, 25, 50000, 25000, 25, 50000, 25000, 25, 50000, 1000, 25, 50000, 25, 888, 50000, 25, 1000
import scales all proportionally</t>
      </text>
    </comment>
    <comment ref="AB584" authorId="0" shapeId="0">
      <text>
        <t>fires when: cabal_upgrade_neutronnuclearcatalyst</t>
      </text>
    </comment>
    <comment ref="L586" authorId="0" shapeId="0">
      <text>
        <t>raw warhead damages: 50000, 25, 50000, 25000, 25, 50000, 25000, 25
import scales all proportionally</t>
      </text>
    </comment>
    <comment ref="AB586" authorId="0" shapeId="0">
      <text>
        <t>fires when: !cabal_upgrade_neutronnuclearcatalyst</t>
      </text>
    </comment>
    <comment ref="L587" authorId="0" shapeId="0">
      <text>
        <t>raw warhead damages: 50000, 25, 50000, 25000, 25, 50000, 25000, 25, 50000, 1000, 25, 50000, 25, 888, 50000, 25, 1000
import scales all proportionally</t>
      </text>
    </comment>
    <comment ref="AB587" authorId="0" shapeId="0">
      <text>
        <t>fires when: cabal_upgrade_neutronnuclearcatalyst</t>
      </text>
    </comment>
    <comment ref="L588" authorId="0" shapeId="0">
      <text>
        <t>raw warhead damages: 50000, 25, 50000, 25000, 25, 50000, 25000, 25
import scales all proportionally</t>
      </text>
    </comment>
    <comment ref="AB588" authorId="0" shapeId="0">
      <text>
        <t>fires when: !cabal_upgrade_neutronnuclearcatalyst</t>
      </text>
    </comment>
    <comment ref="L589" authorId="0" shapeId="0">
      <text>
        <t>raw warhead damages: 50000, 25, 50000, 25000, 25, 50000, 25000, 25, 50000, 1000, 25, 50000, 25, 888, 50000, 25, 1000
import scales all proportionally</t>
      </text>
    </comment>
    <comment ref="AB589" authorId="0" shapeId="0">
      <text>
        <t>fires when: cabal_upgrade_neutronnuclearcatalyst</t>
      </text>
    </comment>
    <comment ref="L591" authorId="0" shapeId="0">
      <text>
        <t>raw warhead damages: 10000, 5, 10000, 5
import scales all proportionally</t>
      </text>
    </comment>
    <comment ref="L592" authorId="0" shapeId="0">
      <text>
        <t>raw warhead damages: 10000, 5, 10000, 5
import scales all proportionally</t>
      </text>
    </comment>
    <comment ref="L594" authorId="0" shapeId="0">
      <text>
        <t>raw warhead damages: 12000, 6, 12000, 6
import scales all proportionally</t>
      </text>
    </comment>
    <comment ref="L595" authorId="0" shapeId="0">
      <text>
        <t>raw warhead damages: 12000, 6, 12000, 6
import scales all proportionally</t>
      </text>
    </comment>
    <comment ref="L597" authorId="0" shapeId="0">
      <text>
        <t>raw warhead damages: 2000, 1000, 1, 2000, 1
import scales all proportionally</t>
      </text>
    </comment>
    <comment ref="L599" authorId="0" shapeId="0">
      <text>
        <t>raw warhead damages: 32000, 16
import scales all proportionally</t>
      </text>
    </comment>
    <comment ref="L600" authorId="0" shapeId="0">
      <text>
        <t>raw warhead damages: 32000, 16
import scales all proportionally</t>
      </text>
    </comment>
    <comment ref="L602" authorId="0" shapeId="0">
      <text>
        <t>raw warhead damages: 70000, 35, 70000, 35, 600, 70000, 35000, 35, 70000, 35000, 35
import scales all proportionally</t>
      </text>
    </comment>
    <comment ref="L604" authorId="0" shapeId="0">
      <text>
        <t>raw warhead damages: 70000, 35, 70000, 35, 600, 70000, 35000, 35, 70000, 35000, 35
import scales all proportionally</t>
      </text>
    </comment>
    <comment ref="AB606" authorId="0" shapeId="0">
      <text>
        <t>fires when: end_disable == 0</t>
      </text>
    </comment>
    <comment ref="L607" authorId="0" shapeId="0">
      <text>
        <t>raw warhead damages: 2000, 1000, 1
import scales all proportionally</t>
      </text>
    </comment>
    <comment ref="AB607" authorId="0" shapeId="0">
      <text>
        <t>fires when: end_disable &gt;= 1</t>
      </text>
    </comment>
    <comment ref="L610" authorId="0" shapeId="0">
      <text>
        <t>raw warhead damages: 16000, 8000, 8
import scales all proportionally</t>
      </text>
    </comment>
    <comment ref="L611" authorId="0" shapeId="0">
      <text>
        <t>raw warhead damages: 16000, 8000, 8
import scales all proportionally</t>
      </text>
    </comment>
    <comment ref="L613" authorId="0" shapeId="0">
      <text>
        <t>raw warhead damages: 40000, 1, 1000, 20
import scales all proportionally</t>
      </text>
    </comment>
    <comment ref="AB613" authorId="0" shapeId="0">
      <text>
        <t>fires when: !ts_gdi_upgrade_railgunweaponry</t>
      </text>
    </comment>
    <comment ref="L614" authorId="0" shapeId="0">
      <text>
        <t>raw warhead damages: 60000, 1, 1000, 30
import scales all proportionally</t>
      </text>
    </comment>
    <comment ref="AB614" authorId="0" shapeId="0">
      <text>
        <t>fires when: ts_gdi_upgrade_railgunweaponry</t>
      </text>
    </comment>
    <comment ref="L615" authorId="0" shapeId="0">
      <text>
        <t>raw warhead damages: 40000, 1, 1000, 20
import scales all proportionally</t>
      </text>
    </comment>
    <comment ref="AB615" authorId="0" shapeId="0">
      <text>
        <t>fires when: !ts_gdi_upgrade_railgunweaponry</t>
      </text>
    </comment>
    <comment ref="L616" authorId="0" shapeId="0">
      <text>
        <t>raw warhead damages: 60000, 1, 1000, 30
import scales all proportionally</t>
      </text>
    </comment>
    <comment ref="AB616" authorId="0" shapeId="0">
      <text>
        <t>fires when: ts_gdi_upgrade_railgunweaponry</t>
      </text>
    </comment>
    <comment ref="L618" authorId="0" shapeId="0">
      <text>
        <t>raw warhead damages: 2000, 1, 2000, 1
import scales all proportionally</t>
      </text>
    </comment>
    <comment ref="L619" authorId="0" shapeId="0">
      <text>
        <t>raw warhead damages: 2000, 1, 2000, 1
import scales all proportionally</t>
      </text>
    </comment>
    <comment ref="L621" authorId="0" shapeId="0">
      <text>
        <t>raw warhead damages: 6000, 3000, 3, 6000, 3000, 3
import scales all proportionally</t>
      </text>
    </comment>
    <comment ref="AB621" authorId="0" shapeId="0">
      <text>
        <t>fires when: !forgotten_upgrade_chemicalweapons</t>
      </text>
    </comment>
    <comment ref="L622" authorId="0" shapeId="0">
      <text>
        <t>raw warhead damages: 6000, 3000, 3, 6000, 3000, 3
import scales all proportionally</t>
      </text>
    </comment>
    <comment ref="AB622" authorId="0" shapeId="0">
      <text>
        <t>fires when: !forgotten_upgrade_chemicalweapons</t>
      </text>
    </comment>
    <comment ref="L623" authorId="0" shapeId="0">
      <text>
        <t>raw warhead damages: 6000, 3000, 3, 6000, 3000, 3, 6000, 3000, 3
import scales all proportionally</t>
      </text>
    </comment>
    <comment ref="AB623" authorId="0" shapeId="0">
      <text>
        <t>fires when: forgotten_upgrade_chemicalweapons</t>
      </text>
    </comment>
    <comment ref="L624" authorId="0" shapeId="0">
      <text>
        <t>raw warhead damages: 6000, 3000, 3, 6000, 3000, 3, 6000, 3000, 3
import scales all proportionally</t>
      </text>
    </comment>
    <comment ref="AB624" authorId="0" shapeId="0">
      <text>
        <t>fires when: forgotten_upgrade_chemicalweapons</t>
      </text>
    </comment>
    <comment ref="L626" authorId="0" shapeId="0">
      <text>
        <t>raw warhead damages: 6000, 3000, 3, 6000, 3000, 3
import scales all proportionally</t>
      </text>
    </comment>
    <comment ref="AB626" authorId="0" shapeId="0">
      <text>
        <t>fires when: !forgotten_upgrade_chemicalweapons</t>
      </text>
    </comment>
    <comment ref="L627" authorId="0" shapeId="0">
      <text>
        <t>raw warhead damages: 6000, 3000, 3, 6000, 3000, 3
import scales all proportionally</t>
      </text>
    </comment>
    <comment ref="AB627" authorId="0" shapeId="0">
      <text>
        <t>fires when: !forgotten_upgrade_chemicalweapons</t>
      </text>
    </comment>
    <comment ref="L628" authorId="0" shapeId="0">
      <text>
        <t>raw warhead damages: 6000, 3000, 3, 6000, 3000, 3, 6000, 3000, 3
import scales all proportionally</t>
      </text>
    </comment>
    <comment ref="AB628" authorId="0" shapeId="0">
      <text>
        <t>fires when: forgotten_upgrade_chemicalweapons</t>
      </text>
    </comment>
    <comment ref="L629" authorId="0" shapeId="0">
      <text>
        <t>raw warhead damages: 6000, 3000, 3, 6000, 3000, 3, 6000, 3000, 3
import scales all proportionally</t>
      </text>
    </comment>
    <comment ref="AB629" authorId="0" shapeId="0">
      <text>
        <t>fires when: forgotten_upgrade_chemicalweapons</t>
      </text>
    </comment>
    <comment ref="L631" authorId="0" shapeId="0">
      <text>
        <t>raw warhead damages: 6000, 3000, 3, 6000, 3000, 3, 6000, 3000, 3, 6000, 3000, 3
import scales all proportionally</t>
      </text>
    </comment>
    <comment ref="AB631" authorId="0" shapeId="0">
      <text>
        <t>fires when: !forgotten_upgrade_chemicalweapons</t>
      </text>
    </comment>
    <comment ref="L632" authorId="0" shapeId="0">
      <text>
        <t>raw warhead damages: 6000, 3000, 3, 6000, 3000, 3, 6000, 3000, 3, 6000, 3000, 3
import scales all proportionally</t>
      </text>
    </comment>
    <comment ref="AB632" authorId="0" shapeId="0">
      <text>
        <t>fires when: !forgotten_upgrade_chemicalweapons</t>
      </text>
    </comment>
    <comment ref="L633" authorId="0" shapeId="0">
      <text>
        <t>raw warhead damages: 6000, 3000, 3, 6000, 3000, 3, 6000, 3000, 3, 6000, 3000, 3, 6000, 3000, 3, 6000, 3
import scales all proportionally</t>
      </text>
    </comment>
    <comment ref="AB633" authorId="0" shapeId="0">
      <text>
        <t>fires when: forgotten_upgrade_chemicalweapons</t>
      </text>
    </comment>
    <comment ref="L634" authorId="0" shapeId="0">
      <text>
        <t>raw warhead damages: 6000, 3000, 3, 6000, 3000, 3, 6000, 3000, 3, 6000, 3000, 3, 6000, 3000, 3, 6000, 3
import scales all proportionally</t>
      </text>
    </comment>
    <comment ref="AB634" authorId="0" shapeId="0">
      <text>
        <t>fires when: forgotten_upgrade_chemicalweapons</t>
      </text>
    </comment>
    <comment ref="L637" authorId="0" shapeId="0">
      <text>
        <t>raw warhead damages: 24000, 12000, 12
import scales all proportionally</t>
      </text>
    </comment>
    <comment ref="AB637" authorId="0" shapeId="0">
      <text>
        <t>fires when: (!ra2_soviets_upgrade_teslaoverload &amp;&amp; !rank-elite)</t>
      </text>
    </comment>
    <comment ref="L638" authorId="0" shapeId="0">
      <text>
        <t>raw warhead damages: 24000, 12000, 12
import scales all proportionally</t>
      </text>
    </comment>
    <comment ref="AB638" authorId="0" shapeId="0">
      <text>
        <t>fires when: (ra2_soviets_upgrade_teslaoverload &amp;&amp; !rank-elite) || (!ra2_soviets_upgrade_teslaoverload &amp;&amp; rank-elite)</t>
      </text>
    </comment>
    <comment ref="L639" authorId="0" shapeId="0">
      <text>
        <t>raw warhead damages: 24000, 12000, 12
import scales all proportionally</t>
      </text>
    </comment>
    <comment ref="AB639" authorId="0" shapeId="0">
      <text>
        <t>fires when: (ra2_soviets_upgrade_teslaoverload &amp;&amp; rank-elite)</t>
      </text>
    </comment>
    <comment ref="L641" authorId="0" shapeId="0">
      <text>
        <t>raw warhead damages: 24000, 12000, 12
import scales all proportionally</t>
      </text>
    </comment>
    <comment ref="AB641" authorId="0" shapeId="0">
      <text>
        <t>fires when: (!ra2_soviets_upgrade_teslaoverload &amp;&amp; !rank-elite)</t>
      </text>
    </comment>
    <comment ref="L642" authorId="0" shapeId="0">
      <text>
        <t>raw warhead damages: 24000, 12000, 12
import scales all proportionally</t>
      </text>
    </comment>
    <comment ref="AB642" authorId="0" shapeId="0">
      <text>
        <t>fires when: (ra2_soviets_upgrade_teslaoverload &amp;&amp; !rank-elite) || (!ra2_soviets_upgrade_teslaoverload &amp;&amp; rank-elite)</t>
      </text>
    </comment>
    <comment ref="L643" authorId="0" shapeId="0">
      <text>
        <t>raw warhead damages: 24000, 12000, 12
import scales all proportionally</t>
      </text>
    </comment>
    <comment ref="AB643" authorId="0" shapeId="0">
      <text>
        <t>fires when: (ra2_soviets_upgrade_teslaoverload &amp;&amp; rank-elite)</t>
      </text>
    </comment>
    <comment ref="L645" authorId="0" shapeId="0">
      <text>
        <t>raw warhead damages: 24000, 12000, 12
import scales all proportionally</t>
      </text>
    </comment>
    <comment ref="AB645" authorId="0" shapeId="0">
      <text>
        <t>fires when: (!ra2_soviets_upgrade_teslaoverload &amp;&amp; !rank-elite)</t>
      </text>
    </comment>
    <comment ref="L646" authorId="0" shapeId="0">
      <text>
        <t>raw warhead damages: 24000, 12000, 12
import scales all proportionally</t>
      </text>
    </comment>
    <comment ref="AB646" authorId="0" shapeId="0">
      <text>
        <t>fires when: (ra2_soviets_upgrade_teslaoverload &amp;&amp; !rank-elite) || (!ra2_soviets_upgrade_teslaoverload &amp;&amp; rank-elite)</t>
      </text>
    </comment>
    <comment ref="L647" authorId="0" shapeId="0">
      <text>
        <t>raw warhead damages: 24000, 12000, 12
import scales all proportionally</t>
      </text>
    </comment>
    <comment ref="AB647" authorId="0" shapeId="0">
      <text>
        <t>fires when: (ra2_soviets_upgrade_teslaoverload &amp;&amp; rank-elite)</t>
      </text>
    </comment>
    <comment ref="AB651" authorId="0" shapeId="0">
      <text>
        <t>fires when: !rank-elite</t>
      </text>
    </comment>
    <comment ref="AB652" authorId="0" shapeId="0">
      <text>
        <t>fires when: rank-elite</t>
      </text>
    </comment>
    <comment ref="AB653" authorId="0" shapeId="0">
      <text>
        <t>fires when: !rank-elite</t>
      </text>
    </comment>
    <comment ref="AB654" authorId="0" shapeId="0">
      <text>
        <t>fires when: rank-elite</t>
      </text>
    </comment>
    <comment ref="L656" authorId="0" shapeId="0">
      <text>
        <t>raw warhead damages: 30000, 15000, 15
import scales all proportionally</t>
      </text>
    </comment>
    <comment ref="AB656" authorId="0" shapeId="0">
      <text>
        <t>fires when: !rank-elite</t>
      </text>
    </comment>
    <comment ref="L657" authorId="0" shapeId="0">
      <text>
        <t>raw warhead damages: 30000, 15000, 15
import scales all proportionally</t>
      </text>
    </comment>
    <comment ref="AB657" authorId="0" shapeId="0">
      <text>
        <t>fires when: rank-elite</t>
      </text>
    </comment>
    <comment ref="L658" authorId="0" shapeId="0">
      <text>
        <t>raw warhead damages: 30000, 15000, 15
import scales all proportionally</t>
      </text>
    </comment>
    <comment ref="L660" authorId="0" shapeId="0">
      <text>
        <t>raw warhead damages: 24000, 12000, 12
import scales all proportionally</t>
      </text>
    </comment>
    <comment ref="AB660" authorId="0" shapeId="0">
      <text>
        <t>fires when: (!ra2_soviets_upgrade_teslaoverload &amp;&amp; !rank-elite)</t>
      </text>
    </comment>
    <comment ref="L661" authorId="0" shapeId="0">
      <text>
        <t>raw warhead damages: 24000, 12000, 12
import scales all proportionally</t>
      </text>
    </comment>
    <comment ref="AB661" authorId="0" shapeId="0">
      <text>
        <t>fires when: (ra2_soviets_upgrade_teslaoverload &amp;&amp; !rank-elite) || (!ra2_soviets_upgrade_teslaoverload &amp;&amp; rank-elite)</t>
      </text>
    </comment>
    <comment ref="L662" authorId="0" shapeId="0">
      <text>
        <t>raw warhead damages: 24000, 12000, 12
import scales all proportionally</t>
      </text>
    </comment>
    <comment ref="AB662" authorId="0" shapeId="0">
      <text>
        <t>fires when: (ra2_soviets_upgrade_teslaoverload &amp;&amp; rank-elite)</t>
      </text>
    </comment>
    <comment ref="L664" authorId="0" shapeId="0">
      <text>
        <t>raw warhead damages: 24000, 12000, 12
import scales all proportionally</t>
      </text>
    </comment>
    <comment ref="AB664" authorId="0" shapeId="0">
      <text>
        <t>fires when: (!ra2_soviets_upgrade_teslaoverload &amp;&amp; !rank-elite)</t>
      </text>
    </comment>
    <comment ref="L665" authorId="0" shapeId="0">
      <text>
        <t>raw warhead damages: 24000, 12000, 12
import scales all proportionally</t>
      </text>
    </comment>
    <comment ref="AB665" authorId="0" shapeId="0">
      <text>
        <t>fires when: (ra2_soviets_upgrade_teslaoverload &amp;&amp; !rank-elite) || (!ra2_soviets_upgrade_teslaoverload &amp;&amp; rank-elite)</t>
      </text>
    </comment>
    <comment ref="L666" authorId="0" shapeId="0">
      <text>
        <t>raw warhead damages: 24000, 12000, 12
import scales all proportionally</t>
      </text>
    </comment>
    <comment ref="AB666" authorId="0" shapeId="0">
      <text>
        <t>fires when: (ra2_soviets_upgrade_teslaoverload &amp;&amp; rank-elite)</t>
      </text>
    </comment>
    <comment ref="L668" authorId="0" shapeId="0">
      <text>
        <t>raw warhead damages: 4000, 2
import scales all proportionally</t>
      </text>
    </comment>
    <comment ref="AB668" authorId="0" shapeId="0">
      <text>
        <t>fires when: !rank-elite &amp;&amp; !yuri_upgrade_corrosiveammo</t>
      </text>
    </comment>
    <comment ref="L669" authorId="0" shapeId="0">
      <text>
        <t>raw warhead damages: 4000, 2, 4000, 2
import scales all proportionally</t>
      </text>
    </comment>
    <comment ref="AB669" authorId="0" shapeId="0">
      <text>
        <t>fires when: !rank-elite &amp;&amp; yuri_upgrade_corrosiveammo</t>
      </text>
    </comment>
    <comment ref="L670" authorId="0" shapeId="0">
      <text>
        <t>raw warhead damages: 4000, 2, 4000, 2
import scales all proportionally</t>
      </text>
    </comment>
    <comment ref="AB670" authorId="0" shapeId="0">
      <text>
        <t>fires when: rank-elite</t>
      </text>
    </comment>
    <comment ref="L671" authorId="0" shapeId="0">
      <text>
        <t>raw warhead damages: 4000, 2
import scales all proportionally</t>
      </text>
    </comment>
    <comment ref="AB671" authorId="0" shapeId="0">
      <text>
        <t>fires when: !rank-elite &amp;&amp; !yuri_upgrade_corrosiveammo</t>
      </text>
    </comment>
    <comment ref="L672" authorId="0" shapeId="0">
      <text>
        <t>raw warhead damages: 4000, 2, 4000, 2
import scales all proportionally</t>
      </text>
    </comment>
    <comment ref="AB672" authorId="0" shapeId="0">
      <text>
        <t>fires when: !rank-elite &amp;&amp; yuri_upgrade_corrosiveammo</t>
      </text>
    </comment>
    <comment ref="L673" authorId="0" shapeId="0">
      <text>
        <t>raw warhead damages: 4000, 2, 4000, 2
import scales all proportionally</t>
      </text>
    </comment>
    <comment ref="AB673" authorId="0" shapeId="0">
      <text>
        <t>fires when: rank-elite</t>
      </text>
    </comment>
    <comment ref="L675" authorId="0" shapeId="0">
      <text>
        <t>raw warhead damages: 4000, 2000, 2
import scales all proportionally</t>
      </text>
    </comment>
    <comment ref="AB675" authorId="0" shapeId="0">
      <text>
        <t>fires when: !rank-elite &amp;&amp; !asianalliance_doctrine_modernizedinfantryequipment</t>
      </text>
    </comment>
    <comment ref="L676" authorId="0" shapeId="0">
      <text>
        <t>raw warhead damages: 4000, 2000, 2
import scales all proportionally</t>
      </text>
    </comment>
    <comment ref="AB676" authorId="0" shapeId="0">
      <text>
        <t>fires when: (rank-elite &amp;&amp; !asianalliance_doctrine_modernizedinfantryequipment) || (!rank-elite &amp;&amp; asianalliance_doctrine_modernizedinfantryequipment)</t>
      </text>
    </comment>
    <comment ref="L677" authorId="0" shapeId="0">
      <text>
        <t>raw warhead damages: 4000, 2000, 2
import scales all proportionally</t>
      </text>
    </comment>
    <comment ref="AB677" authorId="0" shapeId="0">
      <text>
        <t>fires when: rank-elite &amp;&amp; asianalliance_doctrine_modernizedinfantryequipment</t>
      </text>
    </comment>
    <comment ref="L678" authorId="0" shapeId="0">
      <text>
        <t>raw warhead damages: 4000, 2000, 2
import scales all proportionally</t>
      </text>
    </comment>
    <comment ref="AB678" authorId="0" shapeId="0">
      <text>
        <t>fires when: !rank-elite &amp;&amp; !asianalliance_doctrine_modernizedinfantryequipment</t>
      </text>
    </comment>
    <comment ref="L679" authorId="0" shapeId="0">
      <text>
        <t>raw warhead damages: 4000, 2000, 2
import scales all proportionally</t>
      </text>
    </comment>
    <comment ref="AB679" authorId="0" shapeId="0">
      <text>
        <t>fires when: (rank-elite &amp;&amp; !asianalliance_doctrine_modernizedinfantryequipment) || (!rank-elite &amp;&amp; asianalliance_doctrine_modernizedinfantryequipment)</t>
      </text>
    </comment>
    <comment ref="L680" authorId="0" shapeId="0">
      <text>
        <t>raw warhead damages: 4000, 2000, 2
import scales all proportionally</t>
      </text>
    </comment>
    <comment ref="AB680" authorId="0" shapeId="0">
      <text>
        <t>fires when: rank-elite &amp;&amp; asianalliance_doctrine_modernizedinfantryequipment</t>
      </text>
    </comment>
    <comment ref="L682" authorId="0" shapeId="0">
      <text>
        <t>raw warhead damages: 2000, 1000, 1, 2000, 1000, 1, 2000, 1000, 1, 2000, 1000, 1, 2000, 1, 2000, 1000, 1, 2000, 1, 2000, 1
import scales all proportionally</t>
      </text>
    </comment>
    <comment ref="AB682" authorId="0" shapeId="0">
      <text>
        <t>fires when: !rank-elite</t>
      </text>
    </comment>
    <comment ref="L683" authorId="0" shapeId="0">
      <text>
        <t>raw warhead damages: 2000, 1000, 1, 2000, 1000, 1, 2000, 1000, 1, 2000, 1000, 1, 2000, 1, 2000, 1000, 1, 2000, 1, 2000, 1
import scales all proportionally</t>
      </text>
    </comment>
    <comment ref="AB683" authorId="0" shapeId="0">
      <text>
        <t>fires when: rank-elite</t>
      </text>
    </comment>
    <comment ref="L684" authorId="0" shapeId="0">
      <text>
        <t>raw warhead damages: 2000, 1000, 1, 2000, 1000, 1, 2000, 1000, 1, 2000, 1000, 1, 2000, 1, 2000, 1000, 1, 2000, 1, 2000, 1
import scales all proportionally</t>
      </text>
    </comment>
    <comment ref="AB684" authorId="0" shapeId="0">
      <text>
        <t>fires when: !rank-elite</t>
      </text>
    </comment>
    <comment ref="L685" authorId="0" shapeId="0">
      <text>
        <t>raw warhead damages: 2000, 1000, 1, 2000, 1000, 1, 2000, 1000, 1, 2000, 1000, 1, 2000, 1, 2000, 1000, 1, 2000, 1, 2000, 1
import scales all proportionally</t>
      </text>
    </comment>
    <comment ref="AB685" authorId="0" shapeId="0">
      <text>
        <t>fires when: rank-elite</t>
      </text>
    </comment>
    <comment ref="L687" authorId="0" shapeId="0">
      <text>
        <t>raw warhead damages: 4000, 2, 1000, 4000, 2, 4000, 2, 4000, 2
import scales all proportionally</t>
      </text>
    </comment>
    <comment ref="AB687" authorId="0" shapeId="0">
      <text>
        <t>fires when: !deployed &amp;&amp; !rank-elite &amp;&amp; !steelconsortium_upgrade_quantumweaponpower</t>
      </text>
    </comment>
    <comment ref="L688" authorId="0" shapeId="0">
      <text>
        <t>raw warhead damages: 4000, 2, 1000, 4000, 2, 4000, 2, 4000, 2
import scales all proportionally</t>
      </text>
    </comment>
    <comment ref="AB688" authorId="0" shapeId="0">
      <text>
        <t>fires when: !deployed &amp;&amp; rank-elite &amp;&amp; !steelconsortium_upgrade_quantumweaponpower</t>
      </text>
    </comment>
    <comment ref="L689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689" authorId="0" shapeId="0">
      <text>
        <t>fires when: !deployed &amp;&amp; !rank-elite &amp;&amp; steelconsortium_upgrade_quantumweaponpower</t>
      </text>
    </comment>
    <comment ref="L690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690" authorId="0" shapeId="0">
      <text>
        <t>fires when: !deployed &amp;&amp; rank-elite &amp;&amp; steelconsortium_upgrade_quantumweaponpower</t>
      </text>
    </comment>
    <comment ref="AB691" authorId="0" shapeId="0">
      <text>
        <t>fires when: botmicro</t>
      </text>
    </comment>
    <comment ref="L692" authorId="0" shapeId="0">
      <text>
        <t>raw warhead damages: 4000, 2, 1000, 4000, 2, 4000, 2, 4000, 2
import scales all proportionally</t>
      </text>
    </comment>
    <comment ref="AB692" authorId="0" shapeId="0">
      <text>
        <t>fires when: deployed &amp;&amp; !rank-elite &amp;&amp; !steelconsortium_upgrade_quantumweaponpower</t>
      </text>
    </comment>
    <comment ref="L693" authorId="0" shapeId="0">
      <text>
        <t>raw warhead damages: 4000, 2, 1000, 4000, 2, 4000, 2, 4000, 2
import scales all proportionally</t>
      </text>
    </comment>
    <comment ref="AB693" authorId="0" shapeId="0">
      <text>
        <t>fires when: deployed &amp;&amp; rank-elite &amp;&amp; !steelconsortium_upgrade_quantumweaponpower</t>
      </text>
    </comment>
    <comment ref="L694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694" authorId="0" shapeId="0">
      <text>
        <t>fires when: deployed &amp;&amp; !rank-elite &amp;&amp; steelconsortium_upgrade_quantumweaponpower</t>
      </text>
    </comment>
    <comment ref="L695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695" authorId="0" shapeId="0">
      <text>
        <t>fires when: deployed &amp;&amp; rank-elite &amp;&amp; steelconsortium_upgrade_quantumweaponpower</t>
      </text>
    </comment>
    <comment ref="L696" authorId="0" shapeId="0">
      <text>
        <t>raw warhead damages: 4000, 2, 1000, 4000, 2, 4000, 2, 4000, 2
import scales all proportionally</t>
      </text>
    </comment>
    <comment ref="AB696" authorId="0" shapeId="0">
      <text>
        <t>fires when: !rank-elite &amp;&amp; !steelconsortium_upgrade_quantumweaponpower</t>
      </text>
    </comment>
    <comment ref="L697" authorId="0" shapeId="0">
      <text>
        <t>raw warhead damages: 4000, 2, 1000, 4000, 2, 4000, 2, 4000, 2
import scales all proportionally</t>
      </text>
    </comment>
    <comment ref="AB697" authorId="0" shapeId="0">
      <text>
        <t>fires when: rank-elite &amp;&amp; !steelconsortium_upgrade_quantumweaponpower</t>
      </text>
    </comment>
    <comment ref="L698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698" authorId="0" shapeId="0">
      <text>
        <t>fires when: !rank-elite &amp;&amp; steelconsortium_upgrade_quantumweaponpower</t>
      </text>
    </comment>
    <comment ref="L699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699" authorId="0" shapeId="0">
      <text>
        <t>fires when: rank-elite &amp;&amp; steelconsortium_upgrade_quantumweaponpower</t>
      </text>
    </comment>
    <comment ref="L701" authorId="0" shapeId="0">
      <text>
        <t>raw warhead damages: 2000, 1000, 1, 2000, 1000, 1, 2000, 1000, 1
import scales all proportionally</t>
      </text>
    </comment>
    <comment ref="AB701" authorId="0" shapeId="0">
      <text>
        <t>fires when: !rank-elite</t>
      </text>
    </comment>
    <comment ref="L702" authorId="0" shapeId="0">
      <text>
        <t>raw warhead damages: 2000, 1000, 1, 2000, 1000, 1, 2000, 1000, 1
import scales all proportionally</t>
      </text>
    </comment>
    <comment ref="AB702" authorId="0" shapeId="0">
      <text>
        <t>fires when: rank-elite</t>
      </text>
    </comment>
    <comment ref="L703" authorId="0" shapeId="0">
      <text>
        <t>raw warhead damages: 2000, 1000, 1, 2000, 1000, 1, 2000, 1000, 1
import scales all proportionally</t>
      </text>
    </comment>
    <comment ref="AB703" authorId="0" shapeId="0">
      <text>
        <t>fires when: !rank-elite</t>
      </text>
    </comment>
    <comment ref="L704" authorId="0" shapeId="0">
      <text>
        <t>raw warhead damages: 2000, 1000, 1, 2000, 1000, 1, 2000, 1000, 1
import scales all proportionally</t>
      </text>
    </comment>
    <comment ref="AB704" authorId="0" shapeId="0">
      <text>
        <t>fires when: rank-elite</t>
      </text>
    </comment>
    <comment ref="L706" authorId="0" shapeId="0">
      <text>
        <t>raw warhead damages: 4000, 2000, 2
import scales all proportionally</t>
      </text>
    </comment>
    <comment ref="AB706" authorId="0" shapeId="0">
      <text>
        <t>fires when: !rank-elite</t>
      </text>
    </comment>
    <comment ref="L707" authorId="0" shapeId="0">
      <text>
        <t>raw warhead damages: 4000, 2000, 2
import scales all proportionally</t>
      </text>
    </comment>
    <comment ref="AB707" authorId="0" shapeId="0">
      <text>
        <t>fires when: rank-elite</t>
      </text>
    </comment>
    <comment ref="L708" authorId="0" shapeId="0">
      <text>
        <t>raw warhead damages: 4000, 2000, 2
import scales all proportionally</t>
      </text>
    </comment>
    <comment ref="AB708" authorId="0" shapeId="0">
      <text>
        <t>fires when: !rank-elite</t>
      </text>
    </comment>
    <comment ref="L709" authorId="0" shapeId="0">
      <text>
        <t>raw warhead damages: 4000, 2000, 2
import scales all proportionally</t>
      </text>
    </comment>
    <comment ref="AB709" authorId="0" shapeId="0">
      <text>
        <t>fires when: rank-elite</t>
      </text>
    </comment>
    <comment ref="AB711" authorId="0" shapeId="0">
      <text>
        <t>fires when: !deployed</t>
      </text>
    </comment>
    <comment ref="L712" authorId="0" shapeId="0">
      <text>
        <t>raw warhead damages: 4000, 2, 4000, 2
import scales all proportionally</t>
      </text>
    </comment>
    <comment ref="AB712" authorId="0" shapeId="0">
      <text>
        <t>fires when: (deployed || undeployed) &amp;&amp; !rank-elite</t>
      </text>
    </comment>
    <comment ref="L713" authorId="0" shapeId="0">
      <text>
        <t>raw warhead damages: 4000, 2, 4000, 2
import scales all proportionally</t>
      </text>
    </comment>
    <comment ref="AB713" authorId="0" shapeId="0">
      <text>
        <t>fires when: (deployed || undeployed) &amp;&amp; rank-elite</t>
      </text>
    </comment>
    <comment ref="L714" authorId="0" shapeId="0">
      <text>
        <t>raw warhead damages: 4000, 2, 4000, 2
import scales all proportionally</t>
      </text>
    </comment>
    <comment ref="AB714" authorId="0" shapeId="0">
      <text>
        <t>fires when: !rank-elite</t>
      </text>
    </comment>
    <comment ref="L715" authorId="0" shapeId="0">
      <text>
        <t>raw warhead damages: 4000, 2, 4000, 2
import scales all proportionally</t>
      </text>
    </comment>
    <comment ref="AB715" authorId="0" shapeId="0">
      <text>
        <t>fires when: rank-elite</t>
      </text>
    </comment>
    <comment ref="L717" authorId="0" shapeId="0">
      <text>
        <t>raw warhead damages: 6000, 3, 6000, 3000, 3, 6000, 3000, 3, 6000, 3, 6000, 3000, 3, 6000, 3
import scales all proportionally</t>
      </text>
    </comment>
    <comment ref="AB717" authorId="0" shapeId="0">
      <text>
        <t>fires when: !rank-elite</t>
      </text>
    </comment>
    <comment ref="L718" authorId="0" shapeId="0">
      <text>
        <t>raw warhead damages: 6000, 3, 6000, 3000, 3, 6000, 3000, 3, 6000, 3, 6000, 3000, 3, 6000, 3
import scales all proportionally</t>
      </text>
    </comment>
    <comment ref="AB718" authorId="0" shapeId="0">
      <text>
        <t>fires when: rank-elite</t>
      </text>
    </comment>
    <comment ref="L719" authorId="0" shapeId="0">
      <text>
        <t>raw warhead damages: 6000, 3, 6000, 3000, 3, 6000, 3000, 3, 6000, 3, 6000, 3000, 3, 6000, 3
import scales all proportionally</t>
      </text>
    </comment>
    <comment ref="AB719" authorId="0" shapeId="0">
      <text>
        <t>fires when: !rank-elite</t>
      </text>
    </comment>
    <comment ref="L720" authorId="0" shapeId="0">
      <text>
        <t>raw warhead damages: 6000, 3, 6000, 3000, 3, 6000, 3000, 3, 6000, 3, 6000, 3000, 3, 6000, 3
import scales all proportionally</t>
      </text>
    </comment>
    <comment ref="AB720" authorId="0" shapeId="0">
      <text>
        <t>fires when: rank-elite</t>
      </text>
    </comment>
    <comment ref="L722" authorId="0" shapeId="0">
      <text>
        <t>raw warhead damages: 8000, 4, 8000, 4000, 4, 8000, 4000, 4, 8000, 4, 8000, 4000, 4, 8000, 4
import scales all proportionally</t>
      </text>
    </comment>
    <comment ref="AB722" authorId="0" shapeId="0">
      <text>
        <t>fires when: !rank-elite</t>
      </text>
    </comment>
    <comment ref="L723" authorId="0" shapeId="0">
      <text>
        <t>raw warhead damages: 8000, 4, 8000, 4000, 4, 8000, 4000, 4, 8000, 4, 8000, 4000, 4, 8000, 4
import scales all proportionally</t>
      </text>
    </comment>
    <comment ref="AB723" authorId="0" shapeId="0">
      <text>
        <t>fires when: rank-elite</t>
      </text>
    </comment>
    <comment ref="L724" authorId="0" shapeId="0">
      <text>
        <t>raw warhead damages: 8000, 4, 8000, 4000, 4, 8000, 4000, 4, 8000, 4, 8000, 4000, 4, 8000, 4
import scales all proportionally</t>
      </text>
    </comment>
    <comment ref="AB724" authorId="0" shapeId="0">
      <text>
        <t>fires when: !rank-elite</t>
      </text>
    </comment>
    <comment ref="L725" authorId="0" shapeId="0">
      <text>
        <t>raw warhead damages: 8000, 4, 8000, 4000, 4, 8000, 4000, 4, 8000, 4, 8000, 4000, 4, 8000, 4
import scales all proportionally</t>
      </text>
    </comment>
    <comment ref="AB725" authorId="0" shapeId="0">
      <text>
        <t>fires when: rank-elite</t>
      </text>
    </comment>
    <comment ref="L727" authorId="0" shapeId="0">
      <text>
        <t>raw warhead damages: 2000, 1000, 1, 2000, 1, 2000, 1, 2000, 1, 2000, 1, 600
import scales all proportionally</t>
      </text>
    </comment>
    <comment ref="AB727" authorId="0" shapeId="0">
      <text>
        <t>fires when: !rank-elite &amp;&amp; !schwarzermond_upgrade_crystallens &amp;&amp; !schwarzermond_upgrade_amplifiedlens</t>
      </text>
    </comment>
    <comment ref="L728" authorId="0" shapeId="0">
      <text>
        <t>raw warhead damages: 2000, 1000, 1, 2000, 1, 2000, 1, 2000, 1, 2000, 1, 600
import scales all proportionally</t>
      </text>
    </comment>
    <comment ref="AB728" authorId="0" shapeId="0">
      <text>
        <t>fires when: rank-elite &amp;&amp; !schwarzermond_upgrade_crystallens &amp;&amp; !schwarzermond_upgrade_amplifiedlens</t>
      </text>
    </comment>
    <comment ref="L729" authorId="0" shapeId="0">
      <text>
        <t>raw warhead damages: 2000, 1000, 1, 2000, 1, 2000, 1, 2000, 1, 2000, 1, 600
import scales all proportionally</t>
      </text>
    </comment>
    <comment ref="AB729" authorId="0" shapeId="0">
      <text>
        <t>fires when: !rank-elite &amp;&amp; schwarzermond_upgrade_crystallens &amp;&amp; !schwarzermond_upgrade_amplifiedlens</t>
      </text>
    </comment>
    <comment ref="L730" authorId="0" shapeId="0">
      <text>
        <t>raw warhead damages: 2000, 1000, 1, 2000, 1, 2000, 1, 2000, 1, 2000, 1, 600
import scales all proportionally</t>
      </text>
    </comment>
    <comment ref="AB730" authorId="0" shapeId="0">
      <text>
        <t>fires when: rank-elite &amp;&amp; schwarzermond_upgrade_crystallens &amp;&amp; !schwarzermond_upgrade_amplifiedlens</t>
      </text>
    </comment>
    <comment ref="L731" authorId="0" shapeId="0">
      <text>
        <t>raw warhead damages: 2000, 1000, 1, 2000, 1, 2000, 1, 2000, 1, 2000, 1, 600
import scales all proportionally</t>
      </text>
    </comment>
    <comment ref="AB731" authorId="0" shapeId="0">
      <text>
        <t>fires when: !rank-elite &amp;&amp; schwarzermond_upgrade_amplifiedlens</t>
      </text>
    </comment>
    <comment ref="L732" authorId="0" shapeId="0">
      <text>
        <t>raw warhead damages: 2000, 1000, 1, 2000, 1, 2000, 1, 2000, 1, 2000, 1, 600
import scales all proportionally</t>
      </text>
    </comment>
    <comment ref="AB732" authorId="0" shapeId="0">
      <text>
        <t>fires when: rank-elite &amp;&amp; schwarzermond_upgrade_amplifiedlens</t>
      </text>
    </comment>
    <comment ref="L734" authorId="0" shapeId="0">
      <text>
        <t>raw warhead damages: 4000, 2000, 2, 4000, 2
import scales all proportionally</t>
      </text>
    </comment>
    <comment ref="AB734" authorId="0" shapeId="0">
      <text>
        <t>fires when: !rank-elite &amp;&amp; !schwarzermond_upgrade_crystallens &amp;&amp; !schwarzermond_upgrade_amplifiedlens</t>
      </text>
    </comment>
    <comment ref="L735" authorId="0" shapeId="0">
      <text>
        <t>raw warhead damages: 4000, 2000, 2, 4000, 2
import scales all proportionally</t>
      </text>
    </comment>
    <comment ref="AB735" authorId="0" shapeId="0">
      <text>
        <t>fires when: rank-elite &amp;&amp; !schwarzermond_upgrade_crystallens &amp;&amp; !schwarzermond_upgrade_amplifiedlens</t>
      </text>
    </comment>
    <comment ref="L736" authorId="0" shapeId="0">
      <text>
        <t>raw warhead damages: 4000, 2000, 2, 4000, 2
import scales all proportionally</t>
      </text>
    </comment>
    <comment ref="AB736" authorId="0" shapeId="0">
      <text>
        <t>fires when: !rank-elite &amp;&amp; !schwarzermond_upgrade_crystallens &amp;&amp; !schwarzermond_upgrade_amplifiedlens</t>
      </text>
    </comment>
    <comment ref="L737" authorId="0" shapeId="0">
      <text>
        <t>raw warhead damages: 4000, 2000, 2, 4000, 2
import scales all proportionally</t>
      </text>
    </comment>
    <comment ref="AB737" authorId="0" shapeId="0">
      <text>
        <t>fires when: rank-elite &amp;&amp; !schwarzermond_upgrade_crystallens &amp;&amp; !schwarzermond_upgrade_amplifiedlens</t>
      </text>
    </comment>
    <comment ref="L738" authorId="0" shapeId="0">
      <text>
        <t>raw warhead damages: 4000, 2000, 2, 4000, 2
import scales all proportionally</t>
      </text>
    </comment>
    <comment ref="AB738" authorId="0" shapeId="0">
      <text>
        <t>fires when: !rank-elite &amp;&amp; schwarzermond_upgrade_crystallens &amp;&amp; !schwarzermond_upgrade_amplifiedlens</t>
      </text>
    </comment>
    <comment ref="L739" authorId="0" shapeId="0">
      <text>
        <t>raw warhead damages: 4000, 2000, 2, 4000, 2
import scales all proportionally</t>
      </text>
    </comment>
    <comment ref="AB739" authorId="0" shapeId="0">
      <text>
        <t>fires when: rank-elite &amp;&amp; schwarzermond_upgrade_crystallens &amp;&amp; !schwarzermond_upgrade_amplifiedlens</t>
      </text>
    </comment>
    <comment ref="L740" authorId="0" shapeId="0">
      <text>
        <t>raw warhead damages: 4000, 2000, 2, 4000, 2
import scales all proportionally</t>
      </text>
    </comment>
    <comment ref="AB740" authorId="0" shapeId="0">
      <text>
        <t>fires when: !rank-elite &amp;&amp; schwarzermond_upgrade_crystallens &amp;&amp; !schwarzermond_upgrade_amplifiedlens</t>
      </text>
    </comment>
    <comment ref="L741" authorId="0" shapeId="0">
      <text>
        <t>raw warhead damages: 4000, 2000, 2, 4000, 2
import scales all proportionally</t>
      </text>
    </comment>
    <comment ref="AB741" authorId="0" shapeId="0">
      <text>
        <t>fires when: rank-elite &amp;&amp; schwarzermond_upgrade_crystallens &amp;&amp; !schwarzermond_upgrade_amplifiedlens</t>
      </text>
    </comment>
    <comment ref="L742" authorId="0" shapeId="0">
      <text>
        <t>raw warhead damages: 4000, 2000, 2, 4000, 2
import scales all proportionally</t>
      </text>
    </comment>
    <comment ref="AB742" authorId="0" shapeId="0">
      <text>
        <t>fires when: !rank-elite &amp;&amp; schwarzermond_upgrade_amplifiedlens</t>
      </text>
    </comment>
    <comment ref="L743" authorId="0" shapeId="0">
      <text>
        <t>raw warhead damages: 4000, 2000, 2, 4000, 2
import scales all proportionally</t>
      </text>
    </comment>
    <comment ref="AB743" authorId="0" shapeId="0">
      <text>
        <t>fires when: rank-elite &amp;&amp; schwarzermond_upgrade_amplifiedlens</t>
      </text>
    </comment>
    <comment ref="L744" authorId="0" shapeId="0">
      <text>
        <t>raw warhead damages: 4000, 2000, 2, 4000, 2
import scales all proportionally</t>
      </text>
    </comment>
    <comment ref="AB744" authorId="0" shapeId="0">
      <text>
        <t>fires when: !rank-elite &amp;&amp; schwarzermond_upgrade_amplifiedlens</t>
      </text>
    </comment>
    <comment ref="L745" authorId="0" shapeId="0">
      <text>
        <t>raw warhead damages: 4000, 2000, 2, 4000, 2
import scales all proportionally</t>
      </text>
    </comment>
    <comment ref="AB745" authorId="0" shapeId="0">
      <text>
        <t>fires when: rank-elite &amp;&amp; schwarzermond_upgrade_amplifiedlens</t>
      </text>
    </comment>
    <comment ref="L747" authorId="0" shapeId="0">
      <text>
        <t>raw warhead damages: 4000, 2
import scales all proportionally</t>
      </text>
    </comment>
    <comment ref="AB747" authorId="0" shapeId="0">
      <text>
        <t>fires when: !tkm_upgrade_titanarmorpiercingbulletsupgrade</t>
      </text>
    </comment>
    <comment ref="L748" authorId="0" shapeId="0">
      <text>
        <t>raw warhead damages: 2000, 500, 1, 6000, 3
import scales all proportionally</t>
      </text>
    </comment>
    <comment ref="AB748" authorId="0" shapeId="0">
      <text>
        <t>fires when: tkm_upgrade_titanarmorpiercingbulletsupgrade</t>
      </text>
    </comment>
    <comment ref="L749" authorId="0" shapeId="0">
      <text>
        <t>raw warhead damages: 4000, 2
import scales all proportionally</t>
      </text>
    </comment>
    <comment ref="AB749" authorId="0" shapeId="0">
      <text>
        <t>fires when: !tkm_upgrade_titanarmorpiercingbulletsupgrade</t>
      </text>
    </comment>
    <comment ref="L750" authorId="0" shapeId="0">
      <text>
        <t>raw warhead damages: 2000, 500, 1, 6000, 3
import scales all proportionally</t>
      </text>
    </comment>
    <comment ref="AB750" authorId="0" shapeId="0">
      <text>
        <t>fires when: tkm_upgrade_titanarmorpiercingbulletsupgrade</t>
      </text>
    </comment>
    <comment ref="L752" authorId="0" shapeId="0">
      <text>
        <t>raw warhead damages: 30000, 15000, 15
import scales all proportionally</t>
      </text>
    </comment>
    <comment ref="L753" authorId="0" shapeId="0">
      <text>
        <t>raw warhead damages: 30000, 15000, 15
import scales all proportionally</t>
      </text>
    </comment>
    <comment ref="L755" authorId="0" shapeId="0">
      <text>
        <t>raw warhead damages: 18000, 9, 1000
import scales all proportionally</t>
      </text>
    </comment>
    <comment ref="L756" authorId="0" shapeId="0">
      <text>
        <t>raw warhead damages: 18000, 9, 1000
import scales all proportionally</t>
      </text>
    </comment>
    <comment ref="L758" authorId="0" shapeId="0">
      <text>
        <t>raw warhead damages: 12000, 6000, 6, 12000, 6, 1000
import scales all proportionally</t>
      </text>
    </comment>
    <comment ref="L759" authorId="0" shapeId="0">
      <text>
        <t>raw warhead damages: 12000, 6000, 6, 12000, 6, 1000
import scales all proportionally</t>
      </text>
    </comment>
    <comment ref="L761" authorId="0" shapeId="0">
      <text>
        <t>raw warhead damages: 8000, 4000, 4, 8000, 4, 1000
import scales all proportionally</t>
      </text>
    </comment>
    <comment ref="L762" authorId="0" shapeId="0">
      <text>
        <t>raw warhead damages: 8000, 4000, 4, 8000, 4, 1000
import scales all proportionally</t>
      </text>
    </comment>
    <comment ref="L764" authorId="0" shapeId="0">
      <text>
        <t>raw warhead damages: 10000, 5, 10000, 5, 10000, 5
import scales all proportionally</t>
      </text>
    </comment>
    <comment ref="L765" authorId="0" shapeId="0">
      <text>
        <t>raw warhead damages: 10000, 5, 10000, 5, 10000, 5
import scales all proportionally</t>
      </text>
    </comment>
    <comment ref="L767" authorId="0" shapeId="0">
      <text>
        <t>raw warhead damages: 8000, 4, 1000, 8000, 4, 8000, 4
import scales all proportionally</t>
      </text>
    </comment>
    <comment ref="L768" authorId="0" shapeId="0">
      <text>
        <t>raw warhead damages: 8000, 4, 1000, 8000, 4, 8000, 4
import scales all proportionally</t>
      </text>
    </comment>
    <comment ref="L771" authorId="0" shapeId="0">
      <text>
        <t>raw warhead damages: 48000, 24000, 24
import scales all proportionally</t>
      </text>
    </comment>
    <comment ref="L772" authorId="0" shapeId="0">
      <text>
        <t>raw warhead damages: 48000, 24000, 24
import scales all proportionally</t>
      </text>
    </comment>
    <comment ref="L774" authorId="0" shapeId="0">
      <text>
        <t>raw warhead damages: 20000, 10000, 10
import scales all proportionally</t>
      </text>
    </comment>
    <comment ref="L775" authorId="0" shapeId="0">
      <text>
        <t>raw warhead damages: 20000, 10000, 10
import scales all proportionally</t>
      </text>
    </comment>
    <comment ref="L777" authorId="0" shapeId="0">
      <text>
        <t>raw warhead damages: 10000, 5000, 5
import scales all proportionally</t>
      </text>
    </comment>
    <comment ref="AB777" authorId="0" shapeId="0">
      <text>
        <t>fires when: !japan_upgrade_advancedplasmaweapons</t>
      </text>
    </comment>
    <comment ref="L778" authorId="0" shapeId="0">
      <text>
        <t>raw warhead damages: 10000, 5000, 5
import scales all proportionally</t>
      </text>
    </comment>
    <comment ref="AB778" authorId="0" shapeId="0">
      <text>
        <t>fires when: !japan_upgrade_advancedplasmaweapons</t>
      </text>
    </comment>
    <comment ref="L779" authorId="0" shapeId="0">
      <text>
        <t>raw warhead damages: 10000, 5000, 5, 10000, 5000, 5
import scales all proportionally</t>
      </text>
    </comment>
    <comment ref="AB779" authorId="0" shapeId="0">
      <text>
        <t>fires when: japan_upgrade_advancedplasmaweapons</t>
      </text>
    </comment>
    <comment ref="L780" authorId="0" shapeId="0">
      <text>
        <t>raw warhead damages: 10000, 5000, 5, 10000, 5000, 5
import scales all proportionally</t>
      </text>
    </comment>
    <comment ref="AB780" authorId="0" shapeId="0">
      <text>
        <t>fires when: japan_upgrade_advancedplasmaweapons</t>
      </text>
    </comment>
    <comment ref="L782" authorId="0" shapeId="0">
      <text>
        <t>raw warhead damages: 50000, 25
import scales all proportionally</t>
      </text>
    </comment>
    <comment ref="L784" authorId="0" shapeId="0">
      <text>
        <t>raw warhead damages: 7000, 5
import scales all proportionally</t>
      </text>
    </comment>
    <comment ref="L785" authorId="0" shapeId="0">
      <text>
        <t>raw warhead damages: 7000, 5
import scales all proportionally</t>
      </text>
    </comment>
    <comment ref="L788" authorId="0" shapeId="0">
      <text>
        <t>raw warhead damages: 4000, 2000, 2, 4000, 2000, 2, 4000, 2, 4000, 2, 4000, 2, 4000, 2
import scales all proportionally</t>
      </text>
    </comment>
    <comment ref="L789" authorId="0" shapeId="0">
      <text>
        <t>raw warhead damages: 4000, 2000, 2, 4000, 2000, 2, 4000, 2, 4000, 2, 4000, 2, 4000, 2
import scales all proportionally</t>
      </text>
    </comment>
    <comment ref="L791" authorId="0" shapeId="0">
      <text>
        <t>raw warhead damages: 32000, 16000, 16, 32000, 16000, 16
import scales all proportionally</t>
      </text>
    </comment>
    <comment ref="AB791" authorId="0" shapeId="0">
      <text>
        <t>fires when: !forgotten_upgrade_chemicalweapons</t>
      </text>
    </comment>
    <comment ref="L792" authorId="0" shapeId="0">
      <text>
        <t>raw warhead damages: 32000, 16000, 16, 32000, 16000, 16, 32000, 16000, 16
import scales all proportionally</t>
      </text>
    </comment>
    <comment ref="AB792" authorId="0" shapeId="0">
      <text>
        <t>fires when: forgotten_upgrade_chemicalweapons</t>
      </text>
    </comment>
    <comment ref="L793" authorId="0" shapeId="0">
      <text>
        <t>raw warhead damages: 32000, 16000, 16, 32000, 16000, 16
import scales all proportionally</t>
      </text>
    </comment>
    <comment ref="AB793" authorId="0" shapeId="0">
      <text>
        <t>fires when: !forgotten_upgrade_chemicalweapons</t>
      </text>
    </comment>
    <comment ref="L794" authorId="0" shapeId="0">
      <text>
        <t>raw warhead damages: 32000, 16000, 16, 32000, 16000, 16, 32000, 16000, 16
import scales all proportionally</t>
      </text>
    </comment>
    <comment ref="AB794" authorId="0" shapeId="0">
      <text>
        <t>fires when: forgotten_upgrade_chemicalweapons</t>
      </text>
    </comment>
    <comment ref="L796" authorId="0" shapeId="0">
      <text>
        <t>raw warhead damages: 4000, 2000, 2, 4000, 2000, 2, 4000, 2, 4000, 2, 4000, 2, 4000, 2
import scales all proportionally</t>
      </text>
    </comment>
    <comment ref="L797" authorId="0" shapeId="0">
      <text>
        <t>raw warhead damages: 4000, 2000, 2, 4000, 2000, 2, 4000, 2, 4000, 2, 4000, 2, 4000, 2
import scales all proportionally</t>
      </text>
    </comment>
    <comment ref="L799" authorId="0" shapeId="0">
      <text>
        <t>raw warhead damages: 10000, 5000, 5, 10000, 5000, 5
import scales all proportionally</t>
      </text>
    </comment>
    <comment ref="AB799" authorId="0" shapeId="0">
      <text>
        <t>fires when: !forgotten_upgrade_chemicalweapons</t>
      </text>
    </comment>
    <comment ref="L800" authorId="0" shapeId="0">
      <text>
        <t>raw warhead damages: 10000, 5000, 5, 10000, 5000, 5
import scales all proportionally</t>
      </text>
    </comment>
    <comment ref="AB800" authorId="0" shapeId="0">
      <text>
        <t>fires when: !forgotten_upgrade_chemicalweapons</t>
      </text>
    </comment>
    <comment ref="L801" authorId="0" shapeId="0">
      <text>
        <t>raw warhead damages: 10000, 5000, 5, 10000, 5000, 5, 10000, 5000, 5
import scales all proportionally</t>
      </text>
    </comment>
    <comment ref="AB801" authorId="0" shapeId="0">
      <text>
        <t>fires when: forgotten_upgrade_chemicalweapons</t>
      </text>
    </comment>
    <comment ref="L802" authorId="0" shapeId="0">
      <text>
        <t>raw warhead damages: 10000, 5000, 5, 10000, 5000, 5, 10000, 5000, 5
import scales all proportionally</t>
      </text>
    </comment>
    <comment ref="AB802" authorId="0" shapeId="0">
      <text>
        <t>fires when: forgotten_upgrade_chemicalweapons</t>
      </text>
    </comment>
    <comment ref="L804" authorId="0" shapeId="0">
      <text>
        <t>raw warhead damages: 16000, 8000, 8
import scales all proportionally</t>
      </text>
    </comment>
    <comment ref="L805" authorId="0" shapeId="0">
      <text>
        <t>raw warhead damages: 16000, 8000, 8
import scales all proportionally</t>
      </text>
    </comment>
    <comment ref="L807" authorId="0" shapeId="0">
      <text>
        <t>raw warhead damages: 2000, 1000, 1
import scales all proportionally</t>
      </text>
    </comment>
    <comment ref="L808" authorId="0" shapeId="0">
      <text>
        <t>raw warhead damages: 2000, 1000, 1
import scales all proportionally</t>
      </text>
    </comment>
    <comment ref="L810" authorId="0" shapeId="0">
      <text>
        <t>raw warhead damages: 2000, 1
import scales all proportionally</t>
      </text>
    </comment>
    <comment ref="AB810" authorId="0" shapeId="0">
      <text>
        <t>fires when: !rank-elite</t>
      </text>
    </comment>
    <comment ref="L811" authorId="0" shapeId="0">
      <text>
        <t>raw warhead damages: 2000, 1
import scales all proportionally</t>
      </text>
    </comment>
    <comment ref="AB811" authorId="0" shapeId="0">
      <text>
        <t>fires when: rank-elite</t>
      </text>
    </comment>
    <comment ref="L812" authorId="0" shapeId="0">
      <text>
        <t>raw warhead damages: 2000, 1
import scales all proportionally</t>
      </text>
    </comment>
    <comment ref="AB812" authorId="0" shapeId="0">
      <text>
        <t>fires when: !rank-elite</t>
      </text>
    </comment>
    <comment ref="L813" authorId="0" shapeId="0">
      <text>
        <t>raw warhead damages: 2000, 1
import scales all proportionally</t>
      </text>
    </comment>
    <comment ref="AB813" authorId="0" shapeId="0">
      <text>
        <t>fires when: rank-elite</t>
      </text>
    </comment>
    <comment ref="L819" authorId="0" shapeId="0">
      <text>
        <t>raw warhead damages: 20000, 10000, 10
import scales all proportionally</t>
      </text>
    </comment>
    <comment ref="AB819" authorId="0" shapeId="0">
      <text>
        <t>fires when: !rank-elite</t>
      </text>
    </comment>
    <comment ref="L820" authorId="0" shapeId="0">
      <text>
        <t>raw warhead damages: 20000, 10000, 10
import scales all proportionally</t>
      </text>
    </comment>
    <comment ref="AB820" authorId="0" shapeId="0">
      <text>
        <t>fires when: rank-elite</t>
      </text>
    </comment>
    <comment ref="L822" authorId="0" shapeId="0">
      <text>
        <t>raw warhead damages: 16000, 8000, 8
import scales all proportionally</t>
      </text>
    </comment>
    <comment ref="AB822" authorId="0" shapeId="0">
      <text>
        <t>fires when: !rank-elite</t>
      </text>
    </comment>
    <comment ref="L823" authorId="0" shapeId="0">
      <text>
        <t>raw warhead damages: 16000, 8000, 8
import scales all proportionally</t>
      </text>
    </comment>
    <comment ref="AB823" authorId="0" shapeId="0">
      <text>
        <t>fires when: rank-elite</t>
      </text>
    </comment>
    <comment ref="L825" authorId="0" shapeId="0">
      <text>
        <t>raw warhead damages: 20000, 10000, 10
import scales all proportionally</t>
      </text>
    </comment>
    <comment ref="AB825" authorId="0" shapeId="0">
      <text>
        <t>fires when: !rank-elite &amp;&amp; !asianalliance_doctrine_modernizedinfantryequipment</t>
      </text>
    </comment>
    <comment ref="L826" authorId="0" shapeId="0">
      <text>
        <t>raw warhead damages: 20000, 10000, 10
import scales all proportionally</t>
      </text>
    </comment>
    <comment ref="AB826" authorId="0" shapeId="0">
      <text>
        <t>fires when: (rank-elite &amp;&amp; !asianalliance_doctrine_modernizedinfantryequipment) || (!rank-elite &amp;&amp; asianalliance_doctrine_modernizedinfantryequipment)</t>
      </text>
    </comment>
    <comment ref="L827" authorId="0" shapeId="0">
      <text>
        <t>raw warhead damages: 20000, 10000, 10
import scales all proportionally</t>
      </text>
    </comment>
    <comment ref="AB827" authorId="0" shapeId="0">
      <text>
        <t>fires when: rank-elite &amp;&amp; asianalliance_doctrine_modernizedinfantryequipment</t>
      </text>
    </comment>
    <comment ref="L831" authorId="0" shapeId="0">
      <text>
        <t>raw warhead damages: 20000, 10000, 10
import scales all proportionally</t>
      </text>
    </comment>
    <comment ref="AB831" authorId="0" shapeId="0">
      <text>
        <t>fires when: !rank-elite</t>
      </text>
    </comment>
    <comment ref="L832" authorId="0" shapeId="0">
      <text>
        <t>raw warhead damages: 20000, 10000, 10
import scales all proportionally</t>
      </text>
    </comment>
    <comment ref="AB832" authorId="0" shapeId="0">
      <text>
        <t>fires when: rank-elite</t>
      </text>
    </comment>
    <comment ref="L833" authorId="0" shapeId="0">
      <text>
        <t>raw warhead damages: 20000, 10000, 10
import scales all proportionally</t>
      </text>
    </comment>
    <comment ref="L835" authorId="0" shapeId="0">
      <text>
        <t>raw warhead damages: 2000, 1000, 1
import scales all proportionally</t>
      </text>
    </comment>
    <comment ref="L836" authorId="0" shapeId="0">
      <text>
        <t>raw warhead damages: 2000, 1000, 1
import scales all proportionally</t>
      </text>
    </comment>
    <comment ref="L838" authorId="0" shapeId="0">
      <text>
        <t>raw warhead damages: 10000, 5
import scales all proportionally</t>
      </text>
    </comment>
    <comment ref="AB838" authorId="0" shapeId="0">
      <text>
        <t>fires when: !rank-elite</t>
      </text>
    </comment>
    <comment ref="L839" authorId="0" shapeId="0">
      <text>
        <t>raw warhead damages: 10000, 5
import scales all proportionally</t>
      </text>
    </comment>
    <comment ref="AB839" authorId="0" shapeId="0">
      <text>
        <t>fires when: rank-elite</t>
      </text>
    </comment>
    <comment ref="L840" authorId="0" shapeId="0">
      <text>
        <t>raw warhead damages: 10000, 5
import scales all proportionally</t>
      </text>
    </comment>
    <comment ref="AB840" authorId="0" shapeId="0">
      <text>
        <t>fires when: !rank-elite</t>
      </text>
    </comment>
    <comment ref="L841" authorId="0" shapeId="0">
      <text>
        <t>raw warhead damages: 10000, 5
import scales all proportionally</t>
      </text>
    </comment>
    <comment ref="AB841" authorId="0" shapeId="0">
      <text>
        <t>fires when: rank-elite</t>
      </text>
    </comment>
    <comment ref="L844" authorId="0" shapeId="0">
      <text>
        <t>raw warhead damages: 2000, 1000, 1, 2000, 1000, 1, 2000, 1, 2000, 1, 2000, 1, 2000, 1
import scales all proportionally</t>
      </text>
    </comment>
    <comment ref="AB844" authorId="0" shapeId="0">
      <text>
        <t>fires when: !deployed &amp;&amp; !rank-elite</t>
      </text>
    </comment>
    <comment ref="L845" authorId="0" shapeId="0">
      <text>
        <t>raw warhead damages: 2000, 1000, 1, 2000, 1000, 1, 2000, 1, 2000, 1, 2000, 1, 2000, 1
import scales all proportionally</t>
      </text>
    </comment>
    <comment ref="AB845" authorId="0" shapeId="0">
      <text>
        <t>fires when: deployed &amp;&amp; !rank-elite</t>
      </text>
    </comment>
    <comment ref="L846" authorId="0" shapeId="0">
      <text>
        <t>raw warhead damages: 2000, 1000, 1, 2000, 1000, 1, 2000, 1, 2000, 1, 2000, 1, 2000, 1
import scales all proportionally</t>
      </text>
    </comment>
    <comment ref="AB846" authorId="0" shapeId="0">
      <text>
        <t>fires when: !rank-elite</t>
      </text>
    </comment>
    <comment ref="L847" authorId="0" shapeId="0">
      <text>
        <t>raw warhead damages: 2000, 1000, 1, 2000, 1000, 1, 2000, 1, 2000, 1, 2000, 1, 2000, 1
import scales all proportionally</t>
      </text>
    </comment>
    <comment ref="AB847" authorId="0" shapeId="0">
      <text>
        <t>fires when: !deployed &amp;&amp; rank-elite</t>
      </text>
    </comment>
    <comment ref="L848" authorId="0" shapeId="0">
      <text>
        <t>raw warhead damages: 2000, 1000, 1, 2000, 1000, 1, 2000, 1, 2000, 1, 2000, 1, 2000, 1
import scales all proportionally</t>
      </text>
    </comment>
    <comment ref="AB848" authorId="0" shapeId="0">
      <text>
        <t>fires when: deployed &amp;&amp; rank-elite</t>
      </text>
    </comment>
    <comment ref="L849" authorId="0" shapeId="0">
      <text>
        <t>raw warhead damages: 2000, 1000, 1, 2000, 1000, 1, 2000, 1, 2000, 1, 2000, 1, 2000, 1
import scales all proportionally</t>
      </text>
    </comment>
    <comment ref="AB849" authorId="0" shapeId="0">
      <text>
        <t>fires when: rank-elite</t>
      </text>
    </comment>
    <comment ref="AB850" authorId="0" shapeId="0">
      <text>
        <t>fires when: botmicro</t>
      </text>
    </comment>
    <comment ref="L852" authorId="0" shapeId="0">
      <text>
        <t>raw warhead damages: 2000, 1
import scales all proportionally</t>
      </text>
    </comment>
    <comment ref="L853" authorId="0" shapeId="0">
      <text>
        <t>raw warhead damages: 2000, 1
import scales all proportionally</t>
      </text>
    </comment>
    <comment ref="L856" authorId="0" shapeId="0">
      <text>
        <t>raw warhead damages: 2000, 1000, 1
import scales all proportionally</t>
      </text>
    </comment>
    <comment ref="L857" authorId="0" shapeId="0">
      <text>
        <t>raw warhead damages: 2000, 1000, 1
import scales all proportionally</t>
      </text>
    </comment>
    <comment ref="L859" authorId="0" shapeId="0">
      <text>
        <t>raw warhead damages: 2000, 1000, 1
import scales all proportionally</t>
      </text>
    </comment>
    <comment ref="L860" authorId="0" shapeId="0">
      <text>
        <t>raw warhead damages: 2000, 1000, 1
import scales all proportionally</t>
      </text>
    </comment>
    <comment ref="L862" authorId="0" shapeId="0">
      <text>
        <t>raw warhead damages: 10000, 5000, 5
import scales all proportionally</t>
      </text>
    </comment>
    <comment ref="L863" authorId="0" shapeId="0">
      <text>
        <t>raw warhead damages: 10000, 5000, 5
import scales all proportionally</t>
      </text>
    </comment>
    <comment ref="L865" authorId="0" shapeId="0">
      <text>
        <t>raw warhead damages: 8000, 4000, 4, 8000, 4000, 4, 8000, 4, 8000, 4
import scales all proportionally</t>
      </text>
    </comment>
    <comment ref="L866" authorId="0" shapeId="0">
      <text>
        <t>raw warhead damages: 8000, 4000, 4, 8000, 4000, 4, 8000, 4, 8000, 4
import scales all proportionally</t>
      </text>
    </comment>
    <comment ref="L868" authorId="0" shapeId="0">
      <text>
        <t>raw warhead damages: 2000, 1, 2000, 1, 2000, 1, 2000, 1
import scales all proportionally</t>
      </text>
    </comment>
    <comment ref="AB868" authorId="0" shapeId="0">
      <text>
        <t>fires when: !ixian_upgrade_tungstenneedleguns</t>
      </text>
    </comment>
    <comment ref="L869" authorId="0" shapeId="0">
      <text>
        <t>raw warhead damages: 2000, 1, 2000, 1, 2000, 1, 2000, 1, 2000, 1, 2000, 1
import scales all proportionally</t>
      </text>
    </comment>
    <comment ref="AB869" authorId="0" shapeId="0">
      <text>
        <t>fires when: ixian_upgrade_tungstenneedleguns</t>
      </text>
    </comment>
    <comment ref="L870" authorId="0" shapeId="0">
      <text>
        <t>raw warhead damages: 2000, 1, 2000, 1, 2000, 1, 2000, 1
import scales all proportionally</t>
      </text>
    </comment>
    <comment ref="AB870" authorId="0" shapeId="0">
      <text>
        <t>fires when: !ixian_upgrade_tungstenneedleguns</t>
      </text>
    </comment>
    <comment ref="L871" authorId="0" shapeId="0">
      <text>
        <t>raw warhead damages: 2000, 1, 2000, 1, 2000, 1, 2000, 1, 2000, 1, 2000, 1
import scales all proportionally</t>
      </text>
    </comment>
    <comment ref="AB871" authorId="0" shapeId="0">
      <text>
        <t>fires when: ixian_upgrade_tungstenneedleguns</t>
      </text>
    </comment>
    <comment ref="L873" authorId="0" shapeId="0">
      <text>
        <t>raw warhead damages: 30000, 15000, 15
import scales all proportionally</t>
      </text>
    </comment>
    <comment ref="L875" authorId="0" shapeId="0">
      <text>
        <t>raw warhead damages: 20000, 10000, 1
import scales all proportionally</t>
      </text>
    </comment>
    <comment ref="L877" authorId="0" shapeId="0">
      <text>
        <t>raw warhead damages: 32000, 16000, 16
import scales all proportionally</t>
      </text>
    </comment>
    <comment ref="L879" authorId="0" shapeId="0">
      <text>
        <t>raw warhead damages: 8000, 4000, 4
import scales all proportionally</t>
      </text>
    </comment>
    <comment ref="L883" authorId="0" shapeId="0">
      <text>
        <t>raw warhead damages: 6000, 3000, 3
import scales all proportionally</t>
      </text>
    </comment>
    <comment ref="L885" authorId="0" shapeId="0">
      <text>
        <t>raw warhead damages: 2000, 1000, 1
import scales all proportionally</t>
      </text>
    </comment>
    <comment ref="L887" authorId="0" shapeId="0">
      <text>
        <t>raw warhead damages: 2000, 1000, 1
import scales all proportionally</t>
      </text>
    </comment>
    <comment ref="L888" authorId="0" shapeId="0">
      <text>
        <t>raw warhead damages: 2000, 1000, 1
import scales all proportionally</t>
      </text>
    </comment>
    <comment ref="L889" authorId="0" shapeId="0">
      <text>
        <t>raw warhead damages: 2000, 1000, 1
import scales all proportionally</t>
      </text>
    </comment>
    <comment ref="L890" authorId="0" shapeId="0">
      <text>
        <t>raw warhead damages: 2000, 1000, 1
import scales all proportionally</t>
      </text>
    </comment>
    <comment ref="L892" authorId="0" shapeId="0">
      <text>
        <t>raw warhead damages: 2000, 1000, 1, 2000, 1000, 1
import scales all proportionally</t>
      </text>
    </comment>
    <comment ref="L893" authorId="0" shapeId="0">
      <text>
        <t>raw warhead damages: 2000, 1000, 1, 2000, 1000, 1
import scales all proportionally</t>
      </text>
    </comment>
    <comment ref="L894" authorId="0" shapeId="0">
      <text>
        <t>raw warhead damages: 2000, 1000, 1, 2000, 1000, 1
import scales all proportionally</t>
      </text>
    </comment>
    <comment ref="L895" authorId="0" shapeId="0">
      <text>
        <t>raw warhead damages: 2000, 1000, 1, 2000, 1000, 1
import scales all proportionally</t>
      </text>
    </comment>
    <comment ref="L897" authorId="0" shapeId="0">
      <text>
        <t>raw warhead damages: 16000, 8000, 8
import scales all proportionally</t>
      </text>
    </comment>
    <comment ref="L899" authorId="0" shapeId="0">
      <text>
        <t>raw warhead damages: 24000, 12000, 12
import scales all proportionally</t>
      </text>
    </comment>
    <comment ref="L901" authorId="0" shapeId="0">
      <text>
        <t>raw warhead damages: 12000, 6000, 6
import scales all proportionally</t>
      </text>
    </comment>
    <comment ref="L903" authorId="0" shapeId="0">
      <text>
        <t>raw warhead damages: 12000, 6000, 6
import scales all proportionally</t>
      </text>
    </comment>
    <comment ref="L905" authorId="0" shapeId="0">
      <text>
        <t>raw warhead damages: 18000, 9000, 9
import scales all proportionally</t>
      </text>
    </comment>
    <comment ref="L917" authorId="0" shapeId="0">
      <text>
        <t>raw warhead damages: 8000, 4, 8000, 4000, 4, 8000, 4, 8000, 4
import scales all proportionally</t>
      </text>
    </comment>
    <comment ref="L918" authorId="0" shapeId="0">
      <text>
        <t>raw warhead damages: 8000, 4, 8000, 4000, 4, 8000, 4, 8000, 4
import scales all proportionally</t>
      </text>
    </comment>
    <comment ref="L920" authorId="0" shapeId="0">
      <text>
        <t>raw warhead damages: 40000, 20
import scales all proportionally</t>
      </text>
    </comment>
    <comment ref="AB920" authorId="0" shapeId="0">
      <text>
        <t>fires when: !japan_upgrade_energizedarrows</t>
      </text>
    </comment>
    <comment ref="L921" authorId="0" shapeId="0">
      <text>
        <t>raw warhead damages: 40000, 20
import scales all proportionally</t>
      </text>
    </comment>
    <comment ref="AB921" authorId="0" shapeId="0">
      <text>
        <t>fires when: !japan_upgrade_energizedarrows</t>
      </text>
    </comment>
    <comment ref="L922" authorId="0" shapeId="0">
      <text>
        <t>raw warhead damages: 6000, 3000, 3, 6000, 3000, 3, 6000, 3000, 3, 6000, 3, 6000, 3000, 3, 6000, 3, 6000, 3
import scales all proportionally</t>
      </text>
    </comment>
    <comment ref="AB922" authorId="0" shapeId="0">
      <text>
        <t>fires when: japan_upgrade_energizedarrows</t>
      </text>
    </comment>
    <comment ref="L923" authorId="0" shapeId="0">
      <text>
        <t>raw warhead damages: 6000, 3000, 3, 6000, 3000, 3, 6000, 3000, 3, 6000, 3, 6000, 3000, 3, 6000, 3, 6000, 3
import scales all proportionally</t>
      </text>
    </comment>
    <comment ref="AB923" authorId="0" shapeId="0">
      <text>
        <t>fires when: japan_upgrade_energizedarrows</t>
      </text>
    </comment>
    <comment ref="L925" authorId="0" shapeId="0">
      <text>
        <t>raw warhead damages: 10000, 5
import scales all proportionally</t>
      </text>
    </comment>
    <comment ref="L926" authorId="0" shapeId="0">
      <text>
        <t>raw warhead damages: 10000, 5
import scales all proportionally</t>
      </text>
    </comment>
    <comment ref="L928" authorId="0" shapeId="0">
      <text>
        <t>raw warhead damages: 30000, 15
import scales all proportionally</t>
      </text>
    </comment>
    <comment ref="AB928" authorId="0" shapeId="0">
      <text>
        <t>fires when: !ra1_allies_upgrade_cryomissiles</t>
      </text>
    </comment>
    <comment ref="L929" authorId="0" shapeId="0">
      <text>
        <t>raw warhead damages: 30000, 15
import scales all proportionally</t>
      </text>
    </comment>
    <comment ref="AB929" authorId="0" shapeId="0">
      <text>
        <t>fires when: !ra1_allies_upgrade_cryomissiles</t>
      </text>
    </comment>
    <comment ref="L930" authorId="0" shapeId="0">
      <text>
        <t>raw warhead damages: 30000, 15
import scales all proportionally</t>
      </text>
    </comment>
    <comment ref="AB930" authorId="0" shapeId="0">
      <text>
        <t>fires when: ra1_allies_upgrade_cryomissiles</t>
      </text>
    </comment>
    <comment ref="L931" authorId="0" shapeId="0">
      <text>
        <t>raw warhead damages: 30000, 15
import scales all proportionally</t>
      </text>
    </comment>
    <comment ref="AB931" authorId="0" shapeId="0">
      <text>
        <t>fires when: ra1_allies_upgrade_cryomissiles</t>
      </text>
    </comment>
    <comment ref="L935" authorId="0" shapeId="0">
      <text>
        <t>raw warhead damages: 20000, 10
import scales all proportionally</t>
      </text>
    </comment>
    <comment ref="L936" authorId="0" shapeId="0">
      <text>
        <t>raw warhead damages: 20000, 10
import scales all proportionally</t>
      </text>
    </comment>
    <comment ref="L940" authorId="0" shapeId="0">
      <text>
        <t>raw warhead damages: 20000, 10
import scales all proportionally</t>
      </text>
    </comment>
    <comment ref="L941" authorId="0" shapeId="0">
      <text>
        <t>raw warhead damages: 20000, 10
import scales all proportionally</t>
      </text>
    </comment>
    <comment ref="L945" authorId="0" shapeId="0">
      <text>
        <t>raw warhead damages: 20000, 10
import scales all proportionally</t>
      </text>
    </comment>
    <comment ref="L946" authorId="0" shapeId="0">
      <text>
        <t>raw warhead damages: 20000, 10
import scales all proportionally</t>
      </text>
    </comment>
    <comment ref="L948" authorId="0" shapeId="0">
      <text>
        <t>raw warhead damages: 10000, 5
import scales all proportionally</t>
      </text>
    </comment>
    <comment ref="L949" authorId="0" shapeId="0">
      <text>
        <t>raw warhead damages: 10000, 5
import scales all proportionally</t>
      </text>
    </comment>
    <comment ref="L951" authorId="0" shapeId="0">
      <text>
        <t>raw warhead damages: 10000, 5
import scales all proportionally</t>
      </text>
    </comment>
    <comment ref="L952" authorId="0" shapeId="0">
      <text>
        <t>raw warhead damages: 10000, 5
import scales all proportionally</t>
      </text>
    </comment>
    <comment ref="L954" authorId="0" shapeId="0">
      <text>
        <t>raw warhead damages: 10000, 5
import scales all proportionally</t>
      </text>
    </comment>
    <comment ref="L955" authorId="0" shapeId="0">
      <text>
        <t>raw warhead damages: 10000, 5
import scales all proportionally</t>
      </text>
    </comment>
    <comment ref="L957" authorId="0" shapeId="0">
      <text>
        <t>raw warhead damages: 44000, 22
import scales all proportionally</t>
      </text>
    </comment>
    <comment ref="AB957" authorId="0" shapeId="0">
      <text>
        <t>fires when: !rank-elite</t>
      </text>
    </comment>
    <comment ref="L958" authorId="0" shapeId="0">
      <text>
        <t>raw warhead damages: 88000, 44
import scales all proportionally</t>
      </text>
    </comment>
    <comment ref="AB958" authorId="0" shapeId="0">
      <text>
        <t>fires when: rank-elite</t>
      </text>
    </comment>
    <comment ref="L959" authorId="0" shapeId="0">
      <text>
        <t>raw warhead damages: 44000, 22
import scales all proportionally</t>
      </text>
    </comment>
    <comment ref="AB959" authorId="0" shapeId="0">
      <text>
        <t>fires when: !rank-elite</t>
      </text>
    </comment>
    <comment ref="L960" authorId="0" shapeId="0">
      <text>
        <t>raw warhead damages: 88000, 44
import scales all proportionally</t>
      </text>
    </comment>
    <comment ref="AB960" authorId="0" shapeId="0">
      <text>
        <t>fires when: rank-elite</t>
      </text>
    </comment>
    <comment ref="L962" authorId="0" shapeId="0">
      <text>
        <t>raw warhead damages: 12000, 6000, 6, 12000, 6
import scales all proportionally</t>
      </text>
    </comment>
    <comment ref="AB962" authorId="0" shapeId="0">
      <text>
        <t>fires when: !rank-elite &amp;&amp; !yuri_upgrade_meltingvirus</t>
      </text>
    </comment>
    <comment ref="L963" authorId="0" shapeId="0">
      <text>
        <t>raw warhead damages: 12000, 6, 12000, 6000, 6, 12000, 6
import scales all proportionally</t>
      </text>
    </comment>
    <comment ref="AB963" authorId="0" shapeId="0">
      <text>
        <t>fires when: !rank-elite &amp;&amp; yuri_upgrade_meltingvirus &amp;&amp; !yuri_upgrade_corrosiveammo</t>
      </text>
    </comment>
    <comment ref="L964" authorId="0" shapeId="0">
      <text>
        <t>raw warhead damages: 12000, 6, 12000, 6, 12000, 6000, 6, 12000, 6
import scales all proportionally</t>
      </text>
    </comment>
    <comment ref="AB964" authorId="0" shapeId="0">
      <text>
        <t>fires when: !rank-elite &amp;&amp; yuri_upgrade_corrosiveammo</t>
      </text>
    </comment>
    <comment ref="L965" authorId="0" shapeId="0">
      <text>
        <t>raw warhead damages: 12000, 6, 12000, 6, 12000, 6000, 6, 12000, 6
import scales all proportionally</t>
      </text>
    </comment>
    <comment ref="AB965" authorId="0" shapeId="0">
      <text>
        <t>fires when: rank-elite</t>
      </text>
    </comment>
    <comment ref="L966" authorId="0" shapeId="0">
      <text>
        <t>raw warhead damages: 12000, 6000, 6, 12000, 6
import scales all proportionally</t>
      </text>
    </comment>
    <comment ref="AB966" authorId="0" shapeId="0">
      <text>
        <t>fires when: !rank-elite &amp;&amp; !yuri_upgrade_meltingvirus</t>
      </text>
    </comment>
    <comment ref="L967" authorId="0" shapeId="0">
      <text>
        <t>raw warhead damages: 12000, 6, 12000, 6000, 6, 12000, 6
import scales all proportionally</t>
      </text>
    </comment>
    <comment ref="AB967" authorId="0" shapeId="0">
      <text>
        <t>fires when: !rank-elite &amp;&amp; yuri_upgrade_meltingvirus &amp;&amp; !yuri_upgrade_corrosiveammo</t>
      </text>
    </comment>
    <comment ref="L968" authorId="0" shapeId="0">
      <text>
        <t>raw warhead damages: 12000, 6, 12000, 6, 12000, 6000, 6, 12000, 6
import scales all proportionally</t>
      </text>
    </comment>
    <comment ref="AB968" authorId="0" shapeId="0">
      <text>
        <t>fires when: !rank-elite &amp;&amp; yuri_upgrade_corrosiveammo</t>
      </text>
    </comment>
    <comment ref="L969" authorId="0" shapeId="0">
      <text>
        <t>raw warhead damages: 12000, 6, 12000, 6, 12000, 6000, 6, 12000, 6
import scales all proportionally</t>
      </text>
    </comment>
    <comment ref="AB969" authorId="0" shapeId="0">
      <text>
        <t>fires when: rank-elite</t>
      </text>
    </comment>
    <comment ref="L971" authorId="0" shapeId="0">
      <text>
        <t>raw warhead damages: 2000, 1, 2000, 1
import scales all proportionally</t>
      </text>
    </comment>
    <comment ref="AB971" authorId="0" shapeId="0">
      <text>
        <t>fires when: !asianalliance_doctrine_modernizedinfantryequipment</t>
      </text>
    </comment>
    <comment ref="L972" authorId="0" shapeId="0">
      <text>
        <t>raw warhead damages: 2000, 1, 1000, 2000, 1, 2000, 1
import scales all proportionally</t>
      </text>
    </comment>
    <comment ref="AB972" authorId="0" shapeId="0">
      <text>
        <t>fires when: asianalliance_doctrine_modernizedinfantryequipment</t>
      </text>
    </comment>
    <comment ref="AB973" authorId="0" shapeId="0">
      <text>
        <t>fires when: canflare</t>
      </text>
    </comment>
    <comment ref="L974" authorId="0" shapeId="0">
      <text>
        <t>raw warhead damages: 2000, 1, 2000, 1
import scales all proportionally</t>
      </text>
    </comment>
    <comment ref="AB974" authorId="0" shapeId="0">
      <text>
        <t>fires when: !asianalliance_doctrine_modernizedinfantryequipment</t>
      </text>
    </comment>
    <comment ref="L975" authorId="0" shapeId="0">
      <text>
        <t>raw warhead damages: 2000, 1, 1000, 2000, 1, 2000, 1
import scales all proportionally</t>
      </text>
    </comment>
    <comment ref="AB975" authorId="0" shapeId="0">
      <text>
        <t>fires when: asianalliance_doctrine_modernizedinfantryequipment</t>
      </text>
    </comment>
    <comment ref="L977" authorId="0" shapeId="0">
      <text>
        <t>raw warhead damages: 20000, 10000, 10
import scales all proportionally</t>
      </text>
    </comment>
    <comment ref="AB977" authorId="0" shapeId="0">
      <text>
        <t>fires when: !rank-elite</t>
      </text>
    </comment>
    <comment ref="L978" authorId="0" shapeId="0">
      <text>
        <t>raw warhead damages: 20000, 10000, 10
import scales all proportionally</t>
      </text>
    </comment>
    <comment ref="AB978" authorId="0" shapeId="0">
      <text>
        <t>fires when: rank-elite</t>
      </text>
    </comment>
    <comment ref="L979" authorId="0" shapeId="0">
      <text>
        <t>raw warhead damages: 20000, 10000, 10
import scales all proportionally</t>
      </text>
    </comment>
    <comment ref="AB979" authorId="0" shapeId="0">
      <text>
        <t>fires when: !rank-elite</t>
      </text>
    </comment>
    <comment ref="L980" authorId="0" shapeId="0">
      <text>
        <t>raw warhead damages: 20000, 10000, 10
import scales all proportionally</t>
      </text>
    </comment>
    <comment ref="AB980" authorId="0" shapeId="0">
      <text>
        <t>fires when: rank-elite</t>
      </text>
    </comment>
    <comment ref="L982" authorId="0" shapeId="0">
      <text>
        <t>raw warhead damages: 70000, 35000, 35
import scales all proportionally</t>
      </text>
    </comment>
    <comment ref="AB982" authorId="0" shapeId="0">
      <text>
        <t>fires when: !rank-elite</t>
      </text>
    </comment>
    <comment ref="L983" authorId="0" shapeId="0">
      <text>
        <t>raw warhead damages: 70000, 35000, 35
import scales all proportionally</t>
      </text>
    </comment>
    <comment ref="AB983" authorId="0" shapeId="0">
      <text>
        <t>fires when: rank-elite</t>
      </text>
    </comment>
    <comment ref="L984" authorId="0" shapeId="0">
      <text>
        <t>raw warhead damages: 20000, 10
import scales all proportionally</t>
      </text>
    </comment>
    <comment ref="AB984" authorId="0" shapeId="0">
      <text>
        <t>fires when: !rank-elite</t>
      </text>
    </comment>
    <comment ref="L985" authorId="0" shapeId="0">
      <text>
        <t>raw warhead damages: 20000, 10
import scales all proportionally</t>
      </text>
    </comment>
    <comment ref="AB985" authorId="0" shapeId="0">
      <text>
        <t>fires when: rank-elite</t>
      </text>
    </comment>
    <comment ref="L986" authorId="0" shapeId="0">
      <text>
        <t>raw warhead damages: 70000, 35000, 35
import scales all proportionally</t>
      </text>
    </comment>
    <comment ref="AB986" authorId="0" shapeId="0">
      <text>
        <t>fires when: !rank-elite</t>
      </text>
    </comment>
    <comment ref="L987" authorId="0" shapeId="0">
      <text>
        <t>raw warhead damages: 70000, 35000, 35
import scales all proportionally</t>
      </text>
    </comment>
    <comment ref="AB987" authorId="0" shapeId="0">
      <text>
        <t>fires when: rank-elite</t>
      </text>
    </comment>
    <comment ref="L988" authorId="0" shapeId="0">
      <text>
        <t>raw warhead damages: 20000, 10
import scales all proportionally</t>
      </text>
    </comment>
    <comment ref="AB988" authorId="0" shapeId="0">
      <text>
        <t>fires when: !rank-elite</t>
      </text>
    </comment>
    <comment ref="L989" authorId="0" shapeId="0">
      <text>
        <t>raw warhead damages: 20000, 10
import scales all proportionally</t>
      </text>
    </comment>
    <comment ref="AB989" authorId="0" shapeId="0">
      <text>
        <t>fires when: rank-elite</t>
      </text>
    </comment>
    <comment ref="L991" authorId="0" shapeId="0">
      <text>
        <t>raw warhead damages: 24000, 12
import scales all proportionally</t>
      </text>
    </comment>
    <comment ref="AB991" authorId="0" shapeId="0">
      <text>
        <t>fires when: !rank-elite</t>
      </text>
    </comment>
    <comment ref="L992" authorId="0" shapeId="0">
      <text>
        <t>raw warhead damages: 24000, 12
import scales all proportionally</t>
      </text>
    </comment>
    <comment ref="AB992" authorId="0" shapeId="0">
      <text>
        <t>fires when: rank-elite</t>
      </text>
    </comment>
    <comment ref="L993" authorId="0" shapeId="0">
      <text>
        <t>raw warhead damages: 24000, 12
import scales all proportionally</t>
      </text>
    </comment>
    <comment ref="AB993" authorId="0" shapeId="0">
      <text>
        <t>fires when: !rank-elite</t>
      </text>
    </comment>
    <comment ref="L994" authorId="0" shapeId="0">
      <text>
        <t>raw warhead damages: 24000, 12
import scales all proportionally</t>
      </text>
    </comment>
    <comment ref="AB994" authorId="0" shapeId="0">
      <text>
        <t>fires when: rank-elite</t>
      </text>
    </comment>
    <comment ref="L996" authorId="0" shapeId="0">
      <text>
        <t>raw warhead damages: 44000, 22
import scales all proportionally</t>
      </text>
    </comment>
    <comment ref="L997" authorId="0" shapeId="0">
      <text>
        <t>raw warhead damages: 44000, 22
import scales all proportionally</t>
      </text>
    </comment>
    <comment ref="L999" authorId="0" shapeId="0">
      <text>
        <t>raw warhead damages: 4000, 2000, 2, 4000, 2, 4000, 2, 4000, 2, 4000, 2, 4000, 2
import scales all proportionally</t>
      </text>
    </comment>
    <comment ref="L1000" authorId="0" shapeId="0">
      <text>
        <t>raw warhead damages: 2000, 1, 2000, 1, 2000, 1, 2000, 1, 2000, 1
import scales all proportionally</t>
      </text>
    </comment>
    <comment ref="L1001" authorId="0" shapeId="0">
      <text>
        <t>raw warhead damages: 2000, 1, 2000, 1, 2000, 1, 2000, 1, 2000, 1
import scales all proportionally</t>
      </text>
    </comment>
    <comment ref="L1003" authorId="0" shapeId="0">
      <text>
        <t>raw warhead damages: 4000, 2
import scales all proportionally</t>
      </text>
    </comment>
    <comment ref="L1004" authorId="0" shapeId="0">
      <text>
        <t>raw warhead damages: 4000, 2
import scales all proportionally</t>
      </text>
    </comment>
    <comment ref="L1005" authorId="0" shapeId="0">
      <text>
        <t>raw warhead damages: 4000, 2000, 2, 4000, 2000, 2, 4000, 2
import scales all proportionally</t>
      </text>
    </comment>
    <comment ref="L1006" authorId="0" shapeId="0">
      <text>
        <t>raw warhead damages: 4000, 2
import scales all proportionally</t>
      </text>
    </comment>
    <comment ref="L1007" authorId="0" shapeId="0">
      <text>
        <t>raw warhead damages: 4000, 2
import scales all proportionally</t>
      </text>
    </comment>
    <comment ref="L1008" authorId="0" shapeId="0">
      <text>
        <t>raw warhead damages: 4000, 2000, 2, 4000, 2000, 2, 4000, 2
import scales all proportionally</t>
      </text>
    </comment>
    <comment ref="L1010" authorId="0" shapeId="0">
      <text>
        <t>raw warhead damages: 8000, 4000, 4, 8000, 4, 8000, 4, 8000, 4, 8000, 4, 8000, 4
import scales all proportionally</t>
      </text>
    </comment>
    <comment ref="L1011" authorId="0" shapeId="0">
      <text>
        <t>raw warhead damages: 4000, 2, 4000, 2, 4000, 2, 4000, 2, 4000, 2
import scales all proportionally</t>
      </text>
    </comment>
    <comment ref="L1012" authorId="0" shapeId="0">
      <text>
        <t>raw warhead damages: 4000, 2, 4000, 2, 4000, 2, 4000, 2, 4000, 2
import scales all proportionally</t>
      </text>
    </comment>
    <comment ref="L1014" authorId="0" shapeId="0">
      <text>
        <t>raw warhead damages: 8000, 4000, 4, 8000, 4000, 4
import scales all proportionally</t>
      </text>
    </comment>
    <comment ref="AB1014" authorId="0" shapeId="0">
      <text>
        <t>fires when: (FSD_cond_1 &amp;&amp; !wc2_cond_bot_owner) || (FSD_cond_1_AI &amp;&amp; wc2_cond_bot_owner) || (FSD_cond_2 &amp;&amp; !deathknighthaste_upg) || (FSD_cond_3 &amp;&amp; !deathknightdeathanddecay_upg) || (FSD_cond_4 &amp;&amp; !deathknightraisedead_upg)</t>
      </text>
    </comment>
    <comment ref="L1015" authorId="0" shapeId="0">
      <text>
        <t>raw warhead damages: 8000, 4000, 4, 8000, 4000, 4
import scales all proportionally</t>
      </text>
    </comment>
    <comment ref="L1016" authorId="0" shapeId="0">
      <text>
        <t>raw warhead damages: 8000, 4000, 4, 8000, 4000, 4
import scales all proportionally</t>
      </text>
    </comment>
    <comment ref="AB1016" authorId="0" shapeId="0">
      <text>
        <t>fires when: (FSD_cond_1 &amp;&amp; !wc2_cond_bot_owner) || (FSD_cond_1_AI &amp;&amp; wc2_cond_bot_owner)</t>
      </text>
    </comment>
    <comment ref="L1017" authorId="0" shapeId="0">
      <text>
        <t>raw warhead damages: 8000, 4000, 4, 8000, 4000, 4
import scales all proportionally</t>
      </text>
    </comment>
    <comment ref="AB1017" authorId="0" shapeId="0">
      <text>
        <t>fires when: (FSD_cond_1 &amp;&amp; !wc2_cond_bot_owner) || (FSD_cond_1_AI &amp;&amp; wc2_cond_bot_owner)</t>
      </text>
    </comment>
    <comment ref="L1018" authorId="0" shapeId="0">
      <text>
        <t>raw warhead damages: 8000, 4000, 4, 8000, 4000, 4
import scales all proportionally</t>
      </text>
    </comment>
    <comment ref="AB1018" authorId="0" shapeId="0">
      <text>
        <t>fires when: (FSD_cond_1 &amp;&amp; !wc2_cond_bot_owner) || (FSD_cond_1_AI &amp;&amp; wc2_cond_bot_owner)</t>
      </text>
    </comment>
    <comment ref="AB1019" authorId="0" shapeId="0">
      <text>
        <t>fires when: FSD_cond_2 &amp;&amp; deathknighthaste_upg</t>
      </text>
    </comment>
    <comment ref="AB1020" authorId="0" shapeId="0">
      <text>
        <t>fires when: FSD_cond_3 &amp;&amp; deathknightdeathanddecay_upg</t>
      </text>
    </comment>
    <comment ref="AB1021" authorId="0" shapeId="0">
      <text>
        <t>fires when: FSD_cond_4 &amp;&amp; deathknightraisedead_upg</t>
      </text>
    </comment>
    <comment ref="L1023" authorId="0" shapeId="0">
      <text>
        <t>raw warhead damages: 8000, 4000, 4
import scales all proportionally</t>
      </text>
    </comment>
    <comment ref="AB1023" authorId="0" shapeId="0">
      <text>
        <t>fires when: (FSD_cond_1 &amp;&amp; !wc2_cond_bot_owner) || (FSD_cond_1_AI &amp;&amp; wc2_cond_bot_owner) || (FSD_cond_2 &amp;&amp; !mageslow_upg) || (FSD_cond_3 &amp;&amp; !magepolymorph_upg) || (FSD_cond_4 &amp;&amp; !mageblizzard_upg)</t>
      </text>
    </comment>
    <comment ref="L1024" authorId="0" shapeId="0">
      <text>
        <t>raw warhead damages: 8000, 4000, 4
import scales all proportionally</t>
      </text>
    </comment>
    <comment ref="L1025" authorId="0" shapeId="0">
      <text>
        <t>raw warhead damages: 2000, 1, 2000, 1, 2000, 1, 2000, 1000, 1, 2000, 1000, 1, 2000, 1, 2000, 1, 2000, 1, 2000, 1
import scales all proportionally</t>
      </text>
    </comment>
    <comment ref="AB1025" authorId="0" shapeId="0">
      <text>
        <t>fires when: (FSD_cond_1 &amp;&amp; !wc2_cond_bot_owner) || (FSD_cond_1_AI &amp;&amp; wc2_cond_bot_owner)</t>
      </text>
    </comment>
    <comment ref="L1026" authorId="0" shapeId="0">
      <text>
        <t>raw warhead damages: 2000, 1, 2000, 1, 2000, 1, 2000, 1000, 1, 2000, 1000, 1, 2000, 1, 2000, 1, 2000, 1, 2000, 1
import scales all proportionally</t>
      </text>
    </comment>
    <comment ref="AB1026" authorId="0" shapeId="0">
      <text>
        <t>fires when: (FSD_cond_1 &amp;&amp; !wc2_cond_bot_owner) || (FSD_cond_1_AI &amp;&amp; wc2_cond_bot_owner)</t>
      </text>
    </comment>
    <comment ref="AB1027" authorId="0" shapeId="0">
      <text>
        <t>fires when: FSD_cond_2 &amp;&amp; mageslow_upg</t>
      </text>
    </comment>
    <comment ref="AB1028" authorId="0" shapeId="0">
      <text>
        <t>fires when: FSD_cond_3 &amp;&amp; magepolymorph_upg</t>
      </text>
    </comment>
    <comment ref="AB1029" authorId="0" shapeId="0">
      <text>
        <t>fires when: FSD_cond_4 &amp;&amp; mageblizzard_upg</t>
      </text>
    </comment>
    <comment ref="L1031" authorId="0" shapeId="0">
      <text>
        <t>raw warhead damages: 8000, 4000, 4
import scales all proportionally</t>
      </text>
    </comment>
    <comment ref="AB1031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1032" authorId="0" shapeId="0">
      <text>
        <t>fires when: FSD_cond_3 &amp;&amp; paladinhealing_upg</t>
      </text>
    </comment>
    <comment ref="AB1033" authorId="0" shapeId="0">
      <text>
        <t>fires when: FSD_cond_4 &amp;&amp; paladinexorcism_upg</t>
      </text>
    </comment>
    <comment ref="L1035" authorId="0" shapeId="0">
      <text>
        <t>raw warhead damages: 8000, 4000, 4
import scales all proportionally</t>
      </text>
    </comment>
    <comment ref="AB1035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1036" authorId="0" shapeId="0">
      <text>
        <t>fires when: FSD_cond_3 &amp;&amp; paladinhealing_upg</t>
      </text>
    </comment>
    <comment ref="AB1037" authorId="0" shapeId="0">
      <text>
        <t>fires when: FSD_cond_4 &amp;&amp; paladinexorcism_upg</t>
      </text>
    </comment>
    <comment ref="L1039" authorId="0" shapeId="0">
      <text>
        <t>raw warhead damages: 8000, 4000, 4
import scales all proportionally</t>
      </text>
    </comment>
    <comment ref="AB1039" authorId="0" shapeId="0">
      <text>
        <t>fires when: (FSD_cond_1 &amp;&amp; !wc2_cond_bot_owner) || (FSD_cond_1_AI &amp;&amp; wc2_cond_bot_owner) || (FSD_cond_2 &amp;&amp; !mageslow_upg) || (FSD_cond_3 &amp;&amp; !magepolymorph_upg) || (FSD_cond_4 &amp;&amp; !mageblizzard_upg)</t>
      </text>
    </comment>
    <comment ref="L1040" authorId="0" shapeId="0">
      <text>
        <t>raw warhead damages: 8000, 4000, 4
import scales all proportionally</t>
      </text>
    </comment>
    <comment ref="L1041" authorId="0" shapeId="0">
      <text>
        <t>raw warhead damages: 2000, 1, 2000, 1, 2000, 1, 2000, 1000, 1, 2000, 1000, 1, 2000, 1, 2000, 1, 2000, 1, 2000, 1
import scales all proportionally</t>
      </text>
    </comment>
    <comment ref="AB1041" authorId="0" shapeId="0">
      <text>
        <t>fires when: (FSD_cond_1 &amp;&amp; !wc2_cond_bot_owner) || (FSD_cond_1_AI &amp;&amp; wc2_cond_bot_owner)</t>
      </text>
    </comment>
    <comment ref="L1042" authorId="0" shapeId="0">
      <text>
        <t>raw warhead damages: 2000, 1, 2000, 1, 2000, 1, 2000, 1000, 1, 2000, 1000, 1, 2000, 1, 2000, 1, 2000, 1, 2000, 1
import scales all proportionally</t>
      </text>
    </comment>
    <comment ref="AB1042" authorId="0" shapeId="0">
      <text>
        <t>fires when: (FSD_cond_1 &amp;&amp; !wc2_cond_bot_owner) || (FSD_cond_1_AI &amp;&amp; wc2_cond_bot_owner)</t>
      </text>
    </comment>
    <comment ref="AB1043" authorId="0" shapeId="0">
      <text>
        <t>fires when: FSD_cond_2 &amp;&amp; mageslow_upg</t>
      </text>
    </comment>
    <comment ref="AB1044" authorId="0" shapeId="0">
      <text>
        <t>fires when: FSD_cond_3 &amp;&amp; magepolymorph_upg</t>
      </text>
    </comment>
    <comment ref="AB1045" authorId="0" shapeId="0">
      <text>
        <t>fires when: FSD_cond_4 &amp;&amp; mageblizzard_upg</t>
      </text>
    </comment>
    <comment ref="L1050" authorId="0" shapeId="0">
      <text>
        <t>raw warhead damages: 40000, 20
import scales all proportionally</t>
      </text>
    </comment>
    <comment ref="AB1050" authorId="0" shapeId="0">
      <text>
        <t>fires when: !td_gdi_upgrade_armorpiercingbullets</t>
      </text>
    </comment>
    <comment ref="L1051" authorId="0" shapeId="0">
      <text>
        <t>raw warhead damages: 40000, 20
import scales all proportionally</t>
      </text>
    </comment>
    <comment ref="AB1051" authorId="0" shapeId="0">
      <text>
        <t>fires when: !td_gdi_upgrade_armorpiercingbullets</t>
      </text>
    </comment>
    <comment ref="L1052" authorId="0" shapeId="0">
      <text>
        <t>raw warhead damages: 20000, 10, 1000, 20000, 10
import scales all proportionally</t>
      </text>
    </comment>
    <comment ref="AB1052" authorId="0" shapeId="0">
      <text>
        <t>fires when: td_gdi_upgrade_armorpiercingbullets</t>
      </text>
    </comment>
    <comment ref="L1053" authorId="0" shapeId="0">
      <text>
        <t>raw warhead damages: 20000, 10, 1000, 20000, 10
import scales all proportionally</t>
      </text>
    </comment>
    <comment ref="AB1053" authorId="0" shapeId="0">
      <text>
        <t>fires when: td_gdi_upgrade_armorpiercingbullets</t>
      </text>
    </comment>
    <comment ref="L1055" authorId="0" shapeId="0">
      <text>
        <t>raw warhead damages: 20000, 10, 20000, 10
import scales all proportionally</t>
      </text>
    </comment>
    <comment ref="L1056" authorId="0" shapeId="0">
      <text>
        <t>raw warhead damages: 20000, 10, 20000, 10
import scales all proportionally</t>
      </text>
    </comment>
    <comment ref="L1057" authorId="0" shapeId="0">
      <text>
        <t>raw warhead damages: 20000, 10000, 10, 20000, 10000, 10
import scales all proportionally</t>
      </text>
    </comment>
    <comment ref="L1058" authorId="0" shapeId="0">
      <text>
        <t>raw warhead damages: 4000, 2, 4000, 2
import scales all proportionally</t>
      </text>
    </comment>
    <comment ref="L1059" authorId="0" shapeId="0">
      <text>
        <t>raw warhead damages: 20000, 10, 20000, 10
import scales all proportionally</t>
      </text>
    </comment>
    <comment ref="L1060" authorId="0" shapeId="0">
      <text>
        <t>raw warhead damages: 20000, 10, 20000, 10
import scales all proportionally</t>
      </text>
    </comment>
    <comment ref="L1061" authorId="0" shapeId="0">
      <text>
        <t>raw warhead damages: 20000, 10000, 10, 20000, 10000, 10
import scales all proportionally</t>
      </text>
    </comment>
    <comment ref="L1062" authorId="0" shapeId="0">
      <text>
        <t>raw warhead damages: 4000, 2, 4000, 2
import scales all proportionally</t>
      </text>
    </comment>
    <comment ref="L1067" authorId="0" shapeId="0">
      <text>
        <t>raw warhead damages: 40000, 20
import scales all proportionally</t>
      </text>
    </comment>
    <comment ref="L1068" authorId="0" shapeId="0">
      <text>
        <t>raw warhead damages: 40000, 20
import scales all proportionally</t>
      </text>
    </comment>
    <comment ref="L1070" authorId="0" shapeId="0">
      <text>
        <t>raw warhead damages: 12000, 6, 600
import scales all proportionally</t>
      </text>
    </comment>
    <comment ref="L1071" authorId="0" shapeId="0">
      <text>
        <t>raw warhead damages: 12000, 6, 600
import scales all proportionally</t>
      </text>
    </comment>
    <comment ref="L1072" authorId="0" shapeId="0">
      <text>
        <t>raw warhead damages: 12000, 6, 600
import scales all proportionally</t>
      </text>
    </comment>
    <comment ref="L1075" authorId="0" shapeId="0">
      <text>
        <t>raw warhead damages: 10000, 5000, 5, 10000, 5, 888
import scales all proportionally</t>
      </text>
    </comment>
    <comment ref="L1076" authorId="0" shapeId="0">
      <text>
        <t>raw warhead damages: 120000, 60000, 60, 120000, 60, 888
import scales all proportionally</t>
      </text>
    </comment>
    <comment ref="L1077" authorId="0" shapeId="0">
      <text>
        <t>raw warhead damages: 10000, 5000, 5, 10000, 5, 888
import scales all proportionally</t>
      </text>
    </comment>
    <comment ref="L1078" authorId="0" shapeId="0">
      <text>
        <t>raw warhead damages: 120000, 60000, 60, 120000, 60, 888
import scales all proportionally</t>
      </text>
    </comment>
    <comment ref="L1080" authorId="0" shapeId="0">
      <text>
        <t>raw warhead damages: 10000, 5, 10000, 5000, 5, 10000, 5000, 5
import scales all proportionally</t>
      </text>
    </comment>
    <comment ref="AB1080" authorId="0" shapeId="0">
      <text>
        <t>fires when: !ra1_soviets_upgrade_incendiarybullets &amp;&amp; !ra1_soviets_upgrade_teslaarcing &amp;&amp; !ra1_soviets_upgrade_nucleartankshells</t>
      </text>
    </comment>
    <comment ref="L1081" authorId="0" shapeId="0">
      <text>
        <t>raw warhead damages: 8000, 4, 8000, 4000, 4, 8000, 4000, 4, 8000, 4000, 4
import scales all proportionally</t>
      </text>
    </comment>
    <comment ref="AB1081" authorId="0" shapeId="0">
      <text>
        <t>fires when: !ra1_soviets_upgrade_incendiarybullets &amp;&amp; ra1_soviets_upgrade_teslaarcing</t>
      </text>
    </comment>
    <comment ref="L1082" authorId="0" shapeId="0">
      <text>
        <t>raw warhead damages: 40000, 20, 40000, 20, 40000, 20000, 20, 40000, 20000, 20
import scales all proportionally</t>
      </text>
    </comment>
    <comment ref="AB1082" authorId="0" shapeId="0">
      <text>
        <t>fires when: !ra1_soviets_upgrade_incendiarybullets &amp;&amp; ra1_soviets_upgrade_nucleartankshells</t>
      </text>
    </comment>
    <comment ref="L1083" authorId="0" shapeId="0">
      <text>
        <t>raw warhead damages: 10000, 5000, 5, 10000, 5, 10000, 5000, 5, 10000, 5000, 5
import scales all proportionally</t>
      </text>
    </comment>
    <comment ref="AB1083" authorId="0" shapeId="0">
      <text>
        <t>fires when: ra1_soviets_upgrade_incendiarybullets &amp;&amp; !ra1_soviets_upgrade_teslaarcing &amp;&amp; !ra1_soviets_upgrade_nucleartankshells</t>
      </text>
    </comment>
    <comment ref="L1084" authorId="0" shapeId="0">
      <text>
        <t>raw warhead damages: 8000, 4, 8000, 4000, 4, 8000, 4000, 4, 8000, 4000, 4, 8000, 4000, 4
import scales all proportionally</t>
      </text>
    </comment>
    <comment ref="AB1084" authorId="0" shapeId="0">
      <text>
        <t>fires when: ra1_soviets_upgrade_incendiarybullets &amp;&amp; ra1_soviets_upgrade_teslaarcing</t>
      </text>
    </comment>
    <comment ref="L1085" authorId="0" shapeId="0">
      <text>
        <t>raw warhead damages: 40000, 20000, 20, 40000, 20, 40000, 20, 40000, 20000, 20, 40000, 20000, 20
import scales all proportionally</t>
      </text>
    </comment>
    <comment ref="AB1085" authorId="0" shapeId="0">
      <text>
        <t>fires when: ra1_soviets_upgrade_incendiarybullets &amp;&amp; ra1_soviets_upgrade_nucleartankshells</t>
      </text>
    </comment>
    <comment ref="L1086" authorId="0" shapeId="0">
      <text>
        <t>raw warhead damages: 10000, 5, 10000, 5000, 5, 10000, 5000, 5
import scales all proportionally</t>
      </text>
    </comment>
    <comment ref="AB1086" authorId="0" shapeId="0">
      <text>
        <t>fires when: !ra1_soviets_upgrade_incendiarybullets &amp;&amp; !ra1_soviets_upgrade_teslaarcing &amp;&amp; !ra1_soviets_upgrade_nucleartankshells</t>
      </text>
    </comment>
    <comment ref="L1087" authorId="0" shapeId="0">
      <text>
        <t>raw warhead damages: 8000, 4, 8000, 4000, 4, 8000, 4000, 4, 8000, 4000, 4
import scales all proportionally</t>
      </text>
    </comment>
    <comment ref="AB1087" authorId="0" shapeId="0">
      <text>
        <t>fires when: !ra1_soviets_upgrade_incendiarybullets &amp;&amp; ra1_soviets_upgrade_teslaarcing</t>
      </text>
    </comment>
    <comment ref="L1088" authorId="0" shapeId="0">
      <text>
        <t>raw warhead damages: 40000, 20, 40000, 20, 40000, 20000, 20, 40000, 20000, 20
import scales all proportionally</t>
      </text>
    </comment>
    <comment ref="AB1088" authorId="0" shapeId="0">
      <text>
        <t>fires when: !ra1_soviets_upgrade_incendiarybullets &amp;&amp; ra1_soviets_upgrade_nucleartankshells</t>
      </text>
    </comment>
    <comment ref="L1089" authorId="0" shapeId="0">
      <text>
        <t>raw warhead damages: 10000, 5000, 5, 10000, 5, 10000, 5000, 5, 10000, 5000, 5
import scales all proportionally</t>
      </text>
    </comment>
    <comment ref="AB1089" authorId="0" shapeId="0">
      <text>
        <t>fires when: ra1_soviets_upgrade_incendiarybullets &amp;&amp; !ra1_soviets_upgrade_teslaarcing &amp;&amp; !ra1_soviets_upgrade_nucleartankshells</t>
      </text>
    </comment>
    <comment ref="L1090" authorId="0" shapeId="0">
      <text>
        <t>raw warhead damages: 8000, 4, 8000, 4000, 4, 8000, 4000, 4, 8000, 4000, 4, 8000, 4000, 4
import scales all proportionally</t>
      </text>
    </comment>
    <comment ref="AB1090" authorId="0" shapeId="0">
      <text>
        <t>fires when: ra1_soviets_upgrade_incendiarybullets &amp;&amp; ra1_soviets_upgrade_teslaarcing</t>
      </text>
    </comment>
    <comment ref="L1091" authorId="0" shapeId="0">
      <text>
        <t>raw warhead damages: 40000, 20000, 20, 40000, 20, 40000, 20, 40000, 20000, 20, 40000, 20000, 20
import scales all proportionally</t>
      </text>
    </comment>
    <comment ref="AB1091" authorId="0" shapeId="0">
      <text>
        <t>fires when: ra1_soviets_upgrade_incendiarybullets &amp;&amp; ra1_soviets_upgrade_nucleartankshells</t>
      </text>
    </comment>
    <comment ref="L1093" authorId="0" shapeId="0">
      <text>
        <t>raw warhead damages: 7777, 3
import scales all proportionally</t>
      </text>
    </comment>
    <comment ref="L1094" authorId="0" shapeId="0">
      <text>
        <t>raw warhead damages: 7777, 3
import scales all proportionally</t>
      </text>
    </comment>
    <comment ref="L1098" authorId="0" shapeId="0">
      <text>
        <t>raw warhead damages: 8000, 4000, 4, 8000, 4000, 4, 8000, 4, 8000, 4, 8000, 4, 8000, 4
import scales all proportionally</t>
      </text>
    </comment>
    <comment ref="L1099" authorId="0" shapeId="0">
      <text>
        <t>raw warhead damages: 8000, 4000, 4, 8000, 4000, 4, 8000, 4, 8000, 4, 8000, 4, 8000, 4
import scales all proportionally</t>
      </text>
    </comment>
    <comment ref="L1101" authorId="0" shapeId="0">
      <text>
        <t>raw warhead damages: 40000, 1, 1000, 20
import scales all proportionally</t>
      </text>
    </comment>
    <comment ref="AB1101" authorId="0" shapeId="0">
      <text>
        <t>fires when: !ts_gdi_upgrade_railgunweaponry</t>
      </text>
    </comment>
    <comment ref="L1102" authorId="0" shapeId="0">
      <text>
        <t>raw warhead damages: 40000, 1, 1000, 20
import scales all proportionally</t>
      </text>
    </comment>
    <comment ref="AB1102" authorId="0" shapeId="0">
      <text>
        <t>fires when: ts_gdi_upgrade_railgunweaponry</t>
      </text>
    </comment>
    <comment ref="L1103" authorId="0" shapeId="0">
      <text>
        <t>raw warhead damages: 40000, 1, 1000, 20
import scales all proportionally</t>
      </text>
    </comment>
    <comment ref="AB1103" authorId="0" shapeId="0">
      <text>
        <t>fires when: !ts_gdi_upgrade_railgunweaponry</t>
      </text>
    </comment>
    <comment ref="L1104" authorId="0" shapeId="0">
      <text>
        <t>raw warhead damages: 40000, 1, 1000, 20
import scales all proportionally</t>
      </text>
    </comment>
    <comment ref="AB1104" authorId="0" shapeId="0">
      <text>
        <t>fires when: ts_gdi_upgrade_railgunweaponry</t>
      </text>
    </comment>
    <comment ref="L1106" authorId="0" shapeId="0">
      <text>
        <t>raw warhead damages: 20000, 10000, 10
import scales all proportionally</t>
      </text>
    </comment>
    <comment ref="AB1106" authorId="0" shapeId="0">
      <text>
        <t>fires when: !forgotten_upgrade_chemicalweapons</t>
      </text>
    </comment>
    <comment ref="L1107" authorId="0" shapeId="0">
      <text>
        <t>raw warhead damages: 20000, 10000, 10, 10000, 5000, 5
import scales all proportionally</t>
      </text>
    </comment>
    <comment ref="AB1107" authorId="0" shapeId="0">
      <text>
        <t>fires when: forgotten_upgrade_chemicalweapons</t>
      </text>
    </comment>
    <comment ref="L1109" authorId="0" shapeId="0">
      <text>
        <t>raw warhead damages: 20000, 10000, 10
import scales all proportionally</t>
      </text>
    </comment>
    <comment ref="AB1109" authorId="0" shapeId="0">
      <text>
        <t>fires when: !forgotten_upgrade_chemicalweapons</t>
      </text>
    </comment>
    <comment ref="L1110" authorId="0" shapeId="0">
      <text>
        <t>raw warhead damages: 20000, 10000, 10, 10000, 5000, 5
import scales all proportionally</t>
      </text>
    </comment>
    <comment ref="AB1110" authorId="0" shapeId="0">
      <text>
        <t>fires when: forgotten_upgrade_chemicalweapons</t>
      </text>
    </comment>
    <comment ref="L1112" authorId="0" shapeId="0">
      <text>
        <t>raw warhead damages: 20000, 10000, 10
import scales all proportionally</t>
      </text>
    </comment>
    <comment ref="AB1112" authorId="0" shapeId="0">
      <text>
        <t>fires when: !forgotten_upgrade_chemicalweapons</t>
      </text>
    </comment>
    <comment ref="L1113" authorId="0" shapeId="0">
      <text>
        <t>raw warhead damages: 20000, 10000, 10, 10000, 5000, 5
import scales all proportionally</t>
      </text>
    </comment>
    <comment ref="AB1113" authorId="0" shapeId="0">
      <text>
        <t>fires when: forgotten_upgrade_chemicalweapons</t>
      </text>
    </comment>
    <comment ref="L1115" authorId="0" shapeId="0">
      <text>
        <t>raw warhead damages: 20000, 10000, 10
import scales all proportionally</t>
      </text>
    </comment>
    <comment ref="AB1115" authorId="0" shapeId="0">
      <text>
        <t>fires when: !forgotten_upgrade_chemicalweapons</t>
      </text>
    </comment>
    <comment ref="L1116" authorId="0" shapeId="0">
      <text>
        <t>raw warhead damages: 20000, 10000, 10, 10000, 5000, 5
import scales all proportionally</t>
      </text>
    </comment>
    <comment ref="AB1116" authorId="0" shapeId="0">
      <text>
        <t>fires when: forgotten_upgrade_chemicalweapons</t>
      </text>
    </comment>
    <comment ref="L1118" authorId="0" shapeId="0">
      <text>
        <t>raw warhead damages: 20000, 10000, 10
import scales all proportionally</t>
      </text>
    </comment>
    <comment ref="AB1118" authorId="0" shapeId="0">
      <text>
        <t>fires when: !forgotten_upgrade_chemicalweapons</t>
      </text>
    </comment>
    <comment ref="L1119" authorId="0" shapeId="0">
      <text>
        <t>raw warhead damages: 20000, 10000, 10, 10000, 5000, 5
import scales all proportionally</t>
      </text>
    </comment>
    <comment ref="AB1119" authorId="0" shapeId="0">
      <text>
        <t>fires when: forgotten_upgrade_chemicalweapons</t>
      </text>
    </comment>
    <comment ref="L1120" authorId="0" shapeId="0">
      <text>
        <t>raw warhead damages: 20000, 10000, 10
import scales all proportionally</t>
      </text>
    </comment>
    <comment ref="AB1120" authorId="0" shapeId="0">
      <text>
        <t>fires when: !forgotten_upgrade_chemicalweapons</t>
      </text>
    </comment>
    <comment ref="L1121" authorId="0" shapeId="0">
      <text>
        <t>raw warhead damages: 20000, 10000, 10, 10000, 5000, 5
import scales all proportionally</t>
      </text>
    </comment>
    <comment ref="AB1121" authorId="0" shapeId="0">
      <text>
        <t>fires when: forgotten_upgrade_chemicalweapons</t>
      </text>
    </comment>
    <comment ref="L1124" authorId="0" shapeId="0">
      <text>
        <t>raw warhead damages: 14000, 7
import scales all proportionally</t>
      </text>
    </comment>
    <comment ref="AB1124" authorId="0" shapeId="0">
      <text>
        <t>fires when: !rank-elite</t>
      </text>
    </comment>
    <comment ref="L1125" authorId="0" shapeId="0">
      <text>
        <t>raw warhead damages: 14000, 7
import scales all proportionally</t>
      </text>
    </comment>
    <comment ref="AB1125" authorId="0" shapeId="0">
      <text>
        <t>fires when: rank-elite</t>
      </text>
    </comment>
    <comment ref="L1128" authorId="0" shapeId="0">
      <text>
        <t>raw warhead damages: 14000, 7
import scales all proportionally</t>
      </text>
    </comment>
    <comment ref="AB1128" authorId="0" shapeId="0">
      <text>
        <t>fires when: !rank-elite</t>
      </text>
    </comment>
    <comment ref="L1129" authorId="0" shapeId="0">
      <text>
        <t>raw warhead damages: 14000, 7
import scales all proportionally</t>
      </text>
    </comment>
    <comment ref="AB1129" authorId="0" shapeId="0">
      <text>
        <t>fires when: rank-elite</t>
      </text>
    </comment>
    <comment ref="L1131" authorId="0" shapeId="0">
      <text>
        <t>raw warhead damages: 4000, 2, 4000, 2
import scales all proportionally</t>
      </text>
    </comment>
    <comment ref="AB1131" authorId="0" shapeId="0">
      <text>
        <t>fires when: !rank-elite</t>
      </text>
    </comment>
    <comment ref="L1132" authorId="0" shapeId="0">
      <text>
        <t>raw warhead damages: 4000, 2, 4000, 2
import scales all proportionally</t>
      </text>
    </comment>
    <comment ref="AB1132" authorId="0" shapeId="0">
      <text>
        <t>fires when: rank-elite</t>
      </text>
    </comment>
    <comment ref="L1133" authorId="0" shapeId="0">
      <text>
        <t>raw warhead damages: 4000, 2, 4000, 2
import scales all proportionally</t>
      </text>
    </comment>
    <comment ref="AB1133" authorId="0" shapeId="0">
      <text>
        <t>fires when: !canflare</t>
      </text>
    </comment>
    <comment ref="AB1134" authorId="0" shapeId="0">
      <text>
        <t>fires when: canflare</t>
      </text>
    </comment>
    <comment ref="L1135" authorId="0" shapeId="0">
      <text>
        <t>raw warhead damages: 4000, 2, 4000, 2
import scales all proportionally</t>
      </text>
    </comment>
    <comment ref="AB1135" authorId="0" shapeId="0">
      <text>
        <t>fires when: !rank-elite</t>
      </text>
    </comment>
    <comment ref="L1136" authorId="0" shapeId="0">
      <text>
        <t>raw warhead damages: 4000, 2, 4000, 2
import scales all proportionally</t>
      </text>
    </comment>
    <comment ref="AB1136" authorId="0" shapeId="0">
      <text>
        <t>fires when: rank-elite</t>
      </text>
    </comment>
    <comment ref="AB1139" authorId="0" shapeId="0">
      <text>
        <t>fires when: !yuri_upgrade_domination</t>
      </text>
    </comment>
    <comment ref="AB1140" authorId="0" shapeId="0">
      <text>
        <t>fires when: yuri_upgrade_domination</t>
      </text>
    </comment>
    <comment ref="L1142" authorId="0" shapeId="0">
      <text>
        <t>raw warhead damages: 32000, 16000, 16, 32000, 16, 32000, 16, 32000, 16, 32000, 16, 32000, 16
import scales all proportionally</t>
      </text>
    </comment>
    <comment ref="L1143" authorId="0" shapeId="0">
      <text>
        <t>raw warhead damages: 6000, 3, 6000, 3, 6000, 3, 6000, 3, 6000, 3
import scales all proportionally</t>
      </text>
    </comment>
    <comment ref="AB1143" authorId="0" shapeId="0">
      <text>
        <t>fires when: !asianalliance_doctrine_modernizedinfantryequipment</t>
      </text>
    </comment>
    <comment ref="L1144" authorId="0" shapeId="0">
      <text>
        <t>raw warhead damages: 16000, 8, 16000, 8, 16000, 8, 16000, 8, 16000, 8
import scales all proportionally</t>
      </text>
    </comment>
    <comment ref="AB1144" authorId="0" shapeId="0">
      <text>
        <t>fires when: asianalliance_doctrine_modernizedinfantryequipment</t>
      </text>
    </comment>
    <comment ref="L1145" authorId="0" shapeId="0">
      <text>
        <t>raw warhead damages: 6000, 3, 6000, 3, 6000, 3, 6000, 3, 6000, 3
import scales all proportionally</t>
      </text>
    </comment>
    <comment ref="AB1145" authorId="0" shapeId="0">
      <text>
        <t>fires when: !asianalliance_doctrine_modernizedinfantryequipment</t>
      </text>
    </comment>
    <comment ref="L1146" authorId="0" shapeId="0">
      <text>
        <t>raw warhead damages: 16000, 8, 16000, 8, 16000, 8, 16000, 8, 16000, 8
import scales all proportionally</t>
      </text>
    </comment>
    <comment ref="AB1146" authorId="0" shapeId="0">
      <text>
        <t>fires when: asianalliance_doctrine_modernizedinfantryequipment</t>
      </text>
    </comment>
    <comment ref="L1148" authorId="0" shapeId="0">
      <text>
        <t>raw warhead damages: 60000, 30, 600, 60000, 30, 1000
import scales all proportionally</t>
      </text>
    </comment>
    <comment ref="AB1148" authorId="0" shapeId="0">
      <text>
        <t>fires when: !rank-elite &amp;&amp; !steelconsortium_upgrade_quantumweaponpower</t>
      </text>
    </comment>
    <comment ref="L1149" authorId="0" shapeId="0">
      <text>
        <t>raw warhead damages: 40000, 20000, 20, 40000, 20, 600, 40000, 20, 1000
import scales all proportionally</t>
      </text>
    </comment>
    <comment ref="AB1149" authorId="0" shapeId="0">
      <text>
        <t>fires when: !rank-elite &amp;&amp; steelconsortium_upgrade_quantumweaponpower</t>
      </text>
    </comment>
    <comment ref="L1150" authorId="0" shapeId="0">
      <text>
        <t>raw warhead damages: 60000, 30000, 30, 60000, 30, 600, 60000, 30, 1000
import scales all proportionally</t>
      </text>
    </comment>
    <comment ref="AB1150" authorId="0" shapeId="0">
      <text>
        <t>fires when: rank-elite</t>
      </text>
    </comment>
    <comment ref="L1152" authorId="0" shapeId="0">
      <text>
        <t>raw warhead damages: 4000, 2000, 2, 4000, 2, 600, 4000, 2, 1000
import scales all proportionally</t>
      </text>
    </comment>
    <comment ref="AB1152" authorId="0" shapeId="0">
      <text>
        <t>fires when: !rank-elite</t>
      </text>
    </comment>
    <comment ref="L1153" authorId="0" shapeId="0">
      <text>
        <t>raw warhead damages: 4000, 2000, 2, 4000, 2, 600, 4000, 2, 1000
import scales all proportionally</t>
      </text>
    </comment>
    <comment ref="AB1153" authorId="0" shapeId="0">
      <text>
        <t>fires when: rank-elite</t>
      </text>
    </comment>
    <comment ref="L1154" authorId="0" shapeId="0">
      <text>
        <t>raw warhead damages: 4000, 2000, 2, 4000, 2, 600, 4000, 2, 1000
import scales all proportionally</t>
      </text>
    </comment>
    <comment ref="AB1154" authorId="0" shapeId="0">
      <text>
        <t>fires when: !rank-elite</t>
      </text>
    </comment>
    <comment ref="L1155" authorId="0" shapeId="0">
      <text>
        <t>raw warhead damages: 4000, 2000, 2, 4000, 2, 600, 4000, 2, 1000
import scales all proportionally</t>
      </text>
    </comment>
    <comment ref="AB1155" authorId="0" shapeId="0">
      <text>
        <t>fires when: rank-elite</t>
      </text>
    </comment>
    <comment ref="L1156" authorId="0" shapeId="0">
      <text>
        <t>raw warhead damages: 4000, 2000, 2, 4000, 2, 600, 4000, 2, 1000
import scales all proportionally</t>
      </text>
    </comment>
    <comment ref="AB1156" authorId="0" shapeId="0">
      <text>
        <t>fires when: !rank-elite &amp;&amp; steelconsortium_upgrade_resonanceammo</t>
      </text>
    </comment>
    <comment ref="L1157" authorId="0" shapeId="0">
      <text>
        <t>raw warhead damages: 4000, 2000, 2, 4000, 2, 600, 4000, 2, 1000
import scales all proportionally</t>
      </text>
    </comment>
    <comment ref="AB1157" authorId="0" shapeId="0">
      <text>
        <t>fires when: rank-elite &amp;&amp; steelconsortium_upgrade_resonanceammo</t>
      </text>
    </comment>
    <comment ref="L1158" authorId="0" shapeId="0">
      <text>
        <t>raw warhead damages: 4000, 2000, 2, 4000, 2, 600, 4000, 2, 1000
import scales all proportionally</t>
      </text>
    </comment>
    <comment ref="AB1158" authorId="0" shapeId="0">
      <text>
        <t>fires when: !rank-elite &amp;&amp; steelconsortium_upgrade_resonanceammo</t>
      </text>
    </comment>
    <comment ref="L1159" authorId="0" shapeId="0">
      <text>
        <t>raw warhead damages: 4000, 2000, 2, 4000, 2, 600, 4000, 2, 1000
import scales all proportionally</t>
      </text>
    </comment>
    <comment ref="AB1159" authorId="0" shapeId="0">
      <text>
        <t>fires when: rank-elite &amp;&amp; steelconsortium_upgrade_resonanceammo</t>
      </text>
    </comment>
    <comment ref="L1161" authorId="0" shapeId="0">
      <text>
        <t>raw warhead damages: 4000, 2, 4000, 2, 4000, 2, 4000, 2, 4000, 2
import scales all proportionally</t>
      </text>
    </comment>
    <comment ref="L1163" authorId="0" shapeId="0">
      <text>
        <t>raw warhead damages: 6000, 3, 6000, 3, 6000, 3
import scales all proportionally</t>
      </text>
    </comment>
    <comment ref="AB1163" authorId="0" shapeId="0">
      <text>
        <t>fires when: !rank-elite</t>
      </text>
    </comment>
    <comment ref="L1164" authorId="0" shapeId="0">
      <text>
        <t>raw warhead damages: 6000, 3, 6000, 3, 6000, 3
import scales all proportionally</t>
      </text>
    </comment>
    <comment ref="AB1164" authorId="0" shapeId="0">
      <text>
        <t>fires when: rank-elite</t>
      </text>
    </comment>
    <comment ref="L1165" authorId="0" shapeId="0">
      <text>
        <t>raw warhead damages: 60000, 30, 60000, 30000, 30, 60000, 30
import scales all proportionally</t>
      </text>
    </comment>
    <comment ref="AB1165" authorId="0" shapeId="0">
      <text>
        <t>fires when: !rank-elite</t>
      </text>
    </comment>
    <comment ref="L1166" authorId="0" shapeId="0">
      <text>
        <t>raw warhead damages: 120000, 60, 120000, 60000, 60, 120000, 60
import scales all proportionally</t>
      </text>
    </comment>
    <comment ref="AB1166" authorId="0" shapeId="0">
      <text>
        <t>fires when: rank-elite</t>
      </text>
    </comment>
    <comment ref="L1167" authorId="0" shapeId="0">
      <text>
        <t>raw warhead damages: 6000, 3, 6000, 3, 6000, 3
import scales all proportionally</t>
      </text>
    </comment>
    <comment ref="AB1167" authorId="0" shapeId="0">
      <text>
        <t>fires when: !rank-elite</t>
      </text>
    </comment>
    <comment ref="L1168" authorId="0" shapeId="0">
      <text>
        <t>raw warhead damages: 6000, 3, 6000, 3, 6000, 3
import scales all proportionally</t>
      </text>
    </comment>
    <comment ref="AB1168" authorId="0" shapeId="0">
      <text>
        <t>fires when: rank-elite</t>
      </text>
    </comment>
    <comment ref="L1169" authorId="0" shapeId="0">
      <text>
        <t>raw warhead damages: 60000, 30, 60000, 30000, 30, 60000, 30
import scales all proportionally</t>
      </text>
    </comment>
    <comment ref="AB1169" authorId="0" shapeId="0">
      <text>
        <t>fires when: !rank-elite</t>
      </text>
    </comment>
    <comment ref="L1170" authorId="0" shapeId="0">
      <text>
        <t>raw warhead damages: 120000, 60, 120000, 60000, 60, 120000, 60
import scales all proportionally</t>
      </text>
    </comment>
    <comment ref="AB1170" authorId="0" shapeId="0">
      <text>
        <t>fires when: rank-elite</t>
      </text>
    </comment>
    <comment ref="L1172" authorId="0" shapeId="0">
      <text>
        <t>raw warhead damages: 60000, 30, 600
import scales all proportionally</t>
      </text>
    </comment>
    <comment ref="AB1172" authorId="0" shapeId="0">
      <text>
        <t>fires when: !rank-elite</t>
      </text>
    </comment>
    <comment ref="L1173" authorId="0" shapeId="0">
      <text>
        <t>raw warhead damages: 60000, 30, 600
import scales all proportionally</t>
      </text>
    </comment>
    <comment ref="AB1173" authorId="0" shapeId="0">
      <text>
        <t>fires when: rank-elite</t>
      </text>
    </comment>
    <comment ref="L1174" authorId="0" shapeId="0">
      <text>
        <t>raw warhead damages: 60000, 30, 600
import scales all proportionally</t>
      </text>
    </comment>
    <comment ref="AB1174" authorId="0" shapeId="0">
      <text>
        <t>fires when: !rank-elite</t>
      </text>
    </comment>
    <comment ref="L1175" authorId="0" shapeId="0">
      <text>
        <t>raw warhead damages: 60000, 30, 600
import scales all proportionally</t>
      </text>
    </comment>
    <comment ref="AB1175" authorId="0" shapeId="0">
      <text>
        <t>fires when: rank-elite</t>
      </text>
    </comment>
    <comment ref="L1177" authorId="0" shapeId="0">
      <text>
        <t>raw warhead damages: 2000, 1, 2000, 1, 2000, 1, 2000, 1, 2000, 1000, 1, 2000, 1, 600
import scales all proportionally</t>
      </text>
    </comment>
    <comment ref="L1178" authorId="0" shapeId="0">
      <text>
        <t>raw warhead damages: 2000, 1, 2000, 1, 2000, 1, 2000, 1, 2000, 1000, 1, 2000, 1, 600
import scales all proportionally</t>
      </text>
    </comment>
    <comment ref="L1180" authorId="0" shapeId="0">
      <text>
        <t>raw warhead damages: 32000, 16000, 16, 32000, 16, 32000, 16, 32000, 16, 32000, 16, 32000, 16
import scales all proportionally</t>
      </text>
    </comment>
    <comment ref="L1181" authorId="0" shapeId="0">
      <text>
        <t>raw warhead damages: 6000, 3, 6000, 3, 6000, 3, 6000, 3, 6000, 3
import scales all proportionally</t>
      </text>
    </comment>
    <comment ref="AB1181" authorId="0" shapeId="0">
      <text>
        <t>fires when: !tkm_upgrade_titanarmorpiercingbulletsupgrade</t>
      </text>
    </comment>
    <comment ref="L1182" authorId="0" shapeId="0">
      <text>
        <t>raw warhead damages: 16000, 8, 16000, 8, 16000, 8, 16000, 8, 16000, 8
import scales all proportionally</t>
      </text>
    </comment>
    <comment ref="AB1182" authorId="0" shapeId="0">
      <text>
        <t>fires when: tkm_upgrade_titanarmorpiercingbulletsupgrade</t>
      </text>
    </comment>
    <comment ref="L1183" authorId="0" shapeId="0">
      <text>
        <t>raw warhead damages: 6000, 3, 6000, 3, 6000, 3, 6000, 3, 6000, 3
import scales all proportionally</t>
      </text>
    </comment>
    <comment ref="AB1183" authorId="0" shapeId="0">
      <text>
        <t>fires when: !tkm_upgrade_titanarmorpiercingbulletsupgrade</t>
      </text>
    </comment>
    <comment ref="L1184" authorId="0" shapeId="0">
      <text>
        <t>raw warhead damages: 16000, 8, 16000, 8, 16000, 8, 16000, 8, 16000, 8
import scales all proportionally</t>
      </text>
    </comment>
    <comment ref="AB1184" authorId="0" shapeId="0">
      <text>
        <t>fires when: tkm_upgrade_titanarmorpiercingbulletsupgrade</t>
      </text>
    </comment>
    <comment ref="L1186" authorId="0" shapeId="0">
      <text>
        <t>raw warhead damages: 80000, 40
import scales all proportionally</t>
      </text>
    </comment>
    <comment ref="L1187" authorId="0" shapeId="0">
      <text>
        <t>raw warhead damages: 80000, 40
import scales all proportionally</t>
      </text>
    </comment>
    <comment ref="L1189" authorId="0" shapeId="0">
      <text>
        <t>raw warhead damages: 20000, 10000, 10, 20000, 10000, 10, 20000, 10, 20000, 10000, 10, 20000, 10000, 10, 20000, 10, 20000, 10, 20000, 10, 20000, 10
import scales all proportionally</t>
      </text>
    </comment>
    <comment ref="L1190" authorId="0" shapeId="0">
      <text>
        <t>raw warhead damages: 20000, 10000, 10, 20000, 10000, 10, 20000, 10, 20000, 10000, 10, 20000, 10000, 10, 20000, 10, 20000, 10, 20000, 10, 20000, 10
import scales all proportionally</t>
      </text>
    </comment>
    <comment ref="L1192" authorId="0" shapeId="0">
      <text>
        <t>raw warhead damages: 2000, 1000, 1, 2000, 1000, 1, 2000, 1, 2000, 1, 2000, 1, 2000, 1
import scales all proportionally</t>
      </text>
    </comment>
    <comment ref="L1193" authorId="0" shapeId="0">
      <text>
        <t>raw warhead damages: 2000, 1000, 1, 2000, 1000, 1, 2000, 1, 2000, 1, 2000, 1, 2000, 1
import scales all proportionally</t>
      </text>
    </comment>
    <comment ref="L1195" authorId="0" shapeId="0">
      <text>
        <t>raw warhead damages: 64000, 32000, 32
import scales all proportionally</t>
      </text>
    </comment>
    <comment ref="L1197" authorId="0" shapeId="0">
      <text>
        <t>raw warhead damages: 40000, 20000, 20
import scales all proportionally</t>
      </text>
    </comment>
    <comment ref="L1199" authorId="0" shapeId="0">
      <text>
        <t>raw warhead damages: 2000, 1, 2000, 1
import scales all proportionally</t>
      </text>
    </comment>
    <comment ref="L1200" authorId="0" shapeId="0">
      <text>
        <t>raw warhead damages: 2000, 1, 2000, 1
import scales all proportionally</t>
      </text>
    </comment>
    <comment ref="L1203" authorId="0" shapeId="0">
      <text>
        <t>raw warhead damages: 2000, 1000, 1, 2000, 1, 2000, 1000, 1, 2000, 1000, 1, 2000, 1000, 1, 2000, 1
import scales all proportionally</t>
      </text>
    </comment>
    <comment ref="L1205" authorId="0" shapeId="0">
      <text>
        <t>raw warhead damages: 4000, 2, 2000
import scales all proportionally</t>
      </text>
    </comment>
    <comment ref="L1207" authorId="0" shapeId="0">
      <text>
        <t>raw warhead damages: 4000, 2, 2000
import scales all proportionally</t>
      </text>
    </comment>
    <comment ref="L1209" authorId="0" shapeId="0">
      <text>
        <t>raw warhead damages: 4000, 2, 2000
import scales all proportionally</t>
      </text>
    </comment>
    <comment ref="L1213" authorId="0" shapeId="0">
      <text>
        <t>raw warhead damages: 4000, 2, 4000, 2
import scales all proportionally</t>
      </text>
    </comment>
    <comment ref="L1215" authorId="0" shapeId="0">
      <text>
        <t>raw warhead damages: 2000, 1, 2000, 1, 2000, 1, 2000, 1
import scales all proportionally</t>
      </text>
    </comment>
    <comment ref="L1217" authorId="0" shapeId="0">
      <text>
        <t>raw warhead damages: 2000, 1, 1000, 2000, 1, 600, 2000, 1, 2000, 1, 2000, 1, 2000, 1
import scales all proportionally</t>
      </text>
    </comment>
    <comment ref="L1219" authorId="0" shapeId="0">
      <text>
        <t>raw warhead damages: 2000, 1000, 1, 2000, 1, 2000, 1, 2000, 1
import scales all proportionally</t>
      </text>
    </comment>
    <comment ref="AB1219" authorId="0" shapeId="0">
      <text>
        <t>fires when: !rank-elite</t>
      </text>
    </comment>
    <comment ref="L1220" authorId="0" shapeId="0">
      <text>
        <t>raw warhead damages: 2000, 1000, 1, 2000, 1, 2000, 1, 2000, 1
import scales all proportionally</t>
      </text>
    </comment>
    <comment ref="AB1220" authorId="0" shapeId="0">
      <text>
        <t>fires when: rank-elite</t>
      </text>
    </comment>
    <comment ref="L1221" authorId="0" shapeId="0">
      <text>
        <t>raw warhead damages: 2000, 1000, 1, 2000, 1, 2000, 1, 2000, 1
import scales all proportionally</t>
      </text>
    </comment>
    <comment ref="AB1221" authorId="0" shapeId="0">
      <text>
        <t>fires when: !rank-elite</t>
      </text>
    </comment>
    <comment ref="L1222" authorId="0" shapeId="0">
      <text>
        <t>raw warhead damages: 2000, 1000, 1, 2000, 1, 2000, 1, 2000, 1
import scales all proportionally</t>
      </text>
    </comment>
    <comment ref="AB1222" authorId="0" shapeId="0">
      <text>
        <t>fires when: rank-elite</t>
      </text>
    </comment>
    <comment ref="L1224" authorId="0" shapeId="0">
      <text>
        <t>raw warhead damages: 4000, 2000, 2
import scales all proportionally</t>
      </text>
    </comment>
    <comment ref="L1226" authorId="0" shapeId="0">
      <text>
        <t>raw warhead damages: 2000, 1000, 1, 2000, 1000, 1, 2000, 1000, 1, 2000, 1000, 1, 2000, 1, 2000, 1, 2000, 1, 2000, 1
import scales all proportionally</t>
      </text>
    </comment>
  </commentList>
</comments>
</file>

<file path=xl/comments/comment2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8000, 4
import scales all proportionally</t>
      </text>
    </comment>
    <comment ref="AB4" authorId="0" shapeId="0">
      <text>
        <t>fires when: !td_gdi_upgrade_highvelocitycannons</t>
      </text>
    </comment>
    <comment ref="L5" authorId="0" shapeId="0">
      <text>
        <t>raw warhead damages: 16000, 8
import scales all proportionally</t>
      </text>
    </comment>
    <comment ref="AB5" authorId="0" shapeId="0">
      <text>
        <t>fires when: td_gdi_upgrade_highvelocitycannons</t>
      </text>
    </comment>
    <comment ref="L6" authorId="0" shapeId="0">
      <text>
        <t>raw warhead damages: 8000, 4
import scales all proportionally</t>
      </text>
    </comment>
    <comment ref="AB6" authorId="0" shapeId="0">
      <text>
        <t>fires when: !td_gdi_upgrade_advancedmissiletargeting</t>
      </text>
    </comment>
    <comment ref="L7" authorId="0" shapeId="0">
      <text>
        <t>raw warhead damages: 8000, 4
import scales all proportionally</t>
      </text>
    </comment>
    <comment ref="AB7" authorId="0" shapeId="0">
      <text>
        <t>fires when: td_gdi_upgrade_advancedmissiletargeting</t>
      </text>
    </comment>
    <comment ref="L8" authorId="0" shapeId="0">
      <text>
        <t>raw warhead damages: 2000, 1
import scales all proportionally</t>
      </text>
    </comment>
    <comment ref="AB8" authorId="0" shapeId="0">
      <text>
        <t>fires when: td_gdi_upgrade_armorpiercingbullets</t>
      </text>
    </comment>
    <comment ref="L10" authorId="0" shapeId="0">
      <text>
        <t>raw warhead damages: 8000, 4
import scales all proportionally</t>
      </text>
    </comment>
    <comment ref="AB10" authorId="0" shapeId="0">
      <text>
        <t>fires when: !td_gdi_upgrade_highvelocitycannons</t>
      </text>
    </comment>
    <comment ref="L11" authorId="0" shapeId="0">
      <text>
        <t>raw warhead damages: 16000, 8
import scales all proportionally</t>
      </text>
    </comment>
    <comment ref="AB11" authorId="0" shapeId="0">
      <text>
        <t>fires when: td_gdi_upgrade_highvelocitycannons</t>
      </text>
    </comment>
    <comment ref="L12" authorId="0" shapeId="0">
      <text>
        <t>raw warhead damages: 8000, 4
import scales all proportionally</t>
      </text>
    </comment>
    <comment ref="AB12" authorId="0" shapeId="0">
      <text>
        <t>fires when: !td_gdi_upgrade_advancedmissiletargeting</t>
      </text>
    </comment>
    <comment ref="L13" authorId="0" shapeId="0">
      <text>
        <t>raw warhead damages: 8000, 4
import scales all proportionally</t>
      </text>
    </comment>
    <comment ref="AB13" authorId="0" shapeId="0">
      <text>
        <t>fires when: td_gdi_upgrade_advancedmissiletargeting</t>
      </text>
    </comment>
    <comment ref="L14" authorId="0" shapeId="0">
      <text>
        <t>raw warhead damages: 2000, 1
import scales all proportionally</t>
      </text>
    </comment>
    <comment ref="AB14" authorId="0" shapeId="0">
      <text>
        <t>fires when: td_gdi_upgrade_armorpiercingbullets</t>
      </text>
    </comment>
    <comment ref="L17" authorId="0" shapeId="0">
      <text>
        <t>raw warhead damages: 6000, 3
import scales all proportionally</t>
      </text>
    </comment>
    <comment ref="L18" authorId="0" shapeId="0">
      <text>
        <t>raw warhead damages: 6000, 3
import scales all proportionally</t>
      </text>
    </comment>
    <comment ref="AB18" authorId="0" shapeId="0">
      <text>
        <t>fires when: td_nod_upgrade_blackmarketupgrades</t>
      </text>
    </comment>
    <comment ref="L21" authorId="0" shapeId="0">
      <text>
        <t>raw warhead damages: 4000, 2000, 2, 4000, 2
import scales all proportionally</t>
      </text>
    </comment>
    <comment ref="L22" authorId="0" shapeId="0">
      <text>
        <t>raw warhead damages: 4000, 2000, 2, 4000, 2
import scales all proportionally</t>
      </text>
    </comment>
    <comment ref="AB22" authorId="0" shapeId="0">
      <text>
        <t>fires when: td_nod_upgrade_blackmarketupgrades</t>
      </text>
    </comment>
    <comment ref="L24" authorId="0" shapeId="0">
      <text>
        <t>raw warhead damages: 8000, 4, 8000, 4
import scales all proportionally</t>
      </text>
    </comment>
    <comment ref="L26" authorId="0" shapeId="0">
      <text>
        <t>raw warhead damages: 6000, 3, 6000, 3
import scales all proportionally</t>
      </text>
    </comment>
    <comment ref="AB26" authorId="0" shapeId="0">
      <text>
        <t>fires when: !japan_upgrade_advancedplasmaweapons</t>
      </text>
    </comment>
    <comment ref="L27" authorId="0" shapeId="0">
      <text>
        <t>raw warhead damages: 4000, 2000, 2, 4000, 2, 1000, 4000, 2
import scales all proportionally</t>
      </text>
    </comment>
    <comment ref="AB27" authorId="0" shapeId="0">
      <text>
        <t>fires when: japan_upgrade_advancedplasmaweapons</t>
      </text>
    </comment>
    <comment ref="L29" authorId="0" shapeId="0">
      <text>
        <t>raw warhead damages: 10000, 5
import scales all proportionally</t>
      </text>
    </comment>
    <comment ref="AB29" authorId="0" shapeId="0">
      <text>
        <t>fires when: !japan_upgrade_advancedplasmaweapons</t>
      </text>
    </comment>
    <comment ref="L30" authorId="0" shapeId="0">
      <text>
        <t>raw warhead damages: 4000, 2000, 2, 4000, 2, 1000, 1, 4000, 2
import scales all proportionally</t>
      </text>
    </comment>
    <comment ref="AB30" authorId="0" shapeId="0">
      <text>
        <t>fires when: japan_upgrade_advancedplasmaweapons</t>
      </text>
    </comment>
    <comment ref="L32" authorId="0" shapeId="0">
      <text>
        <t>raw warhead damages: 4000, 2000, 2, 4000, 2, 1000, 4000, 2, 888, 4000, 2, 4000, 2000, 2, 4000, 2000, 2
import scales all proportionally</t>
      </text>
    </comment>
    <comment ref="L34" authorId="0" shapeId="0">
      <text>
        <t>raw warhead damages: 6000, 3, 6000, 3
import scales all proportionally</t>
      </text>
    </comment>
    <comment ref="AB34" authorId="0" shapeId="0">
      <text>
        <t>fires when: !ra1_soviets_upgrade_nucleartankshells</t>
      </text>
    </comment>
    <comment ref="L35" authorId="0" shapeId="0">
      <text>
        <t>raw warhead damages: 4000, 2, 4000, 2000, 2, 4000, 2, 4000, 2
import scales all proportionally</t>
      </text>
    </comment>
    <comment ref="AB35" authorId="0" shapeId="0">
      <text>
        <t>fires when: ra1_soviets_upgrade_nucleartankshells</t>
      </text>
    </comment>
    <comment ref="L36" authorId="0" shapeId="0">
      <text>
        <t>raw warhead damages: 2000, 1000, 1, 1000, 1, 2000, 1, 600, 2000, 1000, 1
import scales all proportionally</t>
      </text>
    </comment>
    <comment ref="AB36" authorId="0" shapeId="0">
      <text>
        <t>fires when: ra1_soviets_upgrade_shtoradefensesystem</t>
      </text>
    </comment>
    <comment ref="L38" authorId="0" shapeId="0">
      <text>
        <t>raw warhead damages: 10000, 5
import scales all proportionally</t>
      </text>
    </comment>
    <comment ref="AB38" authorId="0" shapeId="0">
      <text>
        <t>fires when: !ra1_soviets_upgrade_nucleartankshells</t>
      </text>
    </comment>
    <comment ref="L39" authorId="0" shapeId="0">
      <text>
        <t>raw warhead damages: 6000, 3000, 3, 6000, 3
import scales all proportionally</t>
      </text>
    </comment>
    <comment ref="AB39" authorId="0" shapeId="0">
      <text>
        <t>fires when: ra1_soviets_upgrade_nucleartankshells</t>
      </text>
    </comment>
    <comment ref="L41" authorId="0" shapeId="0">
      <text>
        <t>raw warhead damages: 6000, 3, 6000, 3
import scales all proportionally</t>
      </text>
    </comment>
    <comment ref="AB41" authorId="0" shapeId="0">
      <text>
        <t>fires when: !ra1_soviets_upgrade_nucleartankshells</t>
      </text>
    </comment>
    <comment ref="L42" authorId="0" shapeId="0">
      <text>
        <t>raw warhead damages: 4000, 2, 4000, 2000, 2, 4000, 2, 4000, 2
import scales all proportionally</t>
      </text>
    </comment>
    <comment ref="AB42" authorId="0" shapeId="0">
      <text>
        <t>fires when: ra1_soviets_upgrade_nucleartankshells</t>
      </text>
    </comment>
    <comment ref="L44" authorId="0" shapeId="0">
      <text>
        <t>raw warhead damages: 2000, 1000, 1, 2000, 1000, 1, 2000, 1000, 1, 2000, 1000, 1, 2000, 1, 2000, 1
import scales all proportionally</t>
      </text>
    </comment>
    <comment ref="L46" authorId="0" shapeId="0">
      <text>
        <t>raw warhead damages: 8000, 4
import scales all proportionally</t>
      </text>
    </comment>
    <comment ref="L48" authorId="0" shapeId="0">
      <text>
        <t>raw warhead damages: 8000, 4, 8000, 4
import scales all proportionally</t>
      </text>
    </comment>
    <comment ref="L50" authorId="0" shapeId="0">
      <text>
        <t>raw warhead damages: 8000, 4, 8000, 4
import scales all proportionally</t>
      </text>
    </comment>
    <comment ref="L51" authorId="0" shapeId="0">
      <text>
        <t>raw warhead damages: 8000, 4, 8000, 4
import scales all proportionally</t>
      </text>
    </comment>
    <comment ref="AB51" authorId="0" shapeId="0">
      <text>
        <t>fires when: !ra1_allies_upgrade_cryomissiles</t>
      </text>
    </comment>
    <comment ref="L52" authorId="0" shapeId="0">
      <text>
        <t>raw warhead damages: 8000, 4, 8000, 4
import scales all proportionally</t>
      </text>
    </comment>
    <comment ref="AB52" authorId="0" shapeId="0">
      <text>
        <t>fires when: ra1_allies_upgrade_cryomissiles</t>
      </text>
    </comment>
    <comment ref="L53" authorId="0" shapeId="0">
      <text>
        <t>raw warhead damages: 2000, 1, 2000, 1
import scales all proportionally</t>
      </text>
    </comment>
    <comment ref="L55" authorId="0" shapeId="0">
      <text>
        <t>raw warhead damages: 16000, 8
import scales all proportionally</t>
      </text>
    </comment>
    <comment ref="AB55" authorId="0" shapeId="0">
      <text>
        <t>fires when: !cabal_upgrade_neutronnuclearcatalyst</t>
      </text>
    </comment>
    <comment ref="L56" authorId="0" shapeId="0">
      <text>
        <t>raw warhead damages: 24000, 6
import scales all proportionally</t>
      </text>
    </comment>
    <comment ref="AB56" authorId="0" shapeId="0">
      <text>
        <t>fires when: cabal_upgrade_neutronnuclearcatalyst</t>
      </text>
    </comment>
    <comment ref="L58" authorId="0" shapeId="0">
      <text>
        <t>raw warhead damages: 60000, 30, 60000, 30, 600
import scales all proportionally</t>
      </text>
    </comment>
    <comment ref="L60" authorId="0" shapeId="0">
      <text>
        <t>raw warhead damages: 6000, 3
import scales all proportionally</t>
      </text>
    </comment>
    <comment ref="AB60" authorId="0" shapeId="0">
      <text>
        <t>fires when: undeployed &amp;&amp; !ts_nod_upgrade_tiberiumlenses</t>
      </text>
    </comment>
    <comment ref="L61" authorId="0" shapeId="0">
      <text>
        <t>raw warhead damages: 6000, 3, 6000, 3, 600
import scales all proportionally</t>
      </text>
    </comment>
    <comment ref="AB61" authorId="0" shapeId="0">
      <text>
        <t>fires when: undeployed &amp;&amp; ts_nod_upgrade_tiberiumlenses</t>
      </text>
    </comment>
    <comment ref="L62" authorId="0" shapeId="0">
      <text>
        <t>raw warhead damages: 6000, 3
import scales all proportionally</t>
      </text>
    </comment>
    <comment ref="AB62" authorId="0" shapeId="0">
      <text>
        <t>fires when: deployed &amp;&amp; !ts_nod_upgrade_tiberiumlenses</t>
      </text>
    </comment>
    <comment ref="L63" authorId="0" shapeId="0">
      <text>
        <t>raw warhead damages: 6000, 3, 6000, 3, 600
import scales all proportionally</t>
      </text>
    </comment>
    <comment ref="AB63" authorId="0" shapeId="0">
      <text>
        <t>fires when: deployed &amp;&amp; ts_nod_upgrade_tiberiumlenses</t>
      </text>
    </comment>
    <comment ref="L64" authorId="0" shapeId="0">
      <text>
        <t>raw warhead damages: 2000, 1
import scales all proportionally</t>
      </text>
    </comment>
    <comment ref="AB64" authorId="0" shapeId="0">
      <text>
        <t>fires when: deployed &amp;&amp; ts_nod_upgrade_auxiliaryweapon &amp;&amp; !ts_nod_upgrade_tiberiumlenses</t>
      </text>
    </comment>
    <comment ref="L65" authorId="0" shapeId="0">
      <text>
        <t>raw warhead damages: 2000, 1, 2000, 1, 600
import scales all proportionally</t>
      </text>
    </comment>
    <comment ref="AB65" authorId="0" shapeId="0">
      <text>
        <t>fires when: deployed &amp;&amp; ts_nod_upgrade_auxiliaryweapon &amp;&amp; ts_nod_upgrade_tiberiumlenses</t>
      </text>
    </comment>
    <comment ref="L67" authorId="0" shapeId="0">
      <text>
        <t>raw warhead damages: 12000, 6
import scales all proportionally</t>
      </text>
    </comment>
    <comment ref="AB67" authorId="0" shapeId="0">
      <text>
        <t>fires when: !ts_gdi_upgrade_railgunweaponry</t>
      </text>
    </comment>
    <comment ref="L68" authorId="0" shapeId="0">
      <text>
        <t>raw warhead damages: 8000, 4, 8000, 4, 1000
import scales all proportionally</t>
      </text>
    </comment>
    <comment ref="AB68" authorId="0" shapeId="0">
      <text>
        <t>fires when: ts_gdi_upgrade_railgunweaponry</t>
      </text>
    </comment>
    <comment ref="L70" authorId="0" shapeId="0">
      <text>
        <t>raw warhead damages: 24000, 12
import scales all proportionally</t>
      </text>
    </comment>
    <comment ref="AB70" authorId="0" shapeId="0">
      <text>
        <t>fires when: !ts_gdi_upgrade_railgunweaponry</t>
      </text>
    </comment>
    <comment ref="L71" authorId="0" shapeId="0">
      <text>
        <t>raw warhead damages: 18000, 9, 18000, 9, 1000
import scales all proportionally</t>
      </text>
    </comment>
    <comment ref="AB71" authorId="0" shapeId="0">
      <text>
        <t>fires when: ts_gdi_upgrade_railgunweaponry</t>
      </text>
    </comment>
    <comment ref="L73" authorId="0" shapeId="0">
      <text>
        <t>raw warhead damages: 4000, 2
import scales all proportionally</t>
      </text>
    </comment>
    <comment ref="AB73" authorId="0" shapeId="0">
      <text>
        <t>fires when: !forgotten_upgrade_chemicalweapons</t>
      </text>
    </comment>
    <comment ref="L74" authorId="0" shapeId="0">
      <text>
        <t>raw warhead damages: 2000, 1000, 1, 4000, 2
import scales all proportionally</t>
      </text>
    </comment>
    <comment ref="AB74" authorId="0" shapeId="0">
      <text>
        <t>fires when: forgotten_upgrade_chemicalweapons</t>
      </text>
    </comment>
    <comment ref="L76" authorId="0" shapeId="0">
      <text>
        <t>raw warhead damages: 10000, 5
import scales all proportionally</t>
      </text>
    </comment>
    <comment ref="AB76" authorId="0" shapeId="0">
      <text>
        <t>fires when: !rank-elite</t>
      </text>
    </comment>
    <comment ref="L77" authorId="0" shapeId="0">
      <text>
        <t>raw warhead damages: 10000, 5
import scales all proportionally</t>
      </text>
    </comment>
    <comment ref="AB77" authorId="0" shapeId="0">
      <text>
        <t>fires when: rank-elite</t>
      </text>
    </comment>
    <comment ref="L78" authorId="0" shapeId="0">
      <text>
        <t>raw warhead damages: 2000, 1, 2000, 1
import scales all proportionally</t>
      </text>
    </comment>
    <comment ref="L80" authorId="0" shapeId="0">
      <text>
        <t>raw warhead damages: 2000, 1, 2000, 1
import scales all proportionally</t>
      </text>
    </comment>
    <comment ref="AB80" authorId="0" shapeId="0">
      <text>
        <t>fires when: !rank-elite</t>
      </text>
    </comment>
    <comment ref="L81" authorId="0" shapeId="0">
      <text>
        <t>raw warhead damages: 2000, 1, 2000, 1
import scales all proportionally</t>
      </text>
    </comment>
    <comment ref="AB81" authorId="0" shapeId="0">
      <text>
        <t>fires when: rank-elite</t>
      </text>
    </comment>
    <comment ref="L82" authorId="0" shapeId="0">
      <text>
        <t>raw warhead damages: 4000, 2, 4000, 2
import scales all proportionally</t>
      </text>
    </comment>
    <comment ref="AB82" authorId="0" shapeId="0">
      <text>
        <t>fires when: !rank-elite</t>
      </text>
    </comment>
    <comment ref="L83" authorId="0" shapeId="0">
      <text>
        <t>raw warhead damages: 4000, 2, 4000, 2
import scales all proportionally</t>
      </text>
    </comment>
    <comment ref="AB83" authorId="0" shapeId="0">
      <text>
        <t>fires when: rank-elite</t>
      </text>
    </comment>
    <comment ref="L85" authorId="0" shapeId="0">
      <text>
        <t>raw warhead damages: 10000, 5
import scales all proportionally</t>
      </text>
    </comment>
    <comment ref="AB85" authorId="0" shapeId="0">
      <text>
        <t>fires when: !rank-elite</t>
      </text>
    </comment>
    <comment ref="L86" authorId="0" shapeId="0">
      <text>
        <t>raw warhead damages: 10000, 5
import scales all proportionally</t>
      </text>
    </comment>
    <comment ref="AB86" authorId="0" shapeId="0">
      <text>
        <t>fires when: rank-elite</t>
      </text>
    </comment>
    <comment ref="L87" authorId="0" shapeId="0">
      <text>
        <t>raw warhead damages: 2000, 1, 2000, 1
import scales all proportionally</t>
      </text>
    </comment>
    <comment ref="L89" authorId="0" shapeId="0">
      <text>
        <t>raw warhead damages: 8000, 4000, 4, 8000, 4, 600, 8000, 4, 1000
import scales all proportionally</t>
      </text>
    </comment>
    <comment ref="AB89" authorId="0" shapeId="0">
      <text>
        <t>fires when: !rank-elite</t>
      </text>
    </comment>
    <comment ref="L90" authorId="0" shapeId="0">
      <text>
        <t>raw warhead damages: 8000, 4000, 4, 8000, 4, 600, 8000, 4, 1000
import scales all proportionally</t>
      </text>
    </comment>
    <comment ref="AB90" authorId="0" shapeId="0">
      <text>
        <t>fires when: rank-elite</t>
      </text>
    </comment>
    <comment ref="L92" authorId="0" shapeId="0">
      <text>
        <t>raw warhead damages: 8000, 4
import scales all proportionally</t>
      </text>
    </comment>
    <comment ref="AB92" authorId="0" shapeId="0">
      <text>
        <t>fires when: !rank-elite</t>
      </text>
    </comment>
    <comment ref="L93" authorId="0" shapeId="0">
      <text>
        <t>raw warhead damages: 8000, 4
import scales all proportionally</t>
      </text>
    </comment>
    <comment ref="AB93" authorId="0" shapeId="0">
      <text>
        <t>fires when: rank-elite</t>
      </text>
    </comment>
    <comment ref="L95" authorId="0" shapeId="0">
      <text>
        <t>raw warhead damages: 10000, 5
import scales all proportionally</t>
      </text>
    </comment>
    <comment ref="AB95" authorId="0" shapeId="0">
      <text>
        <t>fires when: !rank-elite &amp;&amp; !ra2_soviets_doctrine_nuclearmunitions &amp;&amp; !ra2_soviets_doctrine_firemunitions &amp;&amp; !ra2_soviets_doctrine_teslamunitions</t>
      </text>
    </comment>
    <comment ref="L96" authorId="0" shapeId="0">
      <text>
        <t>raw warhead damages: 6000, 3000, 3, 6000, 3
import scales all proportionally</t>
      </text>
    </comment>
    <comment ref="AB96" authorId="0" shapeId="0">
      <text>
        <t>fires when: !rank-elite &amp;&amp; ra2_soviets_doctrine_nuclearmunitions</t>
      </text>
    </comment>
    <comment ref="L97" authorId="0" shapeId="0">
      <text>
        <t>raw warhead damages: 10000, 5
import scales all proportionally</t>
      </text>
    </comment>
    <comment ref="AB97" authorId="0" shapeId="0">
      <text>
        <t>fires when: !rank-elite &amp;&amp; ra2_soviets_doctrine_firemunitions</t>
      </text>
    </comment>
    <comment ref="L98" authorId="0" shapeId="0">
      <text>
        <t>raw warhead damages: 10000, 5
import scales all proportionally</t>
      </text>
    </comment>
    <comment ref="AB98" authorId="0" shapeId="0">
      <text>
        <t>fires when: !rank-elite &amp;&amp; ra2_soviets_doctrine_teslamunitions</t>
      </text>
    </comment>
    <comment ref="L99" authorId="0" shapeId="0">
      <text>
        <t>raw warhead damages: 10000, 5
import scales all proportionally</t>
      </text>
    </comment>
    <comment ref="AB99" authorId="0" shapeId="0">
      <text>
        <t>fires when: rank-elite  &amp;&amp; !ra2_soviets_doctrine_nuclearmunitions &amp;&amp; !ra2_soviets_doctrine_firemunitions &amp;&amp; !ra2_soviets_doctrine_teslamunitions</t>
      </text>
    </comment>
    <comment ref="L100" authorId="0" shapeId="0">
      <text>
        <t>raw warhead damages: 6000, 3000, 3, 6000, 3
import scales all proportionally</t>
      </text>
    </comment>
    <comment ref="AB100" authorId="0" shapeId="0">
      <text>
        <t>fires when: rank-elite &amp;&amp; ra2_soviets_doctrine_nuclearmunitions</t>
      </text>
    </comment>
    <comment ref="L101" authorId="0" shapeId="0">
      <text>
        <t>raw warhead damages: 10000, 5
import scales all proportionally</t>
      </text>
    </comment>
    <comment ref="AB101" authorId="0" shapeId="0">
      <text>
        <t>fires when: rank-elite &amp;&amp; ra2_soviets_doctrine_firemunitions</t>
      </text>
    </comment>
    <comment ref="L102" authorId="0" shapeId="0">
      <text>
        <t>raw warhead damages: 10000, 5
import scales all proportionally</t>
      </text>
    </comment>
    <comment ref="AB102" authorId="0" shapeId="0">
      <text>
        <t>fires when: rank-elite &amp;&amp; ra2_soviets_doctrine_teslamunitions</t>
      </text>
    </comment>
    <comment ref="L104" authorId="0" shapeId="0">
      <text>
        <t>raw warhead damages: 2000, 1000, 1, 2000, 1000, 1, 2000, 1000, 1, 2000, 1000, 1, 2000, 1, 2000, 1
import scales all proportionally</t>
      </text>
    </comment>
    <comment ref="AB104" authorId="0" shapeId="0">
      <text>
        <t>fires when: !yuri_doctrine_lashertoxicgasshells &amp;&amp; !yuri_doctrine_lasherlasercannon &amp;&amp; !rank-elite</t>
      </text>
    </comment>
    <comment ref="L105" authorId="0" shapeId="0">
      <text>
        <t>raw warhead damages: 2000, 1000, 1, 2000, 1000, 1, 2000, 1000, 1, 2000, 1000, 1, 2000, 1, 2000, 1
import scales all proportionally</t>
      </text>
    </comment>
    <comment ref="AB105" authorId="0" shapeId="0">
      <text>
        <t>fires when: !yuri_doctrine_lashertoxicgasshells &amp;&amp; !yuri_doctrine_lasherlasercannon &amp;&amp; rank-elite</t>
      </text>
    </comment>
    <comment ref="L106" authorId="0" shapeId="0">
      <text>
        <t>raw warhead damages: 2000, 1000, 1, 2000, 1000, 1, 2000, 1, 2000, 1000, 1, 2000, 1000, 1, 2000, 1000, 1, 2000, 1, 2000, 1, 2000, 1
import scales all proportionally</t>
      </text>
    </comment>
    <comment ref="AB106" authorId="0" shapeId="0">
      <text>
        <t>fires when: yuri_doctrine_lashertoxicgasshells &amp;&amp; !rank-elite</t>
      </text>
    </comment>
    <comment ref="L107" authorId="0" shapeId="0">
      <text>
        <t>raw warhead damages: 4000, 2000, 2, 4000, 2000, 2, 4000, 2, 4000, 2000, 2, 4000, 2000, 2, 4000, 2000, 2, 4000, 2, 4000, 2, 4000, 2
import scales all proportionally</t>
      </text>
    </comment>
    <comment ref="AB107" authorId="0" shapeId="0">
      <text>
        <t>fires when: yuri_doctrine_lashertoxicgasshells &amp;&amp; rank-elite</t>
      </text>
    </comment>
    <comment ref="L108" authorId="0" shapeId="0">
      <text>
        <t>raw warhead damages: 8000, 4, 8000, 4, 600
import scales all proportionally</t>
      </text>
    </comment>
    <comment ref="AB108" authorId="0" shapeId="0">
      <text>
        <t>fires when: yuri_doctrine_lasherlasercannon &amp;&amp; !rank-elite</t>
      </text>
    </comment>
    <comment ref="L109" authorId="0" shapeId="0">
      <text>
        <t>raw warhead damages: 16000, 8, 16000, 8, 600
import scales all proportionally</t>
      </text>
    </comment>
    <comment ref="AB109" authorId="0" shapeId="0">
      <text>
        <t>fires when: yuri_doctrine_lasherlasercannon &amp;&amp; rank-elite</t>
      </text>
    </comment>
    <comment ref="L111" authorId="0" shapeId="0">
      <text>
        <t>raw warhead damages: 2000, 1000, 1, 2000, 1000, 1, 2000, 1000, 1, 2000, 1000, 1, 2000, 1, 2000, 1
import scales all proportionally</t>
      </text>
    </comment>
    <comment ref="AB111" authorId="0" shapeId="0">
      <text>
        <t>fires when: !rank-elite</t>
      </text>
    </comment>
    <comment ref="L112" authorId="0" shapeId="0">
      <text>
        <t>raw warhead damages: 2000, 1000, 1, 2000, 1000, 1, 2000, 1000, 1, 2000, 1000, 1, 2000, 1, 2000, 1
import scales all proportionally</t>
      </text>
    </comment>
    <comment ref="AB112" authorId="0" shapeId="0">
      <text>
        <t>fires when: rank-elite</t>
      </text>
    </comment>
    <comment ref="L113" authorId="0" shapeId="0">
      <text>
        <t>raw warhead damages: 2000, 1, 2000, 1
import scales all proportionally</t>
      </text>
    </comment>
    <comment ref="AB113" authorId="0" shapeId="0">
      <text>
        <t>fires when: asianalliance_doctrine_asianphalanx &amp;&amp; !rank-elite</t>
      </text>
    </comment>
    <comment ref="L114" authorId="0" shapeId="0">
      <text>
        <t>raw warhead damages: 2000, 1, 2000, 1
import scales all proportionally</t>
      </text>
    </comment>
    <comment ref="AB114" authorId="0" shapeId="0">
      <text>
        <t>fires when: asianalliance_doctrine_asianphalanx &amp;&amp; rank-elite</t>
      </text>
    </comment>
    <comment ref="L116" authorId="0" shapeId="0">
      <text>
        <t>raw warhead damages: 2000, 1000, 1, 2000, 1000, 1, 2000, 1000, 1, 2000, 1000, 1, 2000, 1, 2000, 1000, 1, 2000, 1, 2000, 1
import scales all proportionally</t>
      </text>
    </comment>
    <comment ref="AB116" authorId="0" shapeId="0">
      <text>
        <t>fires when: !rank-elite</t>
      </text>
    </comment>
    <comment ref="L117" authorId="0" shapeId="0">
      <text>
        <t>raw warhead damages: 2000, 1000, 1, 2000, 1000, 1, 2000, 1000, 1, 2000, 1000, 1, 2000, 1, 2000, 1000, 1, 2000, 1, 2000, 1
import scales all proportionally</t>
      </text>
    </comment>
    <comment ref="AB117" authorId="0" shapeId="0">
      <text>
        <t>fires when: rank-elite</t>
      </text>
    </comment>
    <comment ref="L119" authorId="0" shapeId="0">
      <text>
        <t>raw warhead damages: 12000, 6000, 6, 12000, 6, 600, 12000, 6, 1000
import scales all proportionally</t>
      </text>
    </comment>
    <comment ref="L121" authorId="0" shapeId="0">
      <text>
        <t>raw warhead damages: 2000, 1000, 1, 2000, 1000, 1, 2000, 1, 1000, 2000, 1
import scales all proportionally</t>
      </text>
    </comment>
    <comment ref="AB121" authorId="0" shapeId="0">
      <text>
        <t>fires when: !rank-elite &amp;&amp; !steelconsortium_upgrade_quantumweaponpower</t>
      </text>
    </comment>
    <comment ref="L122" authorId="0" shapeId="0">
      <text>
        <t>raw warhead damages: 2000, 1000, 1, 2000, 1000, 1, 2000, 1, 1000, 2000, 1
import scales all proportionally</t>
      </text>
    </comment>
    <comment ref="AB122" authorId="0" shapeId="0">
      <text>
        <t>fires when: rank-elite &amp;&amp; !steelconsortium_upgrade_quantumweaponpower</t>
      </text>
    </comment>
    <comment ref="L123" authorId="0" shapeId="0">
      <text>
        <t>raw warhead damages: 2000, 1000, 1, 2000, 1000, 1, 2000, 1000, 1, 2000, 1000, 1, 2000, 1, 1000, 2000, 1
import scales all proportionally</t>
      </text>
    </comment>
    <comment ref="AB123" authorId="0" shapeId="0">
      <text>
        <t>fires when: !rank-elite &amp;&amp; steelconsortium_upgrade_quantumweaponpower</t>
      </text>
    </comment>
    <comment ref="L124" authorId="0" shapeId="0">
      <text>
        <t>raw warhead damages: 2000, 1000, 1, 2000, 1000, 1, 2000, 1000, 1, 2000, 1000, 1, 2000, 1, 1000, 2000, 1
import scales all proportionally</t>
      </text>
    </comment>
    <comment ref="AB124" authorId="0" shapeId="0">
      <text>
        <t>fires when: rank-elite &amp;&amp; steelconsortium_upgrade_quantumweaponpower</t>
      </text>
    </comment>
    <comment ref="L126" authorId="0" shapeId="0">
      <text>
        <t>raw warhead damages: 12000, 6, 600, 12000, 6, 1000
import scales all proportionally</t>
      </text>
    </comment>
    <comment ref="AB126" authorId="0" shapeId="0">
      <text>
        <t>fires when: !rank-elite &amp;&amp; !steelconsortium_upgrade_quantumweaponpower</t>
      </text>
    </comment>
    <comment ref="L127" authorId="0" shapeId="0">
      <text>
        <t>raw warhead damages: 8000, 4000, 4, 8000, 4, 600, 8000, 4, 1000
import scales all proportionally</t>
      </text>
    </comment>
    <comment ref="AB127" authorId="0" shapeId="0">
      <text>
        <t>fires when: !rank-elite &amp;&amp; steelconsortium_upgrade_quantumweaponpower</t>
      </text>
    </comment>
    <comment ref="L128" authorId="0" shapeId="0">
      <text>
        <t>raw warhead damages: 12000, 6000, 6, 12000, 6, 600, 12000, 6, 1000
import scales all proportionally</t>
      </text>
    </comment>
    <comment ref="AB128" authorId="0" shapeId="0">
      <text>
        <t>fires when: rank-elite</t>
      </text>
    </comment>
    <comment ref="L130" authorId="0" shapeId="0">
      <text>
        <t>raw warhead damages: 2000, 1, 2000, 1, 2000, 1
import scales all proportionally</t>
      </text>
    </comment>
    <comment ref="AB130" authorId="0" shapeId="0">
      <text>
        <t>fires when: !rank-elite</t>
      </text>
    </comment>
    <comment ref="L131" authorId="0" shapeId="0">
      <text>
        <t>raw warhead damages: 2000, 1, 2000, 1, 2000, 1
import scales all proportionally</t>
      </text>
    </comment>
    <comment ref="AB131" authorId="0" shapeId="0">
      <text>
        <t>fires when: rank-elite</t>
      </text>
    </comment>
    <comment ref="L132" authorId="0" shapeId="0">
      <text>
        <t>raw warhead damages: 16000, 8
import scales all proportionally</t>
      </text>
    </comment>
    <comment ref="AB132" authorId="0" shapeId="0">
      <text>
        <t>fires when: latinsyndicate_doctrine_cartelrockets &amp;&amp; !rank-elite</t>
      </text>
    </comment>
    <comment ref="L133" authorId="0" shapeId="0">
      <text>
        <t>raw warhead damages: 32000, 16
import scales all proportionally</t>
      </text>
    </comment>
    <comment ref="AB133" authorId="0" shapeId="0">
      <text>
        <t>fires when: latinsyndicate_doctrine_cartelrockets &amp;&amp; rank-elite</t>
      </text>
    </comment>
    <comment ref="L135" authorId="0" shapeId="0">
      <text>
        <t>raw warhead damages: 2000, 1, 1000, 2000, 1000, 1, 2000, 1, 2000, 1000, 1, 2000, 1, 2000, 1
import scales all proportionally</t>
      </text>
    </comment>
    <comment ref="AB135" authorId="0" shapeId="0">
      <text>
        <t>fires when: !rank-elite</t>
      </text>
    </comment>
    <comment ref="L136" authorId="0" shapeId="0">
      <text>
        <t>raw warhead damages: 2000, 1, 1000, 2000, 1000, 1, 2000, 1, 2000, 1000, 1, 2000, 1, 2000, 1
import scales all proportionally</t>
      </text>
    </comment>
    <comment ref="AB136" authorId="0" shapeId="0">
      <text>
        <t>fires when: rank-elite</t>
      </text>
    </comment>
    <comment ref="L137" authorId="0" shapeId="0">
      <text>
        <t>raw warhead damages: 2000, 1, 2000, 1000, 1, 2000, 1
import scales all proportionally</t>
      </text>
    </comment>
    <comment ref="AB137" authorId="0" shapeId="0">
      <text>
        <t>fires when: !rank-elite</t>
      </text>
    </comment>
    <comment ref="L138" authorId="0" shapeId="0">
      <text>
        <t>raw warhead damages: 2000, 1, 2000, 1000, 1, 2000, 1
import scales all proportionally</t>
      </text>
    </comment>
    <comment ref="AB138" authorId="0" shapeId="0">
      <text>
        <t>fires when: rank-elite</t>
      </text>
    </comment>
    <comment ref="L139" authorId="0" shapeId="0">
      <text>
        <t>raw warhead damages: 24000, 12
import scales all proportionally</t>
      </text>
    </comment>
    <comment ref="AB139" authorId="0" shapeId="0">
      <text>
        <t>fires when: latinsyndicate_doctrine_cartelrockets &amp;&amp; !rank-elite</t>
      </text>
    </comment>
    <comment ref="L140" authorId="0" shapeId="0">
      <text>
        <t>raw warhead damages: 48000, 24
import scales all proportionally</t>
      </text>
    </comment>
    <comment ref="AB140" authorId="0" shapeId="0">
      <text>
        <t>fires when: latinsyndicate_doctrine_cartelrockets &amp;&amp; rank-elite</t>
      </text>
    </comment>
    <comment ref="L142" authorId="0" shapeId="0">
      <text>
        <t>raw warhead damages: 10000, 5
import scales all proportionally</t>
      </text>
    </comment>
    <comment ref="AB142" authorId="0" shapeId="0">
      <text>
        <t>fires when: !rank-elite</t>
      </text>
    </comment>
    <comment ref="L143" authorId="0" shapeId="0">
      <text>
        <t>raw warhead damages: 10000, 5
import scales all proportionally</t>
      </text>
    </comment>
    <comment ref="AB143" authorId="0" shapeId="0">
      <text>
        <t>fires when: rank-elite</t>
      </text>
    </comment>
    <comment ref="L144" authorId="0" shapeId="0">
      <text>
        <t>raw warhead damages: 2000, 1000, 1, 2000, 1000, 1, 2000, 1000, 1
import scales all proportionally</t>
      </text>
    </comment>
    <comment ref="L146" authorId="0" shapeId="0">
      <text>
        <t>raw warhead damages: 20000, 10
import scales all proportionally</t>
      </text>
    </comment>
    <comment ref="AB146" authorId="0" shapeId="0">
      <text>
        <t>fires when: !rank-elite</t>
      </text>
    </comment>
    <comment ref="L147" authorId="0" shapeId="0">
      <text>
        <t>raw warhead damages: 20000, 10
import scales all proportionally</t>
      </text>
    </comment>
    <comment ref="AB147" authorId="0" shapeId="0">
      <text>
        <t>fires when: rank-elite</t>
      </text>
    </comment>
    <comment ref="L149" authorId="0" shapeId="0">
      <text>
        <t>raw warhead damages: 8000, 4
import scales all proportionally</t>
      </text>
    </comment>
    <comment ref="AB149" authorId="0" shapeId="0">
      <text>
        <t>fires when: !rank-elite</t>
      </text>
    </comment>
    <comment ref="L150" authorId="0" shapeId="0">
      <text>
        <t>raw warhead damages: 8000, 4
import scales all proportionally</t>
      </text>
    </comment>
    <comment ref="AB150" authorId="0" shapeId="0">
      <text>
        <t>fires when: rank-elite</t>
      </text>
    </comment>
    <comment ref="L152" authorId="0" shapeId="0">
      <text>
        <t>raw warhead damages: 10000, 5
import scales all proportionally</t>
      </text>
    </comment>
    <comment ref="AB152" authorId="0" shapeId="0">
      <text>
        <t>fires when: !rank-elite</t>
      </text>
    </comment>
    <comment ref="L153" authorId="0" shapeId="0">
      <text>
        <t>raw warhead damages: 10000, 5
import scales all proportionally</t>
      </text>
    </comment>
    <comment ref="AB153" authorId="0" shapeId="0">
      <text>
        <t>fires when: rank-elite</t>
      </text>
    </comment>
    <comment ref="L155" authorId="0" shapeId="0">
      <text>
        <t>raw warhead damages: 10000, 5
import scales all proportionally</t>
      </text>
    </comment>
    <comment ref="AB155" authorId="0" shapeId="0">
      <text>
        <t>fires when: !rank-elite &amp;&amp; !schwarzermond_upgrade_vrilpoweredweapons</t>
      </text>
    </comment>
    <comment ref="L156" authorId="0" shapeId="0">
      <text>
        <t>raw warhead damages: 10000, 5
import scales all proportionally</t>
      </text>
    </comment>
    <comment ref="AB156" authorId="0" shapeId="0">
      <text>
        <t>fires when: rank-elite &amp;&amp; !schwarzermond_upgrade_vrilpoweredweapons</t>
      </text>
    </comment>
    <comment ref="L157" authorId="0" shapeId="0">
      <text>
        <t>raw warhead damages: 8000, 4000, 4, 8000, 4
import scales all proportionally</t>
      </text>
    </comment>
    <comment ref="AB157" authorId="0" shapeId="0">
      <text>
        <t>fires when: !rank-elite &amp;&amp; schwarzermond_upgrade_vrilpoweredweapons</t>
      </text>
    </comment>
    <comment ref="L158" authorId="0" shapeId="0">
      <text>
        <t>raw warhead damages: 8000, 4000, 4, 8000, 4
import scales all proportionally</t>
      </text>
    </comment>
    <comment ref="AB158" authorId="0" shapeId="0">
      <text>
        <t>fires when: rank-elite &amp;&amp; schwarzermond_upgrade_vrilpoweredweapons</t>
      </text>
    </comment>
    <comment ref="L160" authorId="0" shapeId="0">
      <text>
        <t>raw warhead damages: 4000, 2000, 2, 4000, 2, 4000, 2000, 2, 4000, 2
import scales all proportionally</t>
      </text>
    </comment>
    <comment ref="AB160" authorId="0" shapeId="0">
      <text>
        <t>fires when: !rank-elite &amp;&amp; !schwarzermond_upgrade_vrilpoweredweapons</t>
      </text>
    </comment>
    <comment ref="L161" authorId="0" shapeId="0">
      <text>
        <t>raw warhead damages: 4000, 2000, 2, 4000, 2, 4000, 2000, 2, 4000, 2
import scales all proportionally</t>
      </text>
    </comment>
    <comment ref="AB161" authorId="0" shapeId="0">
      <text>
        <t>fires when: rank-elite &amp;&amp; !schwarzermond_upgrade_vrilpoweredweapons</t>
      </text>
    </comment>
    <comment ref="L162" authorId="0" shapeId="0">
      <text>
        <t>raw warhead damages: 4000, 2000, 2, 4000, 2000, 2, 4000, 2, 4000, 2000, 2, 4000, 2
import scales all proportionally</t>
      </text>
    </comment>
    <comment ref="AB162" authorId="0" shapeId="0">
      <text>
        <t>fires when: !rank-elite &amp;&amp; schwarzermond_upgrade_vrilpoweredweapons</t>
      </text>
    </comment>
    <comment ref="L163" authorId="0" shapeId="0">
      <text>
        <t>raw warhead damages: 4000, 2000, 2, 4000, 2000, 2, 4000, 2, 4000, 2000, 2, 4000, 2
import scales all proportionally</t>
      </text>
    </comment>
    <comment ref="AB163" authorId="0" shapeId="0">
      <text>
        <t>fires when: rank-elite &amp;&amp; schwarzermond_upgrade_vrilpoweredweapons</t>
      </text>
    </comment>
    <comment ref="L165" authorId="0" shapeId="0">
      <text>
        <t>raw warhead damages: 2000, 1, 2000, 1000, 1, 2000, 1, 1000, 2000, 1
import scales all proportionally</t>
      </text>
    </comment>
    <comment ref="AB165" authorId="0" shapeId="0">
      <text>
        <t>fires when: !rank-elite</t>
      </text>
    </comment>
    <comment ref="L166" authorId="0" shapeId="0">
      <text>
        <t>raw warhead damages: 2000, 1, 2000, 1000, 1, 2000, 1, 1000, 2000, 1
import scales all proportionally</t>
      </text>
    </comment>
    <comment ref="AB166" authorId="0" shapeId="0">
      <text>
        <t>fires when: rank-elite</t>
      </text>
    </comment>
    <comment ref="L168" authorId="0" shapeId="0">
      <text>
        <t>raw warhead damages: 12000, 6
import scales all proportionally</t>
      </text>
    </comment>
    <comment ref="AB168" authorId="0" shapeId="0">
      <text>
        <t>fires when: !deployed &amp;&amp; !rank-elite</t>
      </text>
    </comment>
    <comment ref="L169" authorId="0" shapeId="0">
      <text>
        <t>raw warhead damages: 12000, 6
import scales all proportionally</t>
      </text>
    </comment>
    <comment ref="AB169" authorId="0" shapeId="0">
      <text>
        <t>fires when: !deployed &amp;&amp; rank-elite</t>
      </text>
    </comment>
    <comment ref="AB170" authorId="0" shapeId="0">
      <text>
        <t>fires when: deployed &amp;&amp; !rank-elite</t>
      </text>
    </comment>
    <comment ref="AB171" authorId="0" shapeId="0">
      <text>
        <t>fires when: deployed &amp;&amp; rank-elite</t>
      </text>
    </comment>
    <comment ref="L173" authorId="0" shapeId="0">
      <text>
        <t>raw warhead damages: 8000, 4000, 4, 8000, 4, 600, 8000, 4, 1000
import scales all proportionally</t>
      </text>
    </comment>
    <comment ref="AB173" authorId="0" shapeId="0">
      <text>
        <t>fires when: !rank-elite</t>
      </text>
    </comment>
    <comment ref="L174" authorId="0" shapeId="0">
      <text>
        <t>raw warhead damages: 8000, 4000, 4, 8000, 4, 600, 8000, 4, 1000
import scales all proportionally</t>
      </text>
    </comment>
    <comment ref="AB174" authorId="0" shapeId="0">
      <text>
        <t>fires when: rank-elite</t>
      </text>
    </comment>
    <comment ref="L176" authorId="0" shapeId="0">
      <text>
        <t>raw warhead damages: 12000, 6
import scales all proportionally</t>
      </text>
    </comment>
    <comment ref="AB178" authorId="0" shapeId="0">
      <text>
        <t>fires when: tkm_upgrade_pointdefensesystem</t>
      </text>
    </comment>
    <comment ref="L179" authorId="0" shapeId="0">
      <text>
        <t>raw warhead damages: 10000, 5
import scales all proportionally</t>
      </text>
    </comment>
    <comment ref="L180" authorId="0" shapeId="0">
      <text>
        <t>raw warhead damages: 2000, 1
import scales all proportionally</t>
      </text>
    </comment>
    <comment ref="L182" authorId="0" shapeId="0">
      <text>
        <t>raw warhead damages: 8000, 4
import scales all proportionally</t>
      </text>
    </comment>
    <comment ref="L183" authorId="0" shapeId="0">
      <text>
        <t>raw warhead damages: 18000, 9
import scales all proportionally</t>
      </text>
    </comment>
    <comment ref="AB183" authorId="0" shapeId="0">
      <text>
        <t>fires when: tkm_upgrade_twinrocketsupgrade</t>
      </text>
    </comment>
    <comment ref="L185" authorId="0" shapeId="0">
      <text>
        <t>raw warhead damages: 20000, 10000, 10, 20000, 10
import scales all proportionally</t>
      </text>
    </comment>
    <comment ref="L187" authorId="0" shapeId="0">
      <text>
        <t>raw warhead damages: 2000, 1, 2000, 1, 2000, 1, 2000, 1, 2000, 1, 2000, 1
import scales all proportionally</t>
      </text>
    </comment>
    <comment ref="L189" authorId="0" shapeId="0">
      <text>
        <t>raw warhead damages: 8000, 4
import scales all proportionally</t>
      </text>
    </comment>
    <comment ref="L191" authorId="0" shapeId="0">
      <text>
        <t>raw warhead damages: 10000, 5
import scales all proportionally</t>
      </text>
    </comment>
    <comment ref="L192" authorId="0" shapeId="0">
      <text>
        <t>raw warhead damages: 2000, 1, 2000, 1, 2000, 1, 2000, 1, 2000, 1
import scales all proportionally</t>
      </text>
    </comment>
    <comment ref="AB192" authorId="0" shapeId="0">
      <text>
        <t>fires when: ordos_upgrade_heavycombattankrockets</t>
      </text>
    </comment>
    <comment ref="L194" authorId="0" shapeId="0">
      <text>
        <t>raw warhead damages: 4000, 2, 4000, 2, 4000, 2
import scales all proportionally</t>
      </text>
    </comment>
    <comment ref="L196" authorId="0" shapeId="0">
      <text>
        <t>raw warhead damages: 4000, 2000, 2, 4000, 2000, 2, 4000, 2, 4000, 2, 4000, 2, 4000, 2, 1000, 4000, 2, 4000, 2
import scales all proportionally</t>
      </text>
    </comment>
    <comment ref="L198" authorId="0" shapeId="0">
      <text>
        <t>raw warhead damages: 8000, 1
import scales all proportionally</t>
      </text>
    </comment>
    <comment ref="L200" authorId="0" shapeId="0">
      <text>
        <t>raw warhead damages: 8000, 1
import scales all proportionally</t>
      </text>
    </comment>
    <comment ref="L202" authorId="0" shapeId="0">
      <text>
        <t>raw warhead damages: 10000, 5, 10000, 5, 10000, 5, 10000, 5
import scales all proportionally</t>
      </text>
    </comment>
    <comment ref="L204" authorId="0" shapeId="0">
      <text>
        <t>raw warhead damages: 2000, 1000, 1, 2000, 1000, 1, 2000, 1000, 1
import scales all proportionally</t>
      </text>
    </comment>
    <comment ref="AB204" authorId="0" shapeId="0">
      <text>
        <t>fires when: undeployed</t>
      </text>
    </comment>
    <comment ref="L205" authorId="0" shapeId="0">
      <text>
        <t>raw warhead damages: 32000, 16, 600
import scales all proportionally</t>
      </text>
    </comment>
    <comment ref="AB205" authorId="0" shapeId="0">
      <text>
        <t>fires when: deployed</t>
      </text>
    </comment>
    <comment ref="L207" authorId="0" shapeId="0">
      <text>
        <t>raw warhead damages: 10000, 5, 10000, 5, 10000, 5
import scales all proportionally</t>
      </text>
    </comment>
    <comment ref="AB207" authorId="0" shapeId="0">
      <text>
        <t>fires when: undeployed</t>
      </text>
    </comment>
    <comment ref="L208" authorId="0" shapeId="0">
      <text>
        <t>raw warhead damages: 10000, 5, 10000, 5, 10000, 5000, 5, 10000, 5000, 5, 10000, 5000, 5, 10000, 5000, 5, 10000, 5000, 5, 10000, 5000, 5, 10000, 5000, 5, 10000, 5000, 5, 10000, 5, 10000, 5, 10000, 5, 10000, 5
import scales all proportionally</t>
      </text>
    </comment>
    <comment ref="AB208" authorId="0" shapeId="0">
      <text>
        <t>fires when: deployed</t>
      </text>
    </comment>
    <comment ref="L211" authorId="0" shapeId="0">
      <text>
        <t>raw warhead damages: 8000, 4
import scales all proportionally</t>
      </text>
    </comment>
    <comment ref="AB211" authorId="0" shapeId="0">
      <text>
        <t>fires when: !td_gdi_upgrade_highvelocitycannons</t>
      </text>
    </comment>
    <comment ref="L212" authorId="0" shapeId="0">
      <text>
        <t>raw warhead damages: 16000, 8
import scales all proportionally</t>
      </text>
    </comment>
    <comment ref="AB212" authorId="0" shapeId="0">
      <text>
        <t>fires when: td_gdi_upgrade_highvelocitycannons</t>
      </text>
    </comment>
    <comment ref="L213" authorId="0" shapeId="0">
      <text>
        <t>raw warhead damages: 8000, 4
import scales all proportionally</t>
      </text>
    </comment>
    <comment ref="AB213" authorId="0" shapeId="0">
      <text>
        <t>fires when: !td_gdi_upgrade_advancedmissiletargeting</t>
      </text>
    </comment>
    <comment ref="L214" authorId="0" shapeId="0">
      <text>
        <t>raw warhead damages: 8000, 4
import scales all proportionally</t>
      </text>
    </comment>
    <comment ref="AB214" authorId="0" shapeId="0">
      <text>
        <t>fires when: td_gdi_upgrade_advancedmissiletargeting</t>
      </text>
    </comment>
    <comment ref="L216" authorId="0" shapeId="0">
      <text>
        <t>raw warhead damages: 12000, 6
import scales all proportionally</t>
      </text>
    </comment>
    <comment ref="AB216" authorId="0" shapeId="0">
      <text>
        <t>fires when: !td_gdi_upgrade_highvelocitycannons</t>
      </text>
    </comment>
    <comment ref="L217" authorId="0" shapeId="0">
      <text>
        <t>raw warhead damages: 24000, 12
import scales all proportionally</t>
      </text>
    </comment>
    <comment ref="AB217" authorId="0" shapeId="0">
      <text>
        <t>fires when: td_gdi_upgrade_highvelocitycannons</t>
      </text>
    </comment>
    <comment ref="L218" authorId="0" shapeId="0">
      <text>
        <t>raw warhead damages: 12000, 6
import scales all proportionally</t>
      </text>
    </comment>
    <comment ref="AB218" authorId="0" shapeId="0">
      <text>
        <t>fires when: !td_gdi_upgrade_advancedmissiletargeting</t>
      </text>
    </comment>
    <comment ref="L219" authorId="0" shapeId="0">
      <text>
        <t>raw warhead damages: 12000, 6
import scales all proportionally</t>
      </text>
    </comment>
    <comment ref="AB219" authorId="0" shapeId="0">
      <text>
        <t>fires when: td_gdi_upgrade_advancedmissiletargeting</t>
      </text>
    </comment>
    <comment ref="L221" authorId="0" shapeId="0">
      <text>
        <t>raw warhead damages: 10000, 5000, 5, 10000, 5000, 5, 10000, 5
import scales all proportionally</t>
      </text>
    </comment>
    <comment ref="L223" authorId="0" shapeId="0">
      <text>
        <t>raw warhead damages: 10000, 5000, 5, 10000, 5, 888
import scales all proportionally</t>
      </text>
    </comment>
    <comment ref="L224" authorId="0" shapeId="0">
      <text>
        <t>raw warhead damages: 120000, 60000, 60, 120000, 60, 888
import scales all proportionally</t>
      </text>
    </comment>
    <comment ref="L225" authorId="0" shapeId="0">
      <text>
        <t>raw warhead damages: 8000, 4
import scales all proportionally</t>
      </text>
    </comment>
    <comment ref="AB225" authorId="0" shapeId="0">
      <text>
        <t>fires when: !japan_upgrade_advancedplasmaweapons</t>
      </text>
    </comment>
    <comment ref="L226" authorId="0" shapeId="0">
      <text>
        <t>raw warhead damages: 8000, 4
import scales all proportionally</t>
      </text>
    </comment>
    <comment ref="AB226" authorId="0" shapeId="0">
      <text>
        <t>fires when: !japan_upgrade_advancedplasmaweapons</t>
      </text>
    </comment>
    <comment ref="L227" authorId="0" shapeId="0">
      <text>
        <t>raw warhead damages: 8000, 4
import scales all proportionally</t>
      </text>
    </comment>
    <comment ref="AB227" authorId="0" shapeId="0">
      <text>
        <t>fires when: !japan_upgrade_advancedplasmaweapons</t>
      </text>
    </comment>
    <comment ref="L228" authorId="0" shapeId="0">
      <text>
        <t>raw warhead damages: 2000, 1000, 1, 2000, 1000, 1, 2000, 1, 1000, 2000, 1
import scales all proportionally</t>
      </text>
    </comment>
    <comment ref="AB228" authorId="0" shapeId="0">
      <text>
        <t>fires when: japan_upgrade_advancedplasmaweapons</t>
      </text>
    </comment>
    <comment ref="L229" authorId="0" shapeId="0">
      <text>
        <t>raw warhead damages: 2000, 1000, 1, 2000, 1000, 1, 2000, 1, 1000, 2000, 1
import scales all proportionally</t>
      </text>
    </comment>
    <comment ref="AB229" authorId="0" shapeId="0">
      <text>
        <t>fires when: japan_upgrade_advancedplasmaweapons</t>
      </text>
    </comment>
    <comment ref="L230" authorId="0" shapeId="0">
      <text>
        <t>raw warhead damages: 2000, 1000, 1, 2000, 1000, 1, 2000, 1, 1000, 2000, 1
import scales all proportionally</t>
      </text>
    </comment>
    <comment ref="AB230" authorId="0" shapeId="0">
      <text>
        <t>fires when: japan_upgrade_advancedplasmaweapons</t>
      </text>
    </comment>
    <comment ref="L231" authorId="0" shapeId="0">
      <text>
        <t>raw warhead damages: 2000, 1000, 1
import scales all proportionally</t>
      </text>
    </comment>
    <comment ref="AB231" authorId="0" shapeId="0">
      <text>
        <t>fires when: !japan_upgrade_advancedplasmaweapons</t>
      </text>
    </comment>
    <comment ref="L232" authorId="0" shapeId="0">
      <text>
        <t>raw warhead damages: 2000, 1000, 1
import scales all proportionally</t>
      </text>
    </comment>
    <comment ref="AB232" authorId="0" shapeId="0">
      <text>
        <t>fires when: !japan_upgrade_advancedplasmaweapons</t>
      </text>
    </comment>
    <comment ref="L233" authorId="0" shapeId="0">
      <text>
        <t>raw warhead damages: 2000, 1000, 1, 2000, 1000, 1
import scales all proportionally</t>
      </text>
    </comment>
    <comment ref="AB233" authorId="0" shapeId="0">
      <text>
        <t>fires when: japan_upgrade_advancedplasmaweapons</t>
      </text>
    </comment>
    <comment ref="L234" authorId="0" shapeId="0">
      <text>
        <t>raw warhead damages: 2000, 1000, 1, 2000, 1000, 1
import scales all proportionally</t>
      </text>
    </comment>
    <comment ref="AB234" authorId="0" shapeId="0">
      <text>
        <t>fires when: japan_upgrade_advancedplasmaweapons</t>
      </text>
    </comment>
    <comment ref="L236" authorId="0" shapeId="0">
      <text>
        <t>raw warhead damages: 2000, 1000, 1
import scales all proportionally</t>
      </text>
    </comment>
    <comment ref="AB236" authorId="0" shapeId="0">
      <text>
        <t>fires when: !japan_upgrade_advancedplasmaweapons</t>
      </text>
    </comment>
    <comment ref="L237" authorId="0" shapeId="0">
      <text>
        <t>raw warhead damages: 2000, 1000, 1, 2000, 1000, 1
import scales all proportionally</t>
      </text>
    </comment>
    <comment ref="AB237" authorId="0" shapeId="0">
      <text>
        <t>fires when: japan_upgrade_advancedplasmaweapons</t>
      </text>
    </comment>
    <comment ref="L239" authorId="0" shapeId="0">
      <text>
        <t>raw warhead damages: 24000, 12
import scales all proportionally</t>
      </text>
    </comment>
    <comment ref="AB239" authorId="0" shapeId="0">
      <text>
        <t>fires when: !japan_upgrade_advancedplasmaweapons</t>
      </text>
    </comment>
    <comment ref="L240" authorId="0" shapeId="0">
      <text>
        <t>raw warhead damages: 8000, 4000, 4, 8000, 4, 1000, 8000, 4
import scales all proportionally</t>
      </text>
    </comment>
    <comment ref="AB240" authorId="0" shapeId="0">
      <text>
        <t>fires when: japan_upgrade_advancedplasmaweapons</t>
      </text>
    </comment>
    <comment ref="L241" authorId="0" shapeId="0">
      <text>
        <t>raw warhead damages: 8000, 4
import scales all proportionally</t>
      </text>
    </comment>
    <comment ref="AB241" authorId="0" shapeId="0">
      <text>
        <t>fires when: !japan_upgrade_advancedplasmaweapons</t>
      </text>
    </comment>
    <comment ref="L242" authorId="0" shapeId="0">
      <text>
        <t>raw warhead damages: 8000, 4
import scales all proportionally</t>
      </text>
    </comment>
    <comment ref="AB242" authorId="0" shapeId="0">
      <text>
        <t>fires when: !japan_upgrade_advancedplasmaweapons</t>
      </text>
    </comment>
    <comment ref="L243" authorId="0" shapeId="0">
      <text>
        <t>raw warhead damages: 8000, 4
import scales all proportionally</t>
      </text>
    </comment>
    <comment ref="AB243" authorId="0" shapeId="0">
      <text>
        <t>fires when: !japan_upgrade_advancedplasmaweapons</t>
      </text>
    </comment>
    <comment ref="L244" authorId="0" shapeId="0">
      <text>
        <t>raw warhead damages: 2000, 1000, 1, 2000, 1000, 1, 2000, 1, 1000, 2000, 1
import scales all proportionally</t>
      </text>
    </comment>
    <comment ref="AB244" authorId="0" shapeId="0">
      <text>
        <t>fires when: japan_upgrade_advancedplasmaweapons</t>
      </text>
    </comment>
    <comment ref="L245" authorId="0" shapeId="0">
      <text>
        <t>raw warhead damages: 2000, 1000, 1, 2000, 1000, 1, 2000, 1, 1000, 2000, 1
import scales all proportionally</t>
      </text>
    </comment>
    <comment ref="AB245" authorId="0" shapeId="0">
      <text>
        <t>fires when: japan_upgrade_advancedplasmaweapons</t>
      </text>
    </comment>
    <comment ref="L246" authorId="0" shapeId="0">
      <text>
        <t>raw warhead damages: 2000, 1000, 1, 2000, 1000, 1, 2000, 1, 1000, 2000, 1
import scales all proportionally</t>
      </text>
    </comment>
    <comment ref="AB246" authorId="0" shapeId="0">
      <text>
        <t>fires when: japan_upgrade_advancedplasmaweapons</t>
      </text>
    </comment>
    <comment ref="L247" authorId="0" shapeId="0">
      <text>
        <t>raw warhead damages: 2000, 1000, 1
import scales all proportionally</t>
      </text>
    </comment>
    <comment ref="AB247" authorId="0" shapeId="0">
      <text>
        <t>fires when: !japan_upgrade_advancedplasmaweapons</t>
      </text>
    </comment>
    <comment ref="L248" authorId="0" shapeId="0">
      <text>
        <t>raw warhead damages: 2000, 1000, 1
import scales all proportionally</t>
      </text>
    </comment>
    <comment ref="AB248" authorId="0" shapeId="0">
      <text>
        <t>fires when: !japan_upgrade_advancedplasmaweapons</t>
      </text>
    </comment>
    <comment ref="L249" authorId="0" shapeId="0">
      <text>
        <t>raw warhead damages: 2000, 1000, 1, 2000, 1000, 1
import scales all proportionally</t>
      </text>
    </comment>
    <comment ref="AB249" authorId="0" shapeId="0">
      <text>
        <t>fires when: japan_upgrade_advancedplasmaweapons</t>
      </text>
    </comment>
    <comment ref="L250" authorId="0" shapeId="0">
      <text>
        <t>raw warhead damages: 2000, 1000, 1, 2000, 1000, 1
import scales all proportionally</t>
      </text>
    </comment>
    <comment ref="AB250" authorId="0" shapeId="0">
      <text>
        <t>fires when: japan_upgrade_advancedplasmaweapons</t>
      </text>
    </comment>
    <comment ref="L252" authorId="0" shapeId="0">
      <text>
        <t>raw warhead damages: 10000, 5000, 5
import scales all proportionally</t>
      </text>
    </comment>
    <comment ref="L253" authorId="0" shapeId="0">
      <text>
        <t>raw warhead damages: 40000, 20000, 20
import scales all proportionally</t>
      </text>
    </comment>
    <comment ref="AB253" authorId="0" shapeId="0">
      <text>
        <t>fires when: !ra1_soviets_upgrade_teslaarcing</t>
      </text>
    </comment>
    <comment ref="L254" authorId="0" shapeId="0">
      <text>
        <t>raw warhead damages: 40000, 20000, 20
import scales all proportionally</t>
      </text>
    </comment>
    <comment ref="AB254" authorId="0" shapeId="0">
      <text>
        <t>fires when: ra1_soviets_upgrade_teslaarcing</t>
      </text>
    </comment>
    <comment ref="L256" authorId="0" shapeId="0">
      <text>
        <t>raw warhead damages: 6000, 3, 6000, 3, 6000, 3000, 3, 6000, 3
import scales all proportionally</t>
      </text>
    </comment>
    <comment ref="AB256" authorId="0" shapeId="0">
      <text>
        <t>fires when: !ra1_soviets_upgrade_nucleartankshells &amp;&amp; !ra1_soviets_promotion_mammothtanktargetingcomputer</t>
      </text>
    </comment>
    <comment ref="L257" authorId="0" shapeId="0">
      <text>
        <t>raw warhead damages: 6000, 3, 6000, 3, 6000, 3000, 3, 6000, 3
import scales all proportionally</t>
      </text>
    </comment>
    <comment ref="AB257" authorId="0" shapeId="0">
      <text>
        <t>fires when: !ra1_soviets_upgrade_nucleartankshells &amp;&amp; ra1_soviets_promotion_mammothtanktargetingcomputer</t>
      </text>
    </comment>
    <comment ref="L258" authorId="0" shapeId="0">
      <text>
        <t>raw warhead damages: 8000, 4000, 4, 8000, 4, 8000, 4
import scales all proportionally</t>
      </text>
    </comment>
    <comment ref="AB258" authorId="0" shapeId="0">
      <text>
        <t>fires when: ra1_soviets_upgrade_nucleartankshells &amp;&amp; !ra1_soviets_promotion_mammothtanktargetingcomputer</t>
      </text>
    </comment>
    <comment ref="L259" authorId="0" shapeId="0">
      <text>
        <t>raw warhead damages: 8000, 4000, 4, 8000, 4, 8000, 4
import scales all proportionally</t>
      </text>
    </comment>
    <comment ref="AB259" authorId="0" shapeId="0">
      <text>
        <t>fires when: ra1_soviets_upgrade_nucleartankshells &amp;&amp; ra1_soviets_promotion_mammothtanktargetingcomputer</t>
      </text>
    </comment>
    <comment ref="L260" authorId="0" shapeId="0">
      <text>
        <t>raw warhead damages: 6000, 3000, 3, 6000, 3, 6000, 3, 6000, 3
import scales all proportionally</t>
      </text>
    </comment>
    <comment ref="AB260" authorId="0" shapeId="0">
      <text>
        <t>fires when: !ra1_soviets_upgrade_teslarockets &amp;&amp; !ra1_soviets_upgrade_thermonuclearrockets &amp;&amp; !ra1_soviets_promotion_mammothtanktargetingcomputer</t>
      </text>
    </comment>
    <comment ref="L261" authorId="0" shapeId="0">
      <text>
        <t>raw warhead damages: 6000, 3000, 3, 6000, 3, 6000, 3, 6000, 3
import scales all proportionally</t>
      </text>
    </comment>
    <comment ref="AB261" authorId="0" shapeId="0">
      <text>
        <t>fires when: !ra1_soviets_upgrade_teslarockets &amp;&amp; !ra1_soviets_upgrade_thermonuclearrockets &amp;&amp; ra1_soviets_promotion_mammothtanktargetingcomputer</t>
      </text>
    </comment>
    <comment ref="L262" authorId="0" shapeId="0">
      <text>
        <t>raw warhead damages: 8000, 4000, 4, 8000, 4000, 4, 8000, 4000, 4, 8000, 4
import scales all proportionally</t>
      </text>
    </comment>
    <comment ref="AB262" authorId="0" shapeId="0">
      <text>
        <t>fires when: ra1_soviets_upgrade_teslarockets &amp;&amp; !ra1_soviets_promotion_mammothtanktargetingcomputer</t>
      </text>
    </comment>
    <comment ref="L263" authorId="0" shapeId="0">
      <text>
        <t>raw warhead damages: 8000, 4000, 4, 8000, 4000, 4, 8000, 4000, 4, 8000, 4
import scales all proportionally</t>
      </text>
    </comment>
    <comment ref="AB263" authorId="0" shapeId="0">
      <text>
        <t>fires when: ra1_soviets_upgrade_teslarockets &amp;&amp; ra1_soviets_promotion_mammothtanktargetingcomputer</t>
      </text>
    </comment>
    <comment ref="L264" authorId="0" shapeId="0">
      <text>
        <t>raw warhead damages: 4000, 2000, 2, 4000, 2000, 2, 4000, 2000, 2, 4000, 2000, 2, 4000, 2, 4000, 2000, 2, 4000, 2, 4000, 2
import scales all proportionally</t>
      </text>
    </comment>
    <comment ref="AB264" authorId="0" shapeId="0">
      <text>
        <t>fires when: ra1_soviets_upgrade_thermonuclearrockets &amp;&amp; !ra1_soviets_promotion_mammothtanktargetingcomputer</t>
      </text>
    </comment>
    <comment ref="L265" authorId="0" shapeId="0">
      <text>
        <t>raw warhead damages: 4000, 2000, 2, 4000, 2000, 2, 4000, 2000, 2, 4000, 2000, 2, 4000, 2, 4000, 2000, 2, 4000, 2, 4000, 2
import scales all proportionally</t>
      </text>
    </comment>
    <comment ref="AB265" authorId="0" shapeId="0">
      <text>
        <t>fires when: ra1_soviets_upgrade_thermonuclearrockets &amp;&amp; ra1_soviets_promotion_mammothtanktargetingcomputer</t>
      </text>
    </comment>
    <comment ref="L267" authorId="0" shapeId="0">
      <text>
        <t>raw warhead damages: 16000, 8000, 8, 16000, 8000, 8, 16000, 8
import scales all proportionally</t>
      </text>
    </comment>
    <comment ref="AB267" authorId="0" shapeId="0">
      <text>
        <t>fires when: !ra1_soviets_upgrade_nucleartankshells &amp;&amp; !ra1_soviets_promotion_mammothtanktargetingcomputer</t>
      </text>
    </comment>
    <comment ref="L268" authorId="0" shapeId="0">
      <text>
        <t>raw warhead damages: 16000, 8000, 8, 16000, 8000, 8, 16000, 8
import scales all proportionally</t>
      </text>
    </comment>
    <comment ref="AB268" authorId="0" shapeId="0">
      <text>
        <t>fires when: !ra1_soviets_upgrade_nucleartankshells &amp;&amp; ra1_soviets_promotion_mammothtanktargetingcomputer</t>
      </text>
    </comment>
    <comment ref="L269" authorId="0" shapeId="0">
      <text>
        <t>raw warhead damages: 16000, 8000, 8, 16000, 8, 16000, 8
import scales all proportionally</t>
      </text>
    </comment>
    <comment ref="AB269" authorId="0" shapeId="0">
      <text>
        <t>fires when: ra1_soviets_upgrade_nucleartankshells &amp;&amp; !ra1_soviets_promotion_mammothtanktargetingcomputer</t>
      </text>
    </comment>
    <comment ref="L270" authorId="0" shapeId="0">
      <text>
        <t>raw warhead damages: 16000, 8000, 8, 16000, 8, 16000, 8
import scales all proportionally</t>
      </text>
    </comment>
    <comment ref="AB270" authorId="0" shapeId="0">
      <text>
        <t>fires when: ra1_soviets_upgrade_nucleartankshells &amp;&amp; ra1_soviets_promotion_mammothtanktargetingcomputer</t>
      </text>
    </comment>
    <comment ref="L271" authorId="0" shapeId="0">
      <text>
        <t>raw warhead damages: 16000, 8000, 8, 16000, 8000, 8, 16000, 8
import scales all proportionally</t>
      </text>
    </comment>
    <comment ref="AB271" authorId="0" shapeId="0">
      <text>
        <t>fires when: !ra1_soviets_upgrade_highexplosiverockets &amp;&amp; !ra1_soviets_promotion_mammothtanktargetingcomputer</t>
      </text>
    </comment>
    <comment ref="L272" authorId="0" shapeId="0">
      <text>
        <t>raw warhead damages: 16000, 8000, 8, 16000, 8000, 8, 16000, 8
import scales all proportionally</t>
      </text>
    </comment>
    <comment ref="AB272" authorId="0" shapeId="0">
      <text>
        <t>fires when: !ra1_soviets_upgrade_highexplosiverockets &amp;&amp; ra1_soviets_promotion_mammothtanktargetingcomputer</t>
      </text>
    </comment>
    <comment ref="L273" authorId="0" shapeId="0">
      <text>
        <t>raw warhead damages: 16000, 8000, 8, 16000, 8, 16000, 8
import scales all proportionally</t>
      </text>
    </comment>
    <comment ref="AB273" authorId="0" shapeId="0">
      <text>
        <t>fires when: ra1_soviets_upgrade_highexplosiverockets &amp;&amp; !ra1_soviets_promotion_mammothtanktargetingcomputer</t>
      </text>
    </comment>
    <comment ref="L274" authorId="0" shapeId="0">
      <text>
        <t>raw warhead damages: 16000, 8000, 8, 16000, 8, 16000, 8
import scales all proportionally</t>
      </text>
    </comment>
    <comment ref="AB274" authorId="0" shapeId="0">
      <text>
        <t>fires when: ra1_soviets_upgrade_highexplosiverockets &amp;&amp; ra1_soviets_promotion_mammothtanktargetingcomputer</t>
      </text>
    </comment>
    <comment ref="L276" authorId="0" shapeId="0">
      <text>
        <t>raw warhead damages: 80000, 40, 600
import scales all proportionally</t>
      </text>
    </comment>
    <comment ref="L277" authorId="0" shapeId="0">
      <text>
        <t>raw warhead damages: 80000, 40, 600
import scales all proportionally</t>
      </text>
    </comment>
    <comment ref="L279" authorId="0" shapeId="0">
      <text>
        <t>raw warhead damages: 10000, 5, 10000, 5, 5000
import scales all proportionally</t>
      </text>
    </comment>
    <comment ref="AB279" authorId="0" shapeId="0">
      <text>
        <t>fires when: !ts_nod_upgrade_tiberiumcoremissiles</t>
      </text>
    </comment>
    <comment ref="L280" authorId="0" shapeId="0">
      <text>
        <t>raw warhead damages: 10000, 5, 10000, 5000, 5, 10000, 5, 5000
import scales all proportionally</t>
      </text>
    </comment>
    <comment ref="AB280" authorId="0" shapeId="0">
      <text>
        <t>fires when: ts_nod_upgrade_tiberiumcoremissiles</t>
      </text>
    </comment>
    <comment ref="L282" authorId="0" shapeId="0">
      <text>
        <t>raw warhead damages: 20000, 10
import scales all proportionally</t>
      </text>
    </comment>
    <comment ref="AB282" authorId="0" shapeId="0">
      <text>
        <t>fires when: !forgotten_upgrade_chemicalweapons</t>
      </text>
    </comment>
    <comment ref="L283" authorId="0" shapeId="0">
      <text>
        <t>raw warhead damages: 10000, 5000, 5, 20000, 10
import scales all proportionally</t>
      </text>
    </comment>
    <comment ref="AB283" authorId="0" shapeId="0">
      <text>
        <t>fires when: forgotten_upgrade_chemicalweapons</t>
      </text>
    </comment>
    <comment ref="L285" authorId="0" shapeId="0">
      <text>
        <t>raw warhead damages: 8000, 4, 1000, 8000, 4000, 4, 8000, 4000, 4, 8000, 4
import scales all proportionally</t>
      </text>
    </comment>
    <comment ref="AB285" authorId="0" shapeId="0">
      <text>
        <t>fires when: !rank-elite</t>
      </text>
    </comment>
    <comment ref="L286" authorId="0" shapeId="0">
      <text>
        <t>raw warhead damages: 8000, 4, 1000, 8000, 4000, 4, 8000, 4000, 4, 8000, 4
import scales all proportionally</t>
      </text>
    </comment>
    <comment ref="AB286" authorId="0" shapeId="0">
      <text>
        <t>fires when: rank-elite</t>
      </text>
    </comment>
    <comment ref="L288" authorId="0" shapeId="0">
      <text>
        <t>raw warhead damages: 8000, 4, 1000, 8000, 4000, 4, 8000, 4
import scales all proportionally</t>
      </text>
    </comment>
    <comment ref="AB288" authorId="0" shapeId="0">
      <text>
        <t>fires when: !rank-elite</t>
      </text>
    </comment>
    <comment ref="L289" authorId="0" shapeId="0">
      <text>
        <t>raw warhead damages: 8000, 4, 1000, 8000, 4000, 4, 8000, 4
import scales all proportionally</t>
      </text>
    </comment>
    <comment ref="AB289" authorId="0" shapeId="0">
      <text>
        <t>fires when: rank-elite</t>
      </text>
    </comment>
    <comment ref="L291" authorId="0" shapeId="0">
      <text>
        <t>raw warhead damages: 4000, 2, 4000, 2000, 2, 4000, 2
import scales all proportionally</t>
      </text>
    </comment>
    <comment ref="AB291" authorId="0" shapeId="0">
      <text>
        <t>fires when: !rank-elite &amp;&amp; !ra2_soviets_doctrine_nuclearmunitions &amp;&amp; !ra2_soviets_doctrine_firemunitions &amp;&amp; !ra2_soviets_doctrine_teslamunitions</t>
      </text>
    </comment>
    <comment ref="L292" authorId="0" shapeId="0">
      <text>
        <t>raw warhead damages: 2000, 1000, 1, 2000, 1000, 1, 2000, 1000, 1, 2000, 1, 2000, 1000, 1, 2000, 1
import scales all proportionally</t>
      </text>
    </comment>
    <comment ref="AB292" authorId="0" shapeId="0">
      <text>
        <t>fires when: !rank-elite &amp;&amp; ra2_soviets_doctrine_nuclearmunitions</t>
      </text>
    </comment>
    <comment ref="L293" authorId="0" shapeId="0">
      <text>
        <t>raw warhead damages: 4000, 2, 4000, 2000, 2, 4000, 2
import scales all proportionally</t>
      </text>
    </comment>
    <comment ref="AB293" authorId="0" shapeId="0">
      <text>
        <t>fires when: !rank-elite &amp;&amp; ra2_soviets_doctrine_firemunitions</t>
      </text>
    </comment>
    <comment ref="L294" authorId="0" shapeId="0">
      <text>
        <t>raw warhead damages: 4000, 2, 4000, 2000, 2, 4000, 2
import scales all proportionally</t>
      </text>
    </comment>
    <comment ref="AB294" authorId="0" shapeId="0">
      <text>
        <t>fires when: !rank-elite &amp;&amp; ra2_soviets_doctrine_teslamunitions</t>
      </text>
    </comment>
    <comment ref="L295" authorId="0" shapeId="0">
      <text>
        <t>raw warhead damages: 16000, 8
import scales all proportionally</t>
      </text>
    </comment>
    <comment ref="AB295" authorId="0" shapeId="0">
      <text>
        <t>fires when: !rank-elite</t>
      </text>
    </comment>
    <comment ref="L296" authorId="0" shapeId="0">
      <text>
        <t>raw warhead damages: 4000, 2, 4000, 2000, 2, 4000, 2
import scales all proportionally</t>
      </text>
    </comment>
    <comment ref="AB296" authorId="0" shapeId="0">
      <text>
        <t>fires when: rank-elite  &amp;&amp; !ra2_soviets_doctrine_nuclearmunitions &amp;&amp; !ra2_soviets_doctrine_firemunitions &amp;&amp; !ra2_soviets_doctrine_teslamunitions</t>
      </text>
    </comment>
    <comment ref="L297" authorId="0" shapeId="0">
      <text>
        <t>raw warhead damages: 2000, 1000, 1, 2000, 1000, 1, 2000, 1000, 1, 2000, 1, 2000, 1000, 1, 2000, 1
import scales all proportionally</t>
      </text>
    </comment>
    <comment ref="AB297" authorId="0" shapeId="0">
      <text>
        <t>fires when: rank-elite &amp;&amp; ra2_soviets_doctrine_nuclearmunitions</t>
      </text>
    </comment>
    <comment ref="L298" authorId="0" shapeId="0">
      <text>
        <t>raw warhead damages: 4000, 2, 4000, 2000, 2, 4000, 2
import scales all proportionally</t>
      </text>
    </comment>
    <comment ref="AB298" authorId="0" shapeId="0">
      <text>
        <t>fires when: rank-elite &amp;&amp; ra2_soviets_doctrine_firemunitions</t>
      </text>
    </comment>
    <comment ref="L299" authorId="0" shapeId="0">
      <text>
        <t>raw warhead damages: 4000, 2, 4000, 2000, 2, 4000, 2
import scales all proportionally</t>
      </text>
    </comment>
    <comment ref="AB299" authorId="0" shapeId="0">
      <text>
        <t>fires when: rank-elite &amp;&amp; ra2_soviets_doctrine_teslamunitions</t>
      </text>
    </comment>
    <comment ref="L300" authorId="0" shapeId="0">
      <text>
        <t>raw warhead damages: 16000, 8
import scales all proportionally</t>
      </text>
    </comment>
    <comment ref="AB300" authorId="0" shapeId="0">
      <text>
        <t>fires when: rank-elite</t>
      </text>
    </comment>
    <comment ref="L304" authorId="0" shapeId="0">
      <text>
        <t>raw warhead damages: 10000, 5000, 5, 10000, 5000, 5, 10000, 5
import scales all proportionally</t>
      </text>
    </comment>
    <comment ref="AB304" authorId="0" shapeId="0">
      <text>
        <t>fires when: !rank-elite &amp;&amp; !steelconsortium_upgrade_quantumweaponpower</t>
      </text>
    </comment>
    <comment ref="L305" authorId="0" shapeId="0">
      <text>
        <t>raw warhead damages: 10000, 5000, 5, 10000, 5000, 5, 10000, 5
import scales all proportionally</t>
      </text>
    </comment>
    <comment ref="AB305" authorId="0" shapeId="0">
      <text>
        <t>fires when: rank-elite &amp;&amp; !steelconsortium_upgrade_quantumweaponpower</t>
      </text>
    </comment>
    <comment ref="L306" authorId="0" shapeId="0">
      <text>
        <t>raw warhead damages: 10000, 5, 10000, 5000, 5, 10000, 5000, 5, 10000, 5000, 5, 10000, 5
import scales all proportionally</t>
      </text>
    </comment>
    <comment ref="AB306" authorId="0" shapeId="0">
      <text>
        <t>fires when: !rank-elite &amp;&amp; steelconsortium_upgrade_quantumweaponpower</t>
      </text>
    </comment>
    <comment ref="L307" authorId="0" shapeId="0">
      <text>
        <t>raw warhead damages: 10000, 5, 10000, 5000, 5, 10000, 5000, 5, 10000, 5000, 5, 10000, 5
import scales all proportionally</t>
      </text>
    </comment>
    <comment ref="AB307" authorId="0" shapeId="0">
      <text>
        <t>fires when: rank-elite &amp;&amp; steelconsortium_upgrade_quantumweaponpower</t>
      </text>
    </comment>
    <comment ref="L309" authorId="0" shapeId="0">
      <text>
        <t>raw warhead damages: 10000, 5000, 5, 10000, 5000, 5, 10000, 5000, 5, 10000, 5, 10000, 5, 10000, 5
import scales all proportionally</t>
      </text>
    </comment>
    <comment ref="AB309" authorId="0" shapeId="0">
      <text>
        <t>fires when: !rank-elite</t>
      </text>
    </comment>
    <comment ref="L310" authorId="0" shapeId="0">
      <text>
        <t>raw warhead damages: 10000, 5000, 5, 10000, 5000, 5, 10000, 5000, 5, 10000, 5, 10000, 5, 10000, 5
import scales all proportionally</t>
      </text>
    </comment>
    <comment ref="AB310" authorId="0" shapeId="0">
      <text>
        <t>fires when: rank-elite</t>
      </text>
    </comment>
    <comment ref="L312" authorId="0" shapeId="0">
      <text>
        <t>raw warhead damages: 10000, 5
import scales all proportionally</t>
      </text>
    </comment>
    <comment ref="AB312" authorId="0" shapeId="0">
      <text>
        <t>fires when: !rank-elite</t>
      </text>
    </comment>
    <comment ref="L313" authorId="0" shapeId="0">
      <text>
        <t>raw warhead damages: 10000, 5
import scales all proportionally</t>
      </text>
    </comment>
    <comment ref="AB313" authorId="0" shapeId="0">
      <text>
        <t>fires when: rank-elite</t>
      </text>
    </comment>
    <comment ref="L314" authorId="0" shapeId="0">
      <text>
        <t>raw warhead damages: 16000, 8, 16000, 8000, 8, 16000, 8000, 8
import scales all proportionally</t>
      </text>
    </comment>
    <comment ref="L315" authorId="0" shapeId="0">
      <text>
        <t>raw warhead damages: 8000, 4, 8000, 4000, 4, 8000, 4
import scales all proportionally</t>
      </text>
    </comment>
    <comment ref="L317" authorId="0" shapeId="0">
      <text>
        <t>raw warhead damages: 30000, 15, 1000, 30000, 15
import scales all proportionally</t>
      </text>
    </comment>
    <comment ref="AB317" authorId="0" shapeId="0">
      <text>
        <t>fires when: !rank-elite</t>
      </text>
    </comment>
    <comment ref="L318" authorId="0" shapeId="0">
      <text>
        <t>raw warhead damages: 60000, 30, 1000, 60000, 30
import scales all proportionally</t>
      </text>
    </comment>
    <comment ref="AB318" authorId="0" shapeId="0">
      <text>
        <t>fires when: rank-elite</t>
      </text>
    </comment>
    <comment ref="L320" authorId="0" shapeId="0">
      <text>
        <t>raw warhead damages: 10000, 5000, 5, 10000, 5, 10000, 5, 10000, 5
import scales all proportionally</t>
      </text>
    </comment>
    <comment ref="L322" authorId="0" shapeId="0">
      <text>
        <t>raw warhead damages: 10000, 5, 10000, 5, 10000, 5, 1000, 10000, 5, 600
import scales all proportionally</t>
      </text>
    </comment>
    <comment ref="L324" authorId="0" shapeId="0">
      <text>
        <t>raw warhead damages: 14000, 7000, 7, 14000, 7000, 7, 14000, 7, 14000, 7, 14000, 7, 14000, 7
import scales all proportionally</t>
      </text>
    </comment>
    <comment ref="L325" authorId="0" shapeId="0">
      <text>
        <t>raw warhead damages: 2000, 1, 2000, 1000, 1, 2000, 1, 2000, 1, 2000, 1, 2000, 1
import scales all proportionally</t>
      </text>
    </comment>
    <comment ref="AB325" authorId="0" shapeId="0">
      <text>
        <t>fires when: !ixian_upgrade_tungstenneedleguns</t>
      </text>
    </comment>
    <comment ref="L326" authorId="0" shapeId="0">
      <text>
        <t>raw warhead damages: 2000, 1, 600, 2000, 1, 2000, 1, 2000, 1, 2000, 1000, 1, 2000, 1, 2000, 1, 2000, 1, 2000, 1
import scales all proportionally</t>
      </text>
    </comment>
    <comment ref="AB326" authorId="0" shapeId="0">
      <text>
        <t>fires when: ixian_upgrade_tungstenneedleguns</t>
      </text>
    </comment>
    <comment ref="L328" authorId="0" shapeId="0">
      <text>
        <t>raw warhead damages: 2000, 1000, 1, 2000, 1, 2000, 1, 2000, 1, 2000, 1
import scales all proportionally</t>
      </text>
    </comment>
    <comment ref="L330" authorId="0" shapeId="0">
      <text>
        <t>raw warhead damages: 30000, 15000, 15
import scales all proportionally</t>
      </text>
    </comment>
    <comment ref="L332" authorId="0" shapeId="0">
      <text>
        <t>raw warhead damages: 2000, 1000, 1, 2000, 1, 2000, 1
import scales all proportionally</t>
      </text>
    </comment>
    <comment ref="L333" authorId="0" shapeId="0">
      <text>
        <t>raw warhead damages: 2000, 1000, 1, 2000, 1, 2000, 1
import scales all proportionally</t>
      </text>
    </comment>
    <comment ref="L334" authorId="0" shapeId="0">
      <text>
        <t>raw warhead damages: 6000, 3, 6000, 3, 6000, 3, 6000, 3, 6000, 3
import scales all proportionally</t>
      </text>
    </comment>
    <comment ref="L335" authorId="0" shapeId="0">
      <text>
        <t>raw warhead damages: 6000, 3, 6000, 3, 6000, 3, 6000, 3, 6000, 3
import scales all proportionally</t>
      </text>
    </comment>
    <comment ref="L337" authorId="0" shapeId="0">
      <text>
        <t>raw warhead damages: 2000, 1000, 1, 2000, 1, 2000, 1, 2000, 1
import scales all proportionally</t>
      </text>
    </comment>
    <comment ref="L338" authorId="0" shapeId="0">
      <text>
        <t>raw warhead damages: 2000, 1000, 1, 2000, 1, 2000, 1, 2000, 1
import scales all proportionally</t>
      </text>
    </comment>
    <comment ref="L339" authorId="0" shapeId="0">
      <text>
        <t>raw warhead damages: 8000, 4, 8000, 4, 8000, 4, 8000, 4
import scales all proportionally</t>
      </text>
    </comment>
    <comment ref="L340" authorId="0" shapeId="0">
      <text>
        <t>raw warhead damages: 8000, 4, 8000, 4, 8000, 4, 8000, 4
import scales all proportionally</t>
      </text>
    </comment>
    <comment ref="L343" authorId="0" shapeId="0">
      <text>
        <t>raw warhead damages: 2000, 1
import scales all proportionally</t>
      </text>
    </comment>
    <comment ref="AB343" authorId="0" shapeId="0">
      <text>
        <t>fires when: !td_gdi_upgrade_armorpiercingbullets</t>
      </text>
    </comment>
    <comment ref="L344" authorId="0" shapeId="0">
      <text>
        <t>raw warhead damages: 2000, 1
import scales all proportionally</t>
      </text>
    </comment>
    <comment ref="AB344" authorId="0" shapeId="0">
      <text>
        <t>fires when: !td_gdi_upgrade_armorpiercingbullets</t>
      </text>
    </comment>
    <comment ref="L345" authorId="0" shapeId="0">
      <text>
        <t>raw warhead damages: 2000, 1
import scales all proportionally</t>
      </text>
    </comment>
    <comment ref="AB345" authorId="0" shapeId="0">
      <text>
        <t>fires when: td_gdi_upgrade_armorpiercingbullets</t>
      </text>
    </comment>
    <comment ref="L346" authorId="0" shapeId="0">
      <text>
        <t>raw warhead damages: 2000, 1
import scales all proportionally</t>
      </text>
    </comment>
    <comment ref="AB346" authorId="0" shapeId="0">
      <text>
        <t>fires when: td_gdi_upgrade_armorpiercingbullets</t>
      </text>
    </comment>
    <comment ref="L348" authorId="0" shapeId="0">
      <text>
        <t>raw warhead damages: 14000, 7000, 7
import scales all proportionally</t>
      </text>
    </comment>
    <comment ref="L350" authorId="0" shapeId="0">
      <text>
        <t>raw warhead damages: 20000, 10000, 10
import scales all proportionally</t>
      </text>
    </comment>
    <comment ref="L354" authorId="0" shapeId="0">
      <text>
        <t>raw warhead damages: 12000, 6, 12000, 6
import scales all proportionally</t>
      </text>
    </comment>
    <comment ref="L356" authorId="0" shapeId="0">
      <text>
        <t>raw warhead damages: 10000, 5, 10000, 5000, 5, 10000, 5, 1000, 10000, 5, 600
import scales all proportionally</t>
      </text>
    </comment>
    <comment ref="L358" authorId="0" shapeId="0">
      <text>
        <t>raw warhead damages: 74000, 37000, 37
import scales all proportionally</t>
      </text>
    </comment>
    <comment ref="L360" authorId="0" shapeId="0">
      <text>
        <t>raw warhead damages: 32000, 16000, 16
import scales all proportionally</t>
      </text>
    </comment>
    <comment ref="AB360" authorId="0" shapeId="0">
      <text>
        <t>fires when: !cabal_upgrade_neutronnuclearcatalyst</t>
      </text>
    </comment>
    <comment ref="L361" authorId="0" shapeId="0">
      <text>
        <t>raw warhead damages: 32000, 16000, 16
import scales all proportionally</t>
      </text>
    </comment>
    <comment ref="AB361" authorId="0" shapeId="0">
      <text>
        <t>fires when: cabal_upgrade_neutronnuclearcatalyst</t>
      </text>
    </comment>
    <comment ref="L363" authorId="0" shapeId="0">
      <text>
        <t>raw warhead damages: 8000, 4000, 4
import scales all proportionally</t>
      </text>
    </comment>
    <comment ref="L365" authorId="0" shapeId="0">
      <text>
        <t>raw warhead damages: 2000, 1000, 1, 2000, 1, 888
import scales all proportionally</t>
      </text>
    </comment>
    <comment ref="AB365" authorId="0" shapeId="0">
      <text>
        <t>fires when: !ts_gdi_upgrade_sonicweaponry</t>
      </text>
    </comment>
    <comment ref="L366" authorId="0" shapeId="0">
      <text>
        <t>raw warhead damages: 4000, 2000, 2, 4000, 2, 888
import scales all proportionally</t>
      </text>
    </comment>
    <comment ref="AB366" authorId="0" shapeId="0">
      <text>
        <t>fires when: ts_gdi_upgrade_sonicweaponry</t>
      </text>
    </comment>
    <comment ref="L368" authorId="0" shapeId="0">
      <text>
        <t>raw warhead damages: 64000, 32000, 32
import scales all proportionally</t>
      </text>
    </comment>
    <comment ref="L370" authorId="0" shapeId="0">
      <text>
        <t>raw warhead damages: 28000, 14000, 14
import scales all proportionally</t>
      </text>
    </comment>
    <comment ref="AB370" authorId="0" shapeId="0">
      <text>
        <t>fires when: !forgotten_upgrade_chemicalweapons</t>
      </text>
    </comment>
    <comment ref="L371" authorId="0" shapeId="0">
      <text>
        <t>raw warhead damages: 28000, 14000, 14, 14000, 7000, 7
import scales all proportionally</t>
      </text>
    </comment>
    <comment ref="AB371" authorId="0" shapeId="0">
      <text>
        <t>fires when: forgotten_upgrade_chemicalweapons</t>
      </text>
    </comment>
    <comment ref="L373" authorId="0" shapeId="0">
      <text>
        <t>raw warhead damages: 20000, 10000, 10, 20000, 10000, 10
import scales all proportionally</t>
      </text>
    </comment>
    <comment ref="AB373" authorId="0" shapeId="0">
      <text>
        <t>fires when: !forgotten_upgrade_chemicalweapons</t>
      </text>
    </comment>
    <comment ref="L374" authorId="0" shapeId="0">
      <text>
        <t>raw warhead damages: 20000, 10000, 10, 20000, 10000, 10, 10000, 5000, 5, 10000, 5000, 5
import scales all proportionally</t>
      </text>
    </comment>
    <comment ref="AB374" authorId="0" shapeId="0">
      <text>
        <t>fires when: forgotten_upgrade_chemicalweapons</t>
      </text>
    </comment>
    <comment ref="L376" authorId="0" shapeId="0">
      <text>
        <t>raw warhead damages: 32000, 16000, 16, 32000, 16
import scales all proportionally</t>
      </text>
    </comment>
    <comment ref="AB376" authorId="0" shapeId="0">
      <text>
        <t>fires when: !forgotten_upgrade_chemicalweapons</t>
      </text>
    </comment>
    <comment ref="L377" authorId="0" shapeId="0">
      <text>
        <t>raw warhead damages: 32000, 16000, 16, 32000, 16, 32000, 16000, 16, 32000, 16000, 16
import scales all proportionally</t>
      </text>
    </comment>
    <comment ref="AB377" authorId="0" shapeId="0">
      <text>
        <t>fires when: forgotten_upgrade_chemicalweapons</t>
      </text>
    </comment>
    <comment ref="L379" authorId="0" shapeId="0">
      <text>
        <t>raw warhead damages: 4000, 2, 4000, 2
import scales all proportionally</t>
      </text>
    </comment>
    <comment ref="L381" authorId="0" shapeId="0">
      <text>
        <t>raw warhead damages: 4000, 2, 4000, 2
import scales all proportionally</t>
      </text>
    </comment>
    <comment ref="L383" authorId="0" shapeId="0">
      <text>
        <t>raw warhead damages: 4000, 2, 4000, 2
import scales all proportionally</t>
      </text>
    </comment>
    <comment ref="L385" authorId="0" shapeId="0">
      <text>
        <t>raw warhead damages: 80000, 40
import scales all proportionally</t>
      </text>
    </comment>
    <comment ref="AB385" authorId="0" shapeId="0">
      <text>
        <t>fires when: !rank-elite</t>
      </text>
    </comment>
    <comment ref="L386" authorId="0" shapeId="0">
      <text>
        <t>raw warhead damages: 160000, 80
import scales all proportionally</t>
      </text>
    </comment>
    <comment ref="AB386" authorId="0" shapeId="0">
      <text>
        <t>fires when: rank-elite</t>
      </text>
    </comment>
    <comment ref="L388" authorId="0" shapeId="0">
      <text>
        <t>raw warhead damages: 4000, 2000, 2
import scales all proportionally</t>
      </text>
    </comment>
    <comment ref="AB388" authorId="0" shapeId="0">
      <text>
        <t>fires when: !rank-elite</t>
      </text>
    </comment>
    <comment ref="L389" authorId="0" shapeId="0">
      <text>
        <t>raw warhead damages: 4000, 2000, 2
import scales all proportionally</t>
      </text>
    </comment>
    <comment ref="AB389" authorId="0" shapeId="0">
      <text>
        <t>fires when: rank-elite</t>
      </text>
    </comment>
    <comment ref="L391" authorId="0" shapeId="0">
      <text>
        <t>raw warhead damages: 2000, 1000, 1, 2000, 1, 2000, 1, 2000, 1, 2000, 1
import scales all proportionally</t>
      </text>
    </comment>
    <comment ref="L392" authorId="0" shapeId="0">
      <text>
        <t>raw warhead damages: 2000, 1000, 1, 2000, 1, 2000, 1, 2000, 1, 2000, 1
import scales all proportionally</t>
      </text>
    </comment>
    <comment ref="AB392" authorId="0" shapeId="0">
      <text>
        <t>fires when: asianalliance_doctrine_heavypulverizerweapons</t>
      </text>
    </comment>
    <comment ref="L394" authorId="0" shapeId="0">
      <text>
        <t>raw warhead damages: 4000, 2000, 2, 4000, 2
import scales all proportionally</t>
      </text>
    </comment>
    <comment ref="L396" authorId="0" shapeId="0">
      <text>
        <t>raw warhead damages: 2000, 1000, 1, 2000, 1000, 1, 2000, 1000, 1, 2000, 1, 600, 2000, 1, 1000, 2000, 1
import scales all proportionally</t>
      </text>
    </comment>
    <comment ref="L397" authorId="0" shapeId="0">
      <text>
        <t>raw warhead damages: 2000, 1000, 1, 2000, 1000, 1, 2000, 1000, 1, 2000, 1, 600, 2000, 1, 1000, 2000, 1
import scales all proportionally</t>
      </text>
    </comment>
    <comment ref="L399" authorId="0" shapeId="0">
      <text>
        <t>raw warhead damages: 20000, 10000, 10, 20000, 10, 600, 20000, 10000, 10
import scales all proportionally</t>
      </text>
    </comment>
    <comment ref="AB399" authorId="0" shapeId="0">
      <text>
        <t>fires when: !rank-elite</t>
      </text>
    </comment>
    <comment ref="L400" authorId="0" shapeId="0">
      <text>
        <t>raw warhead damages: 30000, 15000, 15, 30000, 15, 600, 30000, 15000, 15
import scales all proportionally</t>
      </text>
    </comment>
    <comment ref="AB400" authorId="0" shapeId="0">
      <text>
        <t>fires when: !rank-elite &amp;&amp; steelconsortium_upgrade_quantumweaponpower</t>
      </text>
    </comment>
    <comment ref="L401" authorId="0" shapeId="0">
      <text>
        <t>raw warhead damages: 30000, 15, 1000, 30000, 15000, 15, 30000, 15, 600, 30000, 15000, 15
import scales all proportionally</t>
      </text>
    </comment>
    <comment ref="AB401" authorId="0" shapeId="0">
      <text>
        <t>fires when: rank-elite</t>
      </text>
    </comment>
    <comment ref="L403" authorId="0" shapeId="0">
      <text>
        <t>raw warhead damages: 14000, 7
import scales all proportionally</t>
      </text>
    </comment>
    <comment ref="L405" authorId="0" shapeId="0">
      <text>
        <t>raw warhead damages: 16000, 8
import scales all proportionally</t>
      </text>
    </comment>
    <comment ref="AB405" authorId="0" shapeId="0">
      <text>
        <t>fires when: !rank-elite</t>
      </text>
    </comment>
    <comment ref="L406" authorId="0" shapeId="0">
      <text>
        <t>raw warhead damages: 16000, 8
import scales all proportionally</t>
      </text>
    </comment>
    <comment ref="AB406" authorId="0" shapeId="0">
      <text>
        <t>fires when: rank-elite</t>
      </text>
    </comment>
    <comment ref="L408" authorId="0" shapeId="0">
      <text>
        <t>raw warhead damages: 4000, 2, 4000, 2
import scales all proportionally</t>
      </text>
    </comment>
    <comment ref="AB408" authorId="0" shapeId="0">
      <text>
        <t>fires when: !rank-elite &amp;&amp; !latinsyndicate_upgrade_yuristolentechchainguns</t>
      </text>
    </comment>
    <comment ref="L409" authorId="0" shapeId="0">
      <text>
        <t>raw warhead damages: 4000, 2, 4000, 2
import scales all proportionally</t>
      </text>
    </comment>
    <comment ref="AB409" authorId="0" shapeId="0">
      <text>
        <t>fires when: rank-elite &amp;&amp; !latinsyndicate_upgrade_yuristolentechchainguns</t>
      </text>
    </comment>
    <comment ref="L410" authorId="0" shapeId="0">
      <text>
        <t>raw warhead damages: 2000, 1, 2000, 1, 2000, 1, 2000, 1
import scales all proportionally</t>
      </text>
    </comment>
    <comment ref="AB410" authorId="0" shapeId="0">
      <text>
        <t>fires when: !rank-elite &amp;&amp; latinsyndicate_upgrade_yuristolentechchainguns</t>
      </text>
    </comment>
    <comment ref="L411" authorId="0" shapeId="0">
      <text>
        <t>raw warhead damages: 2000, 1, 2000, 1, 2000, 1, 2000, 1
import scales all proportionally</t>
      </text>
    </comment>
    <comment ref="AB411" authorId="0" shapeId="0">
      <text>
        <t>fires when: rank-elite &amp;&amp; latinsyndicate_upgrade_yuristolentechchainguns</t>
      </text>
    </comment>
    <comment ref="L413" authorId="0" shapeId="0">
      <text>
        <t>raw warhead damages: 20000, 10, 20000, 10
import scales all proportionally</t>
      </text>
    </comment>
    <comment ref="AB413" authorId="0" shapeId="0">
      <text>
        <t>fires when: !rank-elite</t>
      </text>
    </comment>
    <comment ref="L414" authorId="0" shapeId="0">
      <text>
        <t>raw warhead damages: 20000, 10, 20000, 10
import scales all proportionally</t>
      </text>
    </comment>
    <comment ref="AB414" authorId="0" shapeId="0">
      <text>
        <t>fires when: rank-elite</t>
      </text>
    </comment>
    <comment ref="L416" authorId="0" shapeId="0">
      <text>
        <t>raw warhead damages: 20000, 10, 20000, 10000, 10, 20000, 10
import scales all proportionally</t>
      </text>
    </comment>
    <comment ref="AB416" authorId="0" shapeId="0">
      <text>
        <t>fires when: !rank-elite</t>
      </text>
    </comment>
    <comment ref="L417" authorId="0" shapeId="0">
      <text>
        <t>raw warhead damages: 20000, 10, 20000, 10000, 10, 20000, 10
import scales all proportionally</t>
      </text>
    </comment>
    <comment ref="AB417" authorId="0" shapeId="0">
      <text>
        <t>fires when: rank-elite</t>
      </text>
    </comment>
    <comment ref="L419" authorId="0" shapeId="0">
      <text>
        <t>raw warhead damages: 14000, 7, 14000, 7
import scales all proportionally</t>
      </text>
    </comment>
    <comment ref="L421" authorId="0" shapeId="0">
      <text>
        <t>raw warhead damages: 30000, 14, 30000, 14, 20000, 10000, 14
import scales all proportionally</t>
      </text>
    </comment>
    <comment ref="L423" authorId="0" shapeId="0">
      <text>
        <t>raw warhead damages: 30000, 15, 30000, 15000, 15, 30000, 15
import scales all proportionally</t>
      </text>
    </comment>
    <comment ref="AB423" authorId="0" shapeId="0">
      <text>
        <t>fires when: !rank-elite &amp;&amp; !schwarzermond_upgrade_vrilpoweredweapons</t>
      </text>
    </comment>
    <comment ref="L424" authorId="0" shapeId="0">
      <text>
        <t>raw warhead damages: 30000, 15, 30000, 15000, 15, 30000, 15
import scales all proportionally</t>
      </text>
    </comment>
    <comment ref="AB424" authorId="0" shapeId="0">
      <text>
        <t>fires when: rank-elite &amp;&amp; !schwarzermond_upgrade_vrilpoweredweapons</t>
      </text>
    </comment>
    <comment ref="L425" authorId="0" shapeId="0">
      <text>
        <t>raw warhead damages: 30000, 15000, 15, 30000, 15, 30000, 15000, 15, 30000, 15
import scales all proportionally</t>
      </text>
    </comment>
    <comment ref="AB425" authorId="0" shapeId="0">
      <text>
        <t>fires when: !rank-elite &amp;&amp; schwarzermond_upgrade_vrilpoweredweapons</t>
      </text>
    </comment>
    <comment ref="L426" authorId="0" shapeId="0">
      <text>
        <t>raw warhead damages: 30000, 15000, 15, 30000, 15, 30000, 15000, 15, 30000, 15
import scales all proportionally</t>
      </text>
    </comment>
    <comment ref="AB426" authorId="0" shapeId="0">
      <text>
        <t>fires when: rank-elite &amp;&amp; schwarzermond_upgrade_vrilpoweredweapons</t>
      </text>
    </comment>
    <comment ref="L428" authorId="0" shapeId="0">
      <text>
        <t>raw warhead damages: 10000, 5000, 5, 10000, 5000, 5, 10000, 5
import scales all proportionally</t>
      </text>
    </comment>
    <comment ref="AB428" authorId="0" shapeId="0">
      <text>
        <t>fires when: !rank-elite</t>
      </text>
    </comment>
    <comment ref="L429" authorId="0" shapeId="0">
      <text>
        <t>raw warhead damages: 10000, 5000, 5, 10000, 5000, 5, 10000, 5
import scales all proportionally</t>
      </text>
    </comment>
    <comment ref="AB429" authorId="0" shapeId="0">
      <text>
        <t>fires when: rank-elite</t>
      </text>
    </comment>
    <comment ref="L431" authorId="0" shapeId="0">
      <text>
        <t>raw warhead damages: 2000, 1000, 1, 2000, 1000, 1, 2000, 1, 2000, 1, 2000, 1, 2000, 1
import scales all proportionally</t>
      </text>
    </comment>
    <comment ref="AB431" authorId="0" shapeId="0">
      <text>
        <t>fires when: !rank-elite</t>
      </text>
    </comment>
    <comment ref="L432" authorId="0" shapeId="0">
      <text>
        <t>raw warhead damages: 2000, 1000, 1, 2000, 1000, 1, 2000, 1, 2000, 1, 2000, 1, 1000, 1
import scales all proportionally</t>
      </text>
    </comment>
    <comment ref="AB432" authorId="0" shapeId="0">
      <text>
        <t>fires when: rank-elite</t>
      </text>
    </comment>
    <comment ref="L433" authorId="0" shapeId="0">
      <text>
        <t>raw warhead damages: 2000, 1000, 1, 2000, 1000, 1, 2000, 1, 2000, 1, 2000, 1, 2000, 1
import scales all proportionally</t>
      </text>
    </comment>
    <comment ref="AB433" authorId="0" shapeId="0">
      <text>
        <t>fires when: !rank-elite</t>
      </text>
    </comment>
    <comment ref="L434" authorId="0" shapeId="0">
      <text>
        <t>raw warhead damages: 2000, 1000, 1, 2000, 1000, 1, 2000, 1, 2000, 1, 2000, 1, 1000, 1
import scales all proportionally</t>
      </text>
    </comment>
    <comment ref="AB434" authorId="0" shapeId="0">
      <text>
        <t>fires when: rank-elite</t>
      </text>
    </comment>
    <comment ref="L436" authorId="0" shapeId="0">
      <text>
        <t>raw warhead damages: -2000, -1000, -1
import scales all proportionally</t>
      </text>
    </comment>
    <comment ref="L438" authorId="0" shapeId="0">
      <text>
        <t>raw warhead damages: 2000, 1, 2000, 1, 2000, 1, 2000, 1, 2000, 1, 2000, 1
import scales all proportionally</t>
      </text>
    </comment>
    <comment ref="L440" authorId="0" shapeId="0">
      <text>
        <t>raw warhead damages: 14000, 7000, 7, 14000, 7000, 7, 14000, 7, 14000, 7
import scales all proportionally</t>
      </text>
    </comment>
    <comment ref="L442" authorId="0" shapeId="0">
      <text>
        <t>raw warhead damages: 16000, 6000, 8, 16000, 8, 1000
import scales all proportionally</t>
      </text>
    </comment>
    <comment ref="L443" authorId="0" shapeId="0">
      <text>
        <t>raw warhead damages: 6000, 3000, 3, 6000, 3, 6000, 3, 6000, 3
import scales all proportionally</t>
      </text>
    </comment>
    <comment ref="L445" authorId="0" shapeId="0">
      <text>
        <t>raw warhead damages: 30000, 15000, 15
import scales all proportionally</t>
      </text>
    </comment>
    <comment ref="L447" authorId="0" shapeId="0">
      <text>
        <t>raw warhead damages: 40000, 20000, 20
import scales all proportionally</t>
      </text>
    </comment>
    <comment ref="L449" authorId="0" shapeId="0">
      <text>
        <t>raw warhead damages: 4000, 2000, 2, 4000, 2, 4000, 2000, 2, 4000, 2
import scales all proportionally</t>
      </text>
    </comment>
    <comment ref="L450" authorId="0" shapeId="0">
      <text>
        <t>raw warhead damages: 4000, 2000, 2, 4000, 2, 4000, 2, 4000, 2
import scales all proportionally</t>
      </text>
    </comment>
    <comment ref="AB452" authorId="0" shapeId="0">
      <text>
        <t>fires when: !cond_deployed</t>
      </text>
    </comment>
    <comment ref="L453" authorId="0" shapeId="0">
      <text>
        <t>raw warhead damages: 12000, 6000, 6
import scales all proportionally</t>
      </text>
    </comment>
    <comment ref="AB453" authorId="0" shapeId="0">
      <text>
        <t>fires when: cond_deployed</t>
      </text>
    </comment>
    <comment ref="L455" authorId="0" shapeId="0">
      <text>
        <t>raw warhead damages: 30000, 15000, 15
import scales all proportionally</t>
      </text>
    </comment>
    <comment ref="AB455" authorId="0" shapeId="0">
      <text>
        <t>fires when: (FSD_cond_1 &amp;&amp; !wc2_cond_bot_owner) || (FSD_cond_1_AI &amp;&amp; wc2_cond_bot_owner) || (FSD_cond_3 &amp;&amp; !ogremagebloodlust_upg) || (FSD_cond_4 &amp;&amp; !ogremagerunes_upg)</t>
      </text>
    </comment>
    <comment ref="AB456" authorId="0" shapeId="0">
      <text>
        <t>fires when: FSD_cond_2</t>
      </text>
    </comment>
    <comment ref="AB457" authorId="0" shapeId="0">
      <text>
        <t>fires when: FSD_cond_3 &amp;&amp; ogremagebloodlust_upg</t>
      </text>
    </comment>
    <comment ref="AB458" authorId="0" shapeId="0">
      <text>
        <t>fires when: FSD_cond_4 &amp;&amp; ogremagerunes_upg</t>
      </text>
    </comment>
    <comment ref="L460" authorId="0" shapeId="0">
      <text>
        <t>raw warhead damages: 30000, 15000, 15
import scales all proportionally</t>
      </text>
    </comment>
    <comment ref="AB460" authorId="0" shapeId="0">
      <text>
        <t>fires when: (FSD_cond_1 &amp;&amp; !wc2_cond_bot_owner) || (FSD_cond_1_AI &amp;&amp; wc2_cond_bot_owner) || (FSD_cond_3 &amp;&amp; !ogremagebloodlust_upg) || (FSD_cond_4 &amp;&amp; !ogremagerunes_upg)</t>
      </text>
    </comment>
    <comment ref="AB461" authorId="0" shapeId="0">
      <text>
        <t>fires when: FSD_cond_2</t>
      </text>
    </comment>
    <comment ref="AB462" authorId="0" shapeId="0">
      <text>
        <t>fires when: FSD_cond_3 &amp;&amp; ogremagebloodlust_upg</t>
      </text>
    </comment>
    <comment ref="AB463" authorId="0" shapeId="0">
      <text>
        <t>fires when: FSD_cond_4 &amp;&amp; ogremagerunes_upg</t>
      </text>
    </comment>
    <comment ref="AB465" authorId="0" shapeId="0">
      <text>
        <t>fires when: !cond_deployed</t>
      </text>
    </comment>
    <comment ref="L466" authorId="0" shapeId="0">
      <text>
        <t>raw warhead damages: 12000, 6000, 6
import scales all proportionally</t>
      </text>
    </comment>
    <comment ref="AB466" authorId="0" shapeId="0">
      <text>
        <t>fires when: cond_deployed</t>
      </text>
    </comment>
    <comment ref="L468" authorId="0" shapeId="0">
      <text>
        <t>raw warhead damages: 16000, 8000, 8
import scales all proportionally</t>
      </text>
    </comment>
    <comment ref="AB468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469" authorId="0" shapeId="0">
      <text>
        <t>fires when: FSD_cond_2</t>
      </text>
    </comment>
    <comment ref="AB470" authorId="0" shapeId="0">
      <text>
        <t>fires when: FSD_cond_3 &amp;&amp; paladinhealing_upg</t>
      </text>
    </comment>
    <comment ref="AB471" authorId="0" shapeId="0">
      <text>
        <t>fires when: FSD_cond_4 &amp;&amp; paladinexorcism_upg</t>
      </text>
    </comment>
    <comment ref="L473" authorId="0" shapeId="0">
      <text>
        <t>raw warhead damages: 16000, 8000, 8
import scales all proportionally</t>
      </text>
    </comment>
    <comment ref="AB473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474" authorId="0" shapeId="0">
      <text>
        <t>fires when: FSD_cond_2</t>
      </text>
    </comment>
    <comment ref="AB475" authorId="0" shapeId="0">
      <text>
        <t>fires when: FSD_cond_3 &amp;&amp; paladinhealing_upg</t>
      </text>
    </comment>
    <comment ref="AB476" authorId="0" shapeId="0">
      <text>
        <t>fires when: FSD_cond_4 &amp;&amp; paladinexorcism_upg</t>
      </text>
    </comment>
    <comment ref="L478" authorId="0" shapeId="0">
      <text>
        <t>raw warhead damages: 16000, 8000, 8
import scales all proportionally</t>
      </text>
    </comment>
    <comment ref="AB478" authorId="0" shapeId="0">
      <text>
        <t>fires when: (FSD_cond_1 &amp;&amp; !wc2_cond_bot_owner) || (FSD_cond_1_AI &amp;&amp; wc2_cond_bot_owner) || (FSD_cond_3 &amp;&amp; !paladinhealing_upg) || (FSD_cond_4 &amp;&amp; !paladinexorcism_upg)</t>
      </text>
    </comment>
    <comment ref="AB479" authorId="0" shapeId="0">
      <text>
        <t>fires when: FSD_cond_2</t>
      </text>
    </comment>
    <comment ref="AB480" authorId="0" shapeId="0">
      <text>
        <t>fires when: FSD_cond_3 &amp;&amp; paladinhealing_upg</t>
      </text>
    </comment>
    <comment ref="AB481" authorId="0" shapeId="0">
      <text>
        <t>fires when: FSD_cond_4 &amp;&amp; paladinexorcism_upg</t>
      </text>
    </comment>
  </commentList>
</comments>
</file>

<file path=xl/comments/comment3.xml><?xml version="1.0" encoding="utf-8"?>
<comments xmlns="http://schemas.openxmlformats.org/spreadsheetml/2006/main">
  <authors>
    <author>balance-pipeline</author>
  </authors>
  <commentList>
    <comment ref="L12" authorId="0" shapeId="0">
      <text>
        <t>raw warhead damages: 14000, 7000, 7
import scales all proportionally</t>
      </text>
    </comment>
    <comment ref="L21" authorId="0" shapeId="0">
      <text>
        <t>raw warhead damages: -2000, -1000, -1
import scales all proportionally</t>
      </text>
    </comment>
    <comment ref="L33" authorId="0" shapeId="0">
      <text>
        <t>raw warhead damages: 80000, 5
import scales all proportionally</t>
      </text>
    </comment>
    <comment ref="L36" authorId="0" shapeId="0">
      <text>
        <t>raw warhead damages: 6000, 3
import scales all proportionally</t>
      </text>
    </comment>
    <comment ref="AB36" authorId="0" shapeId="0">
      <text>
        <t>fires when: !td_gdi_upgrade_armorpiercingbullets</t>
      </text>
    </comment>
    <comment ref="L37" authorId="0" shapeId="0">
      <text>
        <t>raw warhead damages: 6000, 3
import scales all proportionally</t>
      </text>
    </comment>
    <comment ref="AB37" authorId="0" shapeId="0">
      <text>
        <t>fires when: td_gdi_upgrade_armorpiercingbullets</t>
      </text>
    </comment>
    <comment ref="L39" authorId="0" shapeId="0">
      <text>
        <t>raw warhead damages: 2000, 1
import scales all proportionally</t>
      </text>
    </comment>
    <comment ref="AB39" authorId="0" shapeId="0">
      <text>
        <t>fires when: !td_gdi_upgrade_armorpiercingbullets</t>
      </text>
    </comment>
    <comment ref="L40" authorId="0" shapeId="0">
      <text>
        <t>raw warhead damages: 2000, 1
import scales all proportionally</t>
      </text>
    </comment>
    <comment ref="AB40" authorId="0" shapeId="0">
      <text>
        <t>fires when: td_gdi_upgrade_armorpiercingbullets</t>
      </text>
    </comment>
    <comment ref="L41" authorId="0" shapeId="0">
      <text>
        <t>raw warhead damages: 2000, 1
import scales all proportionally</t>
      </text>
    </comment>
    <comment ref="AB41" authorId="0" shapeId="0">
      <text>
        <t>fires when: !td_gdi_upgrade_armorpiercingbullets</t>
      </text>
    </comment>
    <comment ref="L42" authorId="0" shapeId="0">
      <text>
        <t>raw warhead damages: 2000, 1
import scales all proportionally</t>
      </text>
    </comment>
    <comment ref="AB42" authorId="0" shapeId="0">
      <text>
        <t>fires when: td_gdi_upgrade_armorpiercingbullets</t>
      </text>
    </comment>
    <comment ref="L43" authorId="0" shapeId="0">
      <text>
        <t>raw warhead damages: 16000, 8
import scales all proportionally</t>
      </text>
    </comment>
    <comment ref="AB43" authorId="0" shapeId="0">
      <text>
        <t>fires when: !td_gdi_upgrade_advancedmissiletargeting</t>
      </text>
    </comment>
    <comment ref="L44" authorId="0" shapeId="0">
      <text>
        <t>raw warhead damages: 16000, 8
import scales all proportionally</t>
      </text>
    </comment>
    <comment ref="AB44" authorId="0" shapeId="0">
      <text>
        <t>fires when: !td_gdi_upgrade_advancedmissiletargeting</t>
      </text>
    </comment>
    <comment ref="L45" authorId="0" shapeId="0">
      <text>
        <t>raw warhead damages: 16000, 8, 16000, 8
import scales all proportionally</t>
      </text>
    </comment>
    <comment ref="AB45" authorId="0" shapeId="0">
      <text>
        <t>fires when: td_gdi_upgrade_advancedmissiletargeting</t>
      </text>
    </comment>
    <comment ref="L46" authorId="0" shapeId="0">
      <text>
        <t>raw warhead damages: 16000, 8, 16000, 8
import scales all proportionally</t>
      </text>
    </comment>
    <comment ref="AB46" authorId="0" shapeId="0">
      <text>
        <t>fires when: td_gdi_upgrade_advancedmissiletargeting</t>
      </text>
    </comment>
    <comment ref="L48" authorId="0" shapeId="0">
      <text>
        <t>raw warhead damages: 4000, 2
import scales all proportionally</t>
      </text>
    </comment>
    <comment ref="L49" authorId="0" shapeId="0">
      <text>
        <t>raw warhead damages: 2000, 1000, 1
import scales all proportionally</t>
      </text>
    </comment>
    <comment ref="AB49" authorId="0" shapeId="0">
      <text>
        <t>fires when: td_nod_upgrade_blackmarketupgrades</t>
      </text>
    </comment>
    <comment ref="L51" authorId="0" shapeId="0">
      <text>
        <t>raw warhead damages: 2000, 1, 2000, 1, 2000, 1
import scales all proportionally</t>
      </text>
    </comment>
    <comment ref="L52" authorId="0" shapeId="0">
      <text>
        <t>raw warhead damages: 2000, 1000, 1, 2000, 1000, 1, 2000, 1000, 1
import scales all proportionally</t>
      </text>
    </comment>
    <comment ref="AB52" authorId="0" shapeId="0">
      <text>
        <t>fires when: td_nod_upgrade_blackmarketupgrades</t>
      </text>
    </comment>
    <comment ref="L53" authorId="0" shapeId="0">
      <text>
        <t>raw warhead damages: 2000, 1, 2000, 1, 2000, 1
import scales all proportionally</t>
      </text>
    </comment>
    <comment ref="L54" authorId="0" shapeId="0">
      <text>
        <t>raw warhead damages: 2000, 1000, 1, 2000, 1, 2000, 1, 600
import scales all proportionally</t>
      </text>
    </comment>
    <comment ref="AB54" authorId="0" shapeId="0">
      <text>
        <t>fires when: td_nod_upgrade_blackmarketupgrades</t>
      </text>
    </comment>
    <comment ref="L55" authorId="0" shapeId="0">
      <text>
        <t>raw warhead damages: 2000, 1000, 1, 2000, 1, 2000, 1, 600
import scales all proportionally</t>
      </text>
    </comment>
    <comment ref="AB55" authorId="0" shapeId="0">
      <text>
        <t>fires when: td_nod_upgrade_blackmarketupgrades</t>
      </text>
    </comment>
    <comment ref="AB57" authorId="0" shapeId="0">
      <text>
        <t>fires when: td_nod_upgrade_blackmarketupgrades</t>
      </text>
    </comment>
    <comment ref="L58" authorId="0" shapeId="0">
      <text>
        <t>raw warhead damages: 8000, 4, 8000, 4000, 4, 8000, 4, 8000, 4
import scales all proportionally</t>
      </text>
    </comment>
    <comment ref="AB60" authorId="0" shapeId="0">
      <text>
        <t>fires when: td_nod_upgrade_blackmarketupgrades</t>
      </text>
    </comment>
    <comment ref="L61" authorId="0" shapeId="0">
      <text>
        <t>raw warhead damages: 4000, 2, 4000, 2000, 2, 4000, 2, 4000, 2
import scales all proportionally</t>
      </text>
    </comment>
    <comment ref="L63" authorId="0" shapeId="0">
      <text>
        <t>raw warhead damages: 2000, 1, 2000, 1, 2000, 1, 2000, 1000, 1, 2000, 1, 2000, 1, 2000, 1, 2000, 1
import scales all proportionally</t>
      </text>
    </comment>
    <comment ref="AB63" authorId="0" shapeId="0">
      <text>
        <t>fires when: !japan_upgrade_waveforcebullets</t>
      </text>
    </comment>
    <comment ref="L64" authorId="0" shapeId="0">
      <text>
        <t>raw warhead damages: 2000, 1, 2000, 1, 2000, 1, 2000, 1000, 1, 2000, 1, 2000, 1, 2000, 1, 2000, 1
import scales all proportionally</t>
      </text>
    </comment>
    <comment ref="AB64" authorId="0" shapeId="0">
      <text>
        <t>fires when: !japan_upgrade_waveforcebullets</t>
      </text>
    </comment>
    <comment ref="L65" authorId="0" shapeId="0">
      <text>
        <t>raw warhead damages: 1000, 1, 2000, 1, 1000, 2000, 1, 2000, 1, 2000, 1, 2000, 1000, 1, 2000, 1, 2000, 1, 2000, 1, 2000, 1
import scales all proportionally</t>
      </text>
    </comment>
    <comment ref="AB65" authorId="0" shapeId="0">
      <text>
        <t>fires when: japan_upgrade_waveforcebullets</t>
      </text>
    </comment>
    <comment ref="L66" authorId="0" shapeId="0">
      <text>
        <t>raw warhead damages: 1000, 1, 2000, 1, 1000, 2000, 1, 2000, 1, 2000, 1, 2000, 1000, 1, 2000, 1, 2000, 1, 2000, 1, 2000, 1
import scales all proportionally</t>
      </text>
    </comment>
    <comment ref="AB66" authorId="0" shapeId="0">
      <text>
        <t>fires when: japan_upgrade_waveforcebullets</t>
      </text>
    </comment>
    <comment ref="L68" authorId="0" shapeId="0">
      <text>
        <t>raw warhead damages: 60000, 30000, 30
import scales all proportionally</t>
      </text>
    </comment>
    <comment ref="AB68" authorId="0" shapeId="0">
      <text>
        <t>fires when: !japan_upgrade_advancedplasmaweapons</t>
      </text>
    </comment>
    <comment ref="L69" authorId="0" shapeId="0">
      <text>
        <t>raw warhead damages: 20000, 10, 20000, 10000, 10, 20000, 10000, 10
import scales all proportionally</t>
      </text>
    </comment>
    <comment ref="AB69" authorId="0" shapeId="0">
      <text>
        <t>fires when: japan_upgrade_advancedplasmaweapons</t>
      </text>
    </comment>
    <comment ref="L71" authorId="0" shapeId="0">
      <text>
        <t>raw warhead damages: 4000, 2
import scales all proportionally</t>
      </text>
    </comment>
    <comment ref="AB71" authorId="0" shapeId="0">
      <text>
        <t>fires when: !japan_upgrade_waveforcebullets</t>
      </text>
    </comment>
    <comment ref="L72" authorId="0" shapeId="0">
      <text>
        <t>raw warhead damages: 2000, 1, 1000, 2000, 1
import scales all proportionally</t>
      </text>
    </comment>
    <comment ref="AB72" authorId="0" shapeId="0">
      <text>
        <t>fires when: japan_upgrade_waveforcebullets</t>
      </text>
    </comment>
    <comment ref="L74" authorId="0" shapeId="0">
      <text>
        <t>raw warhead damages: 4000, 2
import scales all proportionally</t>
      </text>
    </comment>
    <comment ref="L76" authorId="0" shapeId="0">
      <text>
        <t>raw warhead damages: 6000, 3
import scales all proportionally</t>
      </text>
    </comment>
    <comment ref="AB76" authorId="0" shapeId="0">
      <text>
        <t>fires when: !ts_nod_upgrade_tiberiumlenses</t>
      </text>
    </comment>
    <comment ref="L77" authorId="0" shapeId="0">
      <text>
        <t>raw warhead damages: 6000, 3, 6000, 3, 600
import scales all proportionally</t>
      </text>
    </comment>
    <comment ref="AB77" authorId="0" shapeId="0">
      <text>
        <t>fires when: ts_nod_upgrade_tiberiumlenses</t>
      </text>
    </comment>
    <comment ref="L78" authorId="0" shapeId="0">
      <text>
        <t>raw warhead damages: 36000, 18000, 18
import scales all proportionally</t>
      </text>
    </comment>
    <comment ref="AB78" authorId="0" shapeId="0">
      <text>
        <t>fires when: ts_nod_upgrade_auxiliaryweapon</t>
      </text>
    </comment>
    <comment ref="L80" authorId="0" shapeId="0">
      <text>
        <t>raw warhead damages: 6000, 3, 6000, 3
import scales all proportionally</t>
      </text>
    </comment>
    <comment ref="AB80" authorId="0" shapeId="0">
      <text>
        <t>fires when: !ts_nod_upgrade_tiberiumcoremissiles</t>
      </text>
    </comment>
    <comment ref="L81" authorId="0" shapeId="0">
      <text>
        <t>raw warhead damages: 4000, 2000, 2, 4000, 2000, 2, 4000, 42, 4000, 2
import scales all proportionally</t>
      </text>
    </comment>
    <comment ref="AB81" authorId="0" shapeId="0">
      <text>
        <t>fires when: ts_nod_upgrade_tiberiumcoremissiles</t>
      </text>
    </comment>
    <comment ref="L83" authorId="0" shapeId="0">
      <text>
        <t>raw warhead damages: 20000, 10
import scales all proportionally</t>
      </text>
    </comment>
    <comment ref="L85" authorId="0" shapeId="0">
      <text>
        <t>raw warhead damages: 2000, 1, 2000, 1
import scales all proportionally</t>
      </text>
    </comment>
    <comment ref="L87" authorId="0" shapeId="0">
      <text>
        <t>raw warhead damages: 4000, 2
import scales all proportionally</t>
      </text>
    </comment>
    <comment ref="L89" authorId="0" shapeId="0">
      <text>
        <t>raw warhead damages: 18000, 9000, 9, 18000, 9
import scales all proportionally</t>
      </text>
    </comment>
    <comment ref="AB89" authorId="0" shapeId="0">
      <text>
        <t>fires when: !forgotten_upgrade_chemicalweapons</t>
      </text>
    </comment>
    <comment ref="L90" authorId="0" shapeId="0">
      <text>
        <t>raw warhead damages: 10000, 5000, 5, 8000, 4000, 4, 18000, 9000, 9, 18000, 9
import scales all proportionally</t>
      </text>
    </comment>
    <comment ref="AB90" authorId="0" shapeId="0">
      <text>
        <t>fires when: forgotten_upgrade_chemicalweapons</t>
      </text>
    </comment>
    <comment ref="L92" authorId="0" shapeId="0">
      <text>
        <t>raw warhead damages: 4000, 2, 4000, 2
import scales all proportionally</t>
      </text>
    </comment>
    <comment ref="L94" authorId="0" shapeId="0">
      <text>
        <t>raw warhead damages: 4000, 2, 4000, 2
import scales all proportionally</t>
      </text>
    </comment>
    <comment ref="L96" authorId="0" shapeId="0">
      <text>
        <t>raw warhead damages: 4000, 2, 4000, 2
import scales all proportionally</t>
      </text>
    </comment>
    <comment ref="L98" authorId="0" shapeId="0">
      <text>
        <t>raw warhead damages: 2000, 1, 2000, 1
import scales all proportionally</t>
      </text>
    </comment>
    <comment ref="AB98" authorId="0" shapeId="0">
      <text>
        <t>fires when: !rank-elite</t>
      </text>
    </comment>
    <comment ref="L99" authorId="0" shapeId="0">
      <text>
        <t>raw warhead damages: 2000, 1, 2000, 1
import scales all proportionally</t>
      </text>
    </comment>
    <comment ref="AB99" authorId="0" shapeId="0">
      <text>
        <t>fires when: rank-elite</t>
      </text>
    </comment>
    <comment ref="L101" authorId="0" shapeId="0">
      <text>
        <t>raw warhead damages: 2000, 1, 2000, 1
import scales all proportionally</t>
      </text>
    </comment>
    <comment ref="AB101" authorId="0" shapeId="0">
      <text>
        <t>fires when: !rank-elite</t>
      </text>
    </comment>
    <comment ref="L102" authorId="0" shapeId="0">
      <text>
        <t>raw warhead damages: 2000, 1, 2000, 1
import scales all proportionally</t>
      </text>
    </comment>
    <comment ref="AB102" authorId="0" shapeId="0">
      <text>
        <t>fires when: rank-elite</t>
      </text>
    </comment>
    <comment ref="L104" authorId="0" shapeId="0">
      <text>
        <t>raw warhead damages: 4000, 2, 4000, 2
import scales all proportionally</t>
      </text>
    </comment>
    <comment ref="L106" authorId="0" shapeId="0">
      <text>
        <t>raw warhead damages: 4000, 2, 4000, 2
import scales all proportionally</t>
      </text>
    </comment>
    <comment ref="L108" authorId="0" shapeId="0">
      <text>
        <t>raw warhead damages: 4000, 2, 4000, 2
import scales all proportionally</t>
      </text>
    </comment>
    <comment ref="L110" authorId="0" shapeId="0">
      <text>
        <t>raw warhead damages: 4000, 2, 4000, 2
import scales all proportionally</t>
      </text>
    </comment>
    <comment ref="L112" authorId="0" shapeId="0">
      <text>
        <t>raw warhead damages: 4000, 2, 4000, 2
import scales all proportionally</t>
      </text>
    </comment>
    <comment ref="L114" authorId="0" shapeId="0">
      <text>
        <t>raw warhead damages: 4000, 2, 4000, 2
import scales all proportionally</t>
      </text>
    </comment>
    <comment ref="L116" authorId="0" shapeId="0">
      <text>
        <t>raw warhead damages: 4000, 2, 4000, 2
import scales all proportionally</t>
      </text>
    </comment>
    <comment ref="L118" authorId="0" shapeId="0">
      <text>
        <t>raw warhead damages: 4000, 2, 4000, 2
import scales all proportionally</t>
      </text>
    </comment>
    <comment ref="L120" authorId="0" shapeId="0">
      <text>
        <t>raw warhead damages: 4000, 2, 4000, 2
import scales all proportionally</t>
      </text>
    </comment>
    <comment ref="L122" authorId="0" shapeId="0">
      <text>
        <t>raw warhead damages: 4000, 2, 4000, 2
import scales all proportionally</t>
      </text>
    </comment>
    <comment ref="L124" authorId="0" shapeId="0">
      <text>
        <t>raw warhead damages: 4000, 2, 4000, 2
import scales all proportionally</t>
      </text>
    </comment>
    <comment ref="L126" authorId="0" shapeId="0">
      <text>
        <t>raw warhead damages: 4000, 2, 4000, 2
import scales all proportionally</t>
      </text>
    </comment>
    <comment ref="L128" authorId="0" shapeId="0">
      <text>
        <t>raw warhead damages: 4000, 2, 4000, 2
import scales all proportionally</t>
      </text>
    </comment>
    <comment ref="L130" authorId="0" shapeId="0">
      <text>
        <t>raw warhead damages: 4000, 2, 4000, 2
import scales all proportionally</t>
      </text>
    </comment>
    <comment ref="L132" authorId="0" shapeId="0">
      <text>
        <t>raw warhead damages: 4000, 2, 4000, 2
import scales all proportionally</t>
      </text>
    </comment>
    <comment ref="L134" authorId="0" shapeId="0">
      <text>
        <t>raw warhead damages: 4000, 2, 4000, 2
import scales all proportionally</t>
      </text>
    </comment>
    <comment ref="L136" authorId="0" shapeId="0">
      <text>
        <t>raw warhead damages: 2000, 1, 2000, 1
import scales all proportionally</t>
      </text>
    </comment>
    <comment ref="AB136" authorId="0" shapeId="0">
      <text>
        <t>fires when: ifv-mg</t>
      </text>
    </comment>
    <comment ref="L137" authorId="0" shapeId="0">
      <text>
        <t>raw warhead damages: 2000, 1, 2000, 1, 2000, 1
import scales all proportionally</t>
      </text>
    </comment>
    <comment ref="AB137" authorId="0" shapeId="0">
      <text>
        <t>fires when: ifv-hmg</t>
      </text>
    </comment>
    <comment ref="L138" authorId="0" shapeId="0">
      <text>
        <t>raw warhead damages: 2500, 3
import scales all proportionally</t>
      </text>
    </comment>
    <comment ref="AB138" authorId="0" shapeId="0">
      <text>
        <t>fires when: ifv-archer</t>
      </text>
    </comment>
    <comment ref="L139" authorId="0" shapeId="0">
      <text>
        <t>raw warhead damages: -2000, -1000, -1
import scales all proportionally</t>
      </text>
    </comment>
    <comment ref="AB139" authorId="0" shapeId="0">
      <text>
        <t>fires when: ifv-repair</t>
      </text>
    </comment>
    <comment ref="L140" authorId="0" shapeId="0">
      <text>
        <t>raw warhead damages: 30000, 15
import scales all proportionally</t>
      </text>
    </comment>
    <comment ref="AB140" authorId="0" shapeId="0">
      <text>
        <t>fires when: ifv-lightsniper</t>
      </text>
    </comment>
    <comment ref="L141" authorId="0" shapeId="0">
      <text>
        <t>raw warhead damages: 14000, 7
import scales all proportionally</t>
      </text>
    </comment>
    <comment ref="AB141" authorId="0" shapeId="0">
      <text>
        <t>fires when: ifv-hero</t>
      </text>
    </comment>
    <comment ref="L142" authorId="0" shapeId="0">
      <text>
        <t>raw warhead damages: 40000, 20000, 20
import scales all proportionally</t>
      </text>
    </comment>
    <comment ref="AB142" authorId="0" shapeId="0">
      <text>
        <t>fires when: ifv-tesla</t>
      </text>
    </comment>
    <comment ref="L143" authorId="0" shapeId="0">
      <text>
        <t>raw warhead damages: 8000, 4, 8000, 4, 1000, 8000, 4, 8000, 4, 8000, 4
import scales all proportionally</t>
      </text>
    </comment>
    <comment ref="AB143" authorId="0" shapeId="0">
      <text>
        <t>fires when: ifv-flak</t>
      </text>
    </comment>
    <comment ref="L144" authorId="0" shapeId="0">
      <text>
        <t>raw warhead damages: 8000, 4, 1000, 8000, 4000, 4, 8000, 4
import scales all proportionally</t>
      </text>
    </comment>
    <comment ref="AB144" authorId="0" shapeId="0">
      <text>
        <t>fires when: ifv-cannon</t>
      </text>
    </comment>
    <comment ref="L145" authorId="0" shapeId="0">
      <text>
        <t>raw warhead damages: 16000, 8000, 8
import scales all proportionally</t>
      </text>
    </comment>
    <comment ref="AB145" authorId="0" shapeId="0">
      <text>
        <t>fires when: ifv-grenade</t>
      </text>
    </comment>
    <comment ref="L146" authorId="0" shapeId="0">
      <text>
        <t>raw warhead damages: 3750, 2500
import scales all proportionally</t>
      </text>
    </comment>
    <comment ref="AB146" authorId="0" shapeId="0">
      <text>
        <t>fires when: ifv-plasma</t>
      </text>
    </comment>
    <comment ref="AB147" authorId="0" shapeId="0">
      <text>
        <t>fires when: ifv-litlaser</t>
      </text>
    </comment>
    <comment ref="L148" authorId="0" shapeId="0">
      <text>
        <t>raw warhead damages: 4000, 1
import scales all proportionally</t>
      </text>
    </comment>
    <comment ref="AB148" authorId="0" shapeId="0">
      <text>
        <t>fires when: ifv-medlaser</t>
      </text>
    </comment>
    <comment ref="L149" authorId="0" shapeId="0">
      <text>
        <t>raw warhead damages: 5000, 1
import scales all proportionally</t>
      </text>
    </comment>
    <comment ref="AB149" authorId="0" shapeId="0">
      <text>
        <t>fires when: ifv-greelaser</t>
      </text>
    </comment>
    <comment ref="L150" authorId="0" shapeId="0">
      <text>
        <t>raw warhead damages: 4000, 1
import scales all proportionally</t>
      </text>
    </comment>
    <comment ref="AB150" authorId="0" shapeId="0">
      <text>
        <t>fires when: ifv-misslaser</t>
      </text>
    </comment>
    <comment ref="L151" authorId="0" shapeId="0">
      <text>
        <t>raw warhead damages: 14000, 7000, 7
import scales all proportionally</t>
      </text>
    </comment>
    <comment ref="AB151" authorId="0" shapeId="0">
      <text>
        <t>fires when: ifv-fire</t>
      </text>
    </comment>
    <comment ref="L152" authorId="0" shapeId="0">
      <text>
        <t>raw warhead damages: 30000, 15000, 15
import scales all proportionally</t>
      </text>
    </comment>
    <comment ref="AB152" authorId="0" shapeId="0">
      <text>
        <t>fires when: ifv-chem</t>
      </text>
    </comment>
    <comment ref="L153" authorId="0" shapeId="0">
      <text>
        <t>raw warhead damages: 30000, 15000, 15
import scales all proportionally</t>
      </text>
    </comment>
    <comment ref="AB153" authorId="0" shapeId="0">
      <text>
        <t>fires when: ifv-thrax</t>
      </text>
    </comment>
    <comment ref="L154" authorId="0" shapeId="0">
      <text>
        <t>raw warhead damages: 2000, 1, 2000, 1000, 1, 2000, 1, 2000, 1
import scales all proportionally</t>
      </text>
    </comment>
    <comment ref="AB154" authorId="0" shapeId="0">
      <text>
        <t>fires when: ifv-miss &amp;&amp; !rank-elite &amp;&amp; !ra2_allies_upgrade_thunderboltmissiles</t>
      </text>
    </comment>
    <comment ref="AB155" authorId="0" shapeId="0">
      <text>
        <t>fires when: ifv-chrono</t>
      </text>
    </comment>
    <comment ref="AB156" authorId="0" shapeId="0">
      <text>
        <t>fires when: ifv-chrono</t>
      </text>
    </comment>
    <comment ref="AB157" authorId="0" shapeId="0">
      <text>
        <t>fires when: ifv-demo</t>
      </text>
    </comment>
    <comment ref="AB158" authorId="0" shapeId="0">
      <text>
        <t>fires when: ifv-fremen</t>
      </text>
    </comment>
    <comment ref="L159" authorId="0" shapeId="0">
      <text>
        <t>raw warhead damages: 4000, 1000
import scales all proportionally</t>
      </text>
    </comment>
    <comment ref="AB159" authorId="0" shapeId="0">
      <text>
        <t>fires when: ifv-sonic</t>
      </text>
    </comment>
    <comment ref="L160" authorId="0" shapeId="0">
      <text>
        <t>raw warhead damages: -2000, -1000, -1
import scales all proportionally</t>
      </text>
    </comment>
    <comment ref="AB160" authorId="0" shapeId="0">
      <text>
        <t>fires when: ifv-healer</t>
      </text>
    </comment>
    <comment ref="L161" authorId="0" shapeId="0">
      <text>
        <t>raw warhead damages: 6000, 3, 6000, 3
import scales all proportionally</t>
      </text>
    </comment>
    <comment ref="AB16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62" authorId="0" shapeId="0">
      <text>
        <t>raw warhead damages: 6000, 3, 6000, 3
import scales all proportionally</t>
      </text>
    </comment>
    <comment ref="AB16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63" authorId="0" shapeId="0">
      <text>
        <t>raw warhead damages: 6000, 3, 6000, 3
import scales all proportionally</t>
      </text>
    </comment>
    <comment ref="AB16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164" authorId="0" shapeId="0">
      <text>
        <t>raw warhead damages: 6000, 3, 6000, 3
import scales all proportionally</t>
      </text>
    </comment>
    <comment ref="AB16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165" authorId="0" shapeId="0">
      <text>
        <t>raw warhead damages: 2000, 1, 2000, 1, 2000, 1, 2000, 1, 2000, 1, 2000, 1
import scales all proportionally</t>
      </text>
    </comment>
    <comment ref="AB16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66" authorId="0" shapeId="0">
      <text>
        <t>raw warhead damages: 2000, 1, 2000, 1, 2000, 1, 2000, 1, 2000, 1, 2000, 1
import scales all proportionally</t>
      </text>
    </comment>
    <comment ref="AB16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67" authorId="0" shapeId="0">
      <text>
        <t>raw warhead damages: 2000, 1, 2000, 1, 2000, 1, 2000, 1, 2000, 1, 2000, 1
import scales all proportionally</t>
      </text>
    </comment>
    <comment ref="AB16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168" authorId="0" shapeId="0">
      <text>
        <t>raw warhead damages: 2000, 1, 2000, 1, 2000, 1, 2000, 1, 2000, 1, 2000, 1
import scales all proportionally</t>
      </text>
    </comment>
    <comment ref="AB16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169" authorId="0" shapeId="0">
      <text>
        <t>raw warhead damages: 4000, 1, 4000, 2000, 1, 4000, 1, 4000, 1
import scales all proportionally</t>
      </text>
    </comment>
    <comment ref="AB169" authorId="0" shapeId="0">
      <text>
        <t>fires when: ifv-miss &amp;&amp; rank-elite &amp;&amp; !ra2_allies_upgrade_thunderboltmissiles</t>
      </text>
    </comment>
    <comment ref="L170" authorId="0" shapeId="0">
      <text>
        <t>raw warhead damages: 2000, 1, 2000, 1000, 1, 2000, 1, 2000, 1
import scales all proportionally</t>
      </text>
    </comment>
    <comment ref="AB170" authorId="0" shapeId="0">
      <text>
        <t>fires when: ifv-miss &amp;&amp; !rank-elite &amp;&amp; !ra2_allies_upgrade_thunderboltmissiles</t>
      </text>
    </comment>
    <comment ref="L171" authorId="0" shapeId="0">
      <text>
        <t>raw warhead damages: 4000, 1, 4000, 2000, 1, 4000, 1, 4000, 1
import scales all proportionally</t>
      </text>
    </comment>
    <comment ref="AB171" authorId="0" shapeId="0">
      <text>
        <t>fires when: ifv-miss &amp;&amp; rank-elite &amp;&amp; !ra2_allies_upgrade_thunderboltmissiles</t>
      </text>
    </comment>
    <comment ref="L172" authorId="0" shapeId="0">
      <text>
        <t>raw warhead damages: 2000, 1, 2000, 1, 2000, 1, 2000, 1, 2000, 1, 2000, 1000, 1, 2000, 1, 2000, 1
import scales all proportionally</t>
      </text>
    </comment>
    <comment ref="AB172" authorId="0" shapeId="0">
      <text>
        <t>fires when: ifv-miss &amp;&amp; !rank-elite &amp;&amp; ra2_allies_upgrade_thunderboltmissiles</t>
      </text>
    </comment>
    <comment ref="L173" authorId="0" shapeId="0">
      <text>
        <t>raw warhead damages: 4000, 1, 4000, 1, 4000, 1, 4000, 1, 4000, 1, 4000, 2000, 1, 4000, 1, 4000, 1
import scales all proportionally</t>
      </text>
    </comment>
    <comment ref="AB173" authorId="0" shapeId="0">
      <text>
        <t>fires when: ifv-miss &amp;&amp; rank-elite &amp;&amp; ra2_allies_upgrade_thunderboltmissiles</t>
      </text>
    </comment>
    <comment ref="L174" authorId="0" shapeId="0">
      <text>
        <t>raw warhead damages: 2000, 1, 2000, 1, 2000, 1, 2000, 1, 2000, 1, 2000, 1000, 1, 2000, 1, 2000, 1
import scales all proportionally</t>
      </text>
    </comment>
    <comment ref="AB174" authorId="0" shapeId="0">
      <text>
        <t>fires when: ifv-miss &amp;&amp; !rank-elite &amp;&amp; ra2_allies_upgrade_thunderboltmissiles</t>
      </text>
    </comment>
    <comment ref="L175" authorId="0" shapeId="0">
      <text>
        <t>raw warhead damages: 4000, 1, 4000, 1, 4000, 1, 4000, 1, 4000, 1, 4000, 2000, 1, 4000, 1, 4000, 1
import scales all proportionally</t>
      </text>
    </comment>
    <comment ref="AB175" authorId="0" shapeId="0">
      <text>
        <t>fires when: ifv-miss &amp;&amp; rank-elite &amp;&amp; ra2_allies_upgrade_thunderboltmissiles</t>
      </text>
    </comment>
    <comment ref="L176" authorId="0" shapeId="0">
      <text>
        <t>raw warhead damages: -2000, -1000, -1
import scales all proportionally</t>
      </text>
    </comment>
    <comment ref="AB176" authorId="0" shapeId="0">
      <text>
        <t>fires when: ifv-healer</t>
      </text>
    </comment>
    <comment ref="L177" authorId="0" shapeId="0">
      <text>
        <t>raw warhead damages: 44000, 22
import scales all proportionally</t>
      </text>
    </comment>
    <comment ref="AB177" authorId="0" shapeId="0">
      <text>
        <t>fires when: ifv-ra1_allies_alliedsniper</t>
      </text>
    </comment>
    <comment ref="L179" authorId="0" shapeId="0">
      <text>
        <t>raw warhead damages: 2000, 1, 2000, 1
import scales all proportionally</t>
      </text>
    </comment>
    <comment ref="AB179" authorId="0" shapeId="0">
      <text>
        <t>fires when: ifv-mg</t>
      </text>
    </comment>
    <comment ref="L180" authorId="0" shapeId="0">
      <text>
        <t>raw warhead damages: 2000, 1, 2000, 1, 2000, 1
import scales all proportionally</t>
      </text>
    </comment>
    <comment ref="AB180" authorId="0" shapeId="0">
      <text>
        <t>fires when: ifv-hmg</t>
      </text>
    </comment>
    <comment ref="L181" authorId="0" shapeId="0">
      <text>
        <t>raw warhead damages: 2500, 3
import scales all proportionally</t>
      </text>
    </comment>
    <comment ref="AB181" authorId="0" shapeId="0">
      <text>
        <t>fires when: ifv-archer</t>
      </text>
    </comment>
    <comment ref="L182" authorId="0" shapeId="0">
      <text>
        <t>raw warhead damages: -2000, -1000, -1
import scales all proportionally</t>
      </text>
    </comment>
    <comment ref="AB182" authorId="0" shapeId="0">
      <text>
        <t>fires when: ifv-repair</t>
      </text>
    </comment>
    <comment ref="L183" authorId="0" shapeId="0">
      <text>
        <t>raw warhead damages: 30000, 15
import scales all proportionally</t>
      </text>
    </comment>
    <comment ref="AB183" authorId="0" shapeId="0">
      <text>
        <t>fires when: ifv-lightsniper</t>
      </text>
    </comment>
    <comment ref="L184" authorId="0" shapeId="0">
      <text>
        <t>raw warhead damages: 14000, 7
import scales all proportionally</t>
      </text>
    </comment>
    <comment ref="AB184" authorId="0" shapeId="0">
      <text>
        <t>fires when: ifv-hero</t>
      </text>
    </comment>
    <comment ref="L185" authorId="0" shapeId="0">
      <text>
        <t>raw warhead damages: 40000, 20000, 20
import scales all proportionally</t>
      </text>
    </comment>
    <comment ref="AB185" authorId="0" shapeId="0">
      <text>
        <t>fires when: ifv-tesla</t>
      </text>
    </comment>
    <comment ref="L186" authorId="0" shapeId="0">
      <text>
        <t>raw warhead damages: 8000, 4, 8000, 4, 1000, 8000, 4, 8000, 4, 8000, 4
import scales all proportionally</t>
      </text>
    </comment>
    <comment ref="AB186" authorId="0" shapeId="0">
      <text>
        <t>fires when: ifv-flak</t>
      </text>
    </comment>
    <comment ref="L187" authorId="0" shapeId="0">
      <text>
        <t>raw warhead damages: 8000, 4, 1000, 8000, 4000, 4, 8000, 4
import scales all proportionally</t>
      </text>
    </comment>
    <comment ref="AB187" authorId="0" shapeId="0">
      <text>
        <t>fires when: ifv-cannon</t>
      </text>
    </comment>
    <comment ref="L188" authorId="0" shapeId="0">
      <text>
        <t>raw warhead damages: 16000, 8000, 8
import scales all proportionally</t>
      </text>
    </comment>
    <comment ref="AB188" authorId="0" shapeId="0">
      <text>
        <t>fires when: ifv-grenade</t>
      </text>
    </comment>
    <comment ref="L189" authorId="0" shapeId="0">
      <text>
        <t>raw warhead damages: 3750, 2500
import scales all proportionally</t>
      </text>
    </comment>
    <comment ref="AB189" authorId="0" shapeId="0">
      <text>
        <t>fires when: ifv-plasma</t>
      </text>
    </comment>
    <comment ref="AB190" authorId="0" shapeId="0">
      <text>
        <t>fires when: ifv-litlaser</t>
      </text>
    </comment>
    <comment ref="L191" authorId="0" shapeId="0">
      <text>
        <t>raw warhead damages: 4000, 1
import scales all proportionally</t>
      </text>
    </comment>
    <comment ref="AB191" authorId="0" shapeId="0">
      <text>
        <t>fires when: ifv-medlaser</t>
      </text>
    </comment>
    <comment ref="L192" authorId="0" shapeId="0">
      <text>
        <t>raw warhead damages: 5000, 1
import scales all proportionally</t>
      </text>
    </comment>
    <comment ref="AB192" authorId="0" shapeId="0">
      <text>
        <t>fires when: ifv-greelaser</t>
      </text>
    </comment>
    <comment ref="L193" authorId="0" shapeId="0">
      <text>
        <t>raw warhead damages: 4000, 1
import scales all proportionally</t>
      </text>
    </comment>
    <comment ref="AB193" authorId="0" shapeId="0">
      <text>
        <t>fires when: ifv-misslaser</t>
      </text>
    </comment>
    <comment ref="L194" authorId="0" shapeId="0">
      <text>
        <t>raw warhead damages: 14000, 7000, 7
import scales all proportionally</t>
      </text>
    </comment>
    <comment ref="AB194" authorId="0" shapeId="0">
      <text>
        <t>fires when: ifv-fire</t>
      </text>
    </comment>
    <comment ref="L195" authorId="0" shapeId="0">
      <text>
        <t>raw warhead damages: 30000, 15000, 15
import scales all proportionally</t>
      </text>
    </comment>
    <comment ref="AB195" authorId="0" shapeId="0">
      <text>
        <t>fires when: ifv-chem</t>
      </text>
    </comment>
    <comment ref="L196" authorId="0" shapeId="0">
      <text>
        <t>raw warhead damages: 30000, 15000, 15
import scales all proportionally</t>
      </text>
    </comment>
    <comment ref="AB196" authorId="0" shapeId="0">
      <text>
        <t>fires when: ifv-thrax</t>
      </text>
    </comment>
    <comment ref="L197" authorId="0" shapeId="0">
      <text>
        <t>raw warhead damages: 2000, 1, 2000, 1000, 1, 2000, 1, 2000, 1
import scales all proportionally</t>
      </text>
    </comment>
    <comment ref="AB197" authorId="0" shapeId="0">
      <text>
        <t>fires when: ifv-miss &amp;&amp; !rank-elite &amp;&amp; !ra2_allies_upgrade_thunderboltmissiles</t>
      </text>
    </comment>
    <comment ref="AB198" authorId="0" shapeId="0">
      <text>
        <t>fires when: ifv-chrono</t>
      </text>
    </comment>
    <comment ref="AB199" authorId="0" shapeId="0">
      <text>
        <t>fires when: ifv-chrono</t>
      </text>
    </comment>
    <comment ref="AB200" authorId="0" shapeId="0">
      <text>
        <t>fires when: ifv-demo</t>
      </text>
    </comment>
    <comment ref="AB201" authorId="0" shapeId="0">
      <text>
        <t>fires when: ifv-fremen</t>
      </text>
    </comment>
    <comment ref="L202" authorId="0" shapeId="0">
      <text>
        <t>raw warhead damages: 4000, 1000
import scales all proportionally</t>
      </text>
    </comment>
    <comment ref="AB202" authorId="0" shapeId="0">
      <text>
        <t>fires when: ifv-sonic</t>
      </text>
    </comment>
    <comment ref="L203" authorId="0" shapeId="0">
      <text>
        <t>raw warhead damages: -2000, -1000, -1
import scales all proportionally</t>
      </text>
    </comment>
    <comment ref="AB203" authorId="0" shapeId="0">
      <text>
        <t>fires when: ifv-healer</t>
      </text>
    </comment>
    <comment ref="L204" authorId="0" shapeId="0">
      <text>
        <t>raw warhead damages: 6000, 3, 6000, 3
import scales all proportionally</t>
      </text>
    </comment>
    <comment ref="AB20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05" authorId="0" shapeId="0">
      <text>
        <t>raw warhead damages: 6000, 3, 6000, 3
import scales all proportionally</t>
      </text>
    </comment>
    <comment ref="AB20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06" authorId="0" shapeId="0">
      <text>
        <t>raw warhead damages: 6000, 3, 6000, 3
import scales all proportionally</t>
      </text>
    </comment>
    <comment ref="AB20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07" authorId="0" shapeId="0">
      <text>
        <t>raw warhead damages: 6000, 3, 6000, 3
import scales all proportionally</t>
      </text>
    </comment>
    <comment ref="AB20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08" authorId="0" shapeId="0">
      <text>
        <t>raw warhead damages: 2000, 1, 2000, 1, 2000, 1, 2000, 1, 2000, 1, 2000, 1
import scales all proportionally</t>
      </text>
    </comment>
    <comment ref="AB20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09" authorId="0" shapeId="0">
      <text>
        <t>raw warhead damages: 2000, 1, 2000, 1, 2000, 1, 2000, 1, 2000, 1, 2000, 1
import scales all proportionally</t>
      </text>
    </comment>
    <comment ref="AB20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10" authorId="0" shapeId="0">
      <text>
        <t>raw warhead damages: 2000, 1, 2000, 1, 2000, 1, 2000, 1, 2000, 1, 2000, 1
import scales all proportionally</t>
      </text>
    </comment>
    <comment ref="AB21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11" authorId="0" shapeId="0">
      <text>
        <t>raw warhead damages: 2000, 1, 2000, 1, 2000, 1, 2000, 1, 2000, 1, 2000, 1
import scales all proportionally</t>
      </text>
    </comment>
    <comment ref="AB21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12" authorId="0" shapeId="0">
      <text>
        <t>raw warhead damages: 4000, 1, 4000, 2000, 1, 4000, 1, 4000, 1
import scales all proportionally</t>
      </text>
    </comment>
    <comment ref="AB212" authorId="0" shapeId="0">
      <text>
        <t>fires when: ifv-miss &amp;&amp; rank-elite &amp;&amp; !ra2_allies_upgrade_thunderboltmissiles</t>
      </text>
    </comment>
    <comment ref="L213" authorId="0" shapeId="0">
      <text>
        <t>raw warhead damages: 2000, 1, 2000, 1000, 1, 2000, 1, 2000, 1
import scales all proportionally</t>
      </text>
    </comment>
    <comment ref="AB213" authorId="0" shapeId="0">
      <text>
        <t>fires when: ifv-miss &amp;&amp; !rank-elite &amp;&amp; !ra2_allies_upgrade_thunderboltmissiles</t>
      </text>
    </comment>
    <comment ref="L214" authorId="0" shapeId="0">
      <text>
        <t>raw warhead damages: 4000, 1, 4000, 2000, 1, 4000, 1, 4000, 1
import scales all proportionally</t>
      </text>
    </comment>
    <comment ref="AB214" authorId="0" shapeId="0">
      <text>
        <t>fires when: ifv-miss &amp;&amp; rank-elite &amp;&amp; !ra2_allies_upgrade_thunderboltmissiles</t>
      </text>
    </comment>
    <comment ref="L215" authorId="0" shapeId="0">
      <text>
        <t>raw warhead damages: 2000, 1, 2000, 1, 2000, 1, 2000, 1, 2000, 1, 2000, 1000, 1, 2000, 1, 2000, 1
import scales all proportionally</t>
      </text>
    </comment>
    <comment ref="AB215" authorId="0" shapeId="0">
      <text>
        <t>fires when: ifv-miss &amp;&amp; !rank-elite &amp;&amp; ra2_allies_upgrade_thunderboltmissiles</t>
      </text>
    </comment>
    <comment ref="L216" authorId="0" shapeId="0">
      <text>
        <t>raw warhead damages: 4000, 1, 4000, 1, 4000, 1, 4000, 1, 4000, 1, 4000, 2000, 1, 4000, 1, 4000, 1
import scales all proportionally</t>
      </text>
    </comment>
    <comment ref="AB216" authorId="0" shapeId="0">
      <text>
        <t>fires when: ifv-miss &amp;&amp; rank-elite &amp;&amp; ra2_allies_upgrade_thunderboltmissiles</t>
      </text>
    </comment>
    <comment ref="L217" authorId="0" shapeId="0">
      <text>
        <t>raw warhead damages: 2000, 1, 2000, 1, 2000, 1, 2000, 1, 2000, 1, 2000, 1000, 1, 2000, 1, 2000, 1
import scales all proportionally</t>
      </text>
    </comment>
    <comment ref="AB217" authorId="0" shapeId="0">
      <text>
        <t>fires when: ifv-miss &amp;&amp; !rank-elite &amp;&amp; ra2_allies_upgrade_thunderboltmissiles</t>
      </text>
    </comment>
    <comment ref="L218" authorId="0" shapeId="0">
      <text>
        <t>raw warhead damages: 4000, 1, 4000, 1, 4000, 1, 4000, 1, 4000, 1, 4000, 2000, 1, 4000, 1, 4000, 1
import scales all proportionally</t>
      </text>
    </comment>
    <comment ref="AB218" authorId="0" shapeId="0">
      <text>
        <t>fires when: ifv-miss &amp;&amp; rank-elite &amp;&amp; ra2_allies_upgrade_thunderboltmissiles</t>
      </text>
    </comment>
    <comment ref="L219" authorId="0" shapeId="0">
      <text>
        <t>raw warhead damages: -2000, -1000, -1
import scales all proportionally</t>
      </text>
    </comment>
    <comment ref="AB219" authorId="0" shapeId="0">
      <text>
        <t>fires when: ifv-healer</t>
      </text>
    </comment>
    <comment ref="L220" authorId="0" shapeId="0">
      <text>
        <t>raw warhead damages: 44000, 22
import scales all proportionally</t>
      </text>
    </comment>
    <comment ref="AB220" authorId="0" shapeId="0">
      <text>
        <t>fires when: ifv-ra1_allies_alliedsniper</t>
      </text>
    </comment>
    <comment ref="L222" authorId="0" shapeId="0">
      <text>
        <t>raw warhead damages: 2000, 1, 2000, 1
import scales all proportionally</t>
      </text>
    </comment>
    <comment ref="AB222" authorId="0" shapeId="0">
      <text>
        <t>fires when: ifv-mg</t>
      </text>
    </comment>
    <comment ref="L223" authorId="0" shapeId="0">
      <text>
        <t>raw warhead damages: 2000, 1, 2000, 1, 2000, 1
import scales all proportionally</t>
      </text>
    </comment>
    <comment ref="AB223" authorId="0" shapeId="0">
      <text>
        <t>fires when: ifv-hmg</t>
      </text>
    </comment>
    <comment ref="L224" authorId="0" shapeId="0">
      <text>
        <t>raw warhead damages: 2500, 3
import scales all proportionally</t>
      </text>
    </comment>
    <comment ref="AB224" authorId="0" shapeId="0">
      <text>
        <t>fires when: ifv-archer</t>
      </text>
    </comment>
    <comment ref="L225" authorId="0" shapeId="0">
      <text>
        <t>raw warhead damages: -2000, -1000, -1
import scales all proportionally</t>
      </text>
    </comment>
    <comment ref="AB225" authorId="0" shapeId="0">
      <text>
        <t>fires when: ifv-repair</t>
      </text>
    </comment>
    <comment ref="L226" authorId="0" shapeId="0">
      <text>
        <t>raw warhead damages: 30000, 15
import scales all proportionally</t>
      </text>
    </comment>
    <comment ref="AB226" authorId="0" shapeId="0">
      <text>
        <t>fires when: ifv-lightsniper</t>
      </text>
    </comment>
    <comment ref="L227" authorId="0" shapeId="0">
      <text>
        <t>raw warhead damages: 14000, 7
import scales all proportionally</t>
      </text>
    </comment>
    <comment ref="AB227" authorId="0" shapeId="0">
      <text>
        <t>fires when: ifv-hero</t>
      </text>
    </comment>
    <comment ref="L228" authorId="0" shapeId="0">
      <text>
        <t>raw warhead damages: 40000, 20000, 20
import scales all proportionally</t>
      </text>
    </comment>
    <comment ref="AB228" authorId="0" shapeId="0">
      <text>
        <t>fires when: ifv-tesla</t>
      </text>
    </comment>
    <comment ref="L229" authorId="0" shapeId="0">
      <text>
        <t>raw warhead damages: 8000, 4, 8000, 4, 1000, 8000, 4, 8000, 4, 8000, 4
import scales all proportionally</t>
      </text>
    </comment>
    <comment ref="AB229" authorId="0" shapeId="0">
      <text>
        <t>fires when: ifv-flak</t>
      </text>
    </comment>
    <comment ref="L230" authorId="0" shapeId="0">
      <text>
        <t>raw warhead damages: 8000, 4, 1000, 8000, 4000, 4, 8000, 4
import scales all proportionally</t>
      </text>
    </comment>
    <comment ref="AB230" authorId="0" shapeId="0">
      <text>
        <t>fires when: ifv-cannon</t>
      </text>
    </comment>
    <comment ref="L231" authorId="0" shapeId="0">
      <text>
        <t>raw warhead damages: 16000, 8000, 8
import scales all proportionally</t>
      </text>
    </comment>
    <comment ref="AB231" authorId="0" shapeId="0">
      <text>
        <t>fires when: ifv-grenade</t>
      </text>
    </comment>
    <comment ref="L232" authorId="0" shapeId="0">
      <text>
        <t>raw warhead damages: 3750, 2500
import scales all proportionally</t>
      </text>
    </comment>
    <comment ref="AB232" authorId="0" shapeId="0">
      <text>
        <t>fires when: ifv-plasma</t>
      </text>
    </comment>
    <comment ref="AB233" authorId="0" shapeId="0">
      <text>
        <t>fires when: ifv-litlaser</t>
      </text>
    </comment>
    <comment ref="L234" authorId="0" shapeId="0">
      <text>
        <t>raw warhead damages: 4000, 1
import scales all proportionally</t>
      </text>
    </comment>
    <comment ref="AB234" authorId="0" shapeId="0">
      <text>
        <t>fires when: ifv-medlaser</t>
      </text>
    </comment>
    <comment ref="L235" authorId="0" shapeId="0">
      <text>
        <t>raw warhead damages: 5000, 1
import scales all proportionally</t>
      </text>
    </comment>
    <comment ref="AB235" authorId="0" shapeId="0">
      <text>
        <t>fires when: ifv-greelaser</t>
      </text>
    </comment>
    <comment ref="L236" authorId="0" shapeId="0">
      <text>
        <t>raw warhead damages: 4000, 1
import scales all proportionally</t>
      </text>
    </comment>
    <comment ref="AB236" authorId="0" shapeId="0">
      <text>
        <t>fires when: ifv-misslaser</t>
      </text>
    </comment>
    <comment ref="L237" authorId="0" shapeId="0">
      <text>
        <t>raw warhead damages: 14000, 7000, 7
import scales all proportionally</t>
      </text>
    </comment>
    <comment ref="AB237" authorId="0" shapeId="0">
      <text>
        <t>fires when: ifv-fire</t>
      </text>
    </comment>
    <comment ref="L238" authorId="0" shapeId="0">
      <text>
        <t>raw warhead damages: 30000, 15000, 15
import scales all proportionally</t>
      </text>
    </comment>
    <comment ref="AB238" authorId="0" shapeId="0">
      <text>
        <t>fires when: ifv-chem</t>
      </text>
    </comment>
    <comment ref="L239" authorId="0" shapeId="0">
      <text>
        <t>raw warhead damages: 30000, 15000, 15
import scales all proportionally</t>
      </text>
    </comment>
    <comment ref="AB239" authorId="0" shapeId="0">
      <text>
        <t>fires when: ifv-thrax</t>
      </text>
    </comment>
    <comment ref="L240" authorId="0" shapeId="0">
      <text>
        <t>raw warhead damages: 2000, 1, 2000, 1000, 1, 2000, 1, 2000, 1
import scales all proportionally</t>
      </text>
    </comment>
    <comment ref="AB240" authorId="0" shapeId="0">
      <text>
        <t>fires when: ifv-miss &amp;&amp; !rank-elite &amp;&amp; !ra2_allies_upgrade_thunderboltmissiles</t>
      </text>
    </comment>
    <comment ref="AB241" authorId="0" shapeId="0">
      <text>
        <t>fires when: ifv-chrono</t>
      </text>
    </comment>
    <comment ref="AB242" authorId="0" shapeId="0">
      <text>
        <t>fires when: ifv-chrono</t>
      </text>
    </comment>
    <comment ref="AB243" authorId="0" shapeId="0">
      <text>
        <t>fires when: ifv-demo</t>
      </text>
    </comment>
    <comment ref="AB244" authorId="0" shapeId="0">
      <text>
        <t>fires when: ifv-fremen</t>
      </text>
    </comment>
    <comment ref="L245" authorId="0" shapeId="0">
      <text>
        <t>raw warhead damages: 4000, 1000
import scales all proportionally</t>
      </text>
    </comment>
    <comment ref="AB245" authorId="0" shapeId="0">
      <text>
        <t>fires when: ifv-sonic</t>
      </text>
    </comment>
    <comment ref="L246" authorId="0" shapeId="0">
      <text>
        <t>raw warhead damages: -2000, -1000, -1
import scales all proportionally</t>
      </text>
    </comment>
    <comment ref="AB246" authorId="0" shapeId="0">
      <text>
        <t>fires when: ifv-healer</t>
      </text>
    </comment>
    <comment ref="L247" authorId="0" shapeId="0">
      <text>
        <t>raw warhead damages: 6000, 3, 6000, 3
import scales all proportionally</t>
      </text>
    </comment>
    <comment ref="AB24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48" authorId="0" shapeId="0">
      <text>
        <t>raw warhead damages: 6000, 3, 6000, 3
import scales all proportionally</t>
      </text>
    </comment>
    <comment ref="AB24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49" authorId="0" shapeId="0">
      <text>
        <t>raw warhead damages: 6000, 3, 6000, 3
import scales all proportionally</t>
      </text>
    </comment>
    <comment ref="AB24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50" authorId="0" shapeId="0">
      <text>
        <t>raw warhead damages: 6000, 3, 6000, 3
import scales all proportionally</t>
      </text>
    </comment>
    <comment ref="AB25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51" authorId="0" shapeId="0">
      <text>
        <t>raw warhead damages: 2000, 1, 2000, 1, 2000, 1, 2000, 1, 2000, 1, 2000, 1
import scales all proportionally</t>
      </text>
    </comment>
    <comment ref="AB25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52" authorId="0" shapeId="0">
      <text>
        <t>raw warhead damages: 2000, 1, 2000, 1, 2000, 1, 2000, 1, 2000, 1, 2000, 1
import scales all proportionally</t>
      </text>
    </comment>
    <comment ref="AB25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53" authorId="0" shapeId="0">
      <text>
        <t>raw warhead damages: 2000, 1, 2000, 1, 2000, 1, 2000, 1, 2000, 1, 2000, 1
import scales all proportionally</t>
      </text>
    </comment>
    <comment ref="AB25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54" authorId="0" shapeId="0">
      <text>
        <t>raw warhead damages: 2000, 1, 2000, 1, 2000, 1, 2000, 1, 2000, 1, 2000, 1
import scales all proportionally</t>
      </text>
    </comment>
    <comment ref="AB25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55" authorId="0" shapeId="0">
      <text>
        <t>raw warhead damages: 4000, 1, 4000, 2000, 1, 4000, 1, 4000, 1
import scales all proportionally</t>
      </text>
    </comment>
    <comment ref="AB255" authorId="0" shapeId="0">
      <text>
        <t>fires when: ifv-miss &amp;&amp; rank-elite &amp;&amp; !ra2_allies_upgrade_thunderboltmissiles</t>
      </text>
    </comment>
    <comment ref="L256" authorId="0" shapeId="0">
      <text>
        <t>raw warhead damages: 2000, 1, 2000, 1000, 1, 2000, 1, 2000, 1
import scales all proportionally</t>
      </text>
    </comment>
    <comment ref="AB256" authorId="0" shapeId="0">
      <text>
        <t>fires when: ifv-miss &amp;&amp; !rank-elite &amp;&amp; !ra2_allies_upgrade_thunderboltmissiles</t>
      </text>
    </comment>
    <comment ref="L257" authorId="0" shapeId="0">
      <text>
        <t>raw warhead damages: 4000, 1, 4000, 2000, 1, 4000, 1, 4000, 1
import scales all proportionally</t>
      </text>
    </comment>
    <comment ref="AB257" authorId="0" shapeId="0">
      <text>
        <t>fires when: ifv-miss &amp;&amp; rank-elite &amp;&amp; !ra2_allies_upgrade_thunderboltmissiles</t>
      </text>
    </comment>
    <comment ref="L258" authorId="0" shapeId="0">
      <text>
        <t>raw warhead damages: 2000, 1, 2000, 1, 2000, 1, 2000, 1, 2000, 1, 2000, 1000, 1, 2000, 1, 2000, 1
import scales all proportionally</t>
      </text>
    </comment>
    <comment ref="AB258" authorId="0" shapeId="0">
      <text>
        <t>fires when: ifv-miss &amp;&amp; !rank-elite &amp;&amp; ra2_allies_upgrade_thunderboltmissiles</t>
      </text>
    </comment>
    <comment ref="L259" authorId="0" shapeId="0">
      <text>
        <t>raw warhead damages: 4000, 1, 4000, 1, 4000, 1, 4000, 1, 4000, 1, 4000, 2000, 1, 4000, 1, 4000, 1
import scales all proportionally</t>
      </text>
    </comment>
    <comment ref="AB259" authorId="0" shapeId="0">
      <text>
        <t>fires when: ifv-miss &amp;&amp; rank-elite &amp;&amp; ra2_allies_upgrade_thunderboltmissiles</t>
      </text>
    </comment>
    <comment ref="L260" authorId="0" shapeId="0">
      <text>
        <t>raw warhead damages: 2000, 1, 2000, 1, 2000, 1, 2000, 1, 2000, 1, 2000, 1000, 1, 2000, 1, 2000, 1
import scales all proportionally</t>
      </text>
    </comment>
    <comment ref="AB260" authorId="0" shapeId="0">
      <text>
        <t>fires when: ifv-miss &amp;&amp; !rank-elite &amp;&amp; ra2_allies_upgrade_thunderboltmissiles</t>
      </text>
    </comment>
    <comment ref="L261" authorId="0" shapeId="0">
      <text>
        <t>raw warhead damages: 4000, 1, 4000, 1, 4000, 1, 4000, 1, 4000, 1, 4000, 2000, 1, 4000, 1, 4000, 1
import scales all proportionally</t>
      </text>
    </comment>
    <comment ref="AB261" authorId="0" shapeId="0">
      <text>
        <t>fires when: ifv-miss &amp;&amp; rank-elite &amp;&amp; ra2_allies_upgrade_thunderboltmissiles</t>
      </text>
    </comment>
    <comment ref="L262" authorId="0" shapeId="0">
      <text>
        <t>raw warhead damages: -2000, -1000, -1
import scales all proportionally</t>
      </text>
    </comment>
    <comment ref="AB262" authorId="0" shapeId="0">
      <text>
        <t>fires when: ifv-healer</t>
      </text>
    </comment>
    <comment ref="L263" authorId="0" shapeId="0">
      <text>
        <t>raw warhead damages: 44000, 22
import scales all proportionally</t>
      </text>
    </comment>
    <comment ref="AB263" authorId="0" shapeId="0">
      <text>
        <t>fires when: ifv-ra1_allies_alliedsniper</t>
      </text>
    </comment>
    <comment ref="L265" authorId="0" shapeId="0">
      <text>
        <t>raw warhead damages: 2000, 1, 2000, 1
import scales all proportionally</t>
      </text>
    </comment>
    <comment ref="AB265" authorId="0" shapeId="0">
      <text>
        <t>fires when: ifv-mg</t>
      </text>
    </comment>
    <comment ref="L266" authorId="0" shapeId="0">
      <text>
        <t>raw warhead damages: 2000, 1, 2000, 1, 2000, 1
import scales all proportionally</t>
      </text>
    </comment>
    <comment ref="AB266" authorId="0" shapeId="0">
      <text>
        <t>fires when: ifv-hmg</t>
      </text>
    </comment>
    <comment ref="L267" authorId="0" shapeId="0">
      <text>
        <t>raw warhead damages: 2500, 3
import scales all proportionally</t>
      </text>
    </comment>
    <comment ref="AB267" authorId="0" shapeId="0">
      <text>
        <t>fires when: ifv-archer</t>
      </text>
    </comment>
    <comment ref="L268" authorId="0" shapeId="0">
      <text>
        <t>raw warhead damages: -2000, -1000, -1
import scales all proportionally</t>
      </text>
    </comment>
    <comment ref="AB268" authorId="0" shapeId="0">
      <text>
        <t>fires when: ifv-repair</t>
      </text>
    </comment>
    <comment ref="L269" authorId="0" shapeId="0">
      <text>
        <t>raw warhead damages: 30000, 15
import scales all proportionally</t>
      </text>
    </comment>
    <comment ref="AB269" authorId="0" shapeId="0">
      <text>
        <t>fires when: ifv-lightsniper</t>
      </text>
    </comment>
    <comment ref="L270" authorId="0" shapeId="0">
      <text>
        <t>raw warhead damages: 14000, 7
import scales all proportionally</t>
      </text>
    </comment>
    <comment ref="AB270" authorId="0" shapeId="0">
      <text>
        <t>fires when: ifv-hero</t>
      </text>
    </comment>
    <comment ref="L271" authorId="0" shapeId="0">
      <text>
        <t>raw warhead damages: 40000, 20000, 20
import scales all proportionally</t>
      </text>
    </comment>
    <comment ref="AB271" authorId="0" shapeId="0">
      <text>
        <t>fires when: ifv-tesla</t>
      </text>
    </comment>
    <comment ref="L272" authorId="0" shapeId="0">
      <text>
        <t>raw warhead damages: 8000, 4, 8000, 4, 1000, 8000, 4, 8000, 4, 8000, 4
import scales all proportionally</t>
      </text>
    </comment>
    <comment ref="AB272" authorId="0" shapeId="0">
      <text>
        <t>fires when: ifv-flak</t>
      </text>
    </comment>
    <comment ref="L273" authorId="0" shapeId="0">
      <text>
        <t>raw warhead damages: 8000, 4, 1000, 8000, 4000, 4, 8000, 4
import scales all proportionally</t>
      </text>
    </comment>
    <comment ref="AB273" authorId="0" shapeId="0">
      <text>
        <t>fires when: ifv-cannon</t>
      </text>
    </comment>
    <comment ref="L274" authorId="0" shapeId="0">
      <text>
        <t>raw warhead damages: 16000, 8000, 8
import scales all proportionally</t>
      </text>
    </comment>
    <comment ref="AB274" authorId="0" shapeId="0">
      <text>
        <t>fires when: ifv-grenade</t>
      </text>
    </comment>
    <comment ref="L275" authorId="0" shapeId="0">
      <text>
        <t>raw warhead damages: 3750, 2500
import scales all proportionally</t>
      </text>
    </comment>
    <comment ref="AB275" authorId="0" shapeId="0">
      <text>
        <t>fires when: ifv-plasma</t>
      </text>
    </comment>
    <comment ref="AB276" authorId="0" shapeId="0">
      <text>
        <t>fires when: ifv-litlaser</t>
      </text>
    </comment>
    <comment ref="L277" authorId="0" shapeId="0">
      <text>
        <t>raw warhead damages: 4000, 1
import scales all proportionally</t>
      </text>
    </comment>
    <comment ref="AB277" authorId="0" shapeId="0">
      <text>
        <t>fires when: ifv-medlaser</t>
      </text>
    </comment>
    <comment ref="L278" authorId="0" shapeId="0">
      <text>
        <t>raw warhead damages: 5000, 1
import scales all proportionally</t>
      </text>
    </comment>
    <comment ref="AB278" authorId="0" shapeId="0">
      <text>
        <t>fires when: ifv-greelaser</t>
      </text>
    </comment>
    <comment ref="L279" authorId="0" shapeId="0">
      <text>
        <t>raw warhead damages: 4000, 1
import scales all proportionally</t>
      </text>
    </comment>
    <comment ref="AB279" authorId="0" shapeId="0">
      <text>
        <t>fires when: ifv-misslaser</t>
      </text>
    </comment>
    <comment ref="L280" authorId="0" shapeId="0">
      <text>
        <t>raw warhead damages: 14000, 7000, 7
import scales all proportionally</t>
      </text>
    </comment>
    <comment ref="AB280" authorId="0" shapeId="0">
      <text>
        <t>fires when: ifv-fire</t>
      </text>
    </comment>
    <comment ref="L281" authorId="0" shapeId="0">
      <text>
        <t>raw warhead damages: 30000, 15000, 15
import scales all proportionally</t>
      </text>
    </comment>
    <comment ref="AB281" authorId="0" shapeId="0">
      <text>
        <t>fires when: ifv-chem</t>
      </text>
    </comment>
    <comment ref="L282" authorId="0" shapeId="0">
      <text>
        <t>raw warhead damages: 30000, 15000, 15
import scales all proportionally</t>
      </text>
    </comment>
    <comment ref="AB282" authorId="0" shapeId="0">
      <text>
        <t>fires when: ifv-thrax</t>
      </text>
    </comment>
    <comment ref="L283" authorId="0" shapeId="0">
      <text>
        <t>raw warhead damages: 2000, 1, 2000, 1000, 1, 2000, 1, 2000, 1
import scales all proportionally</t>
      </text>
    </comment>
    <comment ref="AB283" authorId="0" shapeId="0">
      <text>
        <t>fires when: ifv-miss &amp;&amp; !rank-elite &amp;&amp; !ra2_allies_upgrade_thunderboltmissiles</t>
      </text>
    </comment>
    <comment ref="AB284" authorId="0" shapeId="0">
      <text>
        <t>fires when: ifv-chrono</t>
      </text>
    </comment>
    <comment ref="AB285" authorId="0" shapeId="0">
      <text>
        <t>fires when: ifv-chrono</t>
      </text>
    </comment>
    <comment ref="AB286" authorId="0" shapeId="0">
      <text>
        <t>fires when: ifv-demo</t>
      </text>
    </comment>
    <comment ref="AB287" authorId="0" shapeId="0">
      <text>
        <t>fires when: ifv-fremen</t>
      </text>
    </comment>
    <comment ref="L288" authorId="0" shapeId="0">
      <text>
        <t>raw warhead damages: 4000, 1000
import scales all proportionally</t>
      </text>
    </comment>
    <comment ref="AB288" authorId="0" shapeId="0">
      <text>
        <t>fires when: ifv-sonic</t>
      </text>
    </comment>
    <comment ref="L289" authorId="0" shapeId="0">
      <text>
        <t>raw warhead damages: -2000, -1000, -1
import scales all proportionally</t>
      </text>
    </comment>
    <comment ref="AB289" authorId="0" shapeId="0">
      <text>
        <t>fires when: ifv-healer</t>
      </text>
    </comment>
    <comment ref="L290" authorId="0" shapeId="0">
      <text>
        <t>raw warhead damages: 6000, 3, 6000, 3
import scales all proportionally</t>
      </text>
    </comment>
    <comment ref="AB29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91" authorId="0" shapeId="0">
      <text>
        <t>raw warhead damages: 6000, 3, 6000, 3
import scales all proportionally</t>
      </text>
    </comment>
    <comment ref="AB29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92" authorId="0" shapeId="0">
      <text>
        <t>raw warhead damages: 6000, 3, 6000, 3
import scales all proportionally</t>
      </text>
    </comment>
    <comment ref="AB29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293" authorId="0" shapeId="0">
      <text>
        <t>raw warhead damages: 6000, 3, 6000, 3
import scales all proportionally</t>
      </text>
    </comment>
    <comment ref="AB29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294" authorId="0" shapeId="0">
      <text>
        <t>raw warhead damages: 2000, 1, 2000, 1, 2000, 1, 2000, 1, 2000, 1, 2000, 1
import scales all proportionally</t>
      </text>
    </comment>
    <comment ref="AB29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95" authorId="0" shapeId="0">
      <text>
        <t>raw warhead damages: 2000, 1, 2000, 1, 2000, 1, 2000, 1, 2000, 1, 2000, 1
import scales all proportionally</t>
      </text>
    </comment>
    <comment ref="AB29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96" authorId="0" shapeId="0">
      <text>
        <t>raw warhead damages: 2000, 1, 2000, 1, 2000, 1, 2000, 1, 2000, 1, 2000, 1
import scales all proportionally</t>
      </text>
    </comment>
    <comment ref="AB29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297" authorId="0" shapeId="0">
      <text>
        <t>raw warhead damages: 2000, 1, 2000, 1, 2000, 1, 2000, 1, 2000, 1, 2000, 1
import scales all proportionally</t>
      </text>
    </comment>
    <comment ref="AB29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298" authorId="0" shapeId="0">
      <text>
        <t>raw warhead damages: 4000, 1, 4000, 2000, 1, 4000, 1, 4000, 1
import scales all proportionally</t>
      </text>
    </comment>
    <comment ref="AB298" authorId="0" shapeId="0">
      <text>
        <t>fires when: ifv-miss &amp;&amp; rank-elite &amp;&amp; !ra2_allies_upgrade_thunderboltmissiles</t>
      </text>
    </comment>
    <comment ref="L299" authorId="0" shapeId="0">
      <text>
        <t>raw warhead damages: 2000, 1, 2000, 1000, 1, 2000, 1, 2000, 1
import scales all proportionally</t>
      </text>
    </comment>
    <comment ref="AB299" authorId="0" shapeId="0">
      <text>
        <t>fires when: ifv-miss &amp;&amp; !rank-elite &amp;&amp; !ra2_allies_upgrade_thunderboltmissiles</t>
      </text>
    </comment>
    <comment ref="L300" authorId="0" shapeId="0">
      <text>
        <t>raw warhead damages: 4000, 1, 4000, 2000, 1, 4000, 1, 4000, 1
import scales all proportionally</t>
      </text>
    </comment>
    <comment ref="AB300" authorId="0" shapeId="0">
      <text>
        <t>fires when: ifv-miss &amp;&amp; rank-elite &amp;&amp; !ra2_allies_upgrade_thunderboltmissiles</t>
      </text>
    </comment>
    <comment ref="L301" authorId="0" shapeId="0">
      <text>
        <t>raw warhead damages: 2000, 1, 2000, 1, 2000, 1, 2000, 1, 2000, 1, 2000, 1000, 1, 2000, 1, 2000, 1
import scales all proportionally</t>
      </text>
    </comment>
    <comment ref="AB301" authorId="0" shapeId="0">
      <text>
        <t>fires when: ifv-miss &amp;&amp; !rank-elite &amp;&amp; ra2_allies_upgrade_thunderboltmissiles</t>
      </text>
    </comment>
    <comment ref="L302" authorId="0" shapeId="0">
      <text>
        <t>raw warhead damages: 4000, 1, 4000, 1, 4000, 1, 4000, 1, 4000, 1, 4000, 2000, 1, 4000, 1, 4000, 1
import scales all proportionally</t>
      </text>
    </comment>
    <comment ref="AB302" authorId="0" shapeId="0">
      <text>
        <t>fires when: ifv-miss &amp;&amp; rank-elite &amp;&amp; ra2_allies_upgrade_thunderboltmissiles</t>
      </text>
    </comment>
    <comment ref="L303" authorId="0" shapeId="0">
      <text>
        <t>raw warhead damages: 2000, 1, 2000, 1, 2000, 1, 2000, 1, 2000, 1, 2000, 1000, 1, 2000, 1, 2000, 1
import scales all proportionally</t>
      </text>
    </comment>
    <comment ref="AB303" authorId="0" shapeId="0">
      <text>
        <t>fires when: ifv-miss &amp;&amp; !rank-elite &amp;&amp; ra2_allies_upgrade_thunderboltmissiles</t>
      </text>
    </comment>
    <comment ref="L304" authorId="0" shapeId="0">
      <text>
        <t>raw warhead damages: 4000, 1, 4000, 1, 4000, 1, 4000, 1, 4000, 1, 4000, 2000, 1, 4000, 1, 4000, 1
import scales all proportionally</t>
      </text>
    </comment>
    <comment ref="AB304" authorId="0" shapeId="0">
      <text>
        <t>fires when: ifv-miss &amp;&amp; rank-elite &amp;&amp; ra2_allies_upgrade_thunderboltmissiles</t>
      </text>
    </comment>
    <comment ref="L305" authorId="0" shapeId="0">
      <text>
        <t>raw warhead damages: -2000, -1000, -1
import scales all proportionally</t>
      </text>
    </comment>
    <comment ref="AB305" authorId="0" shapeId="0">
      <text>
        <t>fires when: ifv-healer</t>
      </text>
    </comment>
    <comment ref="L306" authorId="0" shapeId="0">
      <text>
        <t>raw warhead damages: 44000, 22
import scales all proportionally</t>
      </text>
    </comment>
    <comment ref="AB306" authorId="0" shapeId="0">
      <text>
        <t>fires when: ifv-ra1_allies_alliedsniper</t>
      </text>
    </comment>
    <comment ref="L308" authorId="0" shapeId="0">
      <text>
        <t>raw warhead damages: 2000, 1, 2000, 1
import scales all proportionally</t>
      </text>
    </comment>
    <comment ref="AB308" authorId="0" shapeId="0">
      <text>
        <t>fires when: ifv-mg</t>
      </text>
    </comment>
    <comment ref="L309" authorId="0" shapeId="0">
      <text>
        <t>raw warhead damages: 2000, 1, 2000, 1, 2000, 1
import scales all proportionally</t>
      </text>
    </comment>
    <comment ref="AB309" authorId="0" shapeId="0">
      <text>
        <t>fires when: ifv-hmg</t>
      </text>
    </comment>
    <comment ref="L310" authorId="0" shapeId="0">
      <text>
        <t>raw warhead damages: 2500, 3
import scales all proportionally</t>
      </text>
    </comment>
    <comment ref="AB310" authorId="0" shapeId="0">
      <text>
        <t>fires when: ifv-archer</t>
      </text>
    </comment>
    <comment ref="L311" authorId="0" shapeId="0">
      <text>
        <t>raw warhead damages: -2000, -1000, -1
import scales all proportionally</t>
      </text>
    </comment>
    <comment ref="AB311" authorId="0" shapeId="0">
      <text>
        <t>fires when: ifv-repair</t>
      </text>
    </comment>
    <comment ref="L312" authorId="0" shapeId="0">
      <text>
        <t>raw warhead damages: 30000, 15
import scales all proportionally</t>
      </text>
    </comment>
    <comment ref="AB312" authorId="0" shapeId="0">
      <text>
        <t>fires when: ifv-lightsniper</t>
      </text>
    </comment>
    <comment ref="L313" authorId="0" shapeId="0">
      <text>
        <t>raw warhead damages: 14000, 7
import scales all proportionally</t>
      </text>
    </comment>
    <comment ref="AB313" authorId="0" shapeId="0">
      <text>
        <t>fires when: ifv-hero</t>
      </text>
    </comment>
    <comment ref="L314" authorId="0" shapeId="0">
      <text>
        <t>raw warhead damages: 40000, 20000, 20
import scales all proportionally</t>
      </text>
    </comment>
    <comment ref="AB314" authorId="0" shapeId="0">
      <text>
        <t>fires when: ifv-tesla</t>
      </text>
    </comment>
    <comment ref="L315" authorId="0" shapeId="0">
      <text>
        <t>raw warhead damages: 8000, 4, 8000, 4, 1000, 8000, 4, 8000, 4, 8000, 4
import scales all proportionally</t>
      </text>
    </comment>
    <comment ref="AB315" authorId="0" shapeId="0">
      <text>
        <t>fires when: ifv-flak</t>
      </text>
    </comment>
    <comment ref="L316" authorId="0" shapeId="0">
      <text>
        <t>raw warhead damages: 8000, 4, 1000, 8000, 4000, 4, 8000, 4
import scales all proportionally</t>
      </text>
    </comment>
    <comment ref="AB316" authorId="0" shapeId="0">
      <text>
        <t>fires when: ifv-cannon</t>
      </text>
    </comment>
    <comment ref="L317" authorId="0" shapeId="0">
      <text>
        <t>raw warhead damages: 16000, 8000, 8
import scales all proportionally</t>
      </text>
    </comment>
    <comment ref="AB317" authorId="0" shapeId="0">
      <text>
        <t>fires when: ifv-grenade</t>
      </text>
    </comment>
    <comment ref="L318" authorId="0" shapeId="0">
      <text>
        <t>raw warhead damages: 3750, 2500
import scales all proportionally</t>
      </text>
    </comment>
    <comment ref="AB318" authorId="0" shapeId="0">
      <text>
        <t>fires when: ifv-plasma</t>
      </text>
    </comment>
    <comment ref="AB319" authorId="0" shapeId="0">
      <text>
        <t>fires when: ifv-litlaser</t>
      </text>
    </comment>
    <comment ref="L320" authorId="0" shapeId="0">
      <text>
        <t>raw warhead damages: 4000, 1
import scales all proportionally</t>
      </text>
    </comment>
    <comment ref="AB320" authorId="0" shapeId="0">
      <text>
        <t>fires when: ifv-medlaser</t>
      </text>
    </comment>
    <comment ref="L321" authorId="0" shapeId="0">
      <text>
        <t>raw warhead damages: 5000, 1
import scales all proportionally</t>
      </text>
    </comment>
    <comment ref="AB321" authorId="0" shapeId="0">
      <text>
        <t>fires when: ifv-greelaser</t>
      </text>
    </comment>
    <comment ref="L322" authorId="0" shapeId="0">
      <text>
        <t>raw warhead damages: 4000, 1
import scales all proportionally</t>
      </text>
    </comment>
    <comment ref="AB322" authorId="0" shapeId="0">
      <text>
        <t>fires when: ifv-misslaser</t>
      </text>
    </comment>
    <comment ref="L323" authorId="0" shapeId="0">
      <text>
        <t>raw warhead damages: 14000, 7000, 7
import scales all proportionally</t>
      </text>
    </comment>
    <comment ref="AB323" authorId="0" shapeId="0">
      <text>
        <t>fires when: ifv-fire</t>
      </text>
    </comment>
    <comment ref="L324" authorId="0" shapeId="0">
      <text>
        <t>raw warhead damages: 30000, 15000, 15
import scales all proportionally</t>
      </text>
    </comment>
    <comment ref="AB324" authorId="0" shapeId="0">
      <text>
        <t>fires when: ifv-chem</t>
      </text>
    </comment>
    <comment ref="L325" authorId="0" shapeId="0">
      <text>
        <t>raw warhead damages: 30000, 15000, 15
import scales all proportionally</t>
      </text>
    </comment>
    <comment ref="AB325" authorId="0" shapeId="0">
      <text>
        <t>fires when: ifv-thrax</t>
      </text>
    </comment>
    <comment ref="L326" authorId="0" shapeId="0">
      <text>
        <t>raw warhead damages: 2000, 1, 2000, 1000, 1, 2000, 1, 2000, 1
import scales all proportionally</t>
      </text>
    </comment>
    <comment ref="AB326" authorId="0" shapeId="0">
      <text>
        <t>fires when: ifv-miss &amp;&amp; !rank-elite &amp;&amp; !ra2_allies_upgrade_thunderboltmissiles</t>
      </text>
    </comment>
    <comment ref="AB327" authorId="0" shapeId="0">
      <text>
        <t>fires when: ifv-chrono</t>
      </text>
    </comment>
    <comment ref="AB328" authorId="0" shapeId="0">
      <text>
        <t>fires when: ifv-chrono</t>
      </text>
    </comment>
    <comment ref="AB329" authorId="0" shapeId="0">
      <text>
        <t>fires when: ifv-demo</t>
      </text>
    </comment>
    <comment ref="AB330" authorId="0" shapeId="0">
      <text>
        <t>fires when: ifv-fremen</t>
      </text>
    </comment>
    <comment ref="L331" authorId="0" shapeId="0">
      <text>
        <t>raw warhead damages: 4000, 1000
import scales all proportionally</t>
      </text>
    </comment>
    <comment ref="AB331" authorId="0" shapeId="0">
      <text>
        <t>fires when: ifv-sonic</t>
      </text>
    </comment>
    <comment ref="L332" authorId="0" shapeId="0">
      <text>
        <t>raw warhead damages: -2000, -1000, -1
import scales all proportionally</t>
      </text>
    </comment>
    <comment ref="AB332" authorId="0" shapeId="0">
      <text>
        <t>fires when: ifv-healer</t>
      </text>
    </comment>
    <comment ref="L333" authorId="0" shapeId="0">
      <text>
        <t>raw warhead damages: 6000, 3, 6000, 3
import scales all proportionally</t>
      </text>
    </comment>
    <comment ref="AB33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334" authorId="0" shapeId="0">
      <text>
        <t>raw warhead damages: 6000, 3, 6000, 3
import scales all proportionally</t>
      </text>
    </comment>
    <comment ref="AB33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335" authorId="0" shapeId="0">
      <text>
        <t>raw warhead damages: 6000, 3, 6000, 3
import scales all proportionally</t>
      </text>
    </comment>
    <comment ref="AB33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336" authorId="0" shapeId="0">
      <text>
        <t>raw warhead damages: 6000, 3, 6000, 3
import scales all proportionally</t>
      </text>
    </comment>
    <comment ref="AB33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337" authorId="0" shapeId="0">
      <text>
        <t>raw warhead damages: 2000, 1, 2000, 1, 2000, 1, 2000, 1, 2000, 1, 2000, 1
import scales all proportionally</t>
      </text>
    </comment>
    <comment ref="AB33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338" authorId="0" shapeId="0">
      <text>
        <t>raw warhead damages: 2000, 1, 2000, 1, 2000, 1, 2000, 1, 2000, 1, 2000, 1
import scales all proportionally</t>
      </text>
    </comment>
    <comment ref="AB33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339" authorId="0" shapeId="0">
      <text>
        <t>raw warhead damages: 2000, 1, 2000, 1, 2000, 1, 2000, 1, 2000, 1, 2000, 1
import scales all proportionally</t>
      </text>
    </comment>
    <comment ref="AB33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340" authorId="0" shapeId="0">
      <text>
        <t>raw warhead damages: 2000, 1, 2000, 1, 2000, 1, 2000, 1, 2000, 1, 2000, 1
import scales all proportionally</t>
      </text>
    </comment>
    <comment ref="AB34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341" authorId="0" shapeId="0">
      <text>
        <t>raw warhead damages: 4000, 1, 4000, 2000, 1, 4000, 1, 4000, 1
import scales all proportionally</t>
      </text>
    </comment>
    <comment ref="AB341" authorId="0" shapeId="0">
      <text>
        <t>fires when: ifv-miss &amp;&amp; rank-elite &amp;&amp; !ra2_allies_upgrade_thunderboltmissiles</t>
      </text>
    </comment>
    <comment ref="L342" authorId="0" shapeId="0">
      <text>
        <t>raw warhead damages: 2000, 1, 2000, 1000, 1, 2000, 1, 2000, 1
import scales all proportionally</t>
      </text>
    </comment>
    <comment ref="AB342" authorId="0" shapeId="0">
      <text>
        <t>fires when: ifv-miss &amp;&amp; !rank-elite &amp;&amp; !ra2_allies_upgrade_thunderboltmissiles</t>
      </text>
    </comment>
    <comment ref="L343" authorId="0" shapeId="0">
      <text>
        <t>raw warhead damages: 4000, 1, 4000, 2000, 1, 4000, 1, 4000, 1
import scales all proportionally</t>
      </text>
    </comment>
    <comment ref="AB343" authorId="0" shapeId="0">
      <text>
        <t>fires when: ifv-miss &amp;&amp; rank-elite &amp;&amp; !ra2_allies_upgrade_thunderboltmissiles</t>
      </text>
    </comment>
    <comment ref="L344" authorId="0" shapeId="0">
      <text>
        <t>raw warhead damages: 2000, 1, 2000, 1, 2000, 1, 2000, 1, 2000, 1, 2000, 1000, 1, 2000, 1, 2000, 1
import scales all proportionally</t>
      </text>
    </comment>
    <comment ref="AB344" authorId="0" shapeId="0">
      <text>
        <t>fires when: ifv-miss &amp;&amp; !rank-elite &amp;&amp; ra2_allies_upgrade_thunderboltmissiles</t>
      </text>
    </comment>
    <comment ref="L345" authorId="0" shapeId="0">
      <text>
        <t>raw warhead damages: 4000, 1, 4000, 1, 4000, 1, 4000, 1, 4000, 1, 4000, 2000, 1, 4000, 1, 4000, 1
import scales all proportionally</t>
      </text>
    </comment>
    <comment ref="AB345" authorId="0" shapeId="0">
      <text>
        <t>fires when: ifv-miss &amp;&amp; rank-elite &amp;&amp; ra2_allies_upgrade_thunderboltmissiles</t>
      </text>
    </comment>
    <comment ref="L346" authorId="0" shapeId="0">
      <text>
        <t>raw warhead damages: 2000, 1, 2000, 1, 2000, 1, 2000, 1, 2000, 1, 2000, 1000, 1, 2000, 1, 2000, 1
import scales all proportionally</t>
      </text>
    </comment>
    <comment ref="AB346" authorId="0" shapeId="0">
      <text>
        <t>fires when: ifv-miss &amp;&amp; !rank-elite &amp;&amp; ra2_allies_upgrade_thunderboltmissiles</t>
      </text>
    </comment>
    <comment ref="L347" authorId="0" shapeId="0">
      <text>
        <t>raw warhead damages: 4000, 1, 4000, 1, 4000, 1, 4000, 1, 4000, 1, 4000, 2000, 1, 4000, 1, 4000, 1
import scales all proportionally</t>
      </text>
    </comment>
    <comment ref="AB347" authorId="0" shapeId="0">
      <text>
        <t>fires when: ifv-miss &amp;&amp; rank-elite &amp;&amp; ra2_allies_upgrade_thunderboltmissiles</t>
      </text>
    </comment>
    <comment ref="L348" authorId="0" shapeId="0">
      <text>
        <t>raw warhead damages: -2000, -1000, -1
import scales all proportionally</t>
      </text>
    </comment>
    <comment ref="AB348" authorId="0" shapeId="0">
      <text>
        <t>fires when: ifv-healer</t>
      </text>
    </comment>
    <comment ref="L349" authorId="0" shapeId="0">
      <text>
        <t>raw warhead damages: 44000, 22
import scales all proportionally</t>
      </text>
    </comment>
    <comment ref="AB349" authorId="0" shapeId="0">
      <text>
        <t>fires when: ifv-ra1_allies_alliedsniper</t>
      </text>
    </comment>
    <comment ref="L351" authorId="0" shapeId="0">
      <text>
        <t>raw warhead damages: 2000, 1, 2000, 1
import scales all proportionally</t>
      </text>
    </comment>
    <comment ref="AB351" authorId="0" shapeId="0">
      <text>
        <t>fires when: ifv-mg</t>
      </text>
    </comment>
    <comment ref="L352" authorId="0" shapeId="0">
      <text>
        <t>raw warhead damages: 2000, 1, 2000, 1, 2000, 1
import scales all proportionally</t>
      </text>
    </comment>
    <comment ref="AB352" authorId="0" shapeId="0">
      <text>
        <t>fires when: ifv-hmg</t>
      </text>
    </comment>
    <comment ref="L353" authorId="0" shapeId="0">
      <text>
        <t>raw warhead damages: 2500, 3
import scales all proportionally</t>
      </text>
    </comment>
    <comment ref="AB353" authorId="0" shapeId="0">
      <text>
        <t>fires when: ifv-archer</t>
      </text>
    </comment>
    <comment ref="L354" authorId="0" shapeId="0">
      <text>
        <t>raw warhead damages: -2000, -1000, -1
import scales all proportionally</t>
      </text>
    </comment>
    <comment ref="AB354" authorId="0" shapeId="0">
      <text>
        <t>fires when: ifv-repair</t>
      </text>
    </comment>
    <comment ref="L355" authorId="0" shapeId="0">
      <text>
        <t>raw warhead damages: 30000, 15
import scales all proportionally</t>
      </text>
    </comment>
    <comment ref="AB355" authorId="0" shapeId="0">
      <text>
        <t>fires when: ifv-lightsniper</t>
      </text>
    </comment>
    <comment ref="L356" authorId="0" shapeId="0">
      <text>
        <t>raw warhead damages: 14000, 7
import scales all proportionally</t>
      </text>
    </comment>
    <comment ref="AB356" authorId="0" shapeId="0">
      <text>
        <t>fires when: ifv-hero</t>
      </text>
    </comment>
    <comment ref="L357" authorId="0" shapeId="0">
      <text>
        <t>raw warhead damages: 40000, 20000, 20
import scales all proportionally</t>
      </text>
    </comment>
    <comment ref="AB357" authorId="0" shapeId="0">
      <text>
        <t>fires when: ifv-tesla</t>
      </text>
    </comment>
    <comment ref="L358" authorId="0" shapeId="0">
      <text>
        <t>raw warhead damages: 8000, 4, 8000, 4, 1000, 8000, 4, 8000, 4, 8000, 4
import scales all proportionally</t>
      </text>
    </comment>
    <comment ref="AB358" authorId="0" shapeId="0">
      <text>
        <t>fires when: ifv-flak</t>
      </text>
    </comment>
    <comment ref="L359" authorId="0" shapeId="0">
      <text>
        <t>raw warhead damages: 8000, 4, 1000, 8000, 4000, 4, 8000, 4
import scales all proportionally</t>
      </text>
    </comment>
    <comment ref="AB359" authorId="0" shapeId="0">
      <text>
        <t>fires when: ifv-cannon</t>
      </text>
    </comment>
    <comment ref="L360" authorId="0" shapeId="0">
      <text>
        <t>raw warhead damages: 16000, 8000, 8
import scales all proportionally</t>
      </text>
    </comment>
    <comment ref="AB360" authorId="0" shapeId="0">
      <text>
        <t>fires when: ifv-grenade</t>
      </text>
    </comment>
    <comment ref="L361" authorId="0" shapeId="0">
      <text>
        <t>raw warhead damages: 3750, 2500
import scales all proportionally</t>
      </text>
    </comment>
    <comment ref="AB361" authorId="0" shapeId="0">
      <text>
        <t>fires when: ifv-plasma</t>
      </text>
    </comment>
    <comment ref="AB362" authorId="0" shapeId="0">
      <text>
        <t>fires when: ifv-litlaser</t>
      </text>
    </comment>
    <comment ref="L363" authorId="0" shapeId="0">
      <text>
        <t>raw warhead damages: 4000, 1
import scales all proportionally</t>
      </text>
    </comment>
    <comment ref="AB363" authorId="0" shapeId="0">
      <text>
        <t>fires when: ifv-medlaser</t>
      </text>
    </comment>
    <comment ref="L364" authorId="0" shapeId="0">
      <text>
        <t>raw warhead damages: 5000, 1
import scales all proportionally</t>
      </text>
    </comment>
    <comment ref="AB364" authorId="0" shapeId="0">
      <text>
        <t>fires when: ifv-greelaser</t>
      </text>
    </comment>
    <comment ref="L365" authorId="0" shapeId="0">
      <text>
        <t>raw warhead damages: 4000, 1
import scales all proportionally</t>
      </text>
    </comment>
    <comment ref="AB365" authorId="0" shapeId="0">
      <text>
        <t>fires when: ifv-misslaser</t>
      </text>
    </comment>
    <comment ref="L366" authorId="0" shapeId="0">
      <text>
        <t>raw warhead damages: 14000, 7000, 7
import scales all proportionally</t>
      </text>
    </comment>
    <comment ref="AB366" authorId="0" shapeId="0">
      <text>
        <t>fires when: ifv-fire</t>
      </text>
    </comment>
    <comment ref="L367" authorId="0" shapeId="0">
      <text>
        <t>raw warhead damages: 30000, 15000, 15
import scales all proportionally</t>
      </text>
    </comment>
    <comment ref="AB367" authorId="0" shapeId="0">
      <text>
        <t>fires when: ifv-chem</t>
      </text>
    </comment>
    <comment ref="L368" authorId="0" shapeId="0">
      <text>
        <t>raw warhead damages: 30000, 15000, 15
import scales all proportionally</t>
      </text>
    </comment>
    <comment ref="AB368" authorId="0" shapeId="0">
      <text>
        <t>fires when: ifv-thrax</t>
      </text>
    </comment>
    <comment ref="L369" authorId="0" shapeId="0">
      <text>
        <t>raw warhead damages: 2000, 1, 2000, 1000, 1, 2000, 1, 2000, 1
import scales all proportionally</t>
      </text>
    </comment>
    <comment ref="AB369" authorId="0" shapeId="0">
      <text>
        <t>fires when: ifv-miss &amp;&amp; !rank-elite &amp;&amp; !ra2_allies_upgrade_thunderboltmissiles</t>
      </text>
    </comment>
    <comment ref="AB370" authorId="0" shapeId="0">
      <text>
        <t>fires when: ifv-chrono</t>
      </text>
    </comment>
    <comment ref="AB371" authorId="0" shapeId="0">
      <text>
        <t>fires when: ifv-chrono</t>
      </text>
    </comment>
    <comment ref="AB372" authorId="0" shapeId="0">
      <text>
        <t>fires when: ifv-demo</t>
      </text>
    </comment>
    <comment ref="AB373" authorId="0" shapeId="0">
      <text>
        <t>fires when: ifv-fremen</t>
      </text>
    </comment>
    <comment ref="L374" authorId="0" shapeId="0">
      <text>
        <t>raw warhead damages: 4000, 1000
import scales all proportionally</t>
      </text>
    </comment>
    <comment ref="AB374" authorId="0" shapeId="0">
      <text>
        <t>fires when: ifv-sonic</t>
      </text>
    </comment>
    <comment ref="L375" authorId="0" shapeId="0">
      <text>
        <t>raw warhead damages: -2000, -1000, -1
import scales all proportionally</t>
      </text>
    </comment>
    <comment ref="AB375" authorId="0" shapeId="0">
      <text>
        <t>fires when: ifv-healer</t>
      </text>
    </comment>
    <comment ref="L376" authorId="0" shapeId="0">
      <text>
        <t>raw warhead damages: 6000, 3, 6000, 3
import scales all proportionally</t>
      </text>
    </comment>
    <comment ref="AB37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377" authorId="0" shapeId="0">
      <text>
        <t>raw warhead damages: 6000, 3, 6000, 3
import scales all proportionally</t>
      </text>
    </comment>
    <comment ref="AB37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378" authorId="0" shapeId="0">
      <text>
        <t>raw warhead damages: 6000, 3, 6000, 3
import scales all proportionally</t>
      </text>
    </comment>
    <comment ref="AB37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379" authorId="0" shapeId="0">
      <text>
        <t>raw warhead damages: 6000, 3, 6000, 3
import scales all proportionally</t>
      </text>
    </comment>
    <comment ref="AB379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380" authorId="0" shapeId="0">
      <text>
        <t>raw warhead damages: 2000, 1, 2000, 1, 2000, 1, 2000, 1, 2000, 1, 2000, 1
import scales all proportionally</t>
      </text>
    </comment>
    <comment ref="AB380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381" authorId="0" shapeId="0">
      <text>
        <t>raw warhead damages: 2000, 1, 2000, 1, 2000, 1, 2000, 1, 2000, 1, 2000, 1
import scales all proportionally</t>
      </text>
    </comment>
    <comment ref="AB38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382" authorId="0" shapeId="0">
      <text>
        <t>raw warhead damages: 2000, 1, 2000, 1, 2000, 1, 2000, 1, 2000, 1, 2000, 1
import scales all proportionally</t>
      </text>
    </comment>
    <comment ref="AB38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383" authorId="0" shapeId="0">
      <text>
        <t>raw warhead damages: 2000, 1, 2000, 1, 2000, 1, 2000, 1, 2000, 1, 2000, 1
import scales all proportionally</t>
      </text>
    </comment>
    <comment ref="AB38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384" authorId="0" shapeId="0">
      <text>
        <t>raw warhead damages: 4000, 1, 4000, 2000, 1, 4000, 1, 4000, 1
import scales all proportionally</t>
      </text>
    </comment>
    <comment ref="AB384" authorId="0" shapeId="0">
      <text>
        <t>fires when: ifv-miss &amp;&amp; rank-elite &amp;&amp; !ra2_allies_upgrade_thunderboltmissiles</t>
      </text>
    </comment>
    <comment ref="L385" authorId="0" shapeId="0">
      <text>
        <t>raw warhead damages: 2000, 1, 2000, 1000, 1, 2000, 1, 2000, 1
import scales all proportionally</t>
      </text>
    </comment>
    <comment ref="AB385" authorId="0" shapeId="0">
      <text>
        <t>fires when: ifv-miss &amp;&amp; !rank-elite &amp;&amp; !ra2_allies_upgrade_thunderboltmissiles</t>
      </text>
    </comment>
    <comment ref="L386" authorId="0" shapeId="0">
      <text>
        <t>raw warhead damages: 4000, 1, 4000, 2000, 1, 4000, 1, 4000, 1
import scales all proportionally</t>
      </text>
    </comment>
    <comment ref="AB386" authorId="0" shapeId="0">
      <text>
        <t>fires when: ifv-miss &amp;&amp; rank-elite &amp;&amp; !ra2_allies_upgrade_thunderboltmissiles</t>
      </text>
    </comment>
    <comment ref="L387" authorId="0" shapeId="0">
      <text>
        <t>raw warhead damages: 2000, 1, 2000, 1, 2000, 1, 2000, 1, 2000, 1, 2000, 1000, 1, 2000, 1, 2000, 1
import scales all proportionally</t>
      </text>
    </comment>
    <comment ref="AB387" authorId="0" shapeId="0">
      <text>
        <t>fires when: ifv-miss &amp;&amp; !rank-elite &amp;&amp; ra2_allies_upgrade_thunderboltmissiles</t>
      </text>
    </comment>
    <comment ref="L388" authorId="0" shapeId="0">
      <text>
        <t>raw warhead damages: 4000, 1, 4000, 1, 4000, 1, 4000, 1, 4000, 1, 4000, 2000, 1, 4000, 1, 4000, 1
import scales all proportionally</t>
      </text>
    </comment>
    <comment ref="AB388" authorId="0" shapeId="0">
      <text>
        <t>fires when: ifv-miss &amp;&amp; rank-elite &amp;&amp; ra2_allies_upgrade_thunderboltmissiles</t>
      </text>
    </comment>
    <comment ref="L389" authorId="0" shapeId="0">
      <text>
        <t>raw warhead damages: 2000, 1, 2000, 1, 2000, 1, 2000, 1, 2000, 1, 2000, 1000, 1, 2000, 1, 2000, 1
import scales all proportionally</t>
      </text>
    </comment>
    <comment ref="AB389" authorId="0" shapeId="0">
      <text>
        <t>fires when: ifv-miss &amp;&amp; !rank-elite &amp;&amp; ra2_allies_upgrade_thunderboltmissiles</t>
      </text>
    </comment>
    <comment ref="L390" authorId="0" shapeId="0">
      <text>
        <t>raw warhead damages: 4000, 1, 4000, 1, 4000, 1, 4000, 1, 4000, 1, 4000, 2000, 1, 4000, 1, 4000, 1
import scales all proportionally</t>
      </text>
    </comment>
    <comment ref="AB390" authorId="0" shapeId="0">
      <text>
        <t>fires when: ifv-miss &amp;&amp; rank-elite &amp;&amp; ra2_allies_upgrade_thunderboltmissiles</t>
      </text>
    </comment>
    <comment ref="L391" authorId="0" shapeId="0">
      <text>
        <t>raw warhead damages: -2000, -1000, -1
import scales all proportionally</t>
      </text>
    </comment>
    <comment ref="AB391" authorId="0" shapeId="0">
      <text>
        <t>fires when: ifv-healer</t>
      </text>
    </comment>
    <comment ref="L392" authorId="0" shapeId="0">
      <text>
        <t>raw warhead damages: 44000, 22
import scales all proportionally</t>
      </text>
    </comment>
    <comment ref="AB392" authorId="0" shapeId="0">
      <text>
        <t>fires when: ifv-ra1_allies_alliedsniper</t>
      </text>
    </comment>
    <comment ref="AB394" authorId="0" shapeId="0">
      <text>
        <t>fires when: !rank-elite</t>
      </text>
    </comment>
    <comment ref="AB395" authorId="0" shapeId="0">
      <text>
        <t>fires when: rank-elite</t>
      </text>
    </comment>
    <comment ref="L397" authorId="0" shapeId="0">
      <text>
        <t>raw warhead damages: 2000, 1, 2000, 1, 2000, 1
import scales all proportionally</t>
      </text>
    </comment>
    <comment ref="L399" authorId="0" shapeId="0">
      <text>
        <t>raw warhead damages: 4000, 2, 4000, 2
import scales all proportionally</t>
      </text>
    </comment>
    <comment ref="L401" authorId="0" shapeId="0">
      <text>
        <t>raw warhead damages: 4000, 2, 4000, 2
import scales all proportionally</t>
      </text>
    </comment>
    <comment ref="L403" authorId="0" shapeId="0">
      <text>
        <t>raw warhead damages: 2000, 1, 2000, 1
import scales all proportionally</t>
      </text>
    </comment>
    <comment ref="L404" authorId="0" shapeId="0">
      <text>
        <t>raw warhead damages: 2000, 1, 2000, 1
import scales all proportionally</t>
      </text>
    </comment>
    <comment ref="L406" authorId="0" shapeId="0">
      <text>
        <t>raw warhead damages: 2000, 1, 2000, 1
import scales all proportionally</t>
      </text>
    </comment>
    <comment ref="AB406" authorId="0" shapeId="0">
      <text>
        <t>fires when: ifv-mg</t>
      </text>
    </comment>
    <comment ref="L407" authorId="0" shapeId="0">
      <text>
        <t>raw warhead damages: 2000, 1, 2000, 1, 2000, 1
import scales all proportionally</t>
      </text>
    </comment>
    <comment ref="AB407" authorId="0" shapeId="0">
      <text>
        <t>fires when: ifv-hmg</t>
      </text>
    </comment>
    <comment ref="L408" authorId="0" shapeId="0">
      <text>
        <t>raw warhead damages: 2500, 3
import scales all proportionally</t>
      </text>
    </comment>
    <comment ref="AB408" authorId="0" shapeId="0">
      <text>
        <t>fires when: ifv-archer</t>
      </text>
    </comment>
    <comment ref="L409" authorId="0" shapeId="0">
      <text>
        <t>raw warhead damages: -2000, -1000, -1
import scales all proportionally</t>
      </text>
    </comment>
    <comment ref="AB409" authorId="0" shapeId="0">
      <text>
        <t>fires when: ifv-repair</t>
      </text>
    </comment>
    <comment ref="L410" authorId="0" shapeId="0">
      <text>
        <t>raw warhead damages: 30000, 15
import scales all proportionally</t>
      </text>
    </comment>
    <comment ref="AB410" authorId="0" shapeId="0">
      <text>
        <t>fires when: ifv-lightsniper</t>
      </text>
    </comment>
    <comment ref="L411" authorId="0" shapeId="0">
      <text>
        <t>raw warhead damages: 14000, 7
import scales all proportionally</t>
      </text>
    </comment>
    <comment ref="AB411" authorId="0" shapeId="0">
      <text>
        <t>fires when: ifv-hero</t>
      </text>
    </comment>
    <comment ref="L412" authorId="0" shapeId="0">
      <text>
        <t>raw warhead damages: 40000, 20000, 20
import scales all proportionally</t>
      </text>
    </comment>
    <comment ref="AB412" authorId="0" shapeId="0">
      <text>
        <t>fires when: ifv-tesla</t>
      </text>
    </comment>
    <comment ref="L413" authorId="0" shapeId="0">
      <text>
        <t>raw warhead damages: 8000, 4, 8000, 4, 1000, 8000, 4, 8000, 4, 8000, 4
import scales all proportionally</t>
      </text>
    </comment>
    <comment ref="AB413" authorId="0" shapeId="0">
      <text>
        <t>fires when: ifv-flak</t>
      </text>
    </comment>
    <comment ref="L414" authorId="0" shapeId="0">
      <text>
        <t>raw warhead damages: 8000, 4, 1000, 8000, 4000, 4, 8000, 4
import scales all proportionally</t>
      </text>
    </comment>
    <comment ref="AB414" authorId="0" shapeId="0">
      <text>
        <t>fires when: ifv-cannon</t>
      </text>
    </comment>
    <comment ref="L415" authorId="0" shapeId="0">
      <text>
        <t>raw warhead damages: 16000, 8000, 8
import scales all proportionally</t>
      </text>
    </comment>
    <comment ref="AB415" authorId="0" shapeId="0">
      <text>
        <t>fires when: ifv-grenade</t>
      </text>
    </comment>
    <comment ref="L416" authorId="0" shapeId="0">
      <text>
        <t>raw warhead damages: 3750, 2500
import scales all proportionally</t>
      </text>
    </comment>
    <comment ref="AB416" authorId="0" shapeId="0">
      <text>
        <t>fires when: ifv-plasma</t>
      </text>
    </comment>
    <comment ref="AB417" authorId="0" shapeId="0">
      <text>
        <t>fires when: ifv-litlaser</t>
      </text>
    </comment>
    <comment ref="L418" authorId="0" shapeId="0">
      <text>
        <t>raw warhead damages: 4000, 1
import scales all proportionally</t>
      </text>
    </comment>
    <comment ref="AB418" authorId="0" shapeId="0">
      <text>
        <t>fires when: ifv-medlaser</t>
      </text>
    </comment>
    <comment ref="L419" authorId="0" shapeId="0">
      <text>
        <t>raw warhead damages: 5000, 1
import scales all proportionally</t>
      </text>
    </comment>
    <comment ref="AB419" authorId="0" shapeId="0">
      <text>
        <t>fires when: ifv-greelaser</t>
      </text>
    </comment>
    <comment ref="L420" authorId="0" shapeId="0">
      <text>
        <t>raw warhead damages: 4000, 1
import scales all proportionally</t>
      </text>
    </comment>
    <comment ref="AB420" authorId="0" shapeId="0">
      <text>
        <t>fires when: ifv-misslaser</t>
      </text>
    </comment>
    <comment ref="L421" authorId="0" shapeId="0">
      <text>
        <t>raw warhead damages: 14000, 7000, 7
import scales all proportionally</t>
      </text>
    </comment>
    <comment ref="AB421" authorId="0" shapeId="0">
      <text>
        <t>fires when: ifv-fire</t>
      </text>
    </comment>
    <comment ref="L422" authorId="0" shapeId="0">
      <text>
        <t>raw warhead damages: 30000, 15000, 15
import scales all proportionally</t>
      </text>
    </comment>
    <comment ref="AB422" authorId="0" shapeId="0">
      <text>
        <t>fires when: ifv-chem</t>
      </text>
    </comment>
    <comment ref="L423" authorId="0" shapeId="0">
      <text>
        <t>raw warhead damages: 30000, 15000, 15
import scales all proportionally</t>
      </text>
    </comment>
    <comment ref="AB423" authorId="0" shapeId="0">
      <text>
        <t>fires when: ifv-thrax</t>
      </text>
    </comment>
    <comment ref="L424" authorId="0" shapeId="0">
      <text>
        <t>raw warhead damages: 2000, 1, 2000, 1000, 1, 2000, 1, 2000, 1
import scales all proportionally</t>
      </text>
    </comment>
    <comment ref="AB424" authorId="0" shapeId="0">
      <text>
        <t>fires when: ifv-miss &amp;&amp; !rank-elite &amp;&amp; !ra2_allies_upgrade_thunderboltmissiles</t>
      </text>
    </comment>
    <comment ref="AB425" authorId="0" shapeId="0">
      <text>
        <t>fires when: ifv-chrono</t>
      </text>
    </comment>
    <comment ref="AB426" authorId="0" shapeId="0">
      <text>
        <t>fires when: ifv-chrono</t>
      </text>
    </comment>
    <comment ref="AB427" authorId="0" shapeId="0">
      <text>
        <t>fires when: ifv-demo</t>
      </text>
    </comment>
    <comment ref="AB428" authorId="0" shapeId="0">
      <text>
        <t>fires when: ifv-fremen</t>
      </text>
    </comment>
    <comment ref="L429" authorId="0" shapeId="0">
      <text>
        <t>raw warhead damages: 4000, 1000
import scales all proportionally</t>
      </text>
    </comment>
    <comment ref="AB429" authorId="0" shapeId="0">
      <text>
        <t>fires when: ifv-sonic</t>
      </text>
    </comment>
    <comment ref="L430" authorId="0" shapeId="0">
      <text>
        <t>raw warhead damages: -2000, -1000, -1
import scales all proportionally</t>
      </text>
    </comment>
    <comment ref="AB430" authorId="0" shapeId="0">
      <text>
        <t>fires when: ifv-healer</t>
      </text>
    </comment>
    <comment ref="L431" authorId="0" shapeId="0">
      <text>
        <t>raw warhead damages: 6000, 3, 6000, 3
import scales all proportionally</t>
      </text>
    </comment>
    <comment ref="AB431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432" authorId="0" shapeId="0">
      <text>
        <t>raw warhead damages: 6000, 3, 6000, 3
import scales all proportionally</t>
      </text>
    </comment>
    <comment ref="AB432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433" authorId="0" shapeId="0">
      <text>
        <t>raw warhead damages: 6000, 3, 6000, 3
import scales all proportionally</t>
      </text>
    </comment>
    <comment ref="AB43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!ra2_allies_upgrade_thunderboltmissiles</t>
      </text>
    </comment>
    <comment ref="L434" authorId="0" shapeId="0">
      <text>
        <t>raw warhead damages: 6000, 3, 6000, 3
import scales all proportionally</t>
      </text>
    </comment>
    <comment ref="AB434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!ra2_allies_upgrade_thunderboltmissiles</t>
      </text>
    </comment>
    <comment ref="L435" authorId="0" shapeId="0">
      <text>
        <t>raw warhead damages: 2000, 1, 2000, 1, 2000, 1, 2000, 1, 2000, 1, 2000, 1
import scales all proportionally</t>
      </text>
    </comment>
    <comment ref="AB435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436" authorId="0" shapeId="0">
      <text>
        <t>raw warhead damages: 2000, 1, 2000, 1, 2000, 1, 2000, 1, 2000, 1, 2000, 1
import scales all proportionally</t>
      </text>
    </comment>
    <comment ref="AB436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437" authorId="0" shapeId="0">
      <text>
        <t>raw warhead damages: 2000, 1, 2000, 1, 2000, 1, 2000, 1, 2000, 1, 2000, 1
import scales all proportionally</t>
      </text>
    </comment>
    <comment ref="AB437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!rank-elite &amp;&amp; ra2_allies_upgrade_thunderboltmissiles</t>
      </text>
    </comment>
    <comment ref="L438" authorId="0" shapeId="0">
      <text>
        <t>raw warhead damages: 2000, 1, 2000, 1, 2000, 1, 2000, 1, 2000, 1, 2000, 1
import scales all proportionally</t>
      </text>
    </comment>
    <comment ref="AB438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!ifv-chrono &amp;&amp; !ifv-plasma &amp;&amp; !ifv-litlaser &amp;&amp; !ifv-medlaser &amp;&amp; !ifv-greelaser &amp;&amp; !ifv-misslaser &amp;&amp; !ifv-chem &amp;&amp; !ifv-thrax &amp;&amp; !ifv-sonic &amp;&amp; !ifv-fremen &amp;&amp; !ifv-healer &amp;&amp; !ifv-spy &amp;&amp; !ifv-thief &amp;&amp; rank-elite &amp;&amp; ra2_allies_upgrade_thunderboltmissiles</t>
      </text>
    </comment>
    <comment ref="L439" authorId="0" shapeId="0">
      <text>
        <t>raw warhead damages: 4000, 1, 4000, 2000, 1, 4000, 1, 4000, 1
import scales all proportionally</t>
      </text>
    </comment>
    <comment ref="AB439" authorId="0" shapeId="0">
      <text>
        <t>fires when: ifv-miss &amp;&amp; rank-elite &amp;&amp; !ra2_allies_upgrade_thunderboltmissiles</t>
      </text>
    </comment>
    <comment ref="L440" authorId="0" shapeId="0">
      <text>
        <t>raw warhead damages: 2000, 1, 2000, 1000, 1, 2000, 1, 2000, 1
import scales all proportionally</t>
      </text>
    </comment>
    <comment ref="AB440" authorId="0" shapeId="0">
      <text>
        <t>fires when: ifv-miss &amp;&amp; !rank-elite &amp;&amp; !ra2_allies_upgrade_thunderboltmissiles</t>
      </text>
    </comment>
    <comment ref="L441" authorId="0" shapeId="0">
      <text>
        <t>raw warhead damages: 4000, 1, 4000, 2000, 1, 4000, 1, 4000, 1
import scales all proportionally</t>
      </text>
    </comment>
    <comment ref="AB441" authorId="0" shapeId="0">
      <text>
        <t>fires when: ifv-miss &amp;&amp; rank-elite &amp;&amp; !ra2_allies_upgrade_thunderboltmissiles</t>
      </text>
    </comment>
    <comment ref="L442" authorId="0" shapeId="0">
      <text>
        <t>raw warhead damages: 2000, 1, 2000, 1, 2000, 1, 2000, 1, 2000, 1, 2000, 1000, 1, 2000, 1, 2000, 1
import scales all proportionally</t>
      </text>
    </comment>
    <comment ref="AB442" authorId="0" shapeId="0">
      <text>
        <t>fires when: ifv-miss &amp;&amp; !rank-elite &amp;&amp; ra2_allies_upgrade_thunderboltmissiles</t>
      </text>
    </comment>
    <comment ref="L443" authorId="0" shapeId="0">
      <text>
        <t>raw warhead damages: 4000, 1, 4000, 1, 4000, 1, 4000, 1, 4000, 1, 4000, 2000, 1, 4000, 1, 4000, 1
import scales all proportionally</t>
      </text>
    </comment>
    <comment ref="AB443" authorId="0" shapeId="0">
      <text>
        <t>fires when: ifv-miss &amp;&amp; rank-elite &amp;&amp; ra2_allies_upgrade_thunderboltmissiles</t>
      </text>
    </comment>
    <comment ref="L444" authorId="0" shapeId="0">
      <text>
        <t>raw warhead damages: 2000, 1, 2000, 1, 2000, 1, 2000, 1, 2000, 1, 2000, 1000, 1, 2000, 1, 2000, 1
import scales all proportionally</t>
      </text>
    </comment>
    <comment ref="AB444" authorId="0" shapeId="0">
      <text>
        <t>fires when: ifv-miss &amp;&amp; !rank-elite &amp;&amp; ra2_allies_upgrade_thunderboltmissiles</t>
      </text>
    </comment>
    <comment ref="L445" authorId="0" shapeId="0">
      <text>
        <t>raw warhead damages: 4000, 1, 4000, 1, 4000, 1, 4000, 1, 4000, 1, 4000, 2000, 1, 4000, 1, 4000, 1
import scales all proportionally</t>
      </text>
    </comment>
    <comment ref="AB445" authorId="0" shapeId="0">
      <text>
        <t>fires when: ifv-miss &amp;&amp; rank-elite &amp;&amp; ra2_allies_upgrade_thunderboltmissiles</t>
      </text>
    </comment>
    <comment ref="L446" authorId="0" shapeId="0">
      <text>
        <t>raw warhead damages: -2000, -1000, -1
import scales all proportionally</t>
      </text>
    </comment>
    <comment ref="AB446" authorId="0" shapeId="0">
      <text>
        <t>fires when: ifv-healer</t>
      </text>
    </comment>
    <comment ref="L447" authorId="0" shapeId="0">
      <text>
        <t>raw warhead damages: 44000, 22
import scales all proportionally</t>
      </text>
    </comment>
    <comment ref="AB447" authorId="0" shapeId="0">
      <text>
        <t>fires when: ifv-ra1_allies_alliedsniper</t>
      </text>
    </comment>
    <comment ref="L449" authorId="0" shapeId="0">
      <text>
        <t>raw warhead damages: 2000, 1, 2000, 1
import scales all proportionally</t>
      </text>
    </comment>
    <comment ref="AB449" authorId="0" shapeId="0">
      <text>
        <t>fires when: !rank-elite</t>
      </text>
    </comment>
    <comment ref="L450" authorId="0" shapeId="0">
      <text>
        <t>raw warhead damages: 2000, 1, 1000, 1
import scales all proportionally</t>
      </text>
    </comment>
    <comment ref="AB450" authorId="0" shapeId="0">
      <text>
        <t>fires when: rank-elite</t>
      </text>
    </comment>
    <comment ref="L452" authorId="0" shapeId="0">
      <text>
        <t>raw warhead damages: 20000, 10
import scales all proportionally</t>
      </text>
    </comment>
    <comment ref="AB452" authorId="0" shapeId="0">
      <text>
        <t>fires when: !tkm_upgrade_cryorocketsupgrade &amp;&amp; !tkm_upgrade_twinrocketsupgrade &amp;&amp; !tkm_upgrade_incendiaryrocketsupgrade</t>
      </text>
    </comment>
    <comment ref="L453" authorId="0" shapeId="0">
      <text>
        <t>raw warhead damages: 18000, 9
import scales all proportionally</t>
      </text>
    </comment>
    <comment ref="AB453" authorId="0" shapeId="0">
      <text>
        <t>fires when: tkm_upgrade_cryorocketsupgrade</t>
      </text>
    </comment>
    <comment ref="L454" authorId="0" shapeId="0">
      <text>
        <t>raw warhead damages: 18000, 9
import scales all proportionally</t>
      </text>
    </comment>
    <comment ref="AB454" authorId="0" shapeId="0">
      <text>
        <t>fires when: tkm_upgrade_twinrocketsupgrade</t>
      </text>
    </comment>
    <comment ref="L455" authorId="0" shapeId="0">
      <text>
        <t>raw warhead damages: 4000, 500, 2, 18000, 9
import scales all proportionally</t>
      </text>
    </comment>
    <comment ref="AB455" authorId="0" shapeId="0">
      <text>
        <t>fires when: tkm_upgrade_incendiaryrocketsupgrade</t>
      </text>
    </comment>
    <comment ref="L457" authorId="0" shapeId="0">
      <text>
        <t>raw warhead damages: 4000, 2
import scales all proportionally</t>
      </text>
    </comment>
    <comment ref="AB457" authorId="0" shapeId="0">
      <text>
        <t>fires when: !tkm_upgrade_titanarmorpiercingbulletsupgrade</t>
      </text>
    </comment>
    <comment ref="L458" authorId="0" shapeId="0">
      <text>
        <t>raw warhead damages: 2000, 500, 1, 6000, 3
import scales all proportionally</t>
      </text>
    </comment>
    <comment ref="AB458" authorId="0" shapeId="0">
      <text>
        <t>fires when: tkm_upgrade_titanarmorpiercingbulletsupgrade</t>
      </text>
    </comment>
    <comment ref="L462" authorId="0" shapeId="0">
      <text>
        <t>raw warhead damages: 4000, 2
import scales all proportionally</t>
      </text>
    </comment>
    <comment ref="AB462" authorId="0" shapeId="0">
      <text>
        <t>fires when: !ordos_upgrade_lasercartridges</t>
      </text>
    </comment>
    <comment ref="L463" authorId="0" shapeId="0">
      <text>
        <t>raw warhead damages: 2000, 1, 600, 2000, 1, 2000, 1
import scales all proportionally</t>
      </text>
    </comment>
    <comment ref="AB463" authorId="0" shapeId="0">
      <text>
        <t>fires when: ordos_upgrade_lasercartridges</t>
      </text>
    </comment>
    <comment ref="L465" authorId="0" shapeId="0">
      <text>
        <t>raw warhead damages: 2000, 1, 2000, 1
import scales all proportionally</t>
      </text>
    </comment>
    <comment ref="AB465" authorId="0" shapeId="0">
      <text>
        <t>fires when: !ordos_upgrade_lasercartridges</t>
      </text>
    </comment>
    <comment ref="L466" authorId="0" shapeId="0">
      <text>
        <t>raw warhead damages: 2000, 1, 600, 2000, 1, 2000, 1
import scales all proportionally</t>
      </text>
    </comment>
    <comment ref="AB466" authorId="0" shapeId="0">
      <text>
        <t>fires when: ordos_upgrade_lasercartridges</t>
      </text>
    </comment>
    <comment ref="L468" authorId="0" shapeId="0">
      <text>
        <t>raw warhead damages: 8000, 1, 8000, 1, 8000, 4000, 1, 8000, 1, 8000, 1
import scales all proportionally</t>
      </text>
    </comment>
    <comment ref="L470" authorId="0" shapeId="0">
      <text>
        <t>raw warhead damages: 4000, 2, 4000, 2, 4000, 2000, 2, 4000, 2, 4000, 2
import scales all proportionally</t>
      </text>
    </comment>
    <comment ref="L473" authorId="0" shapeId="0">
      <text>
        <t>raw warhead damages: 20000, 10, 1000
import scales all proportionally</t>
      </text>
    </comment>
    <comment ref="L475" authorId="0" shapeId="0">
      <text>
        <t>raw warhead damages: 2000, 1, 2000, 1000, 1, 2000, 1, 2000, 1
import scales all proportionally</t>
      </text>
    </comment>
    <comment ref="AB475" authorId="0" shapeId="0">
      <text>
        <t>fires when: !td_gdi_upgrade_advancedmissiletargeting</t>
      </text>
    </comment>
    <comment ref="L476" authorId="0" shapeId="0">
      <text>
        <t>raw warhead damages: 2000, 1, 2000, 1000, 1, 2000, 1, 2000, 1
import scales all proportionally</t>
      </text>
    </comment>
    <comment ref="AB476" authorId="0" shapeId="0">
      <text>
        <t>fires when: td_gdi_upgrade_advancedmissiletargeting</t>
      </text>
    </comment>
    <comment ref="L478" authorId="0" shapeId="0">
      <text>
        <t>raw warhead damages: 10000, 5000, 5, 10000, 5000, 5, 10000, 5000, 5, 10000, 5, 10000, 5
import scales all proportionally</t>
      </text>
    </comment>
    <comment ref="L480" authorId="0" shapeId="0">
      <text>
        <t>raw warhead damages: 12000, 6
import scales all proportionally</t>
      </text>
    </comment>
    <comment ref="AB480" authorId="0" shapeId="0">
      <text>
        <t>fires when: !td_nod_upgrade_blackmarketupgrades</t>
      </text>
    </comment>
    <comment ref="L481" authorId="0" shapeId="0">
      <text>
        <t>raw warhead damages: 12000, 6
import scales all proportionally</t>
      </text>
    </comment>
    <comment ref="AB481" authorId="0" shapeId="0">
      <text>
        <t>fires when: td_nod_upgrade_blackmarketupgrades</t>
      </text>
    </comment>
    <comment ref="L483" authorId="0" shapeId="0">
      <text>
        <t>raw warhead damages: 7777, 7, 7777, 7777, 7, 7777, 7777, 7
import scales all proportionally</t>
      </text>
    </comment>
    <comment ref="L485" authorId="0" shapeId="0">
      <text>
        <t>raw warhead damages: 10000, 5, 10000, 5, 1000
import scales all proportionally</t>
      </text>
    </comment>
    <comment ref="AB485" authorId="0" shapeId="0">
      <text>
        <t>fires when: !japan_upgrade_advancedplasmaweapons</t>
      </text>
    </comment>
    <comment ref="L486" authorId="0" shapeId="0">
      <text>
        <t>raw warhead damages: 10000, 5, 10000, 5, 1000
import scales all proportionally</t>
      </text>
    </comment>
    <comment ref="AB486" authorId="0" shapeId="0">
      <text>
        <t>fires when: japan_upgrade_advancedplasmaweapons</t>
      </text>
    </comment>
    <comment ref="L487" authorId="0" shapeId="0">
      <text>
        <t>raw warhead damages: 10000, 5000, 5, 10000, 5
import scales all proportionally</t>
      </text>
    </comment>
    <comment ref="AB487" authorId="0" shapeId="0">
      <text>
        <t>fires when: japan_upgrade_advancedplasmaweapons</t>
      </text>
    </comment>
    <comment ref="L488" authorId="0" shapeId="0">
      <text>
        <t>raw warhead damages: 10000, 5000, 5, 10000, 5000, 5
import scales all proportionally</t>
      </text>
    </comment>
    <comment ref="AB488" authorId="0" shapeId="0">
      <text>
        <t>fires when: japan_upgrade_advancedplasmaweapons</t>
      </text>
    </comment>
    <comment ref="L490" authorId="0" shapeId="0">
      <text>
        <t>raw warhead damages: 2000, 1, 600, 2000, 1000, 1, 2000, 1000, 1
import scales all proportionally</t>
      </text>
    </comment>
    <comment ref="L491" authorId="0" shapeId="0">
      <text>
        <t>raw warhead damages: 2000, 1, 600, 2000, 1000, 1, 2000, 1000, 1
import scales all proportionally</t>
      </text>
    </comment>
    <comment ref="L492" authorId="0" shapeId="0">
      <text>
        <t>raw warhead damages: 2000, 1, 600, 2000, 1000, 1, 2000, 1000, 1
import scales all proportionally</t>
      </text>
    </comment>
    <comment ref="L493" authorId="0" shapeId="0">
      <text>
        <t>raw warhead damages: 2000, 1, 600, 2000, 1000, 1, 2000, 1000, 1
import scales all proportionally</t>
      </text>
    </comment>
    <comment ref="L495" authorId="0" shapeId="0">
      <text>
        <t>raw warhead damages: 40000, 20000, 20
import scales all proportionally</t>
      </text>
    </comment>
    <comment ref="AB495" authorId="0" shapeId="0">
      <text>
        <t>fires when: !ra1_soviets_doctrine_teslaandexperimentaltech &amp;&amp; !ra1_soviets_upgrade_teslaarcing</t>
      </text>
    </comment>
    <comment ref="L496" authorId="0" shapeId="0">
      <text>
        <t>raw warhead damages: 40000, 20000, 20
import scales all proportionally</t>
      </text>
    </comment>
    <comment ref="AB496" authorId="0" shapeId="0">
      <text>
        <t>fires when: ra1_soviets_doctrine_teslaandexperimentaltech &amp;&amp; !ra1_soviets_upgrade_teslaarcing</t>
      </text>
    </comment>
    <comment ref="L497" authorId="0" shapeId="0">
      <text>
        <t>raw warhead damages: 40000, 20000, 20
import scales all proportionally</t>
      </text>
    </comment>
    <comment ref="AB497" authorId="0" shapeId="0">
      <text>
        <t>fires when: ra1_soviets_upgrade_teslaarcing</t>
      </text>
    </comment>
    <comment ref="L499" authorId="0" shapeId="0">
      <text>
        <t>raw warhead damages: 44000, 22, 600
import scales all proportionally</t>
      </text>
    </comment>
    <comment ref="L501" authorId="0" shapeId="0">
      <text>
        <t>raw warhead damages: 6000, 3, 6000, 3, 600
import scales all proportionally</t>
      </text>
    </comment>
    <comment ref="L503" authorId="0" shapeId="0">
      <text>
        <t>raw warhead damages: 44000, 22, 600
import scales all proportionally</t>
      </text>
    </comment>
    <comment ref="L505" authorId="0" shapeId="0">
      <text>
        <t>raw warhead damages: 4000, 2, 4000, 2, 4000, 2000, 2
import scales all proportionally</t>
      </text>
    </comment>
    <comment ref="L507" authorId="0" shapeId="0">
      <text>
        <t>raw warhead damages: 2000, 1, 2000, 1
import scales all proportionally</t>
      </text>
    </comment>
    <comment ref="AB507" authorId="0" shapeId="0">
      <text>
        <t>fires when: !ts_gdi_upgrade_sonicweaponry</t>
      </text>
    </comment>
    <comment ref="L508" authorId="0" shapeId="0">
      <text>
        <t>raw warhead damages: 2000, 1, 2000, 1, 2000, 1000, 1, 2000, 1, 888
import scales all proportionally</t>
      </text>
    </comment>
    <comment ref="AB508" authorId="0" shapeId="0">
      <text>
        <t>fires when: ts_gdi_upgrade_sonicweaponry</t>
      </text>
    </comment>
    <comment ref="L510" authorId="0" shapeId="0">
      <text>
        <t>raw warhead damages: 8000, 4
import scales all proportionally</t>
      </text>
    </comment>
    <comment ref="AB510" authorId="0" shapeId="0">
      <text>
        <t>fires when: !ts_gdi_upgrade_sonicweaponry</t>
      </text>
    </comment>
    <comment ref="L511" authorId="0" shapeId="0">
      <text>
        <t>raw warhead damages: 8000, 4, 4000, 2000, 2, 4000, 2, 888
import scales all proportionally</t>
      </text>
    </comment>
    <comment ref="AB511" authorId="0" shapeId="0">
      <text>
        <t>fires when: ts_gdi_upgrade_sonicweaponry</t>
      </text>
    </comment>
    <comment ref="L513" authorId="0" shapeId="0">
      <text>
        <t>raw warhead damages: 30000, 15
import scales all proportionally</t>
      </text>
    </comment>
    <comment ref="AB513" authorId="0" shapeId="0">
      <text>
        <t>fires when: !forgotten_upgrade_chemicalweapons</t>
      </text>
    </comment>
    <comment ref="L514" authorId="0" shapeId="0">
      <text>
        <t>raw warhead damages: 15000, 7000, 7, 30000, 15
import scales all proportionally</t>
      </text>
    </comment>
    <comment ref="AB514" authorId="0" shapeId="0">
      <text>
        <t>fires when: forgotten_upgrade_chemicalweapons</t>
      </text>
    </comment>
    <comment ref="L516" authorId="0" shapeId="0">
      <text>
        <t>raw warhead damages: 40000, 20
import scales all proportionally</t>
      </text>
    </comment>
    <comment ref="AB516" authorId="0" shapeId="0">
      <text>
        <t>fires when: !forgotten_upgrade_chemicalweapons</t>
      </text>
    </comment>
    <comment ref="L517" authorId="0" shapeId="0">
      <text>
        <t>raw warhead damages: 20000, 10000, 1, 40000, 20, 10
import scales all proportionally</t>
      </text>
    </comment>
    <comment ref="AB517" authorId="0" shapeId="0">
      <text>
        <t>fires when: forgotten_upgrade_chemicalweapons</t>
      </text>
    </comment>
    <comment ref="AB519" authorId="0" shapeId="0">
      <text>
        <t>fires when: !rank-elite</t>
      </text>
    </comment>
    <comment ref="AB520" authorId="0" shapeId="0">
      <text>
        <t>fires when: rank-elite</t>
      </text>
    </comment>
    <comment ref="L521" authorId="0" shapeId="0">
      <text>
        <t>raw warhead damages: 20000, 10000, 10, 20000, 10000, 10, 20000, 10, 600
import scales all proportionally</t>
      </text>
    </comment>
    <comment ref="AB521" authorId="0" shapeId="0">
      <text>
        <t>fires when: !rank-elite</t>
      </text>
    </comment>
    <comment ref="L522" authorId="0" shapeId="0">
      <text>
        <t>raw warhead damages: 20000, 10000, 10, 20000, 10000, 10, 20000, 10, 600
import scales all proportionally</t>
      </text>
    </comment>
    <comment ref="AB522" authorId="0" shapeId="0">
      <text>
        <t>fires when: rank-elite</t>
      </text>
    </comment>
    <comment ref="L524" authorId="0" shapeId="0">
      <text>
        <t>raw warhead damages: 12000, 6000, 6
import scales all proportionally</t>
      </text>
    </comment>
    <comment ref="AB524" authorId="0" shapeId="0">
      <text>
        <t>fires when: (!ra2_soviets_upgrade_teslaoverload &amp;&amp; !rank-elite)</t>
      </text>
    </comment>
    <comment ref="L525" authorId="0" shapeId="0">
      <text>
        <t>raw warhead damages: 12000, 6000, 6
import scales all proportionally</t>
      </text>
    </comment>
    <comment ref="AB525" authorId="0" shapeId="0">
      <text>
        <t>fires when: (ra2_soviets_upgrade_teslaoverload &amp;&amp; !rank-elite) || (!ra2_soviets_upgrade_teslaoverload &amp;&amp; rank-elite)</t>
      </text>
    </comment>
    <comment ref="L526" authorId="0" shapeId="0">
      <text>
        <t>raw warhead damages: 12000, 6000, 6
import scales all proportionally</t>
      </text>
    </comment>
    <comment ref="AB526" authorId="0" shapeId="0">
      <text>
        <t>fires when: (ra2_soviets_upgrade_teslaoverload &amp;&amp; rank-elite)</t>
      </text>
    </comment>
    <comment ref="L528" authorId="0" shapeId="0">
      <text>
        <t>raw warhead damages: 2000, 1, 600
import scales all proportionally</t>
      </text>
    </comment>
    <comment ref="AB528" authorId="0" shapeId="0">
      <text>
        <t>fires when: !rank-elite &amp;&amp; !yuri_upgrade_supermagnets</t>
      </text>
    </comment>
    <comment ref="L529" authorId="0" shapeId="0">
      <text>
        <t>raw warhead damages: 2000, 1, 600
import scales all proportionally</t>
      </text>
    </comment>
    <comment ref="AB529" authorId="0" shapeId="0">
      <text>
        <t>fires when: !rank-elite &amp;&amp; yuri_upgrade_supermagnets</t>
      </text>
    </comment>
    <comment ref="L530" authorId="0" shapeId="0">
      <text>
        <t>raw warhead damages: 2000, 1, 600
import scales all proportionally</t>
      </text>
    </comment>
    <comment ref="AB530" authorId="0" shapeId="0">
      <text>
        <t>fires when: rank-elite &amp;&amp; !yuri_upgrade_supermagnets</t>
      </text>
    </comment>
    <comment ref="L531" authorId="0" shapeId="0">
      <text>
        <t>raw warhead damages: 2000, 1, 600
import scales all proportionally</t>
      </text>
    </comment>
    <comment ref="AB531" authorId="0" shapeId="0">
      <text>
        <t>fires when: rank-elite &amp;&amp; yuri_upgrade_supermagnets</t>
      </text>
    </comment>
    <comment ref="L533" authorId="0" shapeId="0">
      <text>
        <t>raw warhead damages: 36000, 18, 1000
import scales all proportionally</t>
      </text>
    </comment>
    <comment ref="AB533" authorId="0" shapeId="0">
      <text>
        <t>fires when: !rank-elite</t>
      </text>
    </comment>
    <comment ref="L534" authorId="0" shapeId="0">
      <text>
        <t>raw warhead damages: 48000, 24, 1000
import scales all proportionally</t>
      </text>
    </comment>
    <comment ref="AB534" authorId="0" shapeId="0">
      <text>
        <t>fires when: rank-elite</t>
      </text>
    </comment>
    <comment ref="L536" authorId="0" shapeId="0">
      <text>
        <t>raw warhead damages: 2000, 1, 2000, 1, 2000, 1
import scales all proportionally</t>
      </text>
    </comment>
    <comment ref="L537" authorId="0" shapeId="0">
      <text>
        <t>raw warhead damages: 2000, 1, 2000, 1, 2000, 1
import scales all proportionally</t>
      </text>
    </comment>
    <comment ref="AB537" authorId="0" shapeId="0">
      <text>
        <t>fires when: asianalliance_doctrine_heavypulverizerweapons</t>
      </text>
    </comment>
    <comment ref="L539" authorId="0" shapeId="0">
      <text>
        <t>raw warhead damages: 24000, 12, 1000
import scales all proportionally</t>
      </text>
    </comment>
    <comment ref="AB539" authorId="0" shapeId="0">
      <text>
        <t>fires when: !rank-elite</t>
      </text>
    </comment>
    <comment ref="L540" authorId="0" shapeId="0">
      <text>
        <t>raw warhead damages: 36000, 18, 1000
import scales all proportionally</t>
      </text>
    </comment>
    <comment ref="AB540" authorId="0" shapeId="0">
      <text>
        <t>fires when: rank-elite</t>
      </text>
    </comment>
    <comment ref="L542" authorId="0" shapeId="0">
      <text>
        <t>raw warhead damages: 2000, 1, 2000, 1, 2000, 1000, 1, 2000, 1
import scales all proportionally</t>
      </text>
    </comment>
    <comment ref="L544" authorId="0" shapeId="0">
      <text>
        <t>raw warhead damages: 2000, 1, 2000, 1, 2000, 1, 2000, 1
import scales all proportionally</t>
      </text>
    </comment>
    <comment ref="L545" authorId="0" shapeId="0">
      <text>
        <t>raw warhead damages: 2000, 1, 2000, 1, 2000, 1, 2000, 1
import scales all proportionally</t>
      </text>
    </comment>
    <comment ref="L546" authorId="0" shapeId="0">
      <text>
        <t>raw warhead damages: 2000, 1, 2000, 1, 2000, 1, 2000, 1
import scales all proportionally</t>
      </text>
    </comment>
    <comment ref="L547" authorId="0" shapeId="0">
      <text>
        <t>raw warhead damages: 2000, 1, 2000, 1, 2000, 1, 2000, 1
import scales all proportionally</t>
      </text>
    </comment>
    <comment ref="L548" authorId="0" shapeId="0">
      <text>
        <t>raw warhead damages: 2000, 1, 2000, 1, 2000, 1, 2000, 1
import scales all proportionally</t>
      </text>
    </comment>
    <comment ref="AB548" authorId="0" shapeId="0">
      <text>
        <t>fires when: steelconsortium_upgrade_resonanceammo</t>
      </text>
    </comment>
    <comment ref="L549" authorId="0" shapeId="0">
      <text>
        <t>raw warhead damages: 2000, 1, 2000, 1, 2000, 1, 2000, 1
import scales all proportionally</t>
      </text>
    </comment>
    <comment ref="AB549" authorId="0" shapeId="0">
      <text>
        <t>fires when: steelconsortium_upgrade_resonanceammo</t>
      </text>
    </comment>
    <comment ref="L550" authorId="0" shapeId="0">
      <text>
        <t>raw warhead damages: 2000, 1, 2000, 1, 2000, 1, 2000, 1
import scales all proportionally</t>
      </text>
    </comment>
    <comment ref="AB550" authorId="0" shapeId="0">
      <text>
        <t>fires when: steelconsortium_upgrade_resonanceammo</t>
      </text>
    </comment>
    <comment ref="L551" authorId="0" shapeId="0">
      <text>
        <t>raw warhead damages: 2000, 1, 2000, 1, 2000, 1, 2000, 1
import scales all proportionally</t>
      </text>
    </comment>
    <comment ref="AB551" authorId="0" shapeId="0">
      <text>
        <t>fires when: steelconsortium_upgrade_resonanceammo</t>
      </text>
    </comment>
    <comment ref="L553" authorId="0" shapeId="0">
      <text>
        <t>raw warhead damages: 2000, 1, 2000, 1, 2000, 1, 2000, 1, 2000, 1
import scales all proportionally</t>
      </text>
    </comment>
    <comment ref="L554" authorId="0" shapeId="0">
      <text>
        <t>raw warhead damages: 2000, 1, 2000, 1, 2000, 1, 2000, 1, 2000, 1
import scales all proportionally</t>
      </text>
    </comment>
    <comment ref="AB554" authorId="0" shapeId="0">
      <text>
        <t>fires when: rank-elite</t>
      </text>
    </comment>
    <comment ref="L556" authorId="0" shapeId="0">
      <text>
        <t>raw warhead damages: 2000, 1000, 1, 2000, 1000, 1, 2000, 1000, 1, 2000, 1
import scales all proportionally</t>
      </text>
    </comment>
    <comment ref="L557" authorId="0" shapeId="0">
      <text>
        <t>raw warhead damages: 2000, 1000, 1, 2000, 1000, 1, 2000, 1000, 1, 2000, 1
import scales all proportionally</t>
      </text>
    </comment>
    <comment ref="AB557" authorId="0" shapeId="0">
      <text>
        <t>fires when: rank-elite</t>
      </text>
    </comment>
    <comment ref="L559" authorId="0" shapeId="0">
      <text>
        <t>raw warhead damages: 14000, 7, 14000, 7
import scales all proportionally</t>
      </text>
    </comment>
    <comment ref="AB559" authorId="0" shapeId="0">
      <text>
        <t>fires when: !rank-elite</t>
      </text>
    </comment>
    <comment ref="L560" authorId="0" shapeId="0">
      <text>
        <t>raw warhead damages: 14000, 7, 14000, 7
import scales all proportionally</t>
      </text>
    </comment>
    <comment ref="AB560" authorId="0" shapeId="0">
      <text>
        <t>fires when: rank-elite</t>
      </text>
    </comment>
    <comment ref="L562" authorId="0" shapeId="0">
      <text>
        <t>raw warhead damages: 20000, 10, 20000, 10000, 10, 20000, 10
import scales all proportionally</t>
      </text>
    </comment>
    <comment ref="L563" authorId="0" shapeId="0">
      <text>
        <t>raw warhead damages: 10000, 5
import scales all proportionally</t>
      </text>
    </comment>
    <comment ref="AB563" authorId="0" shapeId="0">
      <text>
        <t>fires when: !rank-elite</t>
      </text>
    </comment>
    <comment ref="L564" authorId="0" shapeId="0">
      <text>
        <t>raw warhead damages: 10000, 5
import scales all proportionally</t>
      </text>
    </comment>
    <comment ref="AB564" authorId="0" shapeId="0">
      <text>
        <t>fires when: rank-elite</t>
      </text>
    </comment>
    <comment ref="L566" authorId="0" shapeId="0">
      <text>
        <t>raw warhead damages: 10000, 5000, 5, 10000, 5000, 5, 10000, 5000, 5, 10000, 5, 10000, 5, 10000, 5
import scales all proportionally</t>
      </text>
    </comment>
    <comment ref="L567" authorId="0" shapeId="0">
      <text>
        <t>raw warhead damages: 10000, 5000, 5, 10000, 5000, 5, 10000, 5, 10000, 5
import scales all proportionally</t>
      </text>
    </comment>
    <comment ref="L568" authorId="0" shapeId="0">
      <text>
        <t>raw warhead damages: 2000, 1000, 1, 2000, 1000, 1, 2000, 1000, 1
import scales all proportionally</t>
      </text>
    </comment>
    <comment ref="L572" authorId="0" shapeId="0">
      <text>
        <t>raw warhead damages: 2000, 1000, 1
import scales all proportionally</t>
      </text>
    </comment>
    <comment ref="AB572" authorId="0" shapeId="0">
      <text>
        <t>fires when: !rank-elite</t>
      </text>
    </comment>
    <comment ref="L573" authorId="0" shapeId="0">
      <text>
        <t>raw warhead damages: 2000, 1000, 1
import scales all proportionally</t>
      </text>
    </comment>
    <comment ref="AB573" authorId="0" shapeId="0">
      <text>
        <t>fires when: rank-elite</t>
      </text>
    </comment>
    <comment ref="L575" authorId="0" shapeId="0">
      <text>
        <t>raw warhead damages: 2000, 1000, 1, 2000, 1, 2000, 1
import scales all proportionally</t>
      </text>
    </comment>
    <comment ref="AB575" authorId="0" shapeId="0">
      <text>
        <t>fires when: !rank-elite</t>
      </text>
    </comment>
    <comment ref="L576" authorId="0" shapeId="0">
      <text>
        <t>raw warhead damages: 2000, 1000, 1, 2000, 1, 2000, 1
import scales all proportionally</t>
      </text>
    </comment>
    <comment ref="AB576" authorId="0" shapeId="0">
      <text>
        <t>fires when: rank-elite</t>
      </text>
    </comment>
    <comment ref="L580" authorId="0" shapeId="0">
      <text>
        <t>raw warhead damages: 50000, 25000, 25
import scales all proportionally</t>
      </text>
    </comment>
    <comment ref="L583" authorId="0" shapeId="0">
      <text>
        <t>raw warhead damages: 2000, 1, 2000, 1, 2000, 1, 2000, 1
import scales all proportionally</t>
      </text>
    </comment>
    <comment ref="L585" authorId="0" shapeId="0">
      <text>
        <t>raw warhead damages: 12000, 6, 12000, 6
import scales all proportionally</t>
      </text>
    </comment>
    <comment ref="AB585" authorId="0" shapeId="0">
      <text>
        <t>fires when: !rank-elite</t>
      </text>
    </comment>
    <comment ref="L586" authorId="0" shapeId="0">
      <text>
        <t>raw warhead damages: 12000, 6, 12000, 6
import scales all proportionally</t>
      </text>
    </comment>
    <comment ref="AB586" authorId="0" shapeId="0">
      <text>
        <t>fires when: rank-elite</t>
      </text>
    </comment>
    <comment ref="L588" authorId="0" shapeId="0">
      <text>
        <t>raw warhead damages: 2000, 1
import scales all proportionally</t>
      </text>
    </comment>
    <comment ref="L589" authorId="0" shapeId="0">
      <text>
        <t>raw warhead damages: 24000, 12
import scales all proportionally</t>
      </text>
    </comment>
    <comment ref="AB589" authorId="0" shapeId="0">
      <text>
        <t>fires when: !tkm_upgrade_incendiaryrocketsupgrade</t>
      </text>
    </comment>
    <comment ref="L590" authorId="0" shapeId="0">
      <text>
        <t>raw warhead damages: 6000, 500, 3, 24000, 12
import scales all proportionally</t>
      </text>
    </comment>
    <comment ref="AB590" authorId="0" shapeId="0">
      <text>
        <t>fires when: tkm_upgrade_incendiaryrocketsupgrade</t>
      </text>
    </comment>
    <comment ref="L592" authorId="0" shapeId="0">
      <text>
        <t>raw warhead damages: 8000, 4, 8000, 4, 8000, 4
import scales all proportionally</t>
      </text>
    </comment>
    <comment ref="L594" authorId="0" shapeId="0">
      <text>
        <t>raw warhead damages: 8000, 4000, 4, 8000, 4000, 4, 8000, 4
import scales all proportionally</t>
      </text>
    </comment>
    <comment ref="L596" authorId="0" shapeId="0">
      <text>
        <t>raw warhead damages: 8000, 4000, 4, 8000, 4000, 4, 8000, 4
import scales all proportionally</t>
      </text>
    </comment>
    <comment ref="L598" authorId="0" shapeId="0">
      <text>
        <t>raw warhead damages: 20000, 10000, 10, 20000, 10, 1000
import scales all proportionally</t>
      </text>
    </comment>
    <comment ref="L600" authorId="0" shapeId="0">
      <text>
        <t>raw warhead damages: 20000, 10000, 10, 20000, 10, 1000
import scales all proportionally</t>
      </text>
    </comment>
    <comment ref="L601" authorId="0" shapeId="0">
      <text>
        <t>raw warhead damages: 40000, 20000, 20, 40000, 20, 888
import scales all proportionally</t>
      </text>
    </comment>
    <comment ref="L603" authorId="0" shapeId="0">
      <text>
        <t>raw warhead damages: 50000, 25, 50000, 25000, 25, 50000, 25, 50000, 25
import scales all proportionally</t>
      </text>
    </comment>
    <comment ref="AB604" authorId="0" shapeId="0">
      <text>
        <t>fires when: !protoss_upgrade_reavercapacity</t>
      </text>
    </comment>
    <comment ref="AB606" authorId="0" shapeId="0">
      <text>
        <t>fires when: !deployed</t>
      </text>
    </comment>
    <comment ref="AB607" authorId="0" shapeId="0">
      <text>
        <t>fires when: deployed || undeployed</t>
      </text>
    </comment>
    <comment ref="L609" authorId="0" shapeId="0">
      <text>
        <t>raw warhead damages: 2000, 1, 2000, 1, 2000, 1, 2000, 1000, 1, 2000, 1000, 1, 2000, 1, 2000, 1, 2000, 1, 2000, 1
import scales all proportionally</t>
      </text>
    </comment>
    <comment ref="L610" authorId="0" shapeId="0">
      <text>
        <t>raw warhead damages: 2000, 1, 2000, 1, 2000, 1, 2000, 1000, 1, 2000, 1000, 1, 2000, 1, 2000, 1, 2000, 1, 2000, 1
import scales all proportionally</t>
      </text>
    </comment>
    <comment ref="L612" authorId="0" shapeId="0">
      <text>
        <t>raw warhead damages: 2000, 1, 2000, 1
import scales all proportionally</t>
      </text>
    </comment>
    <comment ref="AB612" authorId="0" shapeId="0">
      <text>
        <t>fires when: !lockedon</t>
      </text>
    </comment>
    <comment ref="L613" authorId="0" shapeId="0">
      <text>
        <t>raw warhead damages: 2000, 1, 2000, 1
import scales all proportionally</t>
      </text>
    </comment>
    <comment ref="AB613" authorId="0" shapeId="0">
      <text>
        <t>fires when: lockedon</t>
      </text>
    </comment>
    <comment ref="L616" authorId="0" shapeId="0">
      <text>
        <t>raw warhead damages: 2000, 1, 2000, 1
import scales all proportionally</t>
      </text>
    </comment>
    <comment ref="L617" authorId="0" shapeId="0">
      <text>
        <t>raw warhead damages: 2000, 1, 2000, 1
import scales all proportionally</t>
      </text>
    </comment>
    <comment ref="L619" authorId="0" shapeId="0">
      <text>
        <t>raw warhead damages: 2000, 1, 2000, 1, 2000, 1000, 1, 2000, 1, 2000, 1, 2000, 1
import scales all proportionally</t>
      </text>
    </comment>
    <comment ref="L620" authorId="0" shapeId="0">
      <text>
        <t>raw warhead damages: 2000, 1, 2000, 1, 2000, 1000, 1, 2000, 1, 2000, 1, 2000, 1
import scales all proportionally</t>
      </text>
    </comment>
    <comment ref="L624" authorId="0" shapeId="0">
      <text>
        <t>raw warhead damages: 2000, 1, 2000, 1
import scales all proportionally</t>
      </text>
    </comment>
    <comment ref="L625" authorId="0" shapeId="0">
      <text>
        <t>raw warhead damages: 2000, 1, 2000, 1
import scales all proportionally</t>
      </text>
    </comment>
    <comment ref="L627" authorId="0" shapeId="0">
      <text>
        <t>raw warhead damages: 2000, 1, 2000, 1, 2000, 1000, 1, 2000, 1000, 1, 2000, 1, 2000, 1
import scales all proportionally</t>
      </text>
    </comment>
    <comment ref="AB627" authorId="0" shapeId="0">
      <text>
        <t>fires when: !japan_upgrade_advancedplasmaweapons</t>
      </text>
    </comment>
    <comment ref="L628" authorId="0" shapeId="0">
      <text>
        <t>raw warhead damages: 2000, 1000, 1, 2000, 1, 2000, 1, 2000, 1, 2000, 1, 2000, 1000, 1, 2000, 1000, 1, 2000, 1, 2000, 1
import scales all proportionally</t>
      </text>
    </comment>
    <comment ref="AB628" authorId="0" shapeId="0">
      <text>
        <t>fires when: japan_upgrade_advancedplasmaweapons</t>
      </text>
    </comment>
    <comment ref="L629" authorId="0" shapeId="0">
      <text>
        <t>raw warhead damages: 2000, 1, 2000, 1
import scales all proportionally</t>
      </text>
    </comment>
    <comment ref="AB629" authorId="0" shapeId="0">
      <text>
        <t>fires when: !japan_upgrade_waveforcebullets</t>
      </text>
    </comment>
    <comment ref="L630" authorId="0" shapeId="0">
      <text>
        <t>raw warhead damages: 2000, 1, 1000, 2000, 1, 2000, 1
import scales all proportionally</t>
      </text>
    </comment>
    <comment ref="AB630" authorId="0" shapeId="0">
      <text>
        <t>fires when: japan_upgrade_waveforcebullets</t>
      </text>
    </comment>
    <comment ref="L631" authorId="0" shapeId="0">
      <text>
        <t>raw warhead damages: 2000, 1, 2000, 1
import scales all proportionally</t>
      </text>
    </comment>
    <comment ref="AB631" authorId="0" shapeId="0">
      <text>
        <t>fires when: !japan_upgrade_waveforcebullets</t>
      </text>
    </comment>
    <comment ref="L632" authorId="0" shapeId="0">
      <text>
        <t>raw warhead damages: 2000, 1, 1000, 2000, 1, 2000, 1
import scales all proportionally</t>
      </text>
    </comment>
    <comment ref="AB632" authorId="0" shapeId="0">
      <text>
        <t>fires when: japan_upgrade_waveforcebullets</t>
      </text>
    </comment>
    <comment ref="L635" authorId="0" shapeId="0">
      <text>
        <t>raw warhead damages: 2000, 1, 2000, 1
import scales all proportionally</t>
      </text>
    </comment>
    <comment ref="L636" authorId="0" shapeId="0">
      <text>
        <t>raw warhead damages: 2000, 1, 2000, 1
import scales all proportionally</t>
      </text>
    </comment>
    <comment ref="L637" authorId="0" shapeId="0">
      <text>
        <t>raw warhead damages: 2000, 1, 2000, 1000, 1
import scales all proportionally</t>
      </text>
    </comment>
    <comment ref="AB637" authorId="0" shapeId="0">
      <text>
        <t>fires when: ra1_soviets_doctrine_teslaandexperimentaltech &amp;&amp; !ra1_soviets_upgrade_teslaarcing</t>
      </text>
    </comment>
    <comment ref="L638" authorId="0" shapeId="0">
      <text>
        <t>raw warhead damages: 2000, 1, 2000, 1000, 1
import scales all proportionally</t>
      </text>
    </comment>
    <comment ref="AB638" authorId="0" shapeId="0">
      <text>
        <t>fires when: ra1_soviets_upgrade_teslaarcing</t>
      </text>
    </comment>
    <comment ref="L639" authorId="0" shapeId="0">
      <text>
        <t>raw warhead damages: 2000, 1, 2000, 1000, 1
import scales all proportionally</t>
      </text>
    </comment>
    <comment ref="AB639" authorId="0" shapeId="0">
      <text>
        <t>fires when: ra1_soviets_doctrine_teslaandexperimentaltech &amp;&amp; !ra1_soviets_upgrade_teslaarcing</t>
      </text>
    </comment>
    <comment ref="L640" authorId="0" shapeId="0">
      <text>
        <t>raw warhead damages: 2000, 1, 2000, 1000, 1
import scales all proportionally</t>
      </text>
    </comment>
    <comment ref="AB640" authorId="0" shapeId="0">
      <text>
        <t>fires when: ra1_soviets_upgrade_teslaarcing</t>
      </text>
    </comment>
    <comment ref="L642" authorId="0" shapeId="0">
      <text>
        <t>raw warhead damages: 2000, 1, 2000, 1
import scales all proportionally</t>
      </text>
    </comment>
    <comment ref="L643" authorId="0" shapeId="0">
      <text>
        <t>raw warhead damages: 2000, 1, 2000, 1
import scales all proportionally</t>
      </text>
    </comment>
    <comment ref="L645" authorId="0" shapeId="0">
      <text>
        <t>raw warhead damages: 2000, 1
import scales all proportionally</t>
      </text>
    </comment>
    <comment ref="AB645" authorId="0" shapeId="0">
      <text>
        <t>fires when: !ra1_soviets_upgrade_incendiarybullets</t>
      </text>
    </comment>
    <comment ref="L646" authorId="0" shapeId="0">
      <text>
        <t>raw warhead damages: 2000, 1
import scales all proportionally</t>
      </text>
    </comment>
    <comment ref="AB646" authorId="0" shapeId="0">
      <text>
        <t>fires when: !ra1_soviets_upgrade_incendiarybullets</t>
      </text>
    </comment>
    <comment ref="L647" authorId="0" shapeId="0">
      <text>
        <t>raw warhead damages: 2000, 1, 2000, 1000, 1
import scales all proportionally</t>
      </text>
    </comment>
    <comment ref="AB647" authorId="0" shapeId="0">
      <text>
        <t>fires when: ra1_soviets_upgrade_incendiarybullets</t>
      </text>
    </comment>
    <comment ref="L648" authorId="0" shapeId="0">
      <text>
        <t>raw warhead damages: 2000, 1, 2000, 1000, 1
import scales all proportionally</t>
      </text>
    </comment>
    <comment ref="AB648" authorId="0" shapeId="0">
      <text>
        <t>fires when: ra1_soviets_upgrade_incendiarybullets</t>
      </text>
    </comment>
    <comment ref="L649" authorId="0" shapeId="0">
      <text>
        <t>raw warhead damages: 2000, 1000, 1
import scales all proportionally</t>
      </text>
    </comment>
    <comment ref="AB649" authorId="0" shapeId="0">
      <text>
        <t>fires when: ra1_soviets_doctrine_teslaandexperimentaltech &amp;&amp; !ra1_soviets_upgrade_teslaarcing</t>
      </text>
    </comment>
    <comment ref="L650" authorId="0" shapeId="0">
      <text>
        <t>raw warhead damages: 2000, 1000, 1
import scales all proportionally</t>
      </text>
    </comment>
    <comment ref="AB650" authorId="0" shapeId="0">
      <text>
        <t>fires when: ra1_soviets_upgrade_teslaarcing</t>
      </text>
    </comment>
    <comment ref="L651" authorId="0" shapeId="0">
      <text>
        <t>raw warhead damages: 2000, 1000, 1
import scales all proportionally</t>
      </text>
    </comment>
    <comment ref="AB651" authorId="0" shapeId="0">
      <text>
        <t>fires when: ra1_soviets_doctrine_teslaandexperimentaltech &amp;&amp; !ra1_soviets_upgrade_teslaarcing</t>
      </text>
    </comment>
    <comment ref="L652" authorId="0" shapeId="0">
      <text>
        <t>raw warhead damages: 2000, 1000, 1
import scales all proportionally</t>
      </text>
    </comment>
    <comment ref="AB652" authorId="0" shapeId="0">
      <text>
        <t>fires when: ra1_soviets_upgrade_teslaarcing</t>
      </text>
    </comment>
    <comment ref="L656" authorId="0" shapeId="0">
      <text>
        <t>raw warhead damages: 2000, 1, 2000, 1, 2000, 1, 2000, 1
import scales all proportionally</t>
      </text>
    </comment>
    <comment ref="L657" authorId="0" shapeId="0">
      <text>
        <t>raw warhead damages: 2000, 1, 2000, 1, 2000, 1, 2000, 1
import scales all proportionally</t>
      </text>
    </comment>
    <comment ref="L660" authorId="0" shapeId="0">
      <text>
        <t>raw warhead damages: 4000, 2, 4000, 2000, 2, 4000, 2, 4000, 2
import scales all proportionally</t>
      </text>
    </comment>
    <comment ref="AB660" authorId="0" shapeId="0">
      <text>
        <t>fires when: !ra1_allies_upgrade_cryomissiles</t>
      </text>
    </comment>
    <comment ref="L661" authorId="0" shapeId="0">
      <text>
        <t>raw warhead damages: 4000, 2, 4000, 2000, 2, 4000, 2, 4000, 2
import scales all proportionally</t>
      </text>
    </comment>
    <comment ref="AB661" authorId="0" shapeId="0">
      <text>
        <t>fires when: ra1_allies_upgrade_cryomissiles</t>
      </text>
    </comment>
    <comment ref="L663" authorId="0" shapeId="0">
      <text>
        <t>raw warhead damages: 4000, 2000, 2, 4000, 2000, 2, 4000, 2, 4000, 2, 4000, 2, 4000, 2, 1000, 4000, 2, 4000, 2
import scales all proportionally</t>
      </text>
    </comment>
    <comment ref="AB663" authorId="0" shapeId="0">
      <text>
        <t>fires when: !ra1_allies_upgrade_cryomissiles</t>
      </text>
    </comment>
    <comment ref="L664" authorId="0" shapeId="0">
      <text>
        <t>raw warhead damages: 4000, 2000, 2, 4000, 2000, 2, 4000, 2, 4000, 2, 4000, 2, 4000, 2, 1000, 4000, 2, 4000, 2
import scales all proportionally</t>
      </text>
    </comment>
    <comment ref="AB664" authorId="0" shapeId="0">
      <text>
        <t>fires when: ra1_allies_upgrade_cryomissiles</t>
      </text>
    </comment>
    <comment ref="L667" authorId="0" shapeId="0">
      <text>
        <t>raw warhead damages: 8000, 4000, 4, 8000, 4000, 4, 8000, 4, 8000, 4
import scales all proportionally</t>
      </text>
    </comment>
    <comment ref="L668" authorId="0" shapeId="0">
      <text>
        <t>raw warhead damages: 8000, 4000, 4, 8000, 4000, 4, 8000, 4, 8000, 4
import scales all proportionally</t>
      </text>
    </comment>
    <comment ref="L672" authorId="0" shapeId="0">
      <text>
        <t>raw warhead damages: 12000, 6000, 6, 12000, 6000, 6, 12000, 6, 12000, 6
import scales all proportionally</t>
      </text>
    </comment>
    <comment ref="L673" authorId="0" shapeId="0">
      <text>
        <t>raw warhead damages: 12000, 6000, 6, 12000, 6000, 6, 12000, 6, 12000, 6
import scales all proportionally</t>
      </text>
    </comment>
    <comment ref="L676" authorId="0" shapeId="0">
      <text>
        <t>raw warhead damages: 10000, 5, 600
import scales all proportionally</t>
      </text>
    </comment>
    <comment ref="L677" authorId="0" shapeId="0">
      <text>
        <t>raw warhead damages: 12000, 6000, 6, 12000, 6000, 6, 12000, 6, 12000, 6
import scales all proportionally</t>
      </text>
    </comment>
    <comment ref="L682" authorId="0" shapeId="0">
      <text>
        <t>raw warhead damages: 8000, 4000, 4, 8000, 4
import scales all proportionally</t>
      </text>
    </comment>
    <comment ref="AB682" authorId="0" shapeId="0">
      <text>
        <t>fires when: !ts_nod_upgrade_tiberiumcoremissiles</t>
      </text>
    </comment>
    <comment ref="L683" authorId="0" shapeId="0">
      <text>
        <t>raw warhead damages: 8000, 4000, 4, 8000, 4000, 4, 8000, 4
import scales all proportionally</t>
      </text>
    </comment>
    <comment ref="AB683" authorId="0" shapeId="0">
      <text>
        <t>fires when: ts_nod_upgrade_tiberiumcoremissiles</t>
      </text>
    </comment>
    <comment ref="L685" authorId="0" shapeId="0">
      <text>
        <t>raw warhead damages: 2000, 1, 1000, 1
import scales all proportionally</t>
      </text>
    </comment>
    <comment ref="L688" authorId="0" shapeId="0">
      <text>
        <t>raw warhead damages: 2000, 1, 1000, 1
import scales all proportionally</t>
      </text>
    </comment>
    <comment ref="L690" authorId="0" shapeId="0">
      <text>
        <t>raw warhead damages: 4000, 2, 4000, 2
import scales all proportionally</t>
      </text>
    </comment>
    <comment ref="AB690" authorId="0" shapeId="0">
      <text>
        <t>fires when: !forgotten_upgrade_chemicalweapons</t>
      </text>
    </comment>
    <comment ref="L691" authorId="0" shapeId="0">
      <text>
        <t>raw warhead damages: 4000, 2, 4000, 2
import scales all proportionally</t>
      </text>
    </comment>
    <comment ref="AB691" authorId="0" shapeId="0">
      <text>
        <t>fires when: !forgotten_upgrade_chemicalweapons</t>
      </text>
    </comment>
    <comment ref="L692" authorId="0" shapeId="0">
      <text>
        <t>raw warhead damages: 4000, 2, 4000, 2
import scales all proportionally</t>
      </text>
    </comment>
    <comment ref="AB692" authorId="0" shapeId="0">
      <text>
        <t>fires when: forgotten_upgrade_chemicalweapons</t>
      </text>
    </comment>
    <comment ref="L693" authorId="0" shapeId="0">
      <text>
        <t>raw warhead damages: 4000, 2, 4000, 2
import scales all proportionally</t>
      </text>
    </comment>
    <comment ref="AB693" authorId="0" shapeId="0">
      <text>
        <t>fires when: forgotten_upgrade_chemicalweapons</t>
      </text>
    </comment>
    <comment ref="L696" authorId="0" shapeId="0">
      <text>
        <t>raw warhead damages: 8000, 4000, 4, 8000, 4
import scales all proportionally</t>
      </text>
    </comment>
    <comment ref="AB696" authorId="0" shapeId="0">
      <text>
        <t>fires when: !ts_nod_upgrade_tiberiumcoremissiles</t>
      </text>
    </comment>
    <comment ref="L697" authorId="0" shapeId="0">
      <text>
        <t>raw warhead damages: 8000, 4000, 4, 8000, 4000, 4, 8000, 4
import scales all proportionally</t>
      </text>
    </comment>
    <comment ref="AB697" authorId="0" shapeId="0">
      <text>
        <t>fires when: ts_nod_upgrade_tiberiumcoremissiles</t>
      </text>
    </comment>
    <comment ref="L699" authorId="0" shapeId="0">
      <text>
        <t>raw warhead damages: 4000, 2, 4000, 2
import scales all proportionally</t>
      </text>
    </comment>
    <comment ref="L702" authorId="0" shapeId="0">
      <text>
        <t>raw warhead damages: 2000, 1, 2000, 1000, 1, 2000, 1, 1000, 1
import scales all proportionally</t>
      </text>
    </comment>
    <comment ref="AB702" authorId="0" shapeId="0">
      <text>
        <t>fires when: !rank-elite</t>
      </text>
    </comment>
    <comment ref="L703" authorId="0" shapeId="0">
      <text>
        <t>raw warhead damages: 2000, 1, 2000, 1000, 1, 2000, 1, 2000, 1
import scales all proportionally</t>
      </text>
    </comment>
    <comment ref="AB703" authorId="0" shapeId="0">
      <text>
        <t>fires when: !rank-elite</t>
      </text>
    </comment>
    <comment ref="L704" authorId="0" shapeId="0">
      <text>
        <t>raw warhead damages: 2000, 1, 2000, 1000, 1, 2000, 1, 1000, 1
import scales all proportionally</t>
      </text>
    </comment>
    <comment ref="AB704" authorId="0" shapeId="0">
      <text>
        <t>fires when: rank-elite</t>
      </text>
    </comment>
    <comment ref="L705" authorId="0" shapeId="0">
      <text>
        <t>raw warhead damages: 2000, 1, 2000, 1000, 1, 2000, 1, 2000, 1
import scales all proportionally</t>
      </text>
    </comment>
    <comment ref="AB705" authorId="0" shapeId="0">
      <text>
        <t>fires when: rank-elite</t>
      </text>
    </comment>
    <comment ref="L711" authorId="0" shapeId="0">
      <text>
        <t>raw warhead damages: 2000, 1, 2000, 1
import scales all proportionally</t>
      </text>
    </comment>
    <comment ref="AB711" authorId="0" shapeId="0">
      <text>
        <t>fires when: !gatling</t>
      </text>
    </comment>
    <comment ref="L712" authorId="0" shapeId="0">
      <text>
        <t>raw warhead damages: 2000, 1, 2000, 1
import scales all proportionally</t>
      </text>
    </comment>
    <comment ref="AB712" authorId="0" shapeId="0">
      <text>
        <t>fires when: gatling == 1</t>
      </text>
    </comment>
    <comment ref="L713" authorId="0" shapeId="0">
      <text>
        <t>raw warhead damages: 2000, 1, 2000, 1
import scales all proportionally</t>
      </text>
    </comment>
    <comment ref="AB713" authorId="0" shapeId="0">
      <text>
        <t>fires when: gatling &gt; 1</t>
      </text>
    </comment>
    <comment ref="L714" authorId="0" shapeId="0">
      <text>
        <t>raw warhead damages: 4000, 2, 4000, 2
import scales all proportionally</t>
      </text>
    </comment>
    <comment ref="AB714" authorId="0" shapeId="0">
      <text>
        <t>fires when: !gatling</t>
      </text>
    </comment>
    <comment ref="L715" authorId="0" shapeId="0">
      <text>
        <t>raw warhead damages: 4000, 2, 4000, 2
import scales all proportionally</t>
      </text>
    </comment>
    <comment ref="AB715" authorId="0" shapeId="0">
      <text>
        <t>fires when: gatling == 1</t>
      </text>
    </comment>
    <comment ref="L716" authorId="0" shapeId="0">
      <text>
        <t>raw warhead damages: 4000, 2, 4000, 2
import scales all proportionally</t>
      </text>
    </comment>
    <comment ref="AB716" authorId="0" shapeId="0">
      <text>
        <t>fires when: gatling &gt; 1</t>
      </text>
    </comment>
    <comment ref="L719" authorId="0" shapeId="0">
      <text>
        <t>raw warhead damages: 4000, 2, 4000, 2
import scales all proportionally</t>
      </text>
    </comment>
    <comment ref="L723" authorId="0" shapeId="0">
      <text>
        <t>raw warhead damages: 2000, 1, 2000, 1, 2000, 1000, 1, 2000, 1, 888
import scales all proportionally</t>
      </text>
    </comment>
    <comment ref="AB723" authorId="0" shapeId="0">
      <text>
        <t>fires when: !asianalliance_upgrade_celestialpower</t>
      </text>
    </comment>
    <comment ref="L724" authorId="0" shapeId="0">
      <text>
        <t>raw warhead damages: 2000, 1, 2000, 1, 2000, 1000, 1, 2000, 1, 888
import scales all proportionally</t>
      </text>
    </comment>
    <comment ref="AB724" authorId="0" shapeId="0">
      <text>
        <t>fires when: asianalliance_upgrade_celestialpower</t>
      </text>
    </comment>
    <comment ref="L725" authorId="0" shapeId="0">
      <text>
        <t>raw warhead damages: 2000, 1, 2000, 1, 2000, 1000, 1, 2000, 1, 888
import scales all proportionally</t>
      </text>
    </comment>
    <comment ref="AB725" authorId="0" shapeId="0">
      <text>
        <t>fires when: !asianalliance_upgrade_celestialpower</t>
      </text>
    </comment>
    <comment ref="L726" authorId="0" shapeId="0">
      <text>
        <t>raw warhead damages: 2000, 1, 2000, 1, 2000, 1000, 1, 2000, 1, 888
import scales all proportionally</t>
      </text>
    </comment>
    <comment ref="AB726" authorId="0" shapeId="0">
      <text>
        <t>fires when: asianalliance_upgrade_celestialpower</t>
      </text>
    </comment>
    <comment ref="L728" authorId="0" shapeId="0">
      <text>
        <t>raw warhead damages: 4000, 2, 4000, 2
import scales all proportionally</t>
      </text>
    </comment>
    <comment ref="AB728" authorId="0" shapeId="0">
      <text>
        <t>fires when: !rank-elite</t>
      </text>
    </comment>
    <comment ref="L729" authorId="0" shapeId="0">
      <text>
        <t>raw warhead damages: 8000, 2, 8000, 2
import scales all proportionally</t>
      </text>
    </comment>
    <comment ref="AB729" authorId="0" shapeId="0">
      <text>
        <t>fires when: rank-elite</t>
      </text>
    </comment>
    <comment ref="L731" authorId="0" shapeId="0">
      <text>
        <t>raw warhead damages: 2000, 1, 2000, 1
import scales all proportionally</t>
      </text>
    </comment>
    <comment ref="L732" authorId="0" shapeId="0">
      <text>
        <t>raw warhead damages: 2000, 1, 2000, 1
import scales all proportionally</t>
      </text>
    </comment>
    <comment ref="L733" authorId="0" shapeId="0">
      <text>
        <t>raw warhead damages: 2000, 1, 2000, 1, 2000, 1
import scales all proportionally</t>
      </text>
    </comment>
    <comment ref="L734" authorId="0" shapeId="0">
      <text>
        <t>raw warhead damages: 2000, 1, 2000, 1, 2000, 1
import scales all proportionally</t>
      </text>
    </comment>
    <comment ref="L735" authorId="0" shapeId="0">
      <text>
        <t>raw warhead damages: 2000, 1, 2000, 1
import scales all proportionally</t>
      </text>
    </comment>
    <comment ref="AB735" authorId="0" shapeId="0">
      <text>
        <t>fires when: steelconsortium_upgrade_resonanceammo</t>
      </text>
    </comment>
    <comment ref="L736" authorId="0" shapeId="0">
      <text>
        <t>raw warhead damages: 2000, 1, 2000, 1
import scales all proportionally</t>
      </text>
    </comment>
    <comment ref="AB736" authorId="0" shapeId="0">
      <text>
        <t>fires when: steelconsortium_upgrade_resonanceammo</t>
      </text>
    </comment>
    <comment ref="L737" authorId="0" shapeId="0">
      <text>
        <t>raw warhead damages: 2000, 1, 2000, 1, 2000, 1
import scales all proportionally</t>
      </text>
    </comment>
    <comment ref="AB737" authorId="0" shapeId="0">
      <text>
        <t>fires when: steelconsortium_upgrade_resonanceammo</t>
      </text>
    </comment>
    <comment ref="L738" authorId="0" shapeId="0">
      <text>
        <t>raw warhead damages: 2000, 1, 2000, 1, 2000, 1
import scales all proportionally</t>
      </text>
    </comment>
    <comment ref="AB738" authorId="0" shapeId="0">
      <text>
        <t>fires when: steelconsortium_upgrade_resonanceammo</t>
      </text>
    </comment>
    <comment ref="L741" authorId="0" shapeId="0">
      <text>
        <t>raw warhead damages: 4000, 2, 1000, 4000, 2, 4000, 2, 4000, 2
import scales all proportionally</t>
      </text>
    </comment>
    <comment ref="AB741" authorId="0" shapeId="0">
      <text>
        <t>fires when: !rank-elite &amp;&amp; !steelconsortium_upgrade_quantumweaponpower</t>
      </text>
    </comment>
    <comment ref="L742" authorId="0" shapeId="0">
      <text>
        <t>raw warhead damages: 4000, 2, 1000, 4000, 2, 4000, 2, 4000, 2
import scales all proportionally</t>
      </text>
    </comment>
    <comment ref="AB742" authorId="0" shapeId="0">
      <text>
        <t>fires when: rank-elite &amp;&amp; !steelconsortium_upgrade_quantumweaponpower</t>
      </text>
    </comment>
    <comment ref="L743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743" authorId="0" shapeId="0">
      <text>
        <t>fires when: !rank-elite &amp;&amp; steelconsortium_upgrade_quantumweaponpower</t>
      </text>
    </comment>
    <comment ref="L744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744" authorId="0" shapeId="0">
      <text>
        <t>fires when: rank-elite &amp;&amp; steelconsortium_upgrade_quantumweaponpower</t>
      </text>
    </comment>
    <comment ref="L748" authorId="0" shapeId="0">
      <text>
        <t>raw warhead damages: 2000, 1, 2000, 1, 2000, 1, 2000, 1
import scales all proportionally</t>
      </text>
    </comment>
    <comment ref="AB748" authorId="0" shapeId="0">
      <text>
        <t>fires when: !rank-elite</t>
      </text>
    </comment>
    <comment ref="L749" authorId="0" shapeId="0">
      <text>
        <t>raw warhead damages: 2000, 1, 2000, 1, 2000, 1, 2000, 1
import scales all proportionally</t>
      </text>
    </comment>
    <comment ref="AB749" authorId="0" shapeId="0">
      <text>
        <t>fires when: rank-elite</t>
      </text>
    </comment>
    <comment ref="L750" authorId="0" shapeId="0">
      <text>
        <t>raw warhead damages: 2000, 1, 2000, 1, 2000, 1, 2000, 1
import scales all proportionally</t>
      </text>
    </comment>
    <comment ref="AB750" authorId="0" shapeId="0">
      <text>
        <t>fires when: !rank-elite</t>
      </text>
    </comment>
    <comment ref="L751" authorId="0" shapeId="0">
      <text>
        <t>raw warhead damages: 2000, 1, 2000, 1, 2000, 1, 2000, 1
import scales all proportionally</t>
      </text>
    </comment>
    <comment ref="AB751" authorId="0" shapeId="0">
      <text>
        <t>fires when: rank-elite</t>
      </text>
    </comment>
    <comment ref="L753" authorId="0" shapeId="0">
      <text>
        <t>raw warhead damages: 2000, 1, 2000, 1, 2000, 1, 2000, 1
import scales all proportionally</t>
      </text>
    </comment>
    <comment ref="AB753" authorId="0" shapeId="0">
      <text>
        <t>fires when: !rank-elite</t>
      </text>
    </comment>
    <comment ref="L754" authorId="0" shapeId="0">
      <text>
        <t>raw warhead damages: 2000, 1, 2000, 1, 2000, 1, 2000, 1
import scales all proportionally</t>
      </text>
    </comment>
    <comment ref="AB754" authorId="0" shapeId="0">
      <text>
        <t>fires when: rank-elite</t>
      </text>
    </comment>
    <comment ref="L755" authorId="0" shapeId="0">
      <text>
        <t>raw warhead damages: 2000, 1, 2000, 1, 2000, 1, 2000, 1
import scales all proportionally</t>
      </text>
    </comment>
    <comment ref="AB755" authorId="0" shapeId="0">
      <text>
        <t>fires when: !rank-elite</t>
      </text>
    </comment>
    <comment ref="L756" authorId="0" shapeId="0">
      <text>
        <t>raw warhead damages: 2000, 1, 2000, 1, 2000, 1, 2000, 1
import scales all proportionally</t>
      </text>
    </comment>
    <comment ref="AB756" authorId="0" shapeId="0">
      <text>
        <t>fires when: rank-elite</t>
      </text>
    </comment>
    <comment ref="L757" authorId="0" shapeId="0">
      <text>
        <t>raw warhead damages: 2000, 2, 2000, 1
import scales all proportionally</t>
      </text>
    </comment>
    <comment ref="AB757" authorId="0" shapeId="0">
      <text>
        <t>fires when: latinsyndicate_upgrade_yuristolentechchainguns &amp;&amp; !rank-elite</t>
      </text>
    </comment>
    <comment ref="L758" authorId="0" shapeId="0">
      <text>
        <t>raw warhead damages: 2000, 2, 2000, 1
import scales all proportionally</t>
      </text>
    </comment>
    <comment ref="AB758" authorId="0" shapeId="0">
      <text>
        <t>fires when: latinsyndicate_upgrade_yuristolentechchainguns &amp;&amp; rank-elite</t>
      </text>
    </comment>
    <comment ref="L759" authorId="0" shapeId="0">
      <text>
        <t>raw warhead damages: 2000, 2, 2000, 1
import scales all proportionally</t>
      </text>
    </comment>
    <comment ref="AB759" authorId="0" shapeId="0">
      <text>
        <t>fires when: latinsyndicate_upgrade_yuristolentechchainguns &amp;&amp; !rank-elite</t>
      </text>
    </comment>
    <comment ref="L760" authorId="0" shapeId="0">
      <text>
        <t>raw warhead damages: 2000, 2, 2000, 1
import scales all proportionally</t>
      </text>
    </comment>
    <comment ref="AB760" authorId="0" shapeId="0">
      <text>
        <t>fires when: latinsyndicate_upgrade_yuristolentechchainguns &amp;&amp; rank-elite</t>
      </text>
    </comment>
    <comment ref="L761" authorId="0" shapeId="0">
      <text>
        <t>raw warhead damages: 2000, 1, 2000, 1, 2000, 1, 2000, 1
import scales all proportionally</t>
      </text>
    </comment>
    <comment ref="AB761" authorId="0" shapeId="0">
      <text>
        <t>fires when: latinsyndicate_doctrine_cartelrockets &amp;&amp; !rank-elite</t>
      </text>
    </comment>
    <comment ref="L762" authorId="0" shapeId="0">
      <text>
        <t>raw warhead damages: 2000, 1, 2000, 1, 2000, 1, 2000, 1
import scales all proportionally</t>
      </text>
    </comment>
    <comment ref="AB762" authorId="0" shapeId="0">
      <text>
        <t>fires when: latinsyndicate_doctrine_cartelrockets &amp;&amp; rank-elite</t>
      </text>
    </comment>
    <comment ref="L763" authorId="0" shapeId="0">
      <text>
        <t>raw warhead damages: 2000, 1, 2000, 1, 2000, 1, 2000, 1
import scales all proportionally</t>
      </text>
    </comment>
    <comment ref="AB763" authorId="0" shapeId="0">
      <text>
        <t>fires when: latinsyndicate_doctrine_cartelrockets &amp;&amp; !rank-elite</t>
      </text>
    </comment>
    <comment ref="L764" authorId="0" shapeId="0">
      <text>
        <t>raw warhead damages: 2000, 1, 2000, 1, 2000, 1, 2000, 1
import scales all proportionally</t>
      </text>
    </comment>
    <comment ref="AB764" authorId="0" shapeId="0">
      <text>
        <t>fires when: latinsyndicate_doctrine_cartelrockets &amp;&amp; rank-elite</t>
      </text>
    </comment>
    <comment ref="L766" authorId="0" shapeId="0">
      <text>
        <t>raw warhead damages: 2000, 1, 2000, 1
import scales all proportionally</t>
      </text>
    </comment>
    <comment ref="AB766" authorId="0" shapeId="0">
      <text>
        <t>fires when: !rank-elite</t>
      </text>
    </comment>
    <comment ref="L767" authorId="0" shapeId="0">
      <text>
        <t>raw warhead damages: 2000, 1, 2000, 1
import scales all proportionally</t>
      </text>
    </comment>
    <comment ref="AB767" authorId="0" shapeId="0">
      <text>
        <t>fires when: rank-elite</t>
      </text>
    </comment>
    <comment ref="L769" authorId="0" shapeId="0">
      <text>
        <t>raw warhead damages: 4000, 2, 4000, 2
import scales all proportionally</t>
      </text>
    </comment>
    <comment ref="AB769" authorId="0" shapeId="0">
      <text>
        <t>fires when: !rank-elite &amp;&amp; !latinsyndicate_upgrade_yuristolentechchainguns</t>
      </text>
    </comment>
    <comment ref="L770" authorId="0" shapeId="0">
      <text>
        <t>raw warhead damages: 4000, 2, 4000, 2
import scales all proportionally</t>
      </text>
    </comment>
    <comment ref="AB770" authorId="0" shapeId="0">
      <text>
        <t>fires when: rank-elite &amp;&amp; !latinsyndicate_upgrade_yuristolentechchainguns</t>
      </text>
    </comment>
    <comment ref="L771" authorId="0" shapeId="0">
      <text>
        <t>raw warhead damages: 2000, 1, 2000, 1, 2000, 1, 2000, 1
import scales all proportionally</t>
      </text>
    </comment>
    <comment ref="AB771" authorId="0" shapeId="0">
      <text>
        <t>fires when: !rank-elite &amp;&amp; latinsyndicate_upgrade_yuristolentechchainguns</t>
      </text>
    </comment>
    <comment ref="L772" authorId="0" shapeId="0">
      <text>
        <t>raw warhead damages: 2000, 1, 2000, 1, 2000, 1, 2000, 1
import scales all proportionally</t>
      </text>
    </comment>
    <comment ref="AB772" authorId="0" shapeId="0">
      <text>
        <t>fires when: rank-elite &amp;&amp; latinsyndicate_upgrade_yuristolentechchainguns</t>
      </text>
    </comment>
    <comment ref="L773" authorId="0" shapeId="0">
      <text>
        <t>raw warhead damages: 10000, 5000, 5, 10000, 5000, 5, 10000, 5, 10000, 5
import scales all proportionally</t>
      </text>
    </comment>
    <comment ref="AB773" authorId="0" shapeId="0">
      <text>
        <t>fires when: !rank-elite</t>
      </text>
    </comment>
    <comment ref="L774" authorId="0" shapeId="0">
      <text>
        <t>raw warhead damages: 10000, 5000, 5, 10000, 5000, 5, 10000, 5, 10000, 5
import scales all proportionally</t>
      </text>
    </comment>
    <comment ref="AB774" authorId="0" shapeId="0">
      <text>
        <t>fires when: rank-elite</t>
      </text>
    </comment>
    <comment ref="L777" authorId="0" shapeId="0">
      <text>
        <t>raw warhead damages: 4000, 2, 4000, 2
import scales all proportionally</t>
      </text>
    </comment>
    <comment ref="AB777" authorId="0" shapeId="0">
      <text>
        <t>fires when: !rank-elite</t>
      </text>
    </comment>
    <comment ref="L778" authorId="0" shapeId="0">
      <text>
        <t>raw warhead damages: 4000, 2, 4000, 2
import scales all proportionally</t>
      </text>
    </comment>
    <comment ref="AB778" authorId="0" shapeId="0">
      <text>
        <t>fires when: !rank-elite</t>
      </text>
    </comment>
    <comment ref="L780" authorId="0" shapeId="0">
      <text>
        <t>raw warhead damages: -2000, -1000, -1
import scales all proportionally</t>
      </text>
    </comment>
    <comment ref="L782" authorId="0" shapeId="0">
      <text>
        <t>raw warhead damages: 4000, 2, 4000, 2
import scales all proportionally</t>
      </text>
    </comment>
    <comment ref="L783" authorId="0" shapeId="0">
      <text>
        <t>raw warhead damages: 4000, 2, 4000, 2
import scales all proportionally</t>
      </text>
    </comment>
    <comment ref="L785" authorId="0" shapeId="0">
      <text>
        <t>raw warhead damages: 2000, 1, 2000, 1
import scales all proportionally</t>
      </text>
    </comment>
    <comment ref="L788" authorId="0" shapeId="0">
      <text>
        <t>raw warhead damages: 2000, 1000, 1, 2000, 1, 2000, 1, 2000, 1
import scales all proportionally</t>
      </text>
    </comment>
    <comment ref="AB788" authorId="0" shapeId="0">
      <text>
        <t>fires when: !rank-elite</t>
      </text>
    </comment>
    <comment ref="L789" authorId="0" shapeId="0">
      <text>
        <t>raw warhead damages: 2000, 1000, 1, 2000, 1, 2000, 1, 2000, 1
import scales all proportionally</t>
      </text>
    </comment>
    <comment ref="AB789" authorId="0" shapeId="0">
      <text>
        <t>fires when: rank-elite</t>
      </text>
    </comment>
    <comment ref="L790" authorId="0" shapeId="0">
      <text>
        <t>raw warhead damages: 2000, 1000, 1, 2000, 1, 2000, 1, 2000, 1
import scales all proportionally</t>
      </text>
    </comment>
    <comment ref="AB790" authorId="0" shapeId="0">
      <text>
        <t>fires when: !rank-elite</t>
      </text>
    </comment>
    <comment ref="L791" authorId="0" shapeId="0">
      <text>
        <t>raw warhead damages: 2000, 1000, 1, 2000, 1, 2000, 1, 2000, 1
import scales all proportionally</t>
      </text>
    </comment>
    <comment ref="AB791" authorId="0" shapeId="0">
      <text>
        <t>fires when: rank-elite</t>
      </text>
    </comment>
    <comment ref="L793" authorId="0" shapeId="0">
      <text>
        <t>raw warhead damages: -2000, -1000, -1
import scales all proportionally</t>
      </text>
    </comment>
    <comment ref="L797" authorId="0" shapeId="0">
      <text>
        <t>raw warhead damages: 2000, 1, 2000, 1, 2000, 1, 2000, 1, 600
import scales all proportionally</t>
      </text>
    </comment>
    <comment ref="AB797" authorId="0" shapeId="0">
      <text>
        <t>fires when: !schwarzermond_upgrade_crystallens &amp;&amp; !schwarzermond_upgrade_amplifiedlens</t>
      </text>
    </comment>
    <comment ref="L798" authorId="0" shapeId="0">
      <text>
        <t>raw warhead damages: 2000, 1, 2000, 1, 2000, 1, 2000, 1, 600
import scales all proportionally</t>
      </text>
    </comment>
    <comment ref="AB798" authorId="0" shapeId="0">
      <text>
        <t>fires when: !schwarzermond_upgrade_crystallens &amp;&amp; !schwarzermond_upgrade_amplifiedlens</t>
      </text>
    </comment>
    <comment ref="L799" authorId="0" shapeId="0">
      <text>
        <t>raw warhead damages: 2000, 1, 2000, 1, 2000, 1, 2000, 1, 600
import scales all proportionally</t>
      </text>
    </comment>
    <comment ref="AB799" authorId="0" shapeId="0">
      <text>
        <t>fires when: schwarzermond_upgrade_crystallens &amp;&amp; !schwarzermond_upgrade_amplifiedlens</t>
      </text>
    </comment>
    <comment ref="L800" authorId="0" shapeId="0">
      <text>
        <t>raw warhead damages: 2000, 1, 2000, 1, 2000, 1, 2000, 1, 600
import scales all proportionally</t>
      </text>
    </comment>
    <comment ref="AB800" authorId="0" shapeId="0">
      <text>
        <t>fires when: schwarzermond_upgrade_crystallens &amp;&amp; !schwarzermond_upgrade_amplifiedlens</t>
      </text>
    </comment>
    <comment ref="L801" authorId="0" shapeId="0">
      <text>
        <t>raw warhead damages: 2000, 1, 2000, 1, 2000, 1, 2000, 1, 600
import scales all proportionally</t>
      </text>
    </comment>
    <comment ref="AB801" authorId="0" shapeId="0">
      <text>
        <t>fires when: schwarzermond_upgrade_amplifiedlens</t>
      </text>
    </comment>
    <comment ref="L802" authorId="0" shapeId="0">
      <text>
        <t>raw warhead damages: 2000, 1, 2000, 1, 2000, 1, 2000, 1, 600
import scales all proportionally</t>
      </text>
    </comment>
    <comment ref="AB802" authorId="0" shapeId="0">
      <text>
        <t>fires when: schwarzermond_upgrade_amplifiedlens</t>
      </text>
    </comment>
    <comment ref="L804" authorId="0" shapeId="0">
      <text>
        <t>raw warhead damages: 2000, 1, 2000, 1, 2000, 1, 2000, 1, 600
import scales all proportionally</t>
      </text>
    </comment>
    <comment ref="AB804" authorId="0" shapeId="0">
      <text>
        <t>fires when: !schwarzermond_upgrade_crystallens &amp;&amp; !schwarzermond_upgrade_amplifiedlens</t>
      </text>
    </comment>
    <comment ref="L805" authorId="0" shapeId="0">
      <text>
        <t>raw warhead damages: 2000, 1, 2000, 1, 2000, 1, 2000, 1, 600
import scales all proportionally</t>
      </text>
    </comment>
    <comment ref="AB805" authorId="0" shapeId="0">
      <text>
        <t>fires when: !schwarzermond_upgrade_crystallens &amp;&amp; !schwarzermond_upgrade_amplifiedlens</t>
      </text>
    </comment>
    <comment ref="L806" authorId="0" shapeId="0">
      <text>
        <t>raw warhead damages: 2000, 1, 2000, 1, 2000, 1, 2000, 1, 600
import scales all proportionally</t>
      </text>
    </comment>
    <comment ref="AB806" authorId="0" shapeId="0">
      <text>
        <t>fires when: schwarzermond_upgrade_crystallens &amp;&amp; !schwarzermond_upgrade_amplifiedlens</t>
      </text>
    </comment>
    <comment ref="L807" authorId="0" shapeId="0">
      <text>
        <t>raw warhead damages: 2000, 1, 2000, 1, 2000, 1, 2000, 1, 600
import scales all proportionally</t>
      </text>
    </comment>
    <comment ref="AB807" authorId="0" shapeId="0">
      <text>
        <t>fires when: schwarzermond_upgrade_crystallens &amp;&amp; !schwarzermond_upgrade_amplifiedlens</t>
      </text>
    </comment>
    <comment ref="L808" authorId="0" shapeId="0">
      <text>
        <t>raw warhead damages: 2000, 1, 2000, 1, 2000, 1, 2000, 1, 600
import scales all proportionally</t>
      </text>
    </comment>
    <comment ref="AB808" authorId="0" shapeId="0">
      <text>
        <t>fires when: schwarzermond_upgrade_amplifiedlens</t>
      </text>
    </comment>
    <comment ref="L809" authorId="0" shapeId="0">
      <text>
        <t>raw warhead damages: 2000, 1, 2000, 1, 2000, 1, 2000, 1, 600
import scales all proportionally</t>
      </text>
    </comment>
    <comment ref="AB809" authorId="0" shapeId="0">
      <text>
        <t>fires when: schwarzermond_upgrade_amplifiedlens</t>
      </text>
    </comment>
    <comment ref="L811" authorId="0" shapeId="0">
      <text>
        <t>raw warhead damages: 8000, 4, 8000, 4000, 4, 8000, 4, 8000, 4
import scales all proportionally</t>
      </text>
    </comment>
    <comment ref="L812" authorId="0" shapeId="0">
      <text>
        <t>raw warhead damages: 8000, 4, 8000, 4000, 4, 8000, 4, 8000, 4
import scales all proportionally</t>
      </text>
    </comment>
    <comment ref="L816" authorId="0" shapeId="0">
      <text>
        <t>raw warhead damages: 2000, 1000, 1, 2000, 1000, 1, 2000, 1000, 1, 2000, 1
import scales all proportionally</t>
      </text>
    </comment>
    <comment ref="L817" authorId="0" shapeId="0">
      <text>
        <t>raw warhead damages: 2000, 1000, 1, 2000, 1000, 1, 2000, 1000, 1, 2000, 1
import scales all proportionally</t>
      </text>
    </comment>
    <comment ref="AB817" authorId="0" shapeId="0">
      <text>
        <t>fires when: rank-elite</t>
      </text>
    </comment>
    <comment ref="L818" authorId="0" shapeId="0">
      <text>
        <t>raw warhead damages: 6000, 3000, 6, 6000, 6
import scales all proportionally</t>
      </text>
    </comment>
    <comment ref="L820" authorId="0" shapeId="0">
      <text>
        <t>raw warhead damages: -2000, -1000, -1
import scales all proportionally</t>
      </text>
    </comment>
    <comment ref="L822" authorId="0" shapeId="0">
      <text>
        <t>raw warhead damages: 2000, 1, 2000, 1
import scales all proportionally</t>
      </text>
    </comment>
    <comment ref="L823" authorId="0" shapeId="0">
      <text>
        <t>raw warhead damages: 6000, 3000, 6, 6000, 6
import scales all proportionally</t>
      </text>
    </comment>
    <comment ref="AB823" authorId="0" shapeId="0">
      <text>
        <t>fires when: inwater</t>
      </text>
    </comment>
    <comment ref="L826" authorId="0" shapeId="0">
      <text>
        <t>raw warhead damages: -2000, -1000, -1
import scales all proportionally</t>
      </text>
    </comment>
    <comment ref="L829" authorId="0" shapeId="0">
      <text>
        <t>raw warhead damages: 2000, 1, 2000, 1
import scales all proportionally</t>
      </text>
    </comment>
    <comment ref="L830" authorId="0" shapeId="0">
      <text>
        <t>raw warhead damages: 2000, 1, 2000, 1
import scales all proportionally</t>
      </text>
    </comment>
    <comment ref="L834" authorId="0" shapeId="0">
      <text>
        <t>raw warhead damages: -2000, -1000, -1
import scales all proportionally</t>
      </text>
    </comment>
    <comment ref="L837" authorId="0" shapeId="0">
      <text>
        <t>raw warhead damages: 2000, 1, 2000, 1
import scales all proportionally</t>
      </text>
    </comment>
    <comment ref="L838" authorId="0" shapeId="0">
      <text>
        <t>raw warhead damages: 2000, 1, 2000, 1
import scales all proportionally</t>
      </text>
    </comment>
    <comment ref="L840" authorId="0" shapeId="0">
      <text>
        <t>raw warhead damages: 8000, 4, 8000, 4, 8000, 4
import scales all proportionally</t>
      </text>
    </comment>
    <comment ref="L842" authorId="0" shapeId="0">
      <text>
        <t>raw warhead damages: 10000, -5000, 5, 10000, -5000, 6, 10000, 6, 10000, -5000, 5, 10000, -5000, 6
import scales all proportionally</t>
      </text>
    </comment>
    <comment ref="L843" authorId="0" shapeId="0">
      <text>
        <t>raw warhead damages: 8000, 4, 8000, 4, 8000, 4
import scales all proportionally</t>
      </text>
    </comment>
    <comment ref="L844" authorId="0" shapeId="0">
      <text>
        <t>raw warhead damages: 8000, 4, 8000, 4, 8000, 4
import scales all proportionally</t>
      </text>
    </comment>
    <comment ref="L847" authorId="0" shapeId="0">
      <text>
        <t>raw warhead damages: 6000, 3
import scales all proportionally</t>
      </text>
    </comment>
    <comment ref="L848" authorId="0" shapeId="0">
      <text>
        <t>raw warhead damages: 2000, 1, 2000, 1
import scales all proportionally</t>
      </text>
    </comment>
    <comment ref="AB848" authorId="0" shapeId="0">
      <text>
        <t>fires when: !ixian_upgrade_tungstenneedleguns</t>
      </text>
    </comment>
    <comment ref="L849" authorId="0" shapeId="0">
      <text>
        <t>raw warhead damages: 2000, 1, 2000, 1, 2000, 1
import scales all proportionally</t>
      </text>
    </comment>
    <comment ref="AB849" authorId="0" shapeId="0">
      <text>
        <t>fires when: ixian_upgrade_tungstenneedleguns</t>
      </text>
    </comment>
    <comment ref="L852" authorId="0" shapeId="0">
      <text>
        <t>raw warhead damages: 6000, 3
import scales all proportionally</t>
      </text>
    </comment>
    <comment ref="L854" authorId="0" shapeId="0">
      <text>
        <t>raw warhead damages: 10000, 5000, 5
import scales all proportionally</t>
      </text>
    </comment>
    <comment ref="L855" authorId="0" shapeId="0">
      <text>
        <t>raw warhead damages: -2000, -1000, -1
import scales all proportionally</t>
      </text>
    </comment>
    <comment ref="L857" authorId="0" shapeId="0">
      <text>
        <t>raw warhead damages: 2000, 1000, 1, 2000, 1, 2000, 1
import scales all proportionally</t>
      </text>
    </comment>
    <comment ref="L858" authorId="0" shapeId="0">
      <text>
        <t>raw warhead damages: 2000, 1000, 1, 2000, 1, 2000, 1
import scales all proportionally</t>
      </text>
    </comment>
    <comment ref="L878" authorId="0" shapeId="0">
      <text>
        <t>raw warhead damages: 4000, 2, 4000, 2
import scales all proportionally</t>
      </text>
    </comment>
    <comment ref="L883" authorId="0" shapeId="0">
      <text>
        <t>raw warhead damages: 2000, 1000, 1, 2000, 1, 2000, 1, 2000, 1, 2000, 1, 600
import scales all proportionally</t>
      </text>
    </comment>
    <comment ref="AB883" authorId="0" shapeId="0">
      <text>
        <t>fires when: !rank-elite</t>
      </text>
    </comment>
    <comment ref="L884" authorId="0" shapeId="0">
      <text>
        <t>raw warhead damages: 2000, 1000, 1, 2000, 1, 2000, 1, 2000, 1, 2000, 1, 600
import scales all proportionally</t>
      </text>
    </comment>
    <comment ref="AB884" authorId="0" shapeId="0">
      <text>
        <t>fires when: rank-elite</t>
      </text>
    </comment>
    <comment ref="L891" authorId="0" shapeId="0">
      <text>
        <t>raw warhead damages: 10000, 5000, 5
import scales all proportionally</t>
      </text>
    </comment>
    <comment ref="L893" authorId="0" shapeId="0">
      <text>
        <t>raw warhead damages: 10000, 5000, 5
import scales all proportionally</t>
      </text>
    </comment>
    <comment ref="L895" authorId="0" shapeId="0">
      <text>
        <t>raw warhead damages: 10000, 5000, 5
import scales all proportionally</t>
      </text>
    </comment>
    <comment ref="L896" authorId="0" shapeId="0">
      <text>
        <t>raw warhead damages: -2000, -1000, -1
import scales all proportionally</t>
      </text>
    </comment>
    <comment ref="L898" authorId="0" shapeId="0">
      <text>
        <t>raw warhead damages: 12000, 6000, 6
import scales all proportionally</t>
      </text>
    </comment>
    <comment ref="L900" authorId="0" shapeId="0">
      <text>
        <t>raw warhead damages: 12000, 6000, 6
import scales all proportionally</t>
      </text>
    </comment>
    <comment ref="L903" authorId="0" shapeId="0">
      <text>
        <t>raw warhead damages: 14000, 7, 14000, 7, 14000, 7000, 7, 14000, 7000, 7, 14000, 7
import scales all proportionally</t>
      </text>
    </comment>
    <comment ref="L905" authorId="0" shapeId="0">
      <text>
        <t>raw warhead damages: 16000, 8000, 8, 16000, 8000, 8
import scales all proportionally</t>
      </text>
    </comment>
    <comment ref="AB905" authorId="0" shapeId="0">
      <text>
        <t>fires when: !td_nod_upgrade_blackmarketupgrades</t>
      </text>
    </comment>
    <comment ref="L906" authorId="0" shapeId="0">
      <text>
        <t>raw warhead damages: 6000, 3000, 3, 6000, 3000, 3, 6000, 3000, 3, 6000, 3000, 3, 6000, 3, 6000, 3
import scales all proportionally</t>
      </text>
    </comment>
    <comment ref="AB906" authorId="0" shapeId="0">
      <text>
        <t>fires when: td_nod_upgrade_blackmarketupgrades</t>
      </text>
    </comment>
    <comment ref="L908" authorId="0" shapeId="0">
      <text>
        <t>raw warhead damages: 30000, 15, 30000, 15, 30000, 15000, 15, 30000, 15000, 15
import scales all proportionally</t>
      </text>
    </comment>
    <comment ref="L910" authorId="0" shapeId="0">
      <text>
        <t>raw warhead damages: 16000, 8000, 8, 16000, 8000, 8
import scales all proportionally</t>
      </text>
    </comment>
    <comment ref="AB910" authorId="0" shapeId="0">
      <text>
        <t>fires when: !td_nod_upgrade_blackmarketupgrades</t>
      </text>
    </comment>
    <comment ref="L911" authorId="0" shapeId="0">
      <text>
        <t>raw warhead damages: 4000, 2000, 2, 4000, 2000, 2, 4000, 2, 4000, 2, 4000, 2, 4000, 2, 4000, 2000, 2, 4000, 2000, 2
import scales all proportionally</t>
      </text>
    </comment>
    <comment ref="AB911" authorId="0" shapeId="0">
      <text>
        <t>fires when: td_nod_upgrade_blackmarketupgrades</t>
      </text>
    </comment>
    <comment ref="L913" authorId="0" shapeId="0">
      <text>
        <t>raw warhead damages: 10000, 5000, 5, 10000, 5000, 5, 10000, 5000, 5, 10000, 5
import scales all proportionally</t>
      </text>
    </comment>
    <comment ref="L914" authorId="0" shapeId="0">
      <text>
        <t>raw warhead damages: 10000, 5000, 5, 10000, 5000, 5, 10000, 5000, 5, 10000, 5
import scales all proportionally</t>
      </text>
    </comment>
    <comment ref="AB914" authorId="0" shapeId="0">
      <text>
        <t>fires when: japan_upgrade_energizedarrows</t>
      </text>
    </comment>
    <comment ref="L918" authorId="0" shapeId="0">
      <text>
        <t>raw warhead damages: 8000, 4, 8000, 4000, 4
import scales all proportionally</t>
      </text>
    </comment>
    <comment ref="AB918" authorId="0" shapeId="0">
      <text>
        <t>fires when: !(ra1_soviets_upgrade_highexplosiverockets || ra1_soviets_upgrade_scorchedearth)</t>
      </text>
    </comment>
    <comment ref="L919" authorId="0" shapeId="0">
      <text>
        <t>raw warhead damages: 4000, 2000, 2, 4000, 2, 4000, 2, 4000, 2000, 2
import scales all proportionally</t>
      </text>
    </comment>
    <comment ref="AB919" authorId="0" shapeId="0">
      <text>
        <t>fires when: ra1_soviets_upgrade_highexplosiverockets || ra1_soviets_upgrade_scorchedearth</t>
      </text>
    </comment>
    <comment ref="L921" authorId="0" shapeId="0">
      <text>
        <t>raw warhead damages: 20000, 10, 20000, 10, 20000, 10, 20000, 10, 20000, 10000, 10, 20000, 10000, 10, 20000, 10000, 10, 20000, 10000, 10, 20000, 10000, 10, 20000, 10000, 10, 20000, 10000, 10, 20000, 1000, 10, 20000, 10, 20000, 10, 20000, 10
import scales all proportionally</t>
      </text>
    </comment>
    <comment ref="AB921" authorId="0" shapeId="0">
      <text>
        <t>fires when: !ra1_soviets_upgrade_thermonuclearrockets</t>
      </text>
    </comment>
    <comment ref="L922" authorId="0" shapeId="0">
      <text>
        <t>raw warhead damages: 20000, 10, 20000, 10, 20000, 10, 20000, 10, 20000, 10000, 10, 20000, 10000, 10, 20000, 10000, 10, 20000, 10000, 10, 20000, 10000, 10, 20000, 10000, 10, 20000, 10000, 10, 20000, 1000, 10, 20000, 10, 20000, 10, 20000, 10
import scales all proportionally</t>
      </text>
    </comment>
    <comment ref="AB922" authorId="0" shapeId="0">
      <text>
        <t>fires when: ra1_soviets_upgrade_thermonuclearrockets</t>
      </text>
    </comment>
    <comment ref="L924" authorId="0" shapeId="0">
      <text>
        <t>raw warhead damages: 12000, 6, 12000, 6000, 6
import scales all proportionally</t>
      </text>
    </comment>
    <comment ref="AB924" authorId="0" shapeId="0">
      <text>
        <t>fires when: !ra1_soviets_upgrade_scorchedearth</t>
      </text>
    </comment>
    <comment ref="L925" authorId="0" shapeId="0">
      <text>
        <t>raw warhead damages: 8000, 4, 8000, 4000, 4, 8000, 4000, 4
import scales all proportionally</t>
      </text>
    </comment>
    <comment ref="AB925" authorId="0" shapeId="0">
      <text>
        <t>fires when: ra1_soviets_upgrade_scorchedearth</t>
      </text>
    </comment>
    <comment ref="L927" authorId="0" shapeId="0">
      <text>
        <t>raw warhead damages: 60000, 30, 60000, 30000, 30
import scales all proportionally</t>
      </text>
    </comment>
    <comment ref="AB927" authorId="0" shapeId="0">
      <text>
        <t>fires when: !ra1_soviets_upgrade_highexplosiverockets &amp;&amp; !ra1_soviets_upgrade_teslarockets</t>
      </text>
    </comment>
    <comment ref="L928" authorId="0" shapeId="0">
      <text>
        <t>raw warhead damages: 40000, 20, 40000, 20, 40000, 20000, 20
import scales all proportionally</t>
      </text>
    </comment>
    <comment ref="AB928" authorId="0" shapeId="0">
      <text>
        <t>fires when: ra1_soviets_upgrade_highexplosiverockets</t>
      </text>
    </comment>
    <comment ref="L929" authorId="0" shapeId="0">
      <text>
        <t>raw warhead damages: 30000, 15000, 15, 30000, 15, 30000, 15000, 15
import scales all proportionally</t>
      </text>
    </comment>
    <comment ref="AB929" authorId="0" shapeId="0">
      <text>
        <t>fires when: ra1_soviets_upgrade_teslarockets</t>
      </text>
    </comment>
    <comment ref="L931" authorId="0" shapeId="0">
      <text>
        <t>raw warhead damages: 10000, 5, 10000, 5000, 5, 10000, 5000, 5
import scales all proportionally</t>
      </text>
    </comment>
    <comment ref="AB931" authorId="0" shapeId="0">
      <text>
        <t>fires when: !ra1_allies_upgrade_cryomissiles</t>
      </text>
    </comment>
    <comment ref="L932" authorId="0" shapeId="0">
      <text>
        <t>raw warhead damages: 10000, 5, 10000, 5000, 5, 10000, 5000, 5
import scales all proportionally</t>
      </text>
    </comment>
    <comment ref="AB932" authorId="0" shapeId="0">
      <text>
        <t>fires when: ra1_allies_upgrade_cryomissiles</t>
      </text>
    </comment>
    <comment ref="L934" authorId="0" shapeId="0">
      <text>
        <t>raw warhead damages: 42000, 21000, 21, 42000, 21000, 21, 42000, 21, 42000, 21
import scales all proportionally</t>
      </text>
    </comment>
    <comment ref="AB934" authorId="0" shapeId="0">
      <text>
        <t>fires when: !cabal_upgrade_neutronnuclearcatalyst</t>
      </text>
    </comment>
    <comment ref="L935" authorId="0" shapeId="0">
      <text>
        <t>raw warhead damages: 42000, 21000, 21, 42000, 21000, 21, 42000, 21, 42000, 21, 42000, 21000, 21, 42000, 1000, 21, 42000, 21, 888, 42000, 21, 1000
import scales all proportionally</t>
      </text>
    </comment>
    <comment ref="AB935" authorId="0" shapeId="0">
      <text>
        <t>fires when: cabal_upgrade_neutronnuclearcatalyst</t>
      </text>
    </comment>
    <comment ref="AB937" authorId="0" shapeId="0">
      <text>
        <t>fires when: !deployed</t>
      </text>
    </comment>
    <comment ref="L938" authorId="0" shapeId="0">
      <text>
        <t>raw warhead damages: 30000, 15000, 15, 30000, 15
import scales all proportionally</t>
      </text>
    </comment>
    <comment ref="AB938" authorId="0" shapeId="0">
      <text>
        <t>fires when: (deployed || undeployed) &amp;&amp; !ts_nod_upgrade_auxiliaryweapon</t>
      </text>
    </comment>
    <comment ref="L939" authorId="0" shapeId="0">
      <text>
        <t>raw warhead damages: 30000, 15000, 15, 30000, 15
import scales all proportionally</t>
      </text>
    </comment>
    <comment ref="AB939" authorId="0" shapeId="0">
      <text>
        <t>fires when: (deployed || undeployed) &amp;&amp; ts_nod_upgrade_auxiliaryweapon</t>
      </text>
    </comment>
    <comment ref="AB941" authorId="0" shapeId="0">
      <text>
        <t>fires when: !deployed</t>
      </text>
    </comment>
    <comment ref="L942" authorId="0" shapeId="0">
      <text>
        <t>raw warhead damages: 30000, 15000, 15
import scales all proportionally</t>
      </text>
    </comment>
    <comment ref="AB942" authorId="0" shapeId="0">
      <text>
        <t>fires when: deployed || undeployed</t>
      </text>
    </comment>
    <comment ref="L944" authorId="0" shapeId="0">
      <text>
        <t>raw warhead damages: 40000, 20000, 20
import scales all proportionally</t>
      </text>
    </comment>
    <comment ref="L946" authorId="0" shapeId="0">
      <text>
        <t>raw warhead damages: 24000, 12000, 12
import scales all proportionally</t>
      </text>
    </comment>
    <comment ref="AB946" authorId="0" shapeId="0">
      <text>
        <t>fires when: !forgotten_upgrade_chemicalweapons</t>
      </text>
    </comment>
    <comment ref="L947" authorId="0" shapeId="0">
      <text>
        <t>raw warhead damages: 12000, 6000, 6, 24000, 12000, 12
import scales all proportionally</t>
      </text>
    </comment>
    <comment ref="AB947" authorId="0" shapeId="0">
      <text>
        <t>fires when: forgotten_upgrade_chemicalweapons</t>
      </text>
    </comment>
    <comment ref="L949" authorId="0" shapeId="0">
      <text>
        <t>raw warhead damages: 24000, 500, 12
import scales all proportionally</t>
      </text>
    </comment>
    <comment ref="AB949" authorId="0" shapeId="0">
      <text>
        <t>fires when: !forgotten_upgrade_chemicalweapons</t>
      </text>
    </comment>
    <comment ref="L950" authorId="0" shapeId="0">
      <text>
        <t>raw warhead damages: 12000, 6000, 6, 24000, 500, 12
import scales all proportionally</t>
      </text>
    </comment>
    <comment ref="AB950" authorId="0" shapeId="0">
      <text>
        <t>fires when: forgotten_upgrade_chemicalweapons</t>
      </text>
    </comment>
    <comment ref="AB952" authorId="0" shapeId="0">
      <text>
        <t>fires when: !rank-elite</t>
      </text>
    </comment>
    <comment ref="AB953" authorId="0" shapeId="0">
      <text>
        <t>fires when: rank-elite</t>
      </text>
    </comment>
    <comment ref="L955" authorId="0" shapeId="0">
      <text>
        <t>raw warhead damages: 20000, 10, 20000, 10
import scales all proportionally</t>
      </text>
    </comment>
    <comment ref="AB955" authorId="0" shapeId="0">
      <text>
        <t>fires when: !rank-elite</t>
      </text>
    </comment>
    <comment ref="L956" authorId="0" shapeId="0">
      <text>
        <t>raw warhead damages: 20000, 10, 20000, 10
import scales all proportionally</t>
      </text>
    </comment>
    <comment ref="AB956" authorId="0" shapeId="0">
      <text>
        <t>fires when: rank-elite</t>
      </text>
    </comment>
    <comment ref="L958" authorId="0" shapeId="0">
      <text>
        <t>raw warhead damages: 4000, 2000, 2, 4000, 2000, 2, 4000, 2000, 2, 4000, 2, 4000, 2000, 2, 4000, 2000, 2
import scales all proportionally</t>
      </text>
    </comment>
    <comment ref="AB958" authorId="0" shapeId="0">
      <text>
        <t>fires when: !rank-elite</t>
      </text>
    </comment>
    <comment ref="L959" authorId="0" shapeId="0">
      <text>
        <t>raw warhead damages: 4000, 2000, 2, 4000, 2000, 2, 4000, 2000, 2, 4000, 2, 4000, 2000, 2, 4000, 2000, 2
import scales all proportionally</t>
      </text>
    </comment>
    <comment ref="AB959" authorId="0" shapeId="0">
      <text>
        <t>fires when: rank-elite</t>
      </text>
    </comment>
    <comment ref="L961" authorId="0" shapeId="0">
      <text>
        <t>raw warhead damages: 2000, 1000, 1, 2000, 1000, 1, 2000, 1000, 1, 2000, 1
import scales all proportionally</t>
      </text>
    </comment>
    <comment ref="AB961" authorId="0" shapeId="0">
      <text>
        <t>fires when: !rank-elite</t>
      </text>
    </comment>
    <comment ref="L962" authorId="0" shapeId="0">
      <text>
        <t>raw warhead damages: 2000, 1000, 1, 2000, 1000, 1, 2000, 1000, 1, 2000, 1
import scales all proportionally</t>
      </text>
    </comment>
    <comment ref="AB962" authorId="0" shapeId="0">
      <text>
        <t>fires when: rank-elite</t>
      </text>
    </comment>
    <comment ref="L964" authorId="0" shapeId="0">
      <text>
        <t>raw warhead damages: 24000, 12
import scales all proportionally</t>
      </text>
    </comment>
    <comment ref="AB964" authorId="0" shapeId="0">
      <text>
        <t>fires when: undeployed</t>
      </text>
    </comment>
    <comment ref="L965" authorId="0" shapeId="0">
      <text>
        <t>raw warhead damages: 11111, 11111, 11, 11111, 11, 11111, 11
import scales all proportionally</t>
      </text>
    </comment>
    <comment ref="AB965" authorId="0" shapeId="0">
      <text>
        <t>fires when: deployed</t>
      </text>
    </comment>
    <comment ref="AB966" authorId="0" shapeId="0">
      <text>
        <t>fires when: botmicro</t>
      </text>
    </comment>
    <comment ref="L968" authorId="0" shapeId="0">
      <text>
        <t>raw warhead damages: 4000, 2000, 2, 4000, 2000, 2, 4000, 2000, 2, 4000, 2, 4000, 2
import scales all proportionally</t>
      </text>
    </comment>
    <comment ref="L969" authorId="0" shapeId="0">
      <text>
        <t>raw warhead damages: 4000, 2000, 2, 4000, 2000, 2, 4000, 2000, 2, 4000, 2, 4000, 2
import scales all proportionally</t>
      </text>
    </comment>
    <comment ref="AB969" authorId="0" shapeId="0">
      <text>
        <t>fires when: rank-elite</t>
      </text>
    </comment>
    <comment ref="L971" authorId="0" shapeId="0">
      <text>
        <t>raw warhead damages: 14000, 7, 14000, 7, 14000, 7000, 7, 14000, 7
import scales all proportionally</t>
      </text>
    </comment>
    <comment ref="AB971" authorId="0" shapeId="0">
      <text>
        <t>fires when: !rank-elite</t>
      </text>
    </comment>
    <comment ref="L972" authorId="0" shapeId="0">
      <text>
        <t>raw warhead damages: 14000, 7, 14000, 7, 14000, 7000, 7, 14000, 7
import scales all proportionally</t>
      </text>
    </comment>
    <comment ref="AB972" authorId="0" shapeId="0">
      <text>
        <t>fires when: rank-elite</t>
      </text>
    </comment>
    <comment ref="AB974" authorId="0" shapeId="0">
      <text>
        <t>fires when: athena-charged == 1</t>
      </text>
    </comment>
    <comment ref="L977" authorId="0" shapeId="0">
      <text>
        <t>raw warhead damages: 16000, 8, 16000, 8000, 8, 16000, 8000, 8
import scales all proportionally</t>
      </text>
    </comment>
    <comment ref="AB977" authorId="0" shapeId="0">
      <text>
        <t>fires when: !rank-elite</t>
      </text>
    </comment>
    <comment ref="L978" authorId="0" shapeId="0">
      <text>
        <t>raw warhead damages: 16000, 8, 16000, 8000, 8, 16000, 8000, 8
import scales all proportionally</t>
      </text>
    </comment>
    <comment ref="AB978" authorId="0" shapeId="0">
      <text>
        <t>fires when: rank-elite</t>
      </text>
    </comment>
    <comment ref="L980" authorId="0" shapeId="0">
      <text>
        <t>raw warhead damages: 16000, 8, 16000, 8000, 8, 16000, 8000, 8
import scales all proportionally</t>
      </text>
    </comment>
    <comment ref="AB980" authorId="0" shapeId="0">
      <text>
        <t>fires when: !rank-elite &amp;&amp; !schwarzermond_upgrade_vrilpoweredweapons</t>
      </text>
    </comment>
    <comment ref="L981" authorId="0" shapeId="0">
      <text>
        <t>raw warhead damages: 16000, 8, 16000, 8000, 8, 16000, 8000, 8
import scales all proportionally</t>
      </text>
    </comment>
    <comment ref="AB981" authorId="0" shapeId="0">
      <text>
        <t>fires when: rank-elite &amp;&amp; !schwarzermond_upgrade_vrilpoweredweapons</t>
      </text>
    </comment>
    <comment ref="L982" authorId="0" shapeId="0">
      <text>
        <t>raw warhead damages: 16000, 8000, 8, 16000, 8, 16000, 8000, 8, 16000, 8000, 8
import scales all proportionally</t>
      </text>
    </comment>
    <comment ref="AB982" authorId="0" shapeId="0">
      <text>
        <t>fires when: !rank-elite &amp;&amp; schwarzermond_upgrade_vrilpoweredweapons</t>
      </text>
    </comment>
    <comment ref="L983" authorId="0" shapeId="0">
      <text>
        <t>raw warhead damages: 16000, 8000, 8, 16000, 8, 16000, 8000, 8, 16000, 8000, 8
import scales all proportionally</t>
      </text>
    </comment>
    <comment ref="AB983" authorId="0" shapeId="0">
      <text>
        <t>fires when: rank-elite &amp;&amp; schwarzermond_upgrade_vrilpoweredweapons</t>
      </text>
    </comment>
    <comment ref="L987" authorId="0" shapeId="0">
      <text>
        <t>raw warhead damages: 32000, 16, 32000, 16, 32000, 16, 32000, 16, 32000, 1000, 16, 32000, 16, 600
import scales all proportionally</t>
      </text>
    </comment>
    <comment ref="AB987" authorId="0" shapeId="0">
      <text>
        <t>fires when: athena-charged == 1</t>
      </text>
    </comment>
    <comment ref="L992" authorId="0" shapeId="0">
      <text>
        <t>raw warhead damages: 20000, 10000, 10
import scales all proportionally</t>
      </text>
    </comment>
    <comment ref="AB992" authorId="0" shapeId="0">
      <text>
        <t>fires when: !tkm_upgrade_cryorocketsupgrade &amp;&amp; !tkm_upgrade_twinrocketsupgrade &amp;&amp; !tkm_upgrade_incendiaryrocketsupgrade</t>
      </text>
    </comment>
    <comment ref="L993" authorId="0" shapeId="0">
      <text>
        <t>raw warhead damages: 20000, 10000, 10
import scales all proportionally</t>
      </text>
    </comment>
    <comment ref="AB993" authorId="0" shapeId="0">
      <text>
        <t>fires when: tkm_upgrade_cryorocketsupgrade</t>
      </text>
    </comment>
    <comment ref="L994" authorId="0" shapeId="0">
      <text>
        <t>raw warhead damages: 20000, 10000, 10
import scales all proportionally</t>
      </text>
    </comment>
    <comment ref="AB994" authorId="0" shapeId="0">
      <text>
        <t>fires when: tkm_upgrade_twinrocketsupgrade</t>
      </text>
    </comment>
    <comment ref="L995" authorId="0" shapeId="0">
      <text>
        <t>raw warhead damages: 6000, 2000, 2, 1000, 1, 20000, 10000, 10
import scales all proportionally</t>
      </text>
    </comment>
    <comment ref="AB995" authorId="0" shapeId="0">
      <text>
        <t>fires when: tkm_upgrade_incendiaryrocketsupgrade</t>
      </text>
    </comment>
    <comment ref="L997" authorId="0" shapeId="0">
      <text>
        <t>raw warhead damages: 12000, 6000, 6, 12000, 6000, 6, 12000, 6, 12000, 6
import scales all proportionally</t>
      </text>
    </comment>
    <comment ref="L999" authorId="0" shapeId="0">
      <text>
        <t>raw warhead damages: 30000, 15000, 15, 30000, 15000, 15, 30000, 15, 30000, 15
import scales all proportionally</t>
      </text>
    </comment>
    <comment ref="AB999" authorId="0" shapeId="0">
      <text>
        <t>fires when: undeployed</t>
      </text>
    </comment>
    <comment ref="L1000" authorId="0" shapeId="0">
      <text>
        <t>raw warhead damages: 30000, 15000, 15, 30000, 15000, 15, 30000, 15, 30000, 15
import scales all proportionally</t>
      </text>
    </comment>
    <comment ref="AB1000" authorId="0" shapeId="0">
      <text>
        <t>fires when: deployed</t>
      </text>
    </comment>
    <comment ref="L1002" authorId="0" shapeId="0">
      <text>
        <t>raw warhead damages: 10000, 5000, 5, 10000, 5000, 5, 10000, 5000, 5, 10000, 5, 10000, 5, 10000, 5
import scales all proportionally</t>
      </text>
    </comment>
    <comment ref="L1004" authorId="0" shapeId="0">
      <text>
        <t>raw warhead damages: 30000, 15000, 15, 30000, 15000, 15, 30000, 15, 30000, 15
import scales all proportionally</t>
      </text>
    </comment>
    <comment ref="AB1004" authorId="0" shapeId="0">
      <text>
        <t>fires when: undeployed</t>
      </text>
    </comment>
    <comment ref="L1005" authorId="0" shapeId="0">
      <text>
        <t>raw warhead damages: 30000, 15000, 15, 30000, 15000, 15, 30000, 15, 30000, 15
import scales all proportionally</t>
      </text>
    </comment>
    <comment ref="AB1005" authorId="0" shapeId="0">
      <text>
        <t>fires when: deployed</t>
      </text>
    </comment>
    <comment ref="L1007" authorId="0" shapeId="0">
      <text>
        <t>raw warhead damages: 12000, 6000, 6, 12000, 6000, 6, 12000, 6000, 6, 12000, 6
import scales all proportionally</t>
      </text>
    </comment>
    <comment ref="L1009" authorId="0" shapeId="0">
      <text>
        <t>raw warhead damages: 1000, 1, 15000
import scales all proportionally</t>
      </text>
    </comment>
    <comment ref="L1011" authorId="0" shapeId="0">
      <text>
        <t>raw warhead damages: 30000, 15000, 15, 30000, 15000, 15, 30000, 15000, 15, 30000, 15
import scales all proportionally</t>
      </text>
    </comment>
    <comment ref="L1013" authorId="0" shapeId="0">
      <text>
        <t>raw warhead damages: 10000, 5, 10000, 5, 10000, 5000, 5, 10000, 5000, 5, 10000, 5000, 5, 10000, 5000, 5, 10000, 5000, 5, 10000, 5000, 5, 10000, 5000, 5, 10000, 5000, 5, 10000, 5, 10000, 5, 10000, 5, 10000, 5
import scales all proportionally</t>
      </text>
    </comment>
    <comment ref="L1015" authorId="0" shapeId="0">
      <text>
        <t>raw warhead damages: 30000, 15000, 15, 30000, 15000, 15, 30000, 15
import scales all proportionally</t>
      </text>
    </comment>
    <comment ref="L1017" authorId="0" shapeId="0">
      <text>
        <t>raw warhead damages: 10000, 5, 10000, 5, 10000, 5000, 5, 10000, 5000, 5, 10000, 5000, 5, 10000, 5000, 5, 10000, 5000, 5, 10000, 5000, 5, 10000, 5000, 5, 10000, 5000, 5, 10000, 5, 10000, 5, 10000, 5, 10000, 5
import scales all proportionally</t>
      </text>
    </comment>
    <comment ref="L1020" authorId="0" shapeId="0">
      <text>
        <t>raw warhead damages: 2000, 1, 600
import scales all proportionally</t>
      </text>
    </comment>
    <comment ref="AB1020" authorId="0" shapeId="0">
      <text>
        <t>fires when: undeployed</t>
      </text>
    </comment>
    <comment ref="L1021" authorId="0" shapeId="0">
      <text>
        <t>raw warhead damages: 2000, 1, 600
import scales all proportionally</t>
      </text>
    </comment>
    <comment ref="AB1021" authorId="0" shapeId="0">
      <text>
        <t>fires when: deployed</t>
      </text>
    </comment>
    <comment ref="L1022" authorId="0" shapeId="0">
      <text>
        <t>raw warhead damages: -2000, -1000, -1
import scales all proportionally</t>
      </text>
    </comment>
    <comment ref="AB1022" authorId="0" shapeId="0">
      <text>
        <t>fires when: undeployed</t>
      </text>
    </comment>
    <comment ref="L1023" authorId="0" shapeId="0">
      <text>
        <t>raw warhead damages: -2000, -1000, -1
import scales all proportionally</t>
      </text>
    </comment>
    <comment ref="AB1023" authorId="0" shapeId="0">
      <text>
        <t>fires when: deployed</t>
      </text>
    </comment>
    <comment ref="L1024" authorId="0" shapeId="0">
      <text>
        <t>raw warhead damages: 4000, 2, 4000, 2, 4000, 1000, 2, 4000, 2, 4000, 2, 4000, 2
import scales all proportionally</t>
      </text>
    </comment>
    <comment ref="AB1024" authorId="0" shapeId="0">
      <text>
        <t>fires when: undeployed</t>
      </text>
    </comment>
    <comment ref="L1025" authorId="0" shapeId="0">
      <text>
        <t>raw warhead damages: 4000, 2, 4000, 2, 4000, 1000, 2, 4000, 2, 4000, 2, 4000, 2
import scales all proportionally</t>
      </text>
    </comment>
    <comment ref="AB1025" authorId="0" shapeId="0">
      <text>
        <t>fires when: deployed</t>
      </text>
    </comment>
    <comment ref="L1026" authorId="0" shapeId="0">
      <text>
        <t>raw warhead damages: 160000, 80, 1000
import scales all proportionally</t>
      </text>
    </comment>
    <comment ref="AB1026" authorId="0" shapeId="0">
      <text>
        <t>fires when: deployed</t>
      </text>
    </comment>
    <comment ref="L1027" authorId="0" shapeId="0">
      <text>
        <t>raw warhead damages: 8000, 4, 8000, 4000, 4, 8000, 4, 8000, 4
import scales all proportionally</t>
      </text>
    </comment>
    <comment ref="AB1027" authorId="0" shapeId="0">
      <text>
        <t>fires when: !td_gdi_upgrade_advancedmissiletargeting &amp;&amp; deployed</t>
      </text>
    </comment>
    <comment ref="L1028" authorId="0" shapeId="0">
      <text>
        <t>raw warhead damages: 8000, 4, 8000, 4000, 4, 8000, 4, 8000, 4
import scales all proportionally</t>
      </text>
    </comment>
    <comment ref="AB1028" authorId="0" shapeId="0">
      <text>
        <t>fires when: td_gdi_upgrade_advancedmissiletargeting &amp;&amp; deployed</t>
      </text>
    </comment>
    <comment ref="L1030" authorId="0" shapeId="0">
      <text>
        <t>raw warhead damages: 600000, 300000, 300
import scales all proportionally</t>
      </text>
    </comment>
    <comment ref="L1032" authorId="0" shapeId="0">
      <text>
        <t>raw warhead damages: 40000, 20, 40000, 20
import scales all proportionally</t>
      </text>
    </comment>
    <comment ref="AB1032" authorId="0" shapeId="0">
      <text>
        <t>fires when: !ra1_soviets_doctrine_inferno</t>
      </text>
    </comment>
    <comment ref="L1033" authorId="0" shapeId="0">
      <text>
        <t>raw warhead damages: 40000, 20000, 20, 40000, 20, 40000, 20
import scales all proportionally</t>
      </text>
    </comment>
    <comment ref="AB1033" authorId="0" shapeId="0">
      <text>
        <t>fires when: ra1_soviets_doctrine_inferno</t>
      </text>
    </comment>
    <comment ref="L1034" authorId="0" shapeId="0">
      <text>
        <t>raw warhead damages: 20000, 10, 20000, 10
import scales all proportionally</t>
      </text>
    </comment>
    <comment ref="AB1034" authorId="0" shapeId="0">
      <text>
        <t>fires when: !ra1_soviets_upgrade_teslarockets &amp;&amp; !ra1_soviets_upgrade_thermonuclearrockets</t>
      </text>
    </comment>
    <comment ref="L1035" authorId="0" shapeId="0">
      <text>
        <t>raw warhead damages: 26750, 13250, 13, 26750, 13250, 13, 26750, 13250, 13, 26750, 13
import scales all proportionally</t>
      </text>
    </comment>
    <comment ref="AB1035" authorId="0" shapeId="0">
      <text>
        <t>fires when: ra1_soviets_upgrade_teslarockets</t>
      </text>
    </comment>
    <comment ref="L1036" authorId="0" shapeId="0">
      <text>
        <t>raw warhead damages: 13250, 6750, 7, 13250, 6750, 7, 13250, 6750, 7, 13250, 6750, 7, 13250, 7, 13250, 6750, 7, 13250, 7, 13250, 7
import scales all proportionally</t>
      </text>
    </comment>
    <comment ref="AB1036" authorId="0" shapeId="0">
      <text>
        <t>fires when: ra1_soviets_upgrade_thermonuclearrockets</t>
      </text>
    </comment>
    <comment ref="L1038" authorId="0" shapeId="0">
      <text>
        <t>raw warhead damages: 4000, 2000, 2, 4000, 2, 4000, 2, 4000, 2, 4000, 2
import scales all proportionally</t>
      </text>
    </comment>
    <comment ref="AB1038" authorId="0" shapeId="0">
      <text>
        <t>fires when: !ra1_allies_upgrade_cryomissiles</t>
      </text>
    </comment>
    <comment ref="L1039" authorId="0" shapeId="0">
      <text>
        <t>raw warhead damages: 4000, 2000, 2, 4000, 2, 4000, 2, 4000, 2, 4000, 2
import scales all proportionally</t>
      </text>
    </comment>
    <comment ref="AB1039" authorId="0" shapeId="0">
      <text>
        <t>fires when: !ra1_allies_upgrade_cryomissiles</t>
      </text>
    </comment>
    <comment ref="L1040" authorId="0" shapeId="0">
      <text>
        <t>raw warhead damages: 4000, 2000, 2, 4000, 2, 4000, 2, 4000, 2, 4000, 2
import scales all proportionally</t>
      </text>
    </comment>
    <comment ref="AB1040" authorId="0" shapeId="0">
      <text>
        <t>fires when: ra1_allies_upgrade_cryomissiles</t>
      </text>
    </comment>
    <comment ref="L1041" authorId="0" shapeId="0">
      <text>
        <t>raw warhead damages: 4000, 2000, 2, 4000, 2, 4000, 2, 4000, 2, 4000, 2
import scales all proportionally</t>
      </text>
    </comment>
    <comment ref="AB1041" authorId="0" shapeId="0">
      <text>
        <t>fires when: ra1_allies_upgrade_cryomissiles</t>
      </text>
    </comment>
    <comment ref="L1043" authorId="0" shapeId="0">
      <text>
        <t>raw warhead damages: 160000, 80, 600
import scales all proportionally</t>
      </text>
    </comment>
    <comment ref="L1044" authorId="0" shapeId="0">
      <text>
        <t>raw warhead damages: 160000, 80, 600
import scales all proportionally</t>
      </text>
    </comment>
    <comment ref="L1046" authorId="0" shapeId="0">
      <text>
        <t>raw warhead damages: 80000, 1, 1000, 40
import scales all proportionally</t>
      </text>
    </comment>
    <comment ref="AB1046" authorId="0" shapeId="0">
      <text>
        <t>fires when: !ts_gdi_upgrade_railgunweaponry</t>
      </text>
    </comment>
    <comment ref="L1047" authorId="0" shapeId="0">
      <text>
        <t>raw warhead damages: 60000, 30
import scales all proportionally</t>
      </text>
    </comment>
    <comment ref="L1048" authorId="0" shapeId="0">
      <text>
        <t>raw warhead damages: 80000, 1, 1000, 40
import scales all proportionally</t>
      </text>
    </comment>
    <comment ref="AB1048" authorId="0" shapeId="0">
      <text>
        <t>fires when: ts_gdi_upgrade_railgunweaponry</t>
      </text>
    </comment>
    <comment ref="L1049" authorId="0" shapeId="0">
      <text>
        <t>raw warhead damages: 16000, 8
import scales all proportionally</t>
      </text>
    </comment>
    <comment ref="L1051" authorId="0" shapeId="0">
      <text>
        <t>raw warhead damages: 40000, 1, 1000, 20
import scales all proportionally</t>
      </text>
    </comment>
    <comment ref="AB1051" authorId="0" shapeId="0">
      <text>
        <t>fires when: !ts_gdi_upgrade_railgunweaponry</t>
      </text>
    </comment>
    <comment ref="L1052" authorId="0" shapeId="0">
      <text>
        <t>raw warhead damages: 42000, 21
import scales all proportionally</t>
      </text>
    </comment>
    <comment ref="L1053" authorId="0" shapeId="0">
      <text>
        <t>raw warhead damages: 40000, 1, 1000, 20
import scales all proportionally</t>
      </text>
    </comment>
    <comment ref="AB1053" authorId="0" shapeId="0">
      <text>
        <t>fires when: ts_gdi_upgrade_railgunweaponry</t>
      </text>
    </comment>
    <comment ref="L1055" authorId="0" shapeId="0">
      <text>
        <t>raw warhead damages: 40000, 20, 40000, 20000, 20
import scales all proportionally</t>
      </text>
    </comment>
    <comment ref="L1056" authorId="0" shapeId="0">
      <text>
        <t>raw warhead damages: 20000, 10, 20000, 10000, 10
import scales all proportionally</t>
      </text>
    </comment>
    <comment ref="L1058" authorId="0" shapeId="0">
      <text>
        <t>raw warhead damages: 3600, 30000, 15000, 15, 30000, 15
import scales all proportionally</t>
      </text>
    </comment>
    <comment ref="AB1058" authorId="0" shapeId="0">
      <text>
        <t>fires when: !forgotten_upgrade_chemicalweapons</t>
      </text>
    </comment>
    <comment ref="L1059" authorId="0" shapeId="0">
      <text>
        <t>raw warhead damages: 3600, 30000, 15000, 15, 30000, 15000, 15, 30000, 15
import scales all proportionally</t>
      </text>
    </comment>
    <comment ref="AB1059" authorId="0" shapeId="0">
      <text>
        <t>fires when: forgotten_upgrade_chemicalweapons</t>
      </text>
    </comment>
    <comment ref="L1060" authorId="0" shapeId="0">
      <text>
        <t>raw warhead damages: 60000, 30
import scales all proportionally</t>
      </text>
    </comment>
    <comment ref="L1062" authorId="0" shapeId="0">
      <text>
        <t>raw warhead damages: 8000, 4
import scales all proportionally</t>
      </text>
    </comment>
    <comment ref="L1067" authorId="0" shapeId="0">
      <text>
        <t>raw warhead damages: 20000, 10, 20000, 10, 20000, 10000, 10, 20000, 10000, 10, 20000, 10000, 10, 20000, 10000, 10
import scales all proportionally</t>
      </text>
    </comment>
    <comment ref="L1069" authorId="0" shapeId="0">
      <text>
        <t>raw warhead damages: 50000, 25000, 25, 50000, 25, 50000, 25
import scales all proportionally</t>
      </text>
    </comment>
    <comment ref="AB1069" authorId="0" shapeId="0">
      <text>
        <t>fires when: !rank-elite</t>
      </text>
    </comment>
    <comment ref="L1070" authorId="0" shapeId="0">
      <text>
        <t>raw warhead damages: 50000, 25000, 25, 50000, 25, 50000, 25
import scales all proportionally</t>
      </text>
    </comment>
    <comment ref="AB1070" authorId="0" shapeId="0">
      <text>
        <t>fires when: rank-elite</t>
      </text>
    </comment>
    <comment ref="L1071" authorId="0" shapeId="0">
      <text>
        <t>raw warhead damages: 2000, 1000, 1, 2000, 1, 2000, 1, 2000, 1
import scales all proportionally</t>
      </text>
    </comment>
    <comment ref="L1072" authorId="0" shapeId="0">
      <text>
        <t>raw warhead damages: 2000, 1000, 1, 2000, 1, 2000, 1, 2000, 1
import scales all proportionally</t>
      </text>
    </comment>
    <comment ref="L1074" authorId="0" shapeId="0">
      <text>
        <t>raw warhead damages: 100000, 50000, 50, 100000, 50, 600, 100000, 50, 1000
import scales all proportionally</t>
      </text>
    </comment>
    <comment ref="AB1074" authorId="0" shapeId="0">
      <text>
        <t>fires when: !rank-elite</t>
      </text>
    </comment>
    <comment ref="L1075" authorId="0" shapeId="0">
      <text>
        <t>raw warhead damages: 200000, 100000, 100, 200000, 100, 600, 200000, 100, 1000
import scales all proportionally</t>
      </text>
    </comment>
    <comment ref="AB1075" authorId="0" shapeId="0">
      <text>
        <t>fires when: rank-elite</t>
      </text>
    </comment>
    <comment ref="L1077" authorId="0" shapeId="0">
      <text>
        <t>raw warhead damages: 100000, 50000, 50, 100000, 50000, 50, 100000, 50000, 50, 100000, 50000, 50, 100000, 50, 888, 100000, 50
import scales all proportionally</t>
      </text>
    </comment>
    <comment ref="AB1077" authorId="0" shapeId="0">
      <text>
        <t>fires when: !rank-elite</t>
      </text>
    </comment>
    <comment ref="L1078" authorId="0" shapeId="0">
      <text>
        <t>raw warhead damages: 100000, 50000, 50, 100000, 50000, 50, 100000, 50000, 50, 100000, 50000, 50, 100000, 50, 888, 100000, 50
import scales all proportionally</t>
      </text>
    </comment>
    <comment ref="AB1078" authorId="0" shapeId="0">
      <text>
        <t>fires when: rank-elite</t>
      </text>
    </comment>
    <comment ref="L1080" authorId="0" shapeId="0">
      <text>
        <t>raw warhead damages: 40000, 20, 40000, 500, 20
import scales all proportionally</t>
      </text>
    </comment>
    <comment ref="AB1080" authorId="0" shapeId="0">
      <text>
        <t>fires when: !tkm_upgrade_cryorocketsupgrade &amp;&amp; !tkm_upgrade_twinrocketsupgrade &amp;&amp; !uptitanarsenalupgrade</t>
      </text>
    </comment>
    <comment ref="L1081" authorId="0" shapeId="0">
      <text>
        <t>raw warhead damages: 40000, 20, 40000, 500, 20
import scales all proportionally</t>
      </text>
    </comment>
    <comment ref="AB1081" authorId="0" shapeId="0">
      <text>
        <t>fires when: tkm_upgrade_cryorocketsupgrade</t>
      </text>
    </comment>
    <comment ref="L1082" authorId="0" shapeId="0">
      <text>
        <t>raw warhead damages: 40000, 20, 40000, 500, 20
import scales all proportionally</t>
      </text>
    </comment>
    <comment ref="AB1082" authorId="0" shapeId="0">
      <text>
        <t>fires when: tkm_upgrade_cryorocketsupgrade</t>
      </text>
    </comment>
    <comment ref="L1083" authorId="0" shapeId="0">
      <text>
        <t>raw warhead damages: 4000, 2, 40000, 500, 20, 4000, 2, 4000, 2000, 2, 4000, 2, 4000, 2
import scales all proportionally</t>
      </text>
    </comment>
    <comment ref="AB1083" authorId="0" shapeId="0">
      <text>
        <t>fires when: tkm_upgrade_twinrocketsupgrade</t>
      </text>
    </comment>
    <comment ref="L1084" authorId="0" shapeId="0">
      <text>
        <t>raw warhead damages: 4000, 2, 40000, 500, 20, 4000, 2, 4000, 2000, 2, 4000, 2, 4000, 2
import scales all proportionally</t>
      </text>
    </comment>
    <comment ref="AB1084" authorId="0" shapeId="0">
      <text>
        <t>fires when: tkm_upgrade_twinrocketsupgrade</t>
      </text>
    </comment>
    <comment ref="L1085" authorId="0" shapeId="0">
      <text>
        <t>raw warhead damages: 40000, 20, 40000, 500, 20, 6000, 2000, 2, 1000, 1
import scales all proportionally</t>
      </text>
    </comment>
    <comment ref="AB1085" authorId="0" shapeId="0">
      <text>
        <t>fires when: tkm_upgrade_incendiaryrocketsupgrade</t>
      </text>
    </comment>
    <comment ref="L1086" authorId="0" shapeId="0">
      <text>
        <t>raw warhead damages: 40000, 20, 40000, 500, 20, 6000, 2000, 2, 1000, 1
import scales all proportionally</t>
      </text>
    </comment>
    <comment ref="AB1086" authorId="0" shapeId="0">
      <text>
        <t>fires when: tkm_upgrade_incendiaryrocketsupgrade</t>
      </text>
    </comment>
    <comment ref="L1087" authorId="0" shapeId="0">
      <text>
        <t>raw warhead damages: 80000, 40, 80000, 40000, 40
import scales all proportionally</t>
      </text>
    </comment>
    <comment ref="L1089" authorId="0" shapeId="0">
      <text>
        <t>raw warhead damages: 40000, 20, 40000, 500, 20
import scales all proportionally</t>
      </text>
    </comment>
    <comment ref="AB1089" authorId="0" shapeId="0">
      <text>
        <t>fires when: !tkm_upgrade_cryorocketsupgrade &amp;&amp; !tkm_upgrade_twinrocketsupgrade &amp;&amp; !tkm_upgrade_incendiaryrocketsupgrade</t>
      </text>
    </comment>
    <comment ref="L1090" authorId="0" shapeId="0">
      <text>
        <t>raw warhead damages: 40000, 20, 40000, 500, 20
import scales all proportionally</t>
      </text>
    </comment>
    <comment ref="AB1090" authorId="0" shapeId="0">
      <text>
        <t>fires when: tkm_upgrade_cryorocketsupgrade</t>
      </text>
    </comment>
    <comment ref="L1091" authorId="0" shapeId="0">
      <text>
        <t>raw warhead damages: 40000, 20, 40000, 500, 20
import scales all proportionally</t>
      </text>
    </comment>
    <comment ref="AB1091" authorId="0" shapeId="0">
      <text>
        <t>fires when: tkm_upgrade_cryorocketsupgrade</t>
      </text>
    </comment>
    <comment ref="L1092" authorId="0" shapeId="0">
      <text>
        <t>raw warhead damages: 4000, 2, 40000, 500, 20, 4000, 2, 4000, 2000, 2, 4000, 2, 4000, 2
import scales all proportionally</t>
      </text>
    </comment>
    <comment ref="AB1092" authorId="0" shapeId="0">
      <text>
        <t>fires when: tkm_upgrade_twinrocketsupgrade</t>
      </text>
    </comment>
    <comment ref="L1093" authorId="0" shapeId="0">
      <text>
        <t>raw warhead damages: 4000, 2, 40000, 500, 20, 4000, 2, 4000, 2000, 2, 4000, 2, 4000, 2
import scales all proportionally</t>
      </text>
    </comment>
    <comment ref="AB1093" authorId="0" shapeId="0">
      <text>
        <t>fires when: tkm_upgrade_twinrocketsupgrade</t>
      </text>
    </comment>
    <comment ref="L1094" authorId="0" shapeId="0">
      <text>
        <t>raw warhead damages: 40000, 20, 40000, 500, 20, 6000, 2000, 2, 1000, 1
import scales all proportionally</t>
      </text>
    </comment>
    <comment ref="AB1094" authorId="0" shapeId="0">
      <text>
        <t>fires when: tkm_upgrade_incendiaryrocketsupgrade</t>
      </text>
    </comment>
    <comment ref="L1095" authorId="0" shapeId="0">
      <text>
        <t>raw warhead damages: 40000, 20, 40000, 500, 20, 6000, 2000, 2, 1000, 1
import scales all proportionally</t>
      </text>
    </comment>
    <comment ref="AB1095" authorId="0" shapeId="0">
      <text>
        <t>fires when: tkm_upgrade_incendiaryrocketsupgrade</t>
      </text>
    </comment>
    <comment ref="L1096" authorId="0" shapeId="0">
      <text>
        <t>raw warhead damages: 120000, 60, 120000, 60000, 60
import scales all proportionally</t>
      </text>
    </comment>
    <comment ref="L1098" authorId="0" shapeId="0">
      <text>
        <t>raw warhead damages: 40000, 2, 40000, 10, 1000
import scales all proportionally</t>
      </text>
    </comment>
    <comment ref="AB1100" authorId="0" shapeId="0">
      <text>
        <t>fires when: end_disable == 0</t>
      </text>
    </comment>
    <comment ref="L1101" authorId="0" shapeId="0">
      <text>
        <t>raw warhead damages: 2000, 1000, 1
import scales all proportionally</t>
      </text>
    </comment>
    <comment ref="AB1101" authorId="0" shapeId="0">
      <text>
        <t>fires when: end_disable &gt;= 1</t>
      </text>
    </comment>
    <comment ref="L1103" authorId="0" shapeId="0">
      <text>
        <t>raw warhead damages: 10000, 5, 10000, 5, 1000
import scales all proportionally</t>
      </text>
    </comment>
    <comment ref="L1104" authorId="0" shapeId="0">
      <text>
        <t>raw warhead damages: 10000, 5000, 5, 10000, 5
import scales all proportionally</t>
      </text>
    </comment>
    <comment ref="L1105" authorId="0" shapeId="0">
      <text>
        <t>raw warhead damages: 10000, 5000, 5, 10000, 5000, 5
import scales all proportionally</t>
      </text>
    </comment>
    <comment ref="L1107" authorId="0" shapeId="0">
      <text>
        <t>raw warhead damages: 2000, 1000, 1, 2000, 1000, 1, 2000, 1, 2000, 1, 2000, 1, 2000, 1
import scales all proportionally</t>
      </text>
    </comment>
  </commentList>
</comments>
</file>

<file path=xl/comments/comment4.xml><?xml version="1.0" encoding="utf-8"?>
<comments xmlns="http://schemas.openxmlformats.org/spreadsheetml/2006/main">
  <authors>
    <author>balance-pipeline</author>
  </authors>
  <commentList>
    <comment ref="L4" authorId="0" shapeId="0">
      <text>
        <t>raw warhead damages: 2000, 1, 600
import scales all proportionally</t>
      </text>
    </comment>
    <comment ref="L5" authorId="0" shapeId="0">
      <text>
        <t>raw warhead damages: -2000, -1000, -1
import scales all proportionally</t>
      </text>
    </comment>
    <comment ref="L7" authorId="0" shapeId="0">
      <text>
        <t>raw warhead damages: 18000, 9, 18000, 9
import scales all proportionally</t>
      </text>
    </comment>
    <comment ref="AB7" authorId="0" shapeId="0">
      <text>
        <t>fires when: !japan_upgrade_energizedarrows</t>
      </text>
    </comment>
    <comment ref="L8" authorId="0" shapeId="0">
      <text>
        <t>raw warhead damages: 8000, 4000, 4, 8000, 4000, 4, 8000, 4, 8000, 4
import scales all proportionally</t>
      </text>
    </comment>
    <comment ref="AB8" authorId="0" shapeId="0">
      <text>
        <t>fires when: japan_upgrade_energizedarrows</t>
      </text>
    </comment>
    <comment ref="L9" authorId="0" shapeId="0">
      <text>
        <t>raw warhead damages: 6000, 3
import scales all proportionally</t>
      </text>
    </comment>
    <comment ref="AB9" authorId="0" shapeId="0">
      <text>
        <t>fires when: !japan_upgrade_waveforcebullets</t>
      </text>
    </comment>
    <comment ref="L10" authorId="0" shapeId="0">
      <text>
        <t>raw warhead damages: 4000, 2, 1000, 1000, 500, 2, 4000, 2
import scales all proportionally</t>
      </text>
    </comment>
    <comment ref="AB10" authorId="0" shapeId="0">
      <text>
        <t>fires when: japan_upgrade_waveforcebullets</t>
      </text>
    </comment>
    <comment ref="L12" authorId="0" shapeId="0">
      <text>
        <t>raw warhead damages: 4000, 2
import scales all proportionally</t>
      </text>
    </comment>
    <comment ref="AB12" authorId="0" shapeId="0">
      <text>
        <t>fires when: !ra1_soviets_upgrade_incendiarybullets</t>
      </text>
    </comment>
    <comment ref="L13" authorId="0" shapeId="0">
      <text>
        <t>raw warhead damages: 4000, 2
import scales all proportionally</t>
      </text>
    </comment>
    <comment ref="AB13" authorId="0" shapeId="0">
      <text>
        <t>fires when: !ra1_soviets_upgrade_incendiarybullets</t>
      </text>
    </comment>
    <comment ref="L14" authorId="0" shapeId="0">
      <text>
        <t>raw warhead damages: 4000, 2, 4000, 2000, 2
import scales all proportionally</t>
      </text>
    </comment>
    <comment ref="AB14" authorId="0" shapeId="0">
      <text>
        <t>fires when: ra1_soviets_upgrade_incendiarybullets</t>
      </text>
    </comment>
    <comment ref="L15" authorId="0" shapeId="0">
      <text>
        <t>raw warhead damages: 4000, 2, 4000, 2000, 2
import scales all proportionally</t>
      </text>
    </comment>
    <comment ref="AB15" authorId="0" shapeId="0">
      <text>
        <t>fires when: ra1_soviets_upgrade_incendiarybullets</t>
      </text>
    </comment>
    <comment ref="L17" authorId="0" shapeId="0">
      <text>
        <t>raw warhead damages: 50000, 25, 50000, 25000, 25, 50000, 25000, 25, 50000, 25
import scales all proportionally</t>
      </text>
    </comment>
    <comment ref="L18" authorId="0" shapeId="0">
      <text>
        <t>raw warhead damages: 4000, 2
import scales all proportionally</t>
      </text>
    </comment>
    <comment ref="AB18" authorId="0" shapeId="0">
      <text>
        <t>fires when: !ra1_soviets_upgrade_incendiarybullets</t>
      </text>
    </comment>
    <comment ref="L19" authorId="0" shapeId="0">
      <text>
        <t>raw warhead damages: 4000, 2
import scales all proportionally</t>
      </text>
    </comment>
    <comment ref="AB19" authorId="0" shapeId="0">
      <text>
        <t>fires when: !ra1_soviets_upgrade_incendiarybullets</t>
      </text>
    </comment>
    <comment ref="L20" authorId="0" shapeId="0">
      <text>
        <t>raw warhead damages: 4000, 2, 4000, 2000, 2
import scales all proportionally</t>
      </text>
    </comment>
    <comment ref="AB20" authorId="0" shapeId="0">
      <text>
        <t>fires when: ra1_soviets_upgrade_incendiarybullets</t>
      </text>
    </comment>
    <comment ref="L21" authorId="0" shapeId="0">
      <text>
        <t>raw warhead damages: 4000, 2, 4000, 2000, 2
import scales all proportionally</t>
      </text>
    </comment>
    <comment ref="AB21" authorId="0" shapeId="0">
      <text>
        <t>fires when: ra1_soviets_upgrade_incendiarybullets</t>
      </text>
    </comment>
    <comment ref="L23" authorId="0" shapeId="0">
      <text>
        <t>raw warhead damages: 40000, 20000, 20, 40000, 20, 40000, 20000, 20, 40000, 20000, 20
import scales all proportionally</t>
      </text>
    </comment>
    <comment ref="L24" authorId="0" shapeId="0">
      <text>
        <t>raw warhead damages: 8000, 4, 8000, 4000, 4
import scales all proportionally</t>
      </text>
    </comment>
    <comment ref="AB24" authorId="0" shapeId="0">
      <text>
        <t>fires when: !ra1_soviets_upgrade_teslaarcing</t>
      </text>
    </comment>
    <comment ref="L25" authorId="0" shapeId="0">
      <text>
        <t>raw warhead damages: 8000, 4, 8000, 4000, 4
import scales all proportionally</t>
      </text>
    </comment>
    <comment ref="AB25" authorId="0" shapeId="0">
      <text>
        <t>fires when: ra1_soviets_upgrade_teslaarcing</t>
      </text>
    </comment>
    <comment ref="L26" authorId="0" shapeId="0">
      <text>
        <t>raw warhead damages: 4000, 2
import scales all proportionally</t>
      </text>
    </comment>
    <comment ref="AB26" authorId="0" shapeId="0">
      <text>
        <t>fires when: !ra1_soviets_upgrade_incendiarybullets</t>
      </text>
    </comment>
    <comment ref="L27" authorId="0" shapeId="0">
      <text>
        <t>raw warhead damages: 4000, 2
import scales all proportionally</t>
      </text>
    </comment>
    <comment ref="AB27" authorId="0" shapeId="0">
      <text>
        <t>fires when: !ra1_soviets_upgrade_incendiarybullets</t>
      </text>
    </comment>
    <comment ref="L28" authorId="0" shapeId="0">
      <text>
        <t>raw warhead damages: 4000, 2, 4000, 2000, 2
import scales all proportionally</t>
      </text>
    </comment>
    <comment ref="AB28" authorId="0" shapeId="0">
      <text>
        <t>fires when: ra1_soviets_upgrade_incendiarybullets</t>
      </text>
    </comment>
    <comment ref="L29" authorId="0" shapeId="0">
      <text>
        <t>raw warhead damages: 4000, 2, 4000, 2000, 2
import scales all proportionally</t>
      </text>
    </comment>
    <comment ref="AB29" authorId="0" shapeId="0">
      <text>
        <t>fires when: ra1_soviets_upgrade_incendiarybullets</t>
      </text>
    </comment>
    <comment ref="L31" authorId="0" shapeId="0">
      <text>
        <t>raw warhead damages: 10000, 5000, 5, 10000, 5, 10000, 5000, 5, 10000, 5000, 5
import scales all proportionally</t>
      </text>
    </comment>
    <comment ref="L32" authorId="0" shapeId="0">
      <text>
        <t>raw warhead damages: 4000, 2
import scales all proportionally</t>
      </text>
    </comment>
    <comment ref="AB32" authorId="0" shapeId="0">
      <text>
        <t>fires when: !ra1_soviets_upgrade_incendiarybullets</t>
      </text>
    </comment>
    <comment ref="L33" authorId="0" shapeId="0">
      <text>
        <t>raw warhead damages: 4000, 2
import scales all proportionally</t>
      </text>
    </comment>
    <comment ref="AB33" authorId="0" shapeId="0">
      <text>
        <t>fires when: !ra1_soviets_upgrade_incendiarybullets</t>
      </text>
    </comment>
    <comment ref="L34" authorId="0" shapeId="0">
      <text>
        <t>raw warhead damages: 4000, 2, 4000, 2000, 2
import scales all proportionally</t>
      </text>
    </comment>
    <comment ref="AB34" authorId="0" shapeId="0">
      <text>
        <t>fires when: ra1_soviets_upgrade_incendiarybullets</t>
      </text>
    </comment>
    <comment ref="L35" authorId="0" shapeId="0">
      <text>
        <t>raw warhead damages: 4000, 2, 4000, 2000, 2
import scales all proportionally</t>
      </text>
    </comment>
    <comment ref="AB35" authorId="0" shapeId="0">
      <text>
        <t>fires when: ra1_soviets_upgrade_incendiarybullets</t>
      </text>
    </comment>
    <comment ref="L37" authorId="0" shapeId="0">
      <text>
        <t>raw warhead damages: 4000, 2000, 2, 4000, 2000, 2, 4000, 2000, 2, 4000, 2, 4000, 2, 4000, 2
import scales all proportionally</t>
      </text>
    </comment>
    <comment ref="AB37" authorId="0" shapeId="0">
      <text>
        <t>fires when: !rank-elite</t>
      </text>
    </comment>
    <comment ref="L38" authorId="0" shapeId="0">
      <text>
        <t>raw warhead damages: 4000, 2000, 2, 4000, 2000, 2, 4000, 2000, 2, 4000, 2, 4000, 2, 4000, 2
import scales all proportionally</t>
      </text>
    </comment>
    <comment ref="AB38" authorId="0" shapeId="0">
      <text>
        <t>fires when: rank-elite</t>
      </text>
    </comment>
    <comment ref="L40" authorId="0" shapeId="0">
      <text>
        <t>raw warhead damages: 4000, 2, 1000, 4000, 2, 4000, 2, 4000, 2
import scales all proportionally</t>
      </text>
    </comment>
    <comment ref="AB40" authorId="0" shapeId="0">
      <text>
        <t>fires when: !steelconsortium_upgrade_quantumweaponpower</t>
      </text>
    </comment>
    <comment ref="L41" authorId="0" shapeId="0">
      <text>
        <t>raw warhead damages: 2000, 1000, 1, 2000, 1000, 1, 2000, 1000, 1, 2000, 1000, 1, 2000, 1, 2000, 1000, 1, 2000, 1, 1000, 2000, 1, 2000, 1, 2000, 1
import scales all proportionally</t>
      </text>
    </comment>
    <comment ref="AB41" authorId="0" shapeId="0">
      <text>
        <t>fires when: steelconsortium_upgrade_quantumweaponpower</t>
      </text>
    </comment>
    <comment ref="L43" authorId="0" shapeId="0">
      <text>
        <t>raw warhead damages: 2000, 1, 2000, 1, 2000, 1, 2000, 1
import scales all proportionally</t>
      </text>
    </comment>
    <comment ref="L45" authorId="0" shapeId="0">
      <text>
        <t>raw warhead damages: 2000, 1000, 1, 2000, 1000, 1, 2000, 1000, 1, 2000, 1, 600, 2000, 1, 1000, 2000, 1
import scales all proportionally</t>
      </text>
    </comment>
    <comment ref="AB45" authorId="0" shapeId="0">
      <text>
        <t>fires when: !steelconsortium_upgrade_quantumweaponpower</t>
      </text>
    </comment>
    <comment ref="L46" authorId="0" shapeId="0">
      <text>
        <t>raw warhead damages: 2000, 1000, 1, 2000, 1000, 1, 2000, 1000, 1, 2000, 1, 600, 2000, 1, 1000, 2000, 1
import scales all proportionally</t>
      </text>
    </comment>
    <comment ref="AB46" authorId="0" shapeId="0">
      <text>
        <t>fires when: steelconsortium_upgrade_quantumweaponpower</t>
      </text>
    </comment>
    <comment ref="L48" authorId="0" shapeId="0">
      <text>
        <t>raw warhead damages: 2000, 1000, 1, 2000, 1000, 1, 2000, 1, 2000, 1, 2000, 1
import scales all proportionally</t>
      </text>
    </comment>
    <comment ref="AB48" authorId="0" shapeId="0">
      <text>
        <t>fires when: !rank-elite</t>
      </text>
    </comment>
    <comment ref="L49" authorId="0" shapeId="0">
      <text>
        <t>raw warhead damages: 2000, 1000, 1, 2000, 1000, 1, 2000, 1, 2000, 1, 2000, 1
import scales all proportionally</t>
      </text>
    </comment>
    <comment ref="AB49" authorId="0" shapeId="0">
      <text>
        <t>fires when: rank-elite</t>
      </text>
    </comment>
    <comment ref="L51" authorId="0" shapeId="0">
      <text>
        <t>raw warhead damages: 2000, 1, 2000, 1, 2000, 1, 2000, 1
import scales all proportionally</t>
      </text>
    </comment>
    <comment ref="AB51" authorId="0" shapeId="0">
      <text>
        <t>fires when: !rank-elite &amp;&amp; !latinsyndicate_upgrade_yuristolentechchainguns</t>
      </text>
    </comment>
    <comment ref="L52" authorId="0" shapeId="0">
      <text>
        <t>raw warhead damages: 2000, 1, 2000, 1, 2000, 1, 2000, 1
import scales all proportionally</t>
      </text>
    </comment>
    <comment ref="AB52" authorId="0" shapeId="0">
      <text>
        <t>fires when: rank-elite</t>
      </text>
    </comment>
    <comment ref="L53" authorId="0" shapeId="0">
      <text>
        <t>raw warhead damages: 2000, 1, 2000, 1, 2000, 1, 2000, 1
import scales all proportionally</t>
      </text>
    </comment>
    <comment ref="AB53" authorId="0" shapeId="0">
      <text>
        <t>fires when: latinsyndicate_upgrade_yuristolentechchainguns</t>
      </text>
    </comment>
    <comment ref="L55" authorId="0" shapeId="0">
      <text>
        <t>raw warhead damages: 2000, 1000, 1, 2000, 1, 2000, 1
import scales all proportionally</t>
      </text>
    </comment>
    <comment ref="L56" authorId="0" shapeId="0">
      <text>
        <t>raw warhead damages: 2000, 1000, 1, 2000, 1, 2000, 1
import scales all proportionally</t>
      </text>
    </comment>
    <comment ref="AB56" authorId="0" shapeId="0">
      <text>
        <t>fires when: rank-elite</t>
      </text>
    </comment>
    <comment ref="L58" authorId="0" shapeId="0">
      <text>
        <t>raw warhead damages: 6000, 3, 6000, 3, 6000, 3, 6000, 3
import scales all proportionally</t>
      </text>
    </comment>
    <comment ref="L59" authorId="0" shapeId="0">
      <text>
        <t>raw warhead damages: 10000, 5, 10000, 5
import scales all proportionally</t>
      </text>
    </comment>
    <comment ref="L61" authorId="0" shapeId="0">
      <text>
        <t>raw warhead damages: 10000, 5, 10000, 5
import scales all proportionally</t>
      </text>
    </comment>
    <comment ref="L62" authorId="0" shapeId="0">
      <text>
        <t>raw warhead damages: 10000, 5, 10000, 5
import scales all proportionally</t>
      </text>
    </comment>
    <comment ref="AB62" authorId="0" shapeId="0">
      <text>
        <t>fires when: rank-elite</t>
      </text>
    </comment>
    <comment ref="L63" authorId="0" shapeId="0">
      <text>
        <t>raw warhead damages: 2000, 1000, 1, 2000, 1, 2000, 1
import scales all proportionally</t>
      </text>
    </comment>
    <comment ref="L64" authorId="0" shapeId="0">
      <text>
        <t>raw warhead damages: 2000, 1000, 1, 2000, 1, 2000, 1
import scales all proportionally</t>
      </text>
    </comment>
    <comment ref="AB64" authorId="0" shapeId="0">
      <text>
        <t>fires when: rank-elite</t>
      </text>
    </comment>
    <comment ref="L68" authorId="0" shapeId="0">
      <text>
        <t>raw warhead damages: 2000, 1000, 1, 2000, 1, 2000, 1
import scales all proportionally</t>
      </text>
    </comment>
    <comment ref="L70" authorId="0" shapeId="0">
      <text>
        <t>raw warhead damages: 2000, 1, 2000, 1, 2000, 1, 2000, 1, 600
import scales all proportionally</t>
      </text>
    </comment>
    <comment ref="L71" authorId="0" shapeId="0">
      <text>
        <t>raw warhead damages: 2000, 1, 2000, 1, 2000, 1, 2000, 1, 2000, 1, 2000, 1
import scales all proportionally</t>
      </text>
    </comment>
    <comment ref="L73" authorId="0" shapeId="0">
      <text>
        <t>raw warhead damages: 2000, 1000, 1, 2000, 1000, 1, 2000, 1, 2000, 1, 2000, 1
import scales all proportionally</t>
      </text>
    </comment>
    <comment ref="AB73" authorId="0" shapeId="0">
      <text>
        <t>fires when: !rank-elite</t>
      </text>
    </comment>
    <comment ref="L74" authorId="0" shapeId="0">
      <text>
        <t>raw warhead damages: 2000, 1000, 1, 2000, 1000, 1, 2000, 1, 2000, 1, 2000, 1
import scales all proportionally</t>
      </text>
    </comment>
    <comment ref="AB74" authorId="0" shapeId="0">
      <text>
        <t>fires when: rank-elite</t>
      </text>
    </comment>
    <comment ref="L76" authorId="0" shapeId="0">
      <text>
        <t>raw warhead damages: 4000, 2
import scales all proportionally</t>
      </text>
    </comment>
    <comment ref="AB76" authorId="0" shapeId="0">
      <text>
        <t>fires when: !ordos_upgrade_lasercartridges</t>
      </text>
    </comment>
    <comment ref="L77" authorId="0" shapeId="0">
      <text>
        <t>raw warhead damages: 4000, 2, 600, 4000, 2
import scales all proportionally</t>
      </text>
    </comment>
    <comment ref="AB77" authorId="0" shapeId="0">
      <text>
        <t>fires when: ordos_upgrade_lasercartridges</t>
      </text>
    </comment>
    <comment ref="L79" authorId="0" shapeId="0">
      <text>
        <t>raw warhead damages: 50000, 25, 50000, 25000, 25, 50000, 25000, 25
import scales all proportionally</t>
      </text>
    </comment>
    <comment ref="L82" authorId="0" shapeId="0">
      <text>
        <t>raw warhead damages: 12000, 6
import scales all proportionally</t>
      </text>
    </comment>
    <comment ref="L83" authorId="0" shapeId="0">
      <text>
        <t>raw warhead damages: 6000, 3, 6000, 3000, 3
import scales all proportionally</t>
      </text>
    </comment>
    <comment ref="L85" authorId="0" shapeId="0">
      <text>
        <t>raw warhead damages: 6000, 3
import scales all proportionally</t>
      </text>
    </comment>
    <comment ref="L86" authorId="0" shapeId="0">
      <text>
        <t>raw warhead damages: 4000, 2, 4000, 2000, 2
import scales all proportionally</t>
      </text>
    </comment>
    <comment ref="L87" authorId="0" shapeId="0">
      <text>
        <t>raw warhead damages: 12000, 6
import scales all proportionally</t>
      </text>
    </comment>
    <comment ref="L89" authorId="0" shapeId="0">
      <text>
        <t>raw warhead damages: 20000, 10
import scales all proportionally</t>
      </text>
    </comment>
    <comment ref="L90" authorId="0" shapeId="0">
      <text>
        <t>raw warhead damages: 20000, 10
import scales all proportionally</t>
      </text>
    </comment>
    <comment ref="AB90" authorId="0" shapeId="0">
      <text>
        <t>fires when: td_gdi_upgrade_cuttingedgeequipment</t>
      </text>
    </comment>
    <comment ref="L91" authorId="0" shapeId="0">
      <text>
        <t>raw warhead damages: 10000, 5, 10000, 5, 10000, 5000, 5, 10000, 5000, 5
import scales all proportionally</t>
      </text>
    </comment>
    <comment ref="L93" authorId="0" shapeId="0">
      <text>
        <t>raw warhead damages: 6000, 3
import scales all proportionally</t>
      </text>
    </comment>
    <comment ref="AB93" authorId="0" shapeId="0">
      <text>
        <t>fires when: !japan_upgrade_waveforcebullets</t>
      </text>
    </comment>
    <comment ref="L94" authorId="0" shapeId="0">
      <text>
        <t>raw warhead damages: 6000, 3
import scales all proportionally</t>
      </text>
    </comment>
    <comment ref="AB94" authorId="0" shapeId="0">
      <text>
        <t>fires when: !japan_upgrade_waveforcebullets</t>
      </text>
    </comment>
    <comment ref="L95" authorId="0" shapeId="0">
      <text>
        <t>raw warhead damages: 4000, 2, 1000, 1000, 500, 2, 4000, 2
import scales all proportionally</t>
      </text>
    </comment>
    <comment ref="AB95" authorId="0" shapeId="0">
      <text>
        <t>fires when: japan_upgrade_waveforcebullets</t>
      </text>
    </comment>
    <comment ref="L96" authorId="0" shapeId="0">
      <text>
        <t>raw warhead damages: 4000, 2, 1000, 1000, 500, 2, 4000, 2
import scales all proportionally</t>
      </text>
    </comment>
    <comment ref="AB96" authorId="0" shapeId="0">
      <text>
        <t>fires when: japan_upgrade_waveforcebullets</t>
      </text>
    </comment>
    <comment ref="L97" authorId="0" shapeId="0">
      <text>
        <t>raw warhead damages: 10000, 5
import scales all proportionally</t>
      </text>
    </comment>
    <comment ref="L99" authorId="0" shapeId="0">
      <text>
        <t>raw warhead damages: 6000, 3
import scales all proportionally</t>
      </text>
    </comment>
    <comment ref="AB99" authorId="0" shapeId="0">
      <text>
        <t>fires when: !japan_upgrade_waveforcebullets</t>
      </text>
    </comment>
    <comment ref="L100" authorId="0" shapeId="0">
      <text>
        <t>raw warhead damages: 4000, 2, 1000, 1000, 500, 2, 4000, 2
import scales all proportionally</t>
      </text>
    </comment>
    <comment ref="AB100" authorId="0" shapeId="0">
      <text>
        <t>fires when: japan_upgrade_waveforcebullets</t>
      </text>
    </comment>
    <comment ref="L101" authorId="0" shapeId="0">
      <text>
        <t>raw warhead damages: 20000, 10
import scales all proportionally</t>
      </text>
    </comment>
    <comment ref="AB101" authorId="0" shapeId="0">
      <text>
        <t>fires when: !japan_upgrade_advancedplasmaweapons</t>
      </text>
    </comment>
    <comment ref="L102" authorId="0" shapeId="0">
      <text>
        <t>raw warhead damages: 10000, 5000, 5, 10000, 5000, 5, 10000, 5
import scales all proportionally</t>
      </text>
    </comment>
    <comment ref="AB102" authorId="0" shapeId="0">
      <text>
        <t>fires when: japan_upgrade_advancedplasmaweapons</t>
      </text>
    </comment>
    <comment ref="L104" authorId="0" shapeId="0">
      <text>
        <t>raw warhead damages: 40000, 20
import scales all proportionally</t>
      </text>
    </comment>
    <comment ref="AB104" authorId="0" shapeId="0">
      <text>
        <t>fires when: !ra1_soviets_upgrade_teslarockets &amp;&amp; !ra1_soviets_upgrade_thermonuclearrockets</t>
      </text>
    </comment>
    <comment ref="L105" authorId="0" shapeId="0">
      <text>
        <t>raw warhead damages: 40000, 20
import scales all proportionally</t>
      </text>
    </comment>
    <comment ref="AB105" authorId="0" shapeId="0">
      <text>
        <t>fires when: !ra1_soviets_upgrade_teslarockets &amp;&amp; !ra1_soviets_upgrade_thermonuclearrockets</t>
      </text>
    </comment>
    <comment ref="L106" authorId="0" shapeId="0">
      <text>
        <t>raw warhead damages: 16000, 8000, 8, 16000, 8
import scales all proportionally</t>
      </text>
    </comment>
    <comment ref="AB106" authorId="0" shapeId="0">
      <text>
        <t>fires when: ra1_soviets_upgrade_teslarockets</t>
      </text>
    </comment>
    <comment ref="L107" authorId="0" shapeId="0">
      <text>
        <t>raw warhead damages: 16000, 8000, 8, 16000, 8
import scales all proportionally</t>
      </text>
    </comment>
    <comment ref="AB107" authorId="0" shapeId="0">
      <text>
        <t>fires when: ra1_soviets_upgrade_teslarockets</t>
      </text>
    </comment>
    <comment ref="L108" authorId="0" shapeId="0">
      <text>
        <t>raw warhead damages: 12000, 6, 12000, 6, 12000, 6000, 6, 12000, 6
import scales all proportionally</t>
      </text>
    </comment>
    <comment ref="AB108" authorId="0" shapeId="0">
      <text>
        <t>fires when: ra1_soviets_upgrade_thermonuclearrockets</t>
      </text>
    </comment>
    <comment ref="L109" authorId="0" shapeId="0">
      <text>
        <t>raw warhead damages: 12000, 6, 12000, 6, 12000, 6000, 6, 12000, 6
import scales all proportionally</t>
      </text>
    </comment>
    <comment ref="AB109" authorId="0" shapeId="0">
      <text>
        <t>fires when: ra1_soviets_upgrade_thermonuclearrockets</t>
      </text>
    </comment>
    <comment ref="L111" authorId="0" shapeId="0">
      <text>
        <t>raw warhead damages: 20000, 10, 20000, 10
import scales all proportionally</t>
      </text>
    </comment>
    <comment ref="AB111" authorId="0" shapeId="0">
      <text>
        <t>fires when: !ra1_soviets_upgrade_highexplosiverockets</t>
      </text>
    </comment>
    <comment ref="L112" authorId="0" shapeId="0">
      <text>
        <t>raw warhead damages: 14000, 7000, 7, 14000, 7, 14000, 7
import scales all proportionally</t>
      </text>
    </comment>
    <comment ref="AB112" authorId="0" shapeId="0">
      <text>
        <t>fires when: ra1_soviets_upgrade_highexplosiverockets</t>
      </text>
    </comment>
    <comment ref="L113" authorId="0" shapeId="0">
      <text>
        <t>raw warhead damages: 4000, 2
import scales all proportionally</t>
      </text>
    </comment>
    <comment ref="AB113" authorId="0" shapeId="0">
      <text>
        <t>fires when: !ra1_soviets_upgrade_incendiarybullets</t>
      </text>
    </comment>
    <comment ref="L114" authorId="0" shapeId="0">
      <text>
        <t>raw warhead damages: 4000, 2
import scales all proportionally</t>
      </text>
    </comment>
    <comment ref="AB114" authorId="0" shapeId="0">
      <text>
        <t>fires when: !ra1_soviets_upgrade_incendiarybullets</t>
      </text>
    </comment>
    <comment ref="L115" authorId="0" shapeId="0">
      <text>
        <t>raw warhead damages: 4000, 2, 4000, 2000, 2
import scales all proportionally</t>
      </text>
    </comment>
    <comment ref="AB115" authorId="0" shapeId="0">
      <text>
        <t>fires when: ra1_soviets_upgrade_incendiarybullets</t>
      </text>
    </comment>
    <comment ref="L116" authorId="0" shapeId="0">
      <text>
        <t>raw warhead damages: 4000, 2, 4000, 2000, 2
import scales all proportionally</t>
      </text>
    </comment>
    <comment ref="AB116" authorId="0" shapeId="0">
      <text>
        <t>fires when: ra1_soviets_upgrade_incendiarybullets</t>
      </text>
    </comment>
    <comment ref="L118" authorId="0" shapeId="0">
      <text>
        <t>raw warhead damages: 100000, 50, 100000, 50000, 50, 100000, 50000, 50, 100000, 50
import scales all proportionally</t>
      </text>
    </comment>
    <comment ref="L120" authorId="0" shapeId="0">
      <text>
        <t>raw warhead damages: 10000, 5
import scales all proportionally</t>
      </text>
    </comment>
    <comment ref="AB120" authorId="0" shapeId="0">
      <text>
        <t>fires when: !ra1_allies_upgrade_cryomissiles</t>
      </text>
    </comment>
    <comment ref="L121" authorId="0" shapeId="0">
      <text>
        <t>raw warhead damages: 10000, 5
import scales all proportionally</t>
      </text>
    </comment>
    <comment ref="AB121" authorId="0" shapeId="0">
      <text>
        <t>fires when: ra1_allies_upgrade_cryomissiles</t>
      </text>
    </comment>
    <comment ref="L122" authorId="0" shapeId="0">
      <text>
        <t>raw warhead damages: 8000, 4000, 4, 8000, 4
import scales all proportionally</t>
      </text>
    </comment>
    <comment ref="AB122" authorId="0" shapeId="0">
      <text>
        <t>fires when: !ra1_allies_upgrade_cryomissiles</t>
      </text>
    </comment>
    <comment ref="L123" authorId="0" shapeId="0">
      <text>
        <t>raw warhead damages: 8000, 4000, 4, 8000, 4
import scales all proportionally</t>
      </text>
    </comment>
    <comment ref="AB123" authorId="0" shapeId="0">
      <text>
        <t>fires when: ra1_allies_upgrade_cryomissiles</t>
      </text>
    </comment>
    <comment ref="L125" authorId="0" shapeId="0">
      <text>
        <t>raw warhead damages: 4000, 2, 4000, 2, 600
import scales all proportionally</t>
      </text>
    </comment>
    <comment ref="L127" authorId="0" shapeId="0">
      <text>
        <t>raw warhead damages: 30000, 15000, 15, 30000, 15, 600
import scales all proportionally</t>
      </text>
    </comment>
    <comment ref="L129" authorId="0" shapeId="0">
      <text>
        <t>raw warhead damages: 10000, 5000, 5, 10000, 5
import scales all proportionally</t>
      </text>
    </comment>
    <comment ref="AB129" authorId="0" shapeId="0">
      <text>
        <t>fires when: !ts_gdi_upgrade_sonicweaponry</t>
      </text>
    </comment>
    <comment ref="L130" authorId="0" shapeId="0">
      <text>
        <t>raw warhead damages: 10000, 5, 10000, 5000, 5, 10000, 5, 888
import scales all proportionally</t>
      </text>
    </comment>
    <comment ref="AB130" authorId="0" shapeId="0">
      <text>
        <t>fires when: ts_gdi_upgrade_sonicweaponry</t>
      </text>
    </comment>
    <comment ref="L132" authorId="0" shapeId="0">
      <text>
        <t>raw warhead damages: 120000, 60
import scales all proportionally</t>
      </text>
    </comment>
    <comment ref="AB132" authorId="0" shapeId="0">
      <text>
        <t>fires when: !forgotten_upgrade_chemicalweapons</t>
      </text>
    </comment>
    <comment ref="L133" authorId="0" shapeId="0">
      <text>
        <t>raw warhead damages: 120000, 60, 60000, 30000, 30
import scales all proportionally</t>
      </text>
    </comment>
    <comment ref="AB133" authorId="0" shapeId="0">
      <text>
        <t>fires when: forgotten_upgrade_chemicalweapons</t>
      </text>
    </comment>
    <comment ref="L135" authorId="0" shapeId="0">
      <text>
        <t>raw warhead damages: 180000, 90
import scales all proportionally</t>
      </text>
    </comment>
    <comment ref="AB135" authorId="0" shapeId="0">
      <text>
        <t>fires when: !forgotten_upgrade_chemicalweapons</t>
      </text>
    </comment>
    <comment ref="L136" authorId="0" shapeId="0">
      <text>
        <t>raw warhead damages: 180000, 90, 90000, 45000, 45
import scales all proportionally</t>
      </text>
    </comment>
    <comment ref="AB136" authorId="0" shapeId="0">
      <text>
        <t>fires when: forgotten_upgrade_chemicalweapons</t>
      </text>
    </comment>
    <comment ref="L138" authorId="0" shapeId="0">
      <text>
        <t>raw warhead damages: 60000, 30000, 30
import scales all proportionally</t>
      </text>
    </comment>
    <comment ref="L140" authorId="0" shapeId="0">
      <text>
        <t>raw warhead damages: 2000, 1000, 1, 2000, 1, 2000, 1
import scales all proportionally</t>
      </text>
    </comment>
    <comment ref="L142" authorId="0" shapeId="0">
      <text>
        <t>raw warhead damages: 8000, 4, 8000, 4, 8000, 4, 8000, 4
import scales all proportionally</t>
      </text>
    </comment>
    <comment ref="AB142" authorId="0" shapeId="0">
      <text>
        <t>fires when: !ra2_soviets_doctrine_nuclearmunitions &amp;&amp; !ra2_soviets_doctrine_firemunitions &amp;&amp; !ra2_soviets_doctrine_teslamunitions</t>
      </text>
    </comment>
    <comment ref="L143" authorId="0" shapeId="0">
      <text>
        <t>raw warhead damages: 4000, 2000, 2, 4000, 2000, 2, 8000, 4, 8000, 4, 8000, 4, 8000, 4
import scales all proportionally</t>
      </text>
    </comment>
    <comment ref="AB143" authorId="0" shapeId="0">
      <text>
        <t>fires when: ra2_soviets_doctrine_nuclearmunitions</t>
      </text>
    </comment>
    <comment ref="L144" authorId="0" shapeId="0">
      <text>
        <t>raw warhead damages: 8000, 4, 8000, 4, 8000, 4, 8000, 4
import scales all proportionally</t>
      </text>
    </comment>
    <comment ref="AB144" authorId="0" shapeId="0">
      <text>
        <t>fires when: ra2_soviets_doctrine_firemunitions</t>
      </text>
    </comment>
    <comment ref="L145" authorId="0" shapeId="0">
      <text>
        <t>raw warhead damages: 8000, 4, 8000, 4, 8000, 4, 8000, 4
import scales all proportionally</t>
      </text>
    </comment>
    <comment ref="AB145" authorId="0" shapeId="0">
      <text>
        <t>fires when: ra2_soviets_doctrine_teslamunitions</t>
      </text>
    </comment>
    <comment ref="L147" authorId="0" shapeId="0">
      <text>
        <t>raw warhead damages: 16000, 8000, 8, 16000, 8, 16000, 8
import scales all proportionally</t>
      </text>
    </comment>
    <comment ref="AB147" authorId="0" shapeId="0">
      <text>
        <t>fires when: !rank-elite &amp;&amp; !ra2_allies_upgrade_thunderboltmissiles</t>
      </text>
    </comment>
    <comment ref="L148" authorId="0" shapeId="0">
      <text>
        <t>raw warhead damages: 16000, 8000, 8, 16000, 8, 16000, 8
import scales all proportionally</t>
      </text>
    </comment>
    <comment ref="AB148" authorId="0" shapeId="0">
      <text>
        <t>fires when: rank-elite &amp;&amp; !ra2_allies_upgrade_thunderboltmissiles</t>
      </text>
    </comment>
    <comment ref="L149" authorId="0" shapeId="0">
      <text>
        <t>raw warhead damages: 6000, 3000, 3, 6000, 3000, 3, 6000, 3, 6000, 3, 6000, 3, 6000, 3, 6000, 3, 6000, 3, 6000, 3
import scales all proportionally</t>
      </text>
    </comment>
    <comment ref="AB149" authorId="0" shapeId="0">
      <text>
        <t>fires when: !rank-elite &amp;&amp; ra2_allies_upgrade_thunderboltmissiles</t>
      </text>
    </comment>
    <comment ref="L150" authorId="0" shapeId="0">
      <text>
        <t>raw warhead damages: 6000, 3000, 3, 6000, 3000, 3, 6000, 3, 6000, 3, 6000, 3, 6000, 3, 6000, 3, 6000, 3, 6000, 3
import scales all proportionally</t>
      </text>
    </comment>
    <comment ref="AB150" authorId="0" shapeId="0">
      <text>
        <t>fires when: rank-elite &amp;&amp; ra2_allies_upgrade_thunderboltmissiles</t>
      </text>
    </comment>
    <comment ref="L152" authorId="0" shapeId="0">
      <text>
        <t>raw warhead damages: 8000, 4, 8000, 4, 8000, 4, 8000, 4
import scales all proportionally</t>
      </text>
    </comment>
    <comment ref="AB152" authorId="0" shapeId="0">
      <text>
        <t>fires when: !rank-elite &amp;&amp; !ra2_soviets_doctrine_nuclearmunitions &amp;&amp; !ra2_soviets_doctrine_firemunitions &amp;&amp; !ra2_soviets_doctrine_teslamunitions</t>
      </text>
    </comment>
    <comment ref="L153" authorId="0" shapeId="0">
      <text>
        <t>raw warhead damages: 4000, 2000, 2, 4000, 2000, 2, 8000, 4, 8000, 4, 8000, 4, 8000, 4
import scales all proportionally</t>
      </text>
    </comment>
    <comment ref="AB153" authorId="0" shapeId="0">
      <text>
        <t>fires when: !rank-elite &amp;&amp; ra2_soviets_doctrine_nuclearmunitions</t>
      </text>
    </comment>
    <comment ref="L154" authorId="0" shapeId="0">
      <text>
        <t>raw warhead damages: 8000, 4, 8000, 4, 8000, 4, 8000, 4
import scales all proportionally</t>
      </text>
    </comment>
    <comment ref="AB154" authorId="0" shapeId="0">
      <text>
        <t>fires when: !rank-elite &amp;&amp; ra2_soviets_doctrine_firemunitions</t>
      </text>
    </comment>
    <comment ref="L155" authorId="0" shapeId="0">
      <text>
        <t>raw warhead damages: 8000, 4, 8000, 4, 8000, 4, 8000, 4
import scales all proportionally</t>
      </text>
    </comment>
    <comment ref="AB155" authorId="0" shapeId="0">
      <text>
        <t>fires when: !rank-elite &amp;&amp; ra2_soviets_doctrine_teslamunitions</t>
      </text>
    </comment>
    <comment ref="L156" authorId="0" shapeId="0">
      <text>
        <t>raw warhead damages: 8000, 4, 8000, 4, 8000, 4, 8000, 4
import scales all proportionally</t>
      </text>
    </comment>
    <comment ref="AB156" authorId="0" shapeId="0">
      <text>
        <t>fires when: rank-elite  &amp;&amp; !ra2_soviets_doctrine_nuclearmunitions &amp;&amp; !ra2_soviets_doctrine_firemunitions &amp;&amp; !ra2_soviets_doctrine_teslamunitions</t>
      </text>
    </comment>
    <comment ref="L157" authorId="0" shapeId="0">
      <text>
        <t>raw warhead damages: 8000, 4, 8000, 4, 8000, 4, 8000, 4
import scales all proportionally</t>
      </text>
    </comment>
    <comment ref="AB157" authorId="0" shapeId="0">
      <text>
        <t>fires when: rank-elite &amp;&amp; ra2_soviets_doctrine_teslamunitions</t>
      </text>
    </comment>
    <comment ref="L158" authorId="0" shapeId="0">
      <text>
        <t>raw warhead damages: 8000, 4, 8000, 4, 8000, 4, 8000, 4
import scales all proportionally</t>
      </text>
    </comment>
    <comment ref="AB158" authorId="0" shapeId="0">
      <text>
        <t>fires when: !rank-elite</t>
      </text>
    </comment>
    <comment ref="L159" authorId="0" shapeId="0">
      <text>
        <t>raw warhead damages: 8000, 4, 8000, 4, 8000, 4, 8000, 4
import scales all proportionally</t>
      </text>
    </comment>
    <comment ref="AB159" authorId="0" shapeId="0">
      <text>
        <t>fires when: rank-elite</t>
      </text>
    </comment>
    <comment ref="L161" authorId="0" shapeId="0">
      <text>
        <t>raw warhead damages: 20000, 10000, 10, 20000, 10000, 10, 20000, 10
import scales all proportionally</t>
      </text>
    </comment>
    <comment ref="AB161" authorId="0" shapeId="0">
      <text>
        <t>fires when: !rank-elite</t>
      </text>
    </comment>
    <comment ref="L162" authorId="0" shapeId="0">
      <text>
        <t>raw warhead damages: 20000, 10000, 10, 20000, 10000, 10, 20000, 10
import scales all proportionally</t>
      </text>
    </comment>
    <comment ref="AB162" authorId="0" shapeId="0">
      <text>
        <t>fires when: rank-elite</t>
      </text>
    </comment>
    <comment ref="L164" authorId="0" shapeId="0">
      <text>
        <t>raw warhead damages: 2000, 1, 2000, 1
import scales all proportionally</t>
      </text>
    </comment>
    <comment ref="L168" authorId="0" shapeId="0">
      <text>
        <t>raw warhead damages: 2000, 1, 2000, 1
import scales all proportionally</t>
      </text>
    </comment>
    <comment ref="L169" authorId="0" shapeId="0">
      <text>
        <t>raw warhead damages: 2000, 1000, 1, 2000, 1
import scales all proportionally</t>
      </text>
    </comment>
    <comment ref="L171" authorId="0" shapeId="0">
      <text>
        <t>raw warhead damages: 2000, 1, 600, 2000, 1, 1000, 2000, 1, 2000, 1, 2000, 1
import scales all proportionally</t>
      </text>
    </comment>
    <comment ref="L172" authorId="0" shapeId="0">
      <text>
        <t>raw warhead damages: 2000, 1000, 1, 2000, 1000, 1, 2000, 1000, 1, 2000, 1000, 1, 2000, 1, 1000, 2000, 1
import scales all proportionally</t>
      </text>
    </comment>
    <comment ref="AB172" authorId="0" shapeId="0">
      <text>
        <t>fires when: steelconsortium_upgrade_quantumweaponpower</t>
      </text>
    </comment>
    <comment ref="L174" authorId="0" shapeId="0">
      <text>
        <t>raw warhead damages: 8000, 4, 8000, 4, 8000, 4, 8000, 4
import scales all proportionally</t>
      </text>
    </comment>
    <comment ref="AB174" authorId="0" shapeId="0">
      <text>
        <t>fires when: !rank-elite</t>
      </text>
    </comment>
    <comment ref="L175" authorId="0" shapeId="0">
      <text>
        <t>raw warhead damages: 8000, 4, 8000, 4, 8000, 4, 8000, 4
import scales all proportionally</t>
      </text>
    </comment>
    <comment ref="AB175" authorId="0" shapeId="0">
      <text>
        <t>fires when: rank-elite</t>
      </text>
    </comment>
    <comment ref="L176" authorId="0" shapeId="0">
      <text>
        <t>raw warhead damages: 8000, 4, 8000, 4, 8000, 4, 8000, 4
import scales all proportionally</t>
      </text>
    </comment>
    <comment ref="AB176" authorId="0" shapeId="0">
      <text>
        <t>fires when: !rank-elite</t>
      </text>
    </comment>
    <comment ref="L177" authorId="0" shapeId="0">
      <text>
        <t>raw warhead damages: 8000, 4, 8000, 4, 8000, 4, 8000, 4
import scales all proportionally</t>
      </text>
    </comment>
    <comment ref="AB177" authorId="0" shapeId="0">
      <text>
        <t>fires when: rank-elite</t>
      </text>
    </comment>
    <comment ref="L179" authorId="0" shapeId="0">
      <text>
        <t>raw warhead damages: 2000, 1000, 1, 2000, 1, 2000, 1
import scales all proportionally</t>
      </text>
    </comment>
    <comment ref="L181" authorId="0" shapeId="0">
      <text>
        <t>raw warhead damages: 16000, 500, 8, 16000, 8
import scales all proportionally</t>
      </text>
    </comment>
    <comment ref="AB181" authorId="0" shapeId="0">
      <text>
        <t>fires when: !tkm_upgrade_cryorocketsupgrade &amp;&amp; !tkm_upgrade_twinrocketsupgrade &amp;&amp; !uptitanarsenalupgrade</t>
      </text>
    </comment>
    <comment ref="L182" authorId="0" shapeId="0">
      <text>
        <t>raw warhead damages: 16000, 500, 8, 16000, 8
import scales all proportionally</t>
      </text>
    </comment>
    <comment ref="AB182" authorId="0" shapeId="0">
      <text>
        <t>fires when: tkm_upgrade_cryorocketsupgrade</t>
      </text>
    </comment>
    <comment ref="L183" authorId="0" shapeId="0">
      <text>
        <t>raw warhead damages: 16000, 500, 8, 16000, 8
import scales all proportionally</t>
      </text>
    </comment>
    <comment ref="AB183" authorId="0" shapeId="0">
      <text>
        <t>fires when: tkm_upgrade_twinrocketsupgrade</t>
      </text>
    </comment>
    <comment ref="L184" authorId="0" shapeId="0">
      <text>
        <t>raw warhead damages: 16000, 500, 8, 16000, 8, 6000, 2000, 2, 1000, 1
import scales all proportionally</t>
      </text>
    </comment>
    <comment ref="AB184" authorId="0" shapeId="0">
      <text>
        <t>fires when: tkm_upgrade_incendiaryrocketsupgrade</t>
      </text>
    </comment>
    <comment ref="L186" authorId="0" shapeId="0">
      <text>
        <t>raw warhead damages: 40000, 20000, 20
import scales all proportionally</t>
      </text>
    </comment>
    <comment ref="L188" authorId="0" shapeId="0">
      <text>
        <t>raw warhead damages: 2000, 1, 2000, 1000, 1, 2000, 1, 2000, 1, 2000, 1, 2000, 1, 10000
import scales all proportionally</t>
      </text>
    </comment>
    <comment ref="L190" authorId="0" shapeId="0">
      <text>
        <t>raw warhead damages: 20000, 10000, 10, 20000, 10000, 10, 20000, 10000, 10, 20000, 10000, 10, 20000, 10
import scales all proportionally</t>
      </text>
    </comment>
    <comment ref="L192" authorId="0" shapeId="0">
      <text>
        <t>raw warhead damages: 2000, 1000, 1, 2000, 1000, 1, 2000, 1, 600
import scales all proportionally</t>
      </text>
    </comment>
    <comment ref="L194" authorId="0" shapeId="0">
      <text>
        <t>raw warhead damages: 2000, 1, 2000, 1000, 1, 2000, 1, 2000, 1, 2000, 1, 2000, 1
import scales all proportionally</t>
      </text>
    </comment>
    <comment ref="L195" authorId="0" shapeId="0">
      <text>
        <t>raw warhead damages: 4000, 2, 4000, 2, 4000, 2
import scales all proportionally</t>
      </text>
    </comment>
    <comment ref="AB195" authorId="0" shapeId="0">
      <text>
        <t>fires when: !ixian_upgrade_tungstenneedleguns</t>
      </text>
    </comment>
    <comment ref="L196" authorId="0" shapeId="0">
      <text>
        <t>raw warhead damages: 2000, 1, 4000, 2, 2000, 1, 2000, 1
import scales all proportionally</t>
      </text>
    </comment>
    <comment ref="AB196" authorId="0" shapeId="0">
      <text>
        <t>fires when: ixian_upgrade_tungstenneedleguns</t>
      </text>
    </comment>
    <comment ref="L198" authorId="0" shapeId="0">
      <text>
        <t>raw warhead damages: 30000, 15000, 15, 30000, 15, 30000, 15000, 15
import scales all proportionally</t>
      </text>
    </comment>
    <comment ref="L201" authorId="0" shapeId="0">
      <text>
        <t>raw warhead damages: 2000, 1, 2000, 1, 2000, 1000, 1, 2000, 1000, 1, 2000, 1, 2000, 1
import scales all proportionally</t>
      </text>
    </comment>
    <comment ref="AB201" authorId="0" shapeId="0">
      <text>
        <t>fires when: !td_gdi_upgrade_advancedmissiletargeting</t>
      </text>
    </comment>
    <comment ref="L202" authorId="0" shapeId="0">
      <text>
        <t>raw warhead damages: 2000, 1, 2000, 1, 2000, 1000, 1, 2000, 1000, 1, 2000, 1, 2000, 1
import scales all proportionally</t>
      </text>
    </comment>
    <comment ref="AB202" authorId="0" shapeId="0">
      <text>
        <t>fires when: td_gdi_upgrade_advancedmissiletargeting</t>
      </text>
    </comment>
    <comment ref="L204" authorId="0" shapeId="0">
      <text>
        <t>raw warhead damages: 4000, 2
import scales all proportionally</t>
      </text>
    </comment>
    <comment ref="L205" authorId="0" shapeId="0">
      <text>
        <t>raw warhead damages: 2000, 1
import scales all proportionally</t>
      </text>
    </comment>
    <comment ref="AB205" authorId="0" shapeId="0">
      <text>
        <t>fires when: td_nod_upgrade_blackmarketupgrades</t>
      </text>
    </comment>
    <comment ref="L207" authorId="0" shapeId="0">
      <text>
        <t>raw warhead damages: 2000, 1000, 1, 2000, 1, 2000, 1, 2000, 1, 600
import scales all proportionally</t>
      </text>
    </comment>
    <comment ref="L209" authorId="0" shapeId="0">
      <text>
        <t>raw warhead damages: 32000, 16, 32000, 16
import scales all proportionally</t>
      </text>
    </comment>
    <comment ref="AB209" authorId="0" shapeId="0">
      <text>
        <t>fires when: !japan_upgrade_energizedarrows</t>
      </text>
    </comment>
    <comment ref="L210" authorId="0" shapeId="0">
      <text>
        <t>raw warhead damages: 16000, 8000, 8, 16000, 8000, 8, 16000, 8, 16000, 8
import scales all proportionally</t>
      </text>
    </comment>
    <comment ref="AB210" authorId="0" shapeId="0">
      <text>
        <t>fires when: japan_upgrade_energizedarrows</t>
      </text>
    </comment>
    <comment ref="L211" authorId="0" shapeId="0">
      <text>
        <t>raw warhead damages: 8000, 4000, 4, 8000, 4
import scales all proportionally</t>
      </text>
    </comment>
    <comment ref="AB211" authorId="0" shapeId="0">
      <text>
        <t>fires when: !japan_upgrade_advancedplasmaweapons</t>
      </text>
    </comment>
    <comment ref="L212" authorId="0" shapeId="0">
      <text>
        <t>raw warhead damages: 4000, 2000, 2, 4000, 2, 4000, 2000, 2, 4000, 2
import scales all proportionally</t>
      </text>
    </comment>
    <comment ref="AB212" authorId="0" shapeId="0">
      <text>
        <t>fires when: japan_upgrade_advancedplasmaweapons</t>
      </text>
    </comment>
    <comment ref="L213" authorId="0" shapeId="0">
      <text>
        <t>raw warhead damages: 1000, 500, 1, 2000, 1
import scales all proportionally</t>
      </text>
    </comment>
    <comment ref="AB213" authorId="0" shapeId="0">
      <text>
        <t>fires when: !japan_upgrade_waveforcebullets</t>
      </text>
    </comment>
    <comment ref="L214" authorId="0" shapeId="0">
      <text>
        <t>raw warhead damages: 2000, 1, 1000, 1000, 500, 1, 2000, 1
import scales all proportionally</t>
      </text>
    </comment>
    <comment ref="AB214" authorId="0" shapeId="0">
      <text>
        <t>fires when: japan_upgrade_waveforcebullets</t>
      </text>
    </comment>
    <comment ref="L216" authorId="0" shapeId="0">
      <text>
        <t>raw warhead damages: 2000, 1000, 1, 2000, 1000, 1, 2000, 1, 2000, 1
import scales all proportionally</t>
      </text>
    </comment>
    <comment ref="AB216" authorId="0" shapeId="0">
      <text>
        <t>fires when: !ra1_soviets_upgrade_highexplosiverockets &amp;&amp; !ra1_soviets_upgrade_thermonuclearrockets &amp;&amp; !ra1_soviets_promotion_hurricanerocketpods</t>
      </text>
    </comment>
    <comment ref="L217" authorId="0" shapeId="0">
      <text>
        <t>raw warhead damages: 2000, 1000, 1, 2000, 1000, 1, 2000, 1, 2000, 1
import scales all proportionally</t>
      </text>
    </comment>
    <comment ref="AB217" authorId="0" shapeId="0">
      <text>
        <t>fires when: !ra1_soviets_upgrade_highexplosiverockets &amp;&amp; !ra1_soviets_upgrade_thermonuclearrockets &amp;&amp; ra1_soviets_promotion_hurricanerocketpods</t>
      </text>
    </comment>
    <comment ref="L218" authorId="0" shapeId="0">
      <text>
        <t>raw warhead damages: 2000, 1000, 1, 2000, 1000, 1, 2000, 1, 2000, 1
import scales all proportionally</t>
      </text>
    </comment>
    <comment ref="AB218" authorId="0" shapeId="0">
      <text>
        <t>fires when: !ra1_soviets_upgrade_highexplosiverockets &amp;&amp; !ra1_soviets_upgrade_thermonuclearrockets &amp;&amp; ra1_soviets_promotion_hurricanerocketpods</t>
      </text>
    </comment>
    <comment ref="L219" authorId="0" shapeId="0">
      <text>
        <t>raw warhead damages: 2000, 1000, 1, 2000, 1000, 1, 2000, 1000, 1, 2000, 1, 2000, 1
import scales all proportionally</t>
      </text>
    </comment>
    <comment ref="AB219" authorId="0" shapeId="0">
      <text>
        <t>fires when: ra1_soviets_upgrade_highexplosiverockets &amp;&amp; !ra1_soviets_promotion_hurricanerocketpods</t>
      </text>
    </comment>
    <comment ref="L220" authorId="0" shapeId="0">
      <text>
        <t>raw warhead damages: 2000, 1000, 1, 2000, 1000, 1, 2000, 1000, 1, 2000, 1, 2000, 1
import scales all proportionally</t>
      </text>
    </comment>
    <comment ref="AB220" authorId="0" shapeId="0">
      <text>
        <t>fires when: ra1_soviets_upgrade_highexplosiverockets &amp;&amp; ra1_soviets_promotion_hurricanerocketpods</t>
      </text>
    </comment>
    <comment ref="L221" authorId="0" shapeId="0">
      <text>
        <t>raw warhead damages: 2000, 1000, 1, 2000, 1000, 1, 2000, 1000, 1, 2000, 1, 2000, 1
import scales all proportionally</t>
      </text>
    </comment>
    <comment ref="AB221" authorId="0" shapeId="0">
      <text>
        <t>fires when: ra1_soviets_upgrade_highexplosiverockets &amp;&amp; ra1_soviets_promotion_hurricanerocketpods</t>
      </text>
    </comment>
    <comment ref="L222" authorId="0" shapeId="0">
      <text>
        <t>raw warhead damages: 2000, 1, 2000, 1000, 1, 2000, 1, 2000, 1
import scales all proportionally</t>
      </text>
    </comment>
    <comment ref="AB222" authorId="0" shapeId="0">
      <text>
        <t>fires when: ra1_soviets_upgrade_thermonuclearrockets &amp;&amp; !ra1_soviets_promotion_hurricanerocketpods</t>
      </text>
    </comment>
    <comment ref="L223" authorId="0" shapeId="0">
      <text>
        <t>raw warhead damages: 2000, 1, 2000, 1000, 1, 2000, 1, 2000, 1
import scales all proportionally</t>
      </text>
    </comment>
    <comment ref="AB223" authorId="0" shapeId="0">
      <text>
        <t>fires when: ra1_soviets_upgrade_thermonuclearrockets &amp;&amp; ra1_soviets_promotion_hurricanerocketpods</t>
      </text>
    </comment>
    <comment ref="L224" authorId="0" shapeId="0">
      <text>
        <t>raw warhead damages: 2000, 1, 2000, 1000, 1, 2000, 1, 2000, 1
import scales all proportionally</t>
      </text>
    </comment>
    <comment ref="AB224" authorId="0" shapeId="0">
      <text>
        <t>fires when: ra1_soviets_upgrade_thermonuclearrockets &amp;&amp; ra1_soviets_promotion_hurricanerocketpods</t>
      </text>
    </comment>
    <comment ref="L225" authorId="0" shapeId="0">
      <text>
        <t>raw warhead damages: 2000, 1
import scales all proportionally</t>
      </text>
    </comment>
    <comment ref="AB225" authorId="0" shapeId="0">
      <text>
        <t>fires when: !ra1_soviets_upgrade_incendiarybullets</t>
      </text>
    </comment>
    <comment ref="L226" authorId="0" shapeId="0">
      <text>
        <t>raw warhead damages: 2000, 1
import scales all proportionally</t>
      </text>
    </comment>
    <comment ref="AB226" authorId="0" shapeId="0">
      <text>
        <t>fires when: !ra1_soviets_upgrade_incendiarybullets</t>
      </text>
    </comment>
    <comment ref="L227" authorId="0" shapeId="0">
      <text>
        <t>raw warhead damages: 2000, 1, 2000, 1000, 1
import scales all proportionally</t>
      </text>
    </comment>
    <comment ref="AB227" authorId="0" shapeId="0">
      <text>
        <t>fires when: ra1_soviets_upgrade_incendiarybullets</t>
      </text>
    </comment>
    <comment ref="L228" authorId="0" shapeId="0">
      <text>
        <t>raw warhead damages: 2000, 1, 2000, 1000, 1
import scales all proportionally</t>
      </text>
    </comment>
    <comment ref="AB228" authorId="0" shapeId="0">
      <text>
        <t>fires when: ra1_soviets_upgrade_incendiarybullets</t>
      </text>
    </comment>
    <comment ref="L230" authorId="0" shapeId="0">
      <text>
        <t>raw warhead damages: 16000, 8, 16000, 8000, 8
import scales all proportionally</t>
      </text>
    </comment>
    <comment ref="AB230" authorId="0" shapeId="0">
      <text>
        <t>fires when: !ra1_soviets_upgrade_teslaarcing</t>
      </text>
    </comment>
    <comment ref="L231" authorId="0" shapeId="0">
      <text>
        <t>raw warhead damages: 16000, 8, 16000, 8000, 8
import scales all proportionally</t>
      </text>
    </comment>
    <comment ref="AB231" authorId="0" shapeId="0">
      <text>
        <t>fires when: ra1_soviets_upgrade_teslaarcing</t>
      </text>
    </comment>
    <comment ref="L232" authorId="0" shapeId="0">
      <text>
        <t>raw warhead damages: 2000, 1000, 1, 2000, 1000, 1, 2000, 1, 2000, 1
import scales all proportionally</t>
      </text>
    </comment>
    <comment ref="AB232" authorId="0" shapeId="0">
      <text>
        <t>fires when: !ra1_soviets_upgrade_teslarockets &amp;&amp; !ra1_soviets_promotion_hurricanerocketpods</t>
      </text>
    </comment>
    <comment ref="L233" authorId="0" shapeId="0">
      <text>
        <t>raw warhead damages: 2000, 1000, 1, 2000, 1000, 1, 2000, 1, 2000, 1
import scales all proportionally</t>
      </text>
    </comment>
    <comment ref="AB233" authorId="0" shapeId="0">
      <text>
        <t>fires when: !ra1_soviets_upgrade_teslarockets &amp;&amp; ra1_soviets_promotion_hurricanerocketpods</t>
      </text>
    </comment>
    <comment ref="L234" authorId="0" shapeId="0">
      <text>
        <t>raw warhead damages: 2000, 1000, 1, 2000, 1000, 1, 2000, 1, 2000, 1
import scales all proportionally</t>
      </text>
    </comment>
    <comment ref="AB234" authorId="0" shapeId="0">
      <text>
        <t>fires when: !ra1_soviets_upgrade_teslarockets &amp;&amp; ra1_soviets_promotion_hurricanerocketpods</t>
      </text>
    </comment>
    <comment ref="L235" authorId="0" shapeId="0">
      <text>
        <t>raw warhead damages: 2000, 1000, 1, 2000, 1000, 1, 2000, 1000, 1, 2000, 1000, 1, 2000, 1
import scales all proportionally</t>
      </text>
    </comment>
    <comment ref="AB235" authorId="0" shapeId="0">
      <text>
        <t>fires when: ra1_soviets_upgrade_teslarockets &amp;&amp; !ra1_soviets_promotion_hurricanerocketpods</t>
      </text>
    </comment>
    <comment ref="L236" authorId="0" shapeId="0">
      <text>
        <t>raw warhead damages: 2000, 1000, 1, 2000, 1000, 1, 2000, 1000, 1, 2000, 1000, 1, 2000, 1
import scales all proportionally</t>
      </text>
    </comment>
    <comment ref="AB236" authorId="0" shapeId="0">
      <text>
        <t>fires when: ra1_soviets_upgrade_teslarockets &amp;&amp; ra1_soviets_promotion_hurricanerocketpods</t>
      </text>
    </comment>
    <comment ref="L237" authorId="0" shapeId="0">
      <text>
        <t>raw warhead damages: 2000, 1000, 1, 2000, 1000, 1, 2000, 1000, 1, 2000, 1000, 1, 2000, 1
import scales all proportionally</t>
      </text>
    </comment>
    <comment ref="AB237" authorId="0" shapeId="0">
      <text>
        <t>fires when: ra1_soviets_upgrade_teslarockets &amp;&amp; ra1_soviets_promotion_hurricanerocketpods</t>
      </text>
    </comment>
    <comment ref="L238" authorId="0" shapeId="0">
      <text>
        <t>raw warhead damages: 2000, 1
import scales all proportionally</t>
      </text>
    </comment>
    <comment ref="AB238" authorId="0" shapeId="0">
      <text>
        <t>fires when: !ra1_soviets_upgrade_incendiarybullets</t>
      </text>
    </comment>
    <comment ref="L239" authorId="0" shapeId="0">
      <text>
        <t>raw warhead damages: 2000, 1
import scales all proportionally</t>
      </text>
    </comment>
    <comment ref="AB239" authorId="0" shapeId="0">
      <text>
        <t>fires when: !ra1_soviets_upgrade_incendiarybullets</t>
      </text>
    </comment>
    <comment ref="L240" authorId="0" shapeId="0">
      <text>
        <t>raw warhead damages: 2000, 1, 2000, 1000, 1
import scales all proportionally</t>
      </text>
    </comment>
    <comment ref="AB240" authorId="0" shapeId="0">
      <text>
        <t>fires when: ra1_soviets_upgrade_incendiarybullets</t>
      </text>
    </comment>
    <comment ref="L241" authorId="0" shapeId="0">
      <text>
        <t>raw warhead damages: 2000, 1, 2000, 1000, 1
import scales all proportionally</t>
      </text>
    </comment>
    <comment ref="AB241" authorId="0" shapeId="0">
      <text>
        <t>fires when: ra1_soviets_upgrade_incendiarybullets</t>
      </text>
    </comment>
    <comment ref="L243" authorId="0" shapeId="0">
      <text>
        <t>raw warhead damages: 2000, 1, 2000, 1000, 1, 2000, 1, 2000, 1
import scales all proportionally</t>
      </text>
    </comment>
    <comment ref="L244" authorId="0" shapeId="0">
      <text>
        <t>raw warhead damages: 2000, 1, 2000, 1000, 1, 2000, 1, 2000, 1
import scales all proportionally</t>
      </text>
    </comment>
    <comment ref="L246" authorId="0" shapeId="0">
      <text>
        <t>raw warhead damages: 8000, 4000, 4, 8000, 4
import scales all proportionally</t>
      </text>
    </comment>
    <comment ref="AB246" authorId="0" shapeId="0">
      <text>
        <t>fires when: !ra1_allies_upgrade_cryomissiles</t>
      </text>
    </comment>
    <comment ref="L247" authorId="0" shapeId="0">
      <text>
        <t>raw warhead damages: 8000, 4000, 4, 8000, 4
import scales all proportionally</t>
      </text>
    </comment>
    <comment ref="AB247" authorId="0" shapeId="0">
      <text>
        <t>fires when: ra1_allies_upgrade_cryomissiles</t>
      </text>
    </comment>
    <comment ref="L249" authorId="0" shapeId="0">
      <text>
        <t>raw warhead damages: 8000, 4, 600, 8000, 4
import scales all proportionally</t>
      </text>
    </comment>
    <comment ref="L250" authorId="0" shapeId="0">
      <text>
        <t>raw warhead damages: 4000, 2, 4000, 2, 4000, 2000, 2, 4000, 2000, 2, 4000, 2, 4000, 2
import scales all proportionally</t>
      </text>
    </comment>
    <comment ref="L252" authorId="0" shapeId="0">
      <text>
        <t>raw warhead damages: 10000, 5, 600, 10000, 5, 1000, 10000, 5
import scales all proportionally</t>
      </text>
    </comment>
    <comment ref="L253" authorId="0" shapeId="0">
      <text>
        <t>raw warhead damages: 4000, 2, 4000, 2, 4000, 2000, 2, 4000, 2000, 2, 4000, 2, 4000, 2
import scales all proportionally</t>
      </text>
    </comment>
    <comment ref="L255" authorId="0" shapeId="0">
      <text>
        <t>raw warhead damages: 12500, 5, 600
import scales all proportionally</t>
      </text>
    </comment>
    <comment ref="L256" authorId="0" shapeId="0">
      <text>
        <t>raw warhead damages: 12500, 5, 600
import scales all proportionally</t>
      </text>
    </comment>
    <comment ref="L258" authorId="0" shapeId="0">
      <text>
        <t>raw warhead damages: -1600, -1000, -1
import scales all proportionally</t>
      </text>
    </comment>
    <comment ref="L260" authorId="0" shapeId="0">
      <text>
        <t>raw warhead damages: 4000, 2
import scales all proportionally</t>
      </text>
    </comment>
    <comment ref="AB260" authorId="0" shapeId="0">
      <text>
        <t>fires when: !ts_nod_upgrade_tiberiumlenses &amp;&amp; !ts_nod_upgrade_auxiliaryweapon</t>
      </text>
    </comment>
    <comment ref="L261" authorId="0" shapeId="0">
      <text>
        <t>raw warhead damages: 0, 0
import scales all proportionally</t>
      </text>
    </comment>
    <comment ref="AB261" authorId="0" shapeId="0">
      <text>
        <t>fires when: !ts_nod_upgrade_tiberiumlenses &amp;&amp; ts_nod_upgrade_auxiliaryweapon</t>
      </text>
    </comment>
    <comment ref="L262" authorId="0" shapeId="0">
      <text>
        <t>raw warhead damages: 4000, 2
import scales all proportionally</t>
      </text>
    </comment>
    <comment ref="AB262" authorId="0" shapeId="0">
      <text>
        <t>fires when: !ts_nod_upgrade_tiberiumlenses &amp;&amp; ts_nod_upgrade_auxiliaryweapon</t>
      </text>
    </comment>
    <comment ref="L263" authorId="0" shapeId="0">
      <text>
        <t>raw warhead damages: 4000, 2, 4000, 2, 600
import scales all proportionally</t>
      </text>
    </comment>
    <comment ref="AB263" authorId="0" shapeId="0">
      <text>
        <t>fires when: ts_nod_upgrade_tiberiumlenses &amp;&amp; !ts_nod_upgrade_auxiliaryweapon</t>
      </text>
    </comment>
    <comment ref="L264" authorId="0" shapeId="0">
      <text>
        <t>raw warhead damages: 0, 0, 0, 0, 600
import scales all proportionally</t>
      </text>
    </comment>
    <comment ref="AB264" authorId="0" shapeId="0">
      <text>
        <t>fires when: ts_nod_upgrade_tiberiumlenses &amp;&amp; ts_nod_upgrade_auxiliaryweapon</t>
      </text>
    </comment>
    <comment ref="L265" authorId="0" shapeId="0">
      <text>
        <t>raw warhead damages: 4000, 2, 4000, 2, 600
import scales all proportionally</t>
      </text>
    </comment>
    <comment ref="AB265" authorId="0" shapeId="0">
      <text>
        <t>fires when: ts_nod_upgrade_tiberiumlenses &amp;&amp; ts_nod_upgrade_auxiliaryweapon</t>
      </text>
    </comment>
    <comment ref="L267" authorId="0" shapeId="0">
      <text>
        <t>raw warhead damages: 4000, 2
import scales all proportionally</t>
      </text>
    </comment>
    <comment ref="L269" authorId="0" shapeId="0">
      <text>
        <t>raw warhead damages: 4000, 2, 4000, 2, 4000, 2000, 2, 4000, 2000, 2, 4000, 2, 4000, 2
import scales all proportionally</t>
      </text>
    </comment>
    <comment ref="AB269" authorId="0" shapeId="0">
      <text>
        <t>fires when: !ts_gdi_upgrade_sonicweaponry</t>
      </text>
    </comment>
    <comment ref="L270" authorId="0" shapeId="0">
      <text>
        <t>raw warhead damages: 4000, 2, 4000, 2, 4000, 2000, 2, 4000, 2000, 2, 4000, 2, 4000, 2, 4000, 2000, 2, 4000, 2, 888
import scales all proportionally</t>
      </text>
    </comment>
    <comment ref="AB270" authorId="0" shapeId="0">
      <text>
        <t>fires when: ts_gdi_upgrade_sonicweaponry</t>
      </text>
    </comment>
    <comment ref="L272" authorId="0" shapeId="0">
      <text>
        <t>raw warhead damages: 4000, 2, 4000, 2, 4000, 2000, 2, 4000, 2000, 2, 4000, 2, 4000, 2
import scales all proportionally</t>
      </text>
    </comment>
    <comment ref="AB272" authorId="0" shapeId="0">
      <text>
        <t>fires when: !ts_gdi_upgrade_sonicweaponry</t>
      </text>
    </comment>
    <comment ref="L273" authorId="0" shapeId="0">
      <text>
        <t>raw warhead damages: 4000, 2, 4000, 2, 4000, 2000, 2, 4000, 2000, 2, 4000, 2, 4000, 2, 4000, 2000, 2, 4000, 2, 888
import scales all proportionally</t>
      </text>
    </comment>
    <comment ref="AB273" authorId="0" shapeId="0">
      <text>
        <t>fires when: ts_gdi_upgrade_sonicweaponry</t>
      </text>
    </comment>
    <comment ref="L275" authorId="0" shapeId="0">
      <text>
        <t>raw warhead damages: 4000, 2, 4000, 2, 4000, 2000, 2, 4000, 2000, 2, 4000, 2, 4000, 2
import scales all proportionally</t>
      </text>
    </comment>
    <comment ref="AB275" authorId="0" shapeId="0">
      <text>
        <t>fires when: !forgotten_upgrade_chemicalweapons</t>
      </text>
    </comment>
    <comment ref="L276" authorId="0" shapeId="0">
      <text>
        <t>raw warhead damages: 12000, 6000, 6, 4000, 2, 4000, 2, 4000, 2000, 2, 4000, 2000, 2, 4000, 2, 4000, 2
import scales all proportionally</t>
      </text>
    </comment>
    <comment ref="AB276" authorId="0" shapeId="0">
      <text>
        <t>fires when: forgotten_upgrade_chemicalweapons</t>
      </text>
    </comment>
    <comment ref="L278" authorId="0" shapeId="0">
      <text>
        <t>raw warhead damages: 4000, 2, 4000, 2, 4000, 2000, 2, 4000, 2000, 2, 4000, 2, 4000, 2
import scales all proportionally</t>
      </text>
    </comment>
    <comment ref="AB278" authorId="0" shapeId="0">
      <text>
        <t>fires when: !forgotten_upgrade_chemicalweapons</t>
      </text>
    </comment>
    <comment ref="L279" authorId="0" shapeId="0">
      <text>
        <t>raw warhead damages: 12000, 6000, 6, 4000, 2, 4000, 2, 4000, 2000, 2, 4000, 2000, 2, 4000, 2, 4000, 2
import scales all proportionally</t>
      </text>
    </comment>
    <comment ref="AB279" authorId="0" shapeId="0">
      <text>
        <t>fires when: forgotten_upgrade_chemicalweapons</t>
      </text>
    </comment>
    <comment ref="L281" authorId="0" shapeId="0">
      <text>
        <t>raw warhead damages: 4000, 2
import scales all proportionally</t>
      </text>
    </comment>
    <comment ref="L283" authorId="0" shapeId="0">
      <text>
        <t>raw warhead damages: 2000, 1, 2000, 1
import scales all proportionally</t>
      </text>
    </comment>
    <comment ref="L285" authorId="0" shapeId="0">
      <text>
        <t>raw warhead damages: 2000, 1, 2000, 1
import scales all proportionally</t>
      </text>
    </comment>
    <comment ref="AB285" authorId="0" shapeId="0">
      <text>
        <t>fires when: undeployed</t>
      </text>
    </comment>
    <comment ref="AB286" authorId="0" shapeId="0">
      <text>
        <t>fires when: botmicro</t>
      </text>
    </comment>
    <comment ref="L287" authorId="0" shapeId="0">
      <text>
        <t>raw warhead damages: 60000, 30000, 30, 60000, 30000, 30
import scales all proportionally</t>
      </text>
    </comment>
    <comment ref="AB287" authorId="0" shapeId="0">
      <text>
        <t>fires when: !rank-elite &amp;&amp; !ra2_soviets_doctrine_nuclearmunitions &amp;&amp; !ra2_soviets_doctrine_firemunitions &amp;&amp; !ra2_soviets_doctrine_teslamunitions &amp;&amp; deployed</t>
      </text>
    </comment>
    <comment ref="L288" authorId="0" shapeId="0">
      <text>
        <t>raw warhead damages: 36000, 18000, 18, 36000, 18000, 18, 36000, 18000, 18, 36000, 18000, 18
import scales all proportionally</t>
      </text>
    </comment>
    <comment ref="AB288" authorId="0" shapeId="0">
      <text>
        <t>fires when: !rank-elite &amp;&amp; ra2_soviets_doctrine_nuclearmunitions &amp;&amp; deployed</t>
      </text>
    </comment>
    <comment ref="L289" authorId="0" shapeId="0">
      <text>
        <t>raw warhead damages: 60000, 30000, 30, 60000, 30000, 30
import scales all proportionally</t>
      </text>
    </comment>
    <comment ref="AB289" authorId="0" shapeId="0">
      <text>
        <t>fires when: !rank-elite &amp;&amp; ra2_soviets_doctrine_firemunitions &amp;&amp; deployed</t>
      </text>
    </comment>
    <comment ref="L290" authorId="0" shapeId="0">
      <text>
        <t>raw warhead damages: 60000, 30000, 30, 60000, 30000, 30
import scales all proportionally</t>
      </text>
    </comment>
    <comment ref="AB290" authorId="0" shapeId="0">
      <text>
        <t>fires when: !rank-elite &amp;&amp; ra2_soviets_doctrine_teslamunitions &amp;&amp; deployed</t>
      </text>
    </comment>
    <comment ref="L291" authorId="0" shapeId="0">
      <text>
        <t>raw warhead damages: 60000, 30000, 30, 60000, 30000, 30
import scales all proportionally</t>
      </text>
    </comment>
    <comment ref="AB291" authorId="0" shapeId="0">
      <text>
        <t>fires when: rank-elite &amp;&amp; !ra2_soviets_doctrine_nuclearmunitions &amp;&amp; !ra2_soviets_doctrine_firemunitions &amp;&amp; !ra2_soviets_doctrine_teslamunitions &amp;&amp; deployed</t>
      </text>
    </comment>
    <comment ref="L292" authorId="0" shapeId="0">
      <text>
        <t>raw warhead damages: 36000, 18, 36000, 18000, 18, 36000, 18000, 18, 36000, 18000, 18, 36000, 18000, 18
import scales all proportionally</t>
      </text>
    </comment>
    <comment ref="AB292" authorId="0" shapeId="0">
      <text>
        <t>fires when: rank-elite &amp;&amp; ra2_soviets_doctrine_nuclearmunitions &amp;&amp; deployed</t>
      </text>
    </comment>
    <comment ref="L293" authorId="0" shapeId="0">
      <text>
        <t>raw warhead damages: 60000, 30000, 30, 60000, 30000, 30
import scales all proportionally</t>
      </text>
    </comment>
    <comment ref="AB293" authorId="0" shapeId="0">
      <text>
        <t>fires when: rank-elite &amp;&amp; ra2_soviets_doctrine_firemunitions &amp;&amp; deployed</t>
      </text>
    </comment>
    <comment ref="L294" authorId="0" shapeId="0">
      <text>
        <t>raw warhead damages: 60000, 30000, 30, 60000, 30000, 30
import scales all proportionally</t>
      </text>
    </comment>
    <comment ref="AB294" authorId="0" shapeId="0">
      <text>
        <t>fires when: rank-elite &amp;&amp; ra2_soviets_doctrine_teslamunitions &amp;&amp; deployed</t>
      </text>
    </comment>
    <comment ref="L296" authorId="0" shapeId="0">
      <text>
        <t>raw warhead damages: 2000, 1, 2000, 1
import scales all proportionally</t>
      </text>
    </comment>
    <comment ref="L298" authorId="0" shapeId="0">
      <text>
        <t>raw warhead damages: 4000, 2000, 2, 4000, 2, 4000, 2
import scales all proportionally</t>
      </text>
    </comment>
    <comment ref="AB298" authorId="0" shapeId="0">
      <text>
        <t>fires when: !rank-elite</t>
      </text>
    </comment>
    <comment ref="L299" authorId="0" shapeId="0">
      <text>
        <t>raw warhead damages: 4000, 2000, 2, 4000, 2, 4000, 2
import scales all proportionally</t>
      </text>
    </comment>
    <comment ref="AB299" authorId="0" shapeId="0">
      <text>
        <t>fires when: rank-elite</t>
      </text>
    </comment>
    <comment ref="L300" authorId="0" shapeId="0">
      <text>
        <t>raw warhead damages: 2000, 1, 2000, 1, 2000, 1
import scales all proportionally</t>
      </text>
    </comment>
    <comment ref="AB300" authorId="0" shapeId="0">
      <text>
        <t>fires when: asianalliance_doctrine_asianphalanx &amp;&amp; !rank-elite</t>
      </text>
    </comment>
    <comment ref="L301" authorId="0" shapeId="0">
      <text>
        <t>raw warhead damages: 2000, 1, 2000, 1, 2000, 1
import scales all proportionally</t>
      </text>
    </comment>
    <comment ref="AB301" authorId="0" shapeId="0">
      <text>
        <t>fires when: asianalliance_doctrine_asianphalanx &amp;&amp; rank-elite</t>
      </text>
    </comment>
    <comment ref="L303" authorId="0" shapeId="0">
      <text>
        <t>raw warhead damages: 2000, 1, 2000, 1
import scales all proportionally</t>
      </text>
    </comment>
    <comment ref="L305" authorId="0" shapeId="0">
      <text>
        <t>raw warhead damages: 24000, 12, 600, 24000, 12, 1000
import scales all proportionally</t>
      </text>
    </comment>
    <comment ref="AB305" authorId="0" shapeId="0">
      <text>
        <t>fires when: !rank-elite</t>
      </text>
    </comment>
    <comment ref="L306" authorId="0" shapeId="0">
      <text>
        <t>raw warhead damages: 16000, 8000, 8, 16000, 8, 600, 16000, 8, 1000
import scales all proportionally</t>
      </text>
    </comment>
    <comment ref="AB306" authorId="0" shapeId="0">
      <text>
        <t>fires when: !rank-elite &amp;&amp; steelconsortium_upgrade_quantumweaponpower</t>
      </text>
    </comment>
    <comment ref="L307" authorId="0" shapeId="0">
      <text>
        <t>raw warhead damages: 24000, 12000, 12, 24000, 12, 600, 24000, 12, 1000
import scales all proportionally</t>
      </text>
    </comment>
    <comment ref="AB307" authorId="0" shapeId="0">
      <text>
        <t>fires when: rank-elite</t>
      </text>
    </comment>
    <comment ref="L309" authorId="0" shapeId="0">
      <text>
        <t>raw warhead damages: 2000, 1, 2000, 1
import scales all proportionally</t>
      </text>
    </comment>
    <comment ref="L311" authorId="0" shapeId="0">
      <text>
        <t>raw warhead damages: 2000, 1000, 1, 2000, 1, 2000, 1, 2000, 1
import scales all proportionally</t>
      </text>
    </comment>
    <comment ref="AB311" authorId="0" shapeId="0">
      <text>
        <t>fires when: !rank-elite</t>
      </text>
    </comment>
    <comment ref="L312" authorId="0" shapeId="0">
      <text>
        <t>raw warhead damages: 2000, 1000, 1, 2000, 1, 2000, 1, 2000, 1
import scales all proportionally</t>
      </text>
    </comment>
    <comment ref="AB312" authorId="0" shapeId="0">
      <text>
        <t>fires when: rank-elite</t>
      </text>
    </comment>
    <comment ref="L313" authorId="0" shapeId="0">
      <text>
        <t>raw warhead damages: 2000, 1000, 1, 2000, 1, 2000, 1, 2000, 1
import scales all proportionally</t>
      </text>
    </comment>
    <comment ref="AB313" authorId="0" shapeId="0">
      <text>
        <t>fires when: !rank-elite</t>
      </text>
    </comment>
    <comment ref="L314" authorId="0" shapeId="0">
      <text>
        <t>raw warhead damages: 2000, 1000, 1, 2000, 1, 2000, 1, 2000, 1
import scales all proportionally</t>
      </text>
    </comment>
    <comment ref="AB314" authorId="0" shapeId="0">
      <text>
        <t>fires when: rank-elite</t>
      </text>
    </comment>
    <comment ref="L316" authorId="0" shapeId="0">
      <text>
        <t>raw warhead damages: 2000, 1, 2000, 1, 2000, 1, 2000, 1, 600
import scales all proportionally</t>
      </text>
    </comment>
    <comment ref="AB316" authorId="0" shapeId="0">
      <text>
        <t>fires when: !rank-elite &amp;&amp; !schwarzermond_upgrade_crystallens &amp;&amp; !schwarzermond_upgrade_amplifiedlens</t>
      </text>
    </comment>
    <comment ref="L317" authorId="0" shapeId="0">
      <text>
        <t>raw warhead damages: 2000, 1, 2000, 1, 2000, 1, 2000, 1, 600
import scales all proportionally</t>
      </text>
    </comment>
    <comment ref="AB317" authorId="0" shapeId="0">
      <text>
        <t>fires when: rank-elite &amp;&amp; !schwarzermond_upgrade_crystallens &amp;&amp; !schwarzermond_upgrade_amplifiedlens</t>
      </text>
    </comment>
    <comment ref="L318" authorId="0" shapeId="0">
      <text>
        <t>raw warhead damages: 2000, 1, 2000, 1, 2000, 1, 2000, 1, 600
import scales all proportionally</t>
      </text>
    </comment>
    <comment ref="AB318" authorId="0" shapeId="0">
      <text>
        <t>fires when: !rank-elite &amp;&amp; !schwarzermond_upgrade_crystallens &amp;&amp; !schwarzermond_upgrade_amplifiedlens</t>
      </text>
    </comment>
    <comment ref="L319" authorId="0" shapeId="0">
      <text>
        <t>raw warhead damages: 2000, 1, 2000, 1, 2000, 1, 2000, 1, 600
import scales all proportionally</t>
      </text>
    </comment>
    <comment ref="AB319" authorId="0" shapeId="0">
      <text>
        <t>fires when: rank-elite &amp;&amp; !schwarzermond_upgrade_crystallens &amp;&amp; !schwarzermond_upgrade_amplifiedlens</t>
      </text>
    </comment>
    <comment ref="L320" authorId="0" shapeId="0">
      <text>
        <t>raw warhead damages: 2000, 1, 2000, 1, 2000, 1, 2000, 1, 600
import scales all proportionally</t>
      </text>
    </comment>
    <comment ref="AB320" authorId="0" shapeId="0">
      <text>
        <t>fires when: !rank-elite &amp;&amp; schwarzermond_upgrade_crystallens &amp;&amp; !schwarzermond_upgrade_amplifiedlens</t>
      </text>
    </comment>
    <comment ref="L321" authorId="0" shapeId="0">
      <text>
        <t>raw warhead damages: 2000, 1, 2000, 1, 2000, 1, 2000, 1, 600
import scales all proportionally</t>
      </text>
    </comment>
    <comment ref="AB321" authorId="0" shapeId="0">
      <text>
        <t>fires when: rank-elite &amp;&amp; schwarzermond_upgrade_crystallens &amp;&amp; !schwarzermond_upgrade_amplifiedlens</t>
      </text>
    </comment>
    <comment ref="L322" authorId="0" shapeId="0">
      <text>
        <t>raw warhead damages: 2000, 1, 2000, 1, 2000, 1, 2000, 1, 600
import scales all proportionally</t>
      </text>
    </comment>
    <comment ref="AB322" authorId="0" shapeId="0">
      <text>
        <t>fires when: !rank-elite &amp;&amp; schwarzermond_upgrade_crystallens &amp;&amp; !schwarzermond_upgrade_amplifiedlens</t>
      </text>
    </comment>
    <comment ref="L323" authorId="0" shapeId="0">
      <text>
        <t>raw warhead damages: 2000, 1, 2000, 1, 2000, 1, 2000, 1, 600
import scales all proportionally</t>
      </text>
    </comment>
    <comment ref="AB323" authorId="0" shapeId="0">
      <text>
        <t>fires when: rank-elite &amp;&amp; schwarzermond_upgrade_crystallens &amp;&amp; !schwarzermond_upgrade_amplifiedlens</t>
      </text>
    </comment>
    <comment ref="L324" authorId="0" shapeId="0">
      <text>
        <t>raw warhead damages: 2000, 1, 2000, 1, 2000, 1, 2000, 1, 600
import scales all proportionally</t>
      </text>
    </comment>
    <comment ref="AB324" authorId="0" shapeId="0">
      <text>
        <t>fires when: !rank-elite &amp;&amp; schwarzermond_upgrade_amplifiedlens</t>
      </text>
    </comment>
    <comment ref="L325" authorId="0" shapeId="0">
      <text>
        <t>raw warhead damages: 2000, 1, 2000, 1, 2000, 1, 2000, 1, 600
import scales all proportionally</t>
      </text>
    </comment>
    <comment ref="AB325" authorId="0" shapeId="0">
      <text>
        <t>fires when: rank-elite &amp;&amp; schwarzermond_upgrade_amplifiedlens</t>
      </text>
    </comment>
    <comment ref="L326" authorId="0" shapeId="0">
      <text>
        <t>raw warhead damages: 2000, 1, 2000, 1, 2000, 1, 2000, 1, 600
import scales all proportionally</t>
      </text>
    </comment>
    <comment ref="AB326" authorId="0" shapeId="0">
      <text>
        <t>fires when: !rank-elite &amp;&amp; schwarzermond_upgrade_amplifiedlens</t>
      </text>
    </comment>
    <comment ref="L327" authorId="0" shapeId="0">
      <text>
        <t>raw warhead damages: 2000, 1, 2000, 1, 2000, 1, 2000, 1, 600
import scales all proportionally</t>
      </text>
    </comment>
    <comment ref="AB327" authorId="0" shapeId="0">
      <text>
        <t>fires when: rank-elite &amp;&amp; schwarzermond_upgrade_amplifiedlens</t>
      </text>
    </comment>
    <comment ref="L329" authorId="0" shapeId="0">
      <text>
        <t>raw warhead damages: 16000, 8000, 8, 16000, 8, 16000, 8
import scales all proportionally</t>
      </text>
    </comment>
    <comment ref="L330" authorId="0" shapeId="0">
      <text>
        <t>raw warhead damages: 2000, 1, 2000, 1, 2000, 1, 2000, 1, 2000, 1000, 1, 2000, 1, 600
import scales all proportionally</t>
      </text>
    </comment>
    <comment ref="L332" authorId="0" shapeId="0">
      <text>
        <t>raw warhead damages: 2000, 1, 2000, 1
import scales all proportionally</t>
      </text>
    </comment>
    <comment ref="L333" authorId="0" shapeId="0">
      <text>
        <t>raw warhead damages: 4, 1
import scales all proportionally</t>
      </text>
    </comment>
    <comment ref="AB333" authorId="0" shapeId="0">
      <text>
        <t>fires when: !tkm_upgrade_cryorocketsupgrade &amp;&amp; !tkm_upgrade_twinrocketsupgrade &amp;&amp; !tkm_upgrade_incendiaryrocketsupgrade</t>
      </text>
    </comment>
    <comment ref="L334" authorId="0" shapeId="0">
      <text>
        <t>raw warhead damages: 2000, 1000, 1, 2000, 1000, 1, 2000, 1, 2000, 1
import scales all proportionally</t>
      </text>
    </comment>
    <comment ref="AB334" authorId="0" shapeId="0">
      <text>
        <t>fires when: tkm_upgrade_cryorocketsupgrade</t>
      </text>
    </comment>
    <comment ref="L335" authorId="0" shapeId="0">
      <text>
        <t>raw warhead damages: 2000, 1000, 1, 2000, 1000, 1, 2000, 1, 2000, 1
import scales all proportionally</t>
      </text>
    </comment>
    <comment ref="AB335" authorId="0" shapeId="0">
      <text>
        <t>fires when: tkm_upgrade_twinrocketsupgrade</t>
      </text>
    </comment>
    <comment ref="L336" authorId="0" shapeId="0">
      <text>
        <t>raw warhead damages: 2000, 1000, 1, 2000, 1000, 1, 2000, 1, 2000, 1
import scales all proportionally</t>
      </text>
    </comment>
    <comment ref="AB336" authorId="0" shapeId="0">
      <text>
        <t>fires when: tkm_upgrade_incendiaryrocketsupgrade</t>
      </text>
    </comment>
    <comment ref="L339" authorId="0" shapeId="0">
      <text>
        <t>raw warhead damages: 10000, -5000, 5, 10000, -5000, 6, 10000, 6, 10000, -5000, 5, 10000, -5000, 6
import scales all proportionally</t>
      </text>
    </comment>
    <comment ref="L340" authorId="0" shapeId="0">
      <text>
        <t>raw warhead damages: 8000, 4, 8000, 4, 8000, 4
import scales all proportionally</t>
      </text>
    </comment>
    <comment ref="L341" authorId="0" shapeId="0">
      <text>
        <t>raw warhead damages: 8000, 4, 8000, 4, 8000, 4
import scales all proportionally</t>
      </text>
    </comment>
    <comment ref="L343" authorId="0" shapeId="0">
      <text>
        <t>raw warhead damages: 6000, 3, 6000, 3, 6000, 3, 1000, 6000, 3
import scales all proportionally</t>
      </text>
    </comment>
    <comment ref="L345" authorId="0" shapeId="0">
      <text>
        <t>raw warhead damages: -2000, -1000, -1
import scales all proportionally</t>
      </text>
    </comment>
    <comment ref="L347" authorId="0" shapeId="0">
      <text>
        <t>raw warhead damages: 10000, 5, 10000, 5, 10000, 5, 10000, 5
import scales all proportionally</t>
      </text>
    </comment>
    <comment ref="L350" authorId="0" shapeId="0">
      <text>
        <t>raw warhead damages: 5000, 2500, 5
import scales all proportionally</t>
      </text>
    </comment>
    <comment ref="L351" authorId="0" shapeId="0">
      <text>
        <t>raw warhead damages: 2000, 1000, 1, 2000, 1, 2000, 1, 2000, 1
import scales all proportionally</t>
      </text>
    </comment>
    <comment ref="L352" authorId="0" shapeId="0">
      <text>
        <t>raw warhead damages: 2000, 1000, 1, 2000, 1, 2000, 1, 2000, 1
import scales all proportionally</t>
      </text>
    </comment>
    <comment ref="L354" authorId="0" shapeId="0">
      <text>
        <t>raw warhead damages: 2000, 1000, 1, 2000, 1, 2000, 1, 2000, 1, 2000, 1, 2000, 1000, 1, 2000, 1, 2000, 1, 2000, 1, 2000, 1
import scales all proportionally</t>
      </text>
    </comment>
    <comment ref="L355" authorId="0" shapeId="0">
      <text>
        <t>raw warhead damages: 2000, 1000, 1, 2000, 1, 2000, 1, 2000, 1, 2000, 1, 2000, 1000, 1, 2000, 1, 2000, 1, 2000, 1, 2000, 1
import scales all proportionally</t>
      </text>
    </comment>
    <comment ref="L357" authorId="0" shapeId="0">
      <text>
        <t>raw warhead damages: 10000, 5000, 5, 10000, 5000, 5, 10000, 5000, 5, 10000, 5000, 5, 10000, 5, 10000, 5, 10000, 5, 10000, 5
import scales all proportionally</t>
      </text>
    </comment>
    <comment ref="L360" authorId="0" shapeId="0">
      <text>
        <t>raw warhead damages: 2000, 1000, 1, 2000, 1, 2000, 1, 2000, 1
import scales all proportionally</t>
      </text>
    </comment>
    <comment ref="L361" authorId="0" shapeId="0">
      <text>
        <t>raw warhead damages: 2000, 1000, 1, 2000, 1, 2000, 1, 2000, 1
import scales all proportionally</t>
      </text>
    </comment>
    <comment ref="L362" authorId="0" shapeId="0">
      <text>
        <t>raw warhead damages: 2000, 1, 2000, 1, 2000, 1, 2000, 1, 2000, 1
import scales all proportionally</t>
      </text>
    </comment>
    <comment ref="L363" authorId="0" shapeId="0">
      <text>
        <t>raw warhead damages: 2000, 1, 2000, 1, 2000, 1, 2000, 1, 2000, 1
import scales all proportionally</t>
      </text>
    </comment>
    <comment ref="L365" authorId="0" shapeId="0">
      <text>
        <t>raw warhead damages: 2000, 1, 2000, 1, 2000, 1, 2000, 1, 2000, 1000, 1, 2000, 1, 600
import scales all proportionally</t>
      </text>
    </comment>
    <comment ref="L367" authorId="0" shapeId="0">
      <text>
        <t>raw warhead damages: 10000, 5000, 5
import scales all proportionally</t>
      </text>
    </comment>
    <comment ref="L369" authorId="0" shapeId="0">
      <text>
        <t>raw warhead damages: 8000, 4000, 4, 20000, 10000, 10, 8000, 4, 8000, 4
import scales all proportionally</t>
      </text>
    </comment>
    <comment ref="L371" authorId="0" shapeId="0">
      <text>
        <t>raw warhead damages: 2000, 1000, 1, 2000, 1, 2000, 1000, 1, 1000, 1, 2000, 1000, 1, 2000, 1, 600
import scales all proportionally</t>
      </text>
    </comment>
    <comment ref="L373" authorId="0" shapeId="0">
      <text>
        <t>raw warhead damages: 14000, 7000, 7
import scales all proportionally</t>
      </text>
    </comment>
    <comment ref="L375" authorId="0" shapeId="0">
      <text>
        <t>raw warhead damages: 8000, 4000, 4, 8000, 4000, 4, 8000, 4
import scales all proportionally</t>
      </text>
    </comment>
    <comment ref="L377" authorId="0" shapeId="0">
      <text>
        <t>raw warhead damages: 8000, 4000, 4, 8000, 4000, 4, 8000, 4, 8000, 4
import scales all proportionally</t>
      </text>
    </comment>
    <comment ref="L380" authorId="0" shapeId="0">
      <text>
        <t>raw warhead damages: 10000, 5000, 5, 10000, 5
import scales all proportionally</t>
      </text>
    </comment>
    <comment ref="L382" authorId="0" shapeId="0">
      <text>
        <t>raw warhead damages: -2000, -1000, -1
import scales all proportionally</t>
      </text>
    </comment>
    <comment ref="L386" authorId="0" shapeId="0">
      <text>
        <t>raw warhead damages: 100000, 50000, 50
import scales all proportionally</t>
      </text>
    </comment>
    <comment ref="L388" authorId="0" shapeId="0">
      <text>
        <t>raw warhead damages: 16000, 8, 600
import scales all proportionally</t>
      </text>
    </comment>
    <comment ref="L389" authorId="0" shapeId="0">
      <text>
        <t>raw warhead damages: 2000, 1, 2000, 1, 2000, 1, 2000, 1, 2000, 1
import scales all proportionally</t>
      </text>
    </comment>
    <comment ref="L390" authorId="0" shapeId="0">
      <text>
        <t>raw warhead damages: 2000, 1, 2000, 1, 2000, 1, 2000, 1, 2000, 1
import scales all proportionally</t>
      </text>
    </comment>
    <comment ref="L392" authorId="0" shapeId="0">
      <text>
        <t>raw warhead damages: 2000, 1, 2000, 1, 2000, 1, 2000, 1
import scales all proportionally</t>
      </text>
    </comment>
    <comment ref="L393" authorId="0" shapeId="0">
      <text>
        <t>raw warhead damages: 2000, 1, 2000, 1, 2000, 1, 2000, 1
import scales all proportionally</t>
      </text>
    </comment>
    <comment ref="L395" authorId="0" shapeId="0">
      <text>
        <t>raw warhead damages: 16000, 8, 600
import scales all proportionally</t>
      </text>
    </comment>
    <comment ref="L396" authorId="0" shapeId="0">
      <text>
        <t>raw warhead damages: 2000, 1, 2000, 1, 2000, 1, 2000, 1, 2000, 1
import scales all proportionally</t>
      </text>
    </comment>
    <comment ref="L397" authorId="0" shapeId="0">
      <text>
        <t>raw warhead damages: 2000, 1, 2000, 1, 2000, 1, 2000, 1, 2000, 1
import scales all proportionally</t>
      </text>
    </comment>
    <comment ref="L399" authorId="0" shapeId="0">
      <text>
        <t>raw warhead damages: 2000, 1000, 1, 2000, 1000, 1, 2000, 1, 2000, 1, 2000, 1, 2000, 1, 2000, 1, 2000, 1
import scales all proportionally</t>
      </text>
    </comment>
    <comment ref="L400" authorId="0" shapeId="0">
      <text>
        <t>raw warhead damages: 2000, 1000, 1, 2000, 1000, 1, 2000, 1, 2000, 1, 2000, 1, 2000, 1, 2000, 1, 2000, 1
import scales all proportionally</t>
      </text>
    </comment>
    <comment ref="L412" authorId="0" shapeId="0">
      <text>
        <t>raw warhead damages: -2000, -1000, -1
import scales all proportionally</t>
      </text>
    </comment>
    <comment ref="L415" authorId="0" shapeId="0">
      <text>
        <t>raw warhead damages: -2000, -1000, -1
import scales all proportionally</t>
      </text>
    </comment>
    <comment ref="L419" authorId="0" shapeId="0">
      <text>
        <t>raw warhead damages: 24000, 1000, 12
import scales all proportionally</t>
      </text>
    </comment>
    <comment ref="L420" authorId="0" shapeId="0">
      <text>
        <t>raw warhead damages: 2000, 1, 600
import scales all proportionally</t>
      </text>
    </comment>
    <comment ref="L422" authorId="0" shapeId="0">
      <text>
        <t>raw warhead damages: 20000, 10, 600
import scales all proportionally</t>
      </text>
    </comment>
    <comment ref="L423" authorId="0" shapeId="0">
      <text>
        <t>raw warhead damages: 10000, 5000, 5, 10000, 5, 10000, 5000, 5, 10000, 5000, 5, 10000, 5000, 5, 10000, 5
import scales all proportionally</t>
      </text>
    </comment>
    <comment ref="L425" authorId="0" shapeId="0">
      <text>
        <t>raw warhead damages: 8000, 4000, 4, 8000, 4, 1000, 8000, 4, 8000, 4, 8000, 4
import scales all proportionally</t>
      </text>
    </comment>
    <comment ref="AB425" authorId="0" shapeId="0">
      <text>
        <t>fires when: !ts_gdi_upgrade_sonicweaponry</t>
      </text>
    </comment>
    <comment ref="L426" authorId="0" shapeId="0">
      <text>
        <t>raw warhead damages: 8000, 4000, 4, 8000, 4, 1000, 8000, 4, 8000, 4, 8000, 4, 8000, 4000, 4, 8000, 4, 888
import scales all proportionally</t>
      </text>
    </comment>
    <comment ref="AB426" authorId="0" shapeId="0">
      <text>
        <t>fires when: ts_gdi_upgrade_sonicweaponry</t>
      </text>
    </comment>
    <comment ref="L427" authorId="0" shapeId="0">
      <text>
        <t>raw warhead damages: 6000, 3
import scales all proportionally</t>
      </text>
    </comment>
    <comment ref="L429" authorId="0" shapeId="0">
      <text>
        <t>raw warhead damages: 80000, 40, 40000
import scales all proportionally</t>
      </text>
    </comment>
    <comment ref="AB429" authorId="0" shapeId="0">
      <text>
        <t>fires when: !rank-elite &amp;&amp; !ra2_soviets_doctrine_nuclearmunitions &amp;&amp; !ra2_soviets_doctrine_firemunitions &amp;&amp; !ra2_soviets_doctrine_teslamunitions &amp;&amp; !ra2_soviets_upgrade_kirovatomicbombs</t>
      </text>
    </comment>
    <comment ref="L430" authorId="0" shapeId="0">
      <text>
        <t>raw warhead damages: 48000, 24000, 24, 48000, 24, 24000
import scales all proportionally</t>
      </text>
    </comment>
    <comment ref="AB430" authorId="0" shapeId="0">
      <text>
        <t>fires when: !rank-elite &amp;&amp; ra2_soviets_doctrine_nuclearmunitions &amp;&amp; !ra2_soviets_upgrade_kirovatomicbombs</t>
      </text>
    </comment>
    <comment ref="L431" authorId="0" shapeId="0">
      <text>
        <t>raw warhead damages: 80000, 40, 40000
import scales all proportionally</t>
      </text>
    </comment>
    <comment ref="AB431" authorId="0" shapeId="0">
      <text>
        <t>fires when: !rank-elite &amp;&amp; ra2_soviets_doctrine_firemunitions &amp;&amp; !ra2_soviets_upgrade_kirovatomicbombs</t>
      </text>
    </comment>
    <comment ref="L432" authorId="0" shapeId="0">
      <text>
        <t>raw warhead damages: 80000, 40000, 40, 80000, 40, 40000
import scales all proportionally</t>
      </text>
    </comment>
    <comment ref="AB432" authorId="0" shapeId="0">
      <text>
        <t>fires when: !rank-elite &amp;&amp; ra2_soviets_doctrine_teslamunitions &amp;&amp; !ra2_soviets_upgrade_kirovatomicbombs</t>
      </text>
    </comment>
    <comment ref="L433" authorId="0" shapeId="0">
      <text>
        <t>raw warhead damages: 80000, 40, 80000, 40, 40000
import scales all proportionally</t>
      </text>
    </comment>
    <comment ref="AB433" authorId="0" shapeId="0">
      <text>
        <t>fires when: (rank-elite &amp;&amp; !ra2_soviets_upgrade_kirovatomicbombs) || (!rank-elite &amp;&amp; ra2_soviets_upgrade_kirovatomicbombs)</t>
      </text>
    </comment>
    <comment ref="L434" authorId="0" shapeId="0">
      <text>
        <t>raw warhead damages: 100000, 50, 100000, 50, 50000
import scales all proportionally</t>
      </text>
    </comment>
    <comment ref="AB434" authorId="0" shapeId="0">
      <text>
        <t>fires when: rank-elite &amp;&amp; ra2_soviets_upgrade_kirovatomicbombs</t>
      </text>
    </comment>
    <comment ref="L436" authorId="0" shapeId="0">
      <text>
        <t>raw warhead damages: 24000, 12, 600
import scales all proportionally</t>
      </text>
    </comment>
    <comment ref="AB436" authorId="0" shapeId="0">
      <text>
        <t>fires when: !rank-elite</t>
      </text>
    </comment>
    <comment ref="L437" authorId="0" shapeId="0">
      <text>
        <t>raw warhead damages: 48000, 24, 600
import scales all proportionally</t>
      </text>
    </comment>
    <comment ref="AB437" authorId="0" shapeId="0">
      <text>
        <t>fires when: rank-elite</t>
      </text>
    </comment>
    <comment ref="L438" authorId="0" shapeId="0">
      <text>
        <t>raw warhead damages: 2000, 1, 888, 2000, 1000, 1
import scales all proportionally</t>
      </text>
    </comment>
    <comment ref="AB438" authorId="0" shapeId="0">
      <text>
        <t>fires when: yuri_upgrade_disksiphonattack</t>
      </text>
    </comment>
    <comment ref="L441" authorId="0" shapeId="0">
      <text>
        <t>raw warhead damages: 2000, 1, 2000, 1, 2000, 1, 2000, 1
import scales all proportionally</t>
      </text>
    </comment>
    <comment ref="AB441" authorId="0" shapeId="0">
      <text>
        <t>fires when: !rank-elite</t>
      </text>
    </comment>
    <comment ref="L442" authorId="0" shapeId="0">
      <text>
        <t>raw warhead damages: 2000, 1, 2000, 1, 2000, 1, 2000, 1
import scales all proportionally</t>
      </text>
    </comment>
    <comment ref="AB442" authorId="0" shapeId="0">
      <text>
        <t>fires when: rank-elite</t>
      </text>
    </comment>
    <comment ref="L443" authorId="0" shapeId="0">
      <text>
        <t>raw warhead damages: 16000, 8, 16000, 8000, 8
import scales all proportionally</t>
      </text>
    </comment>
    <comment ref="AB443" authorId="0" shapeId="0">
      <text>
        <t>fires when: steelconsortium_upgrade_quantumweaponpower &amp;&amp; !rank-elite</t>
      </text>
    </comment>
    <comment ref="L444" authorId="0" shapeId="0">
      <text>
        <t>raw warhead damages: 16000, 8, 16000, 8000, 8
import scales all proportionally</t>
      </text>
    </comment>
    <comment ref="AB444" authorId="0" shapeId="0">
      <text>
        <t>fires when: steelconsortium_upgrade_quantumweaponpower &amp;&amp; rank-elite</t>
      </text>
    </comment>
    <comment ref="L446" authorId="0" shapeId="0">
      <text>
        <t>raw warhead damages: 100000, 50000, 50, 100000, 50000, 50, 50000, 25
import scales all proportionally</t>
      </text>
    </comment>
    <comment ref="L448" authorId="0" shapeId="0">
      <text>
        <t>raw warhead damages: 10000, 5000, 5
import scales all proportionally</t>
      </text>
    </comment>
    <comment ref="L450" authorId="0" shapeId="0">
      <text>
        <t>raw warhead damages: 2000, 1000, 1, 2000, 1, 2000, 1
import scales all proportionally</t>
      </text>
    </comment>
    <comment ref="AB450" authorId="0" shapeId="0">
      <text>
        <t>fires when: !rank-elite</t>
      </text>
    </comment>
    <comment ref="L451" authorId="0" shapeId="0">
      <text>
        <t>raw warhead damages: 2000, 1000, 1, 2000, 1, 2000, 1
import scales all proportionally</t>
      </text>
    </comment>
    <comment ref="AB451" authorId="0" shapeId="0">
      <text>
        <t>fires when: rank-elite</t>
      </text>
    </comment>
    <comment ref="L453" authorId="0" shapeId="0">
      <text>
        <t>raw warhead damages: 2000, 1000, 1, 2000, 1, 2000, 1
import scales all proportionally</t>
      </text>
    </comment>
    <comment ref="AB453" authorId="0" shapeId="0">
      <text>
        <t>fires when: !rank-elite</t>
      </text>
    </comment>
    <comment ref="L454" authorId="0" shapeId="0">
      <text>
        <t>raw warhead damages: 2000, 1000, 1, 2000, 1, 2000, 1
import scales all proportionally</t>
      </text>
    </comment>
    <comment ref="AB454" authorId="0" shapeId="0">
      <text>
        <t>fires when: rank-elite</t>
      </text>
    </comment>
    <comment ref="L455" authorId="0" shapeId="0">
      <text>
        <t>raw warhead damages: 10000, 10, 1000
import scales all proportionally</t>
      </text>
    </comment>
    <comment ref="L457" authorId="0" shapeId="0">
      <text>
        <t>raw warhead damages: 4000, 2000, 2, 4000, 2000, 2, 4000, 2, 4000, 2000, 2, 4000, 2000, 2, 4000, 2, 888, 4000, 2, 600, 4000, 2, 1000, 4000, 2, 4000, 2
import scales all proportionally</t>
      </text>
    </comment>
    <comment ref="AB457" authorId="0" shapeId="0">
      <text>
        <t>fires when: !rank-elite</t>
      </text>
    </comment>
    <comment ref="L458" authorId="0" shapeId="0">
      <text>
        <t>raw warhead damages: 4000, 2000, 2, 4000, 2000, 2, 4000, 2, 4000, 2000, 2, 4000, 2000, 2, 4000, 2, 888, 4000, 2, 600, 4000, 2, 1000, 4000, 2, 4000, 2
import scales all proportionally</t>
      </text>
    </comment>
    <comment ref="AB458" authorId="0" shapeId="0">
      <text>
        <t>fires when: rank-elite</t>
      </text>
    </comment>
    <comment ref="L459" authorId="0" shapeId="0">
      <text>
        <t>raw warhead damages: 12000, 6
import scales all proportionally</t>
      </text>
    </comment>
    <comment ref="AB459" authorId="0" shapeId="0">
      <text>
        <t>fires when: !rank-elite</t>
      </text>
    </comment>
    <comment ref="L460" authorId="0" shapeId="0">
      <text>
        <t>raw warhead damages: 12000, 6
import scales all proportionally</t>
      </text>
    </comment>
    <comment ref="AB460" authorId="0" shapeId="0">
      <text>
        <t>fires when: rank-elite</t>
      </text>
    </comment>
    <comment ref="L462" authorId="0" shapeId="0">
      <text>
        <t>raw warhead damages: 10000, 5000, 5, 10000, 5000, 5, 10000, 5000, 5, 10000, 5, 10000, 5, 10000, 5
import scales all proportionally</t>
      </text>
    </comment>
    <comment ref="L466" authorId="0" shapeId="0">
      <text>
        <t>raw warhead damages: 2000, 1000, 1, 2000, 1000, 1, 2000, 1, 1000
import scales all proportionally</t>
      </text>
    </comment>
    <comment ref="L467" authorId="0" shapeId="0">
      <text>
        <t>raw warhead damages: 2000, 1000, 1, 2000, 1000, 1, 2000, 1, 1000
import scales all proportionally</t>
      </text>
    </comment>
    <comment ref="L471" authorId="0" shapeId="0">
      <text>
        <t>raw warhead damages: 2000, 1, 2000, 1, 2000, 1, 2000, 1, 2000, 1000, 1, 2000, 1, 600
import scales all proportionally</t>
      </text>
    </comment>
    <comment ref="L473" authorId="0" shapeId="0">
      <text>
        <t>raw warhead damages: 2000, 1000, 1, 2000, 1000, 1, 2000, 1, 2000, 1000, 1, 2000, 1000, 1, 2000, 1
import scales all proportionally</t>
      </text>
    </comment>
    <comment ref="L475" authorId="0" shapeId="0">
      <text>
        <t>raw warhead damages: 4000, 2, 4000, 2, 1000, 4000, 2, 4000, 2, 4000, 2, 4000, 2, 4000, 2000, 2, 4000, 2000, 2, 4000, 2, 600
import scales all proportionally</t>
      </text>
    </comment>
    <comment ref="L476" authorId="0" shapeId="0">
      <text>
        <t>raw warhead damages: 16000, 8, 16000, 8, 1000, 16000, 8, 16000, 8, 16000, 8, 16000, 8, 16000, 8000, 8, 16000, 8000, 8, 16000, 8, 600
import scales all proportionally</t>
      </text>
    </comment>
    <comment ref="AB476" authorId="0" shapeId="0">
      <text>
        <t>fires when: terran_upgrade_yamatocannonandtacticaljumpupgrade</t>
      </text>
    </comment>
    <comment ref="L478" authorId="0" shapeId="0">
      <text>
        <t>raw warhead damages: 6000, 3, 1000, 6000, 3, 6000, 3, 6000, 3, 6000, 3, 6000, 3000, 3, 6000, 3000, 3, 6000, 3, 600
import scales all proportionally</t>
      </text>
    </comment>
    <comment ref="L479" authorId="0" shapeId="0">
      <text>
        <t>raw warhead damages: 16000, 8, 16000, 8, 1000, 16000, 8, 16000, 8, 16000, 8, 16000, 8, 16000, 8000, 8, 16000, 8000, 8, 16000, 8, 600
import scales all proportionally</t>
      </text>
    </comment>
    <comment ref="AB479" authorId="0" shapeId="0">
      <text>
        <t>fires when: terran_upgrade_yamatocannonandtacticaljumpupgrade</t>
      </text>
    </comment>
    <comment ref="L481" authorId="0" shapeId="0">
      <text>
        <t>raw warhead damages: 2000, 1, 2000, 1
import scales all proportionally</t>
      </text>
    </comment>
    <comment ref="L483" authorId="0" shapeId="0">
      <text>
        <t>raw warhead damages: 2000, 1000, 1, 2000, 1000, 1, 2000, 1000, 1, 2000, 1000, 1, 2000, 1000, 1, 2000, 1000, 1, 2000, 1, 2000, 1, 2000, 1, 2000, 1000, 1, 2000, 1000, 1, 2000, 1, 2000, 1, 2000, 1, 2000, 1
import scales all proportionally</t>
      </text>
    </comment>
    <comment ref="L484" authorId="0" shapeId="0">
      <text>
        <t>raw warhead damages: 2000, 1000, 1, 2000, 1000, 1, 2000, 1000, 1, 2000, 1000, 1, 2000, 1000, 1, 2000, 1000, 1, 2000, 1, 2000, 1, 2000, 1, 2000, 1000, 1, 2000, 1000, 1, 2000, 1, 2000, 1, 2000, 1, 2000, 1
import scales all proportionally</t>
      </text>
    </comment>
    <comment ref="L486" authorId="0" shapeId="0">
      <text>
        <t>raw warhead damages: 10000, 5, 10000, 5000, 5, 10000, 5, 10000, 5000, 5
import scales all proportionally</t>
      </text>
    </comment>
  </commentList>
</comments>
</file>

<file path=xl/comments/comment5.xml><?xml version="1.0" encoding="utf-8"?>
<comments xmlns="http://schemas.openxmlformats.org/spreadsheetml/2006/main">
  <authors>
    <author>balance-pipeline</author>
  </authors>
  <commentList>
    <comment ref="AB12" authorId="0" shapeId="0">
      <text>
        <t>fires when: !ts_nod_tiberiumwastefacility</t>
      </text>
    </comment>
    <comment ref="AB13" authorId="0" shapeId="0">
      <text>
        <t>fires when: ts_nod_tiberiumwastefacility</t>
      </text>
    </comment>
    <comment ref="L33" authorId="0" shapeId="0">
      <text>
        <t>raw warhead damages: 2000, 1, 2000, 1
import scales all proportionally</t>
      </text>
    </comment>
    <comment ref="AB33" authorId="0" shapeId="0">
      <text>
        <t>fires when: !td_gdi_upgrade_armorpiercingbullets</t>
      </text>
    </comment>
    <comment ref="L34" authorId="0" shapeId="0">
      <text>
        <t>raw warhead damages: 4000, 2
import scales all proportionally</t>
      </text>
    </comment>
    <comment ref="AB34" authorId="0" shapeId="0">
      <text>
        <t>fires when: td_gdi_upgrade_armorpiercingbullets</t>
      </text>
    </comment>
    <comment ref="L36" authorId="0" shapeId="0">
      <text>
        <t>raw warhead damages: 6000, 3000, 3, 6000, 3000, 3, 6000, 3, 6000, 3
import scales all proportionally</t>
      </text>
    </comment>
    <comment ref="AB36" authorId="0" shapeId="0">
      <text>
        <t>fires when: !td_nod_upgrade_blackmarketupgrades</t>
      </text>
    </comment>
    <comment ref="L37" authorId="0" shapeId="0">
      <text>
        <t>raw warhead damages: 6000, 3, 6000, 3, 6000, 3000, 3, 6000, 3000, 3, 6000, 3, 6000, 3
import scales all proportionally</t>
      </text>
    </comment>
    <comment ref="AB37" authorId="0" shapeId="0">
      <text>
        <t>fires when: td_nod_upgrade_blackmarketupgrades</t>
      </text>
    </comment>
    <comment ref="L39" authorId="0" shapeId="0">
      <text>
        <t>raw warhead damages: 2000, 1, 2000, 1, 2000, 1, 2000, 1000, 1, 2000, 1, 2000, 1, 600
import scales all proportionally</t>
      </text>
    </comment>
    <comment ref="L41" authorId="0" shapeId="0">
      <text>
        <t>raw warhead damages: 4000, 1, 4000, 2
import scales all proportionally</t>
      </text>
    </comment>
    <comment ref="AB41" authorId="0" shapeId="0">
      <text>
        <t>fires when: !japan_upgrade_waveforcebullets</t>
      </text>
    </comment>
    <comment ref="L42" authorId="0" shapeId="0">
      <text>
        <t>raw warhead damages: 4000, 2, 1000, 4000, 1, 4000, 2
import scales all proportionally</t>
      </text>
    </comment>
    <comment ref="AB42" authorId="0" shapeId="0">
      <text>
        <t>fires when: japan_upgrade_waveforcebullets</t>
      </text>
    </comment>
    <comment ref="L44" authorId="0" shapeId="0">
      <text>
        <t>raw warhead damages: 18000, 9000, 9
import scales all proportionally</t>
      </text>
    </comment>
    <comment ref="AB44" authorId="0" shapeId="0">
      <text>
        <t>fires when: !ra1_soviets_doctrine_inferno</t>
      </text>
    </comment>
    <comment ref="L45" authorId="0" shapeId="0">
      <text>
        <t>raw warhead damages: 10000, 5000, 5, 10000, 5000, 5
import scales all proportionally</t>
      </text>
    </comment>
    <comment ref="AB45" authorId="0" shapeId="0">
      <text>
        <t>fires when: ra1_soviets_doctrine_inferno</t>
      </text>
    </comment>
    <comment ref="L47" authorId="0" shapeId="0">
      <text>
        <t>raw warhead damages: 10000, 5000, 5, 10000, 5
import scales all proportionally</t>
      </text>
    </comment>
    <comment ref="L52" authorId="0" shapeId="0">
      <text>
        <t>raw warhead damages: 10000, 5, 10000, 5, 600
import scales all proportionally</t>
      </text>
    </comment>
    <comment ref="L54" authorId="0" shapeId="0">
      <text>
        <t>raw warhead damages: 10000, 5, 10000, 5, 600
import scales all proportionally</t>
      </text>
    </comment>
    <comment ref="AB54" authorId="0" shapeId="0">
      <text>
        <t>fires when: !ts_nod_upgrade_tiberiumlenses</t>
      </text>
    </comment>
    <comment ref="L55" authorId="0" shapeId="0">
      <text>
        <t>raw warhead damages: 16000, 8, 16000, 8, 600
import scales all proportionally</t>
      </text>
    </comment>
    <comment ref="AB55" authorId="0" shapeId="0">
      <text>
        <t>fires when: ts_nod_upgrade_tiberiumlenses</t>
      </text>
    </comment>
    <comment ref="L57" authorId="0" shapeId="0">
      <text>
        <t>raw warhead damages: 4000, 2, 4000, 2
import scales all proportionally</t>
      </text>
    </comment>
    <comment ref="AB57" authorId="0" shapeId="0">
      <text>
        <t>fires when: !ts_gdi_upgrade_sonicweaponry</t>
      </text>
    </comment>
    <comment ref="L58" authorId="0" shapeId="0">
      <text>
        <t>raw warhead damages: 4000, 2, 4000, 2, 4000, 2000, 2, 4000, 2, 888
import scales all proportionally</t>
      </text>
    </comment>
    <comment ref="AB58" authorId="0" shapeId="0">
      <text>
        <t>fires when: ts_gdi_upgrade_sonicweaponry</t>
      </text>
    </comment>
    <comment ref="L60" authorId="0" shapeId="0">
      <text>
        <t>raw warhead damages: 4000, 2, 4000, 2
import scales all proportionally</t>
      </text>
    </comment>
    <comment ref="AB60" authorId="0" shapeId="0">
      <text>
        <t>fires when: !forgotten_upgrade_chemicalweapons</t>
      </text>
    </comment>
    <comment ref="L61" authorId="0" shapeId="0">
      <text>
        <t>raw warhead damages: 4000, 2000, 2, 4000, 2, 4000, 2
import scales all proportionally</t>
      </text>
    </comment>
    <comment ref="AB61" authorId="0" shapeId="0">
      <text>
        <t>fires when: forgotten_upgrade_chemicalweapons</t>
      </text>
    </comment>
    <comment ref="L63" authorId="0" shapeId="0">
      <text>
        <t>raw warhead damages: 2000, 1, 2000, 1
import scales all proportionally</t>
      </text>
    </comment>
    <comment ref="L66" authorId="0" shapeId="0">
      <text>
        <t>raw warhead damages: 2000, 1, 2000, 1
import scales all proportionally</t>
      </text>
    </comment>
    <comment ref="L68" authorId="0" shapeId="0">
      <text>
        <t>raw warhead damages: 2000, 1, 2000, 1
import scales all proportionally</t>
      </text>
    </comment>
    <comment ref="L69" authorId="0" shapeId="0">
      <text>
        <t>raw warhead damages: 2000, 1, 2000, 1
import scales all proportionally</t>
      </text>
    </comment>
    <comment ref="L70" authorId="0" shapeId="0">
      <text>
        <t>raw warhead damages: 2000, 1, 2000, 1
import scales all proportionally</t>
      </text>
    </comment>
    <comment ref="L71" authorId="0" shapeId="0">
      <text>
        <t>raw warhead damages: 4000, 2, 4000, 2
import scales all proportionally</t>
      </text>
    </comment>
    <comment ref="L72" authorId="0" shapeId="0">
      <text>
        <t>raw warhead damages: 4000, 2, 4000, 2
import scales all proportionally</t>
      </text>
    </comment>
    <comment ref="L73" authorId="0" shapeId="0">
      <text>
        <t>raw warhead damages: 4000, 2, 4000, 2
import scales all proportionally</t>
      </text>
    </comment>
    <comment ref="L75" authorId="0" shapeId="0">
      <text>
        <t>raw warhead damages: 4000, 2, 4000, 2
import scales all proportionally</t>
      </text>
    </comment>
    <comment ref="L77" authorId="0" shapeId="0">
      <text>
        <t>raw warhead damages: 4000, 2000, 2
import scales all proportionally</t>
      </text>
    </comment>
    <comment ref="L79" authorId="0" shapeId="0">
      <text>
        <t>raw warhead damages: 2000, 1, 2000, 1, 2000, 1000, 1, 2000, 1, 888
import scales all proportionally</t>
      </text>
    </comment>
    <comment ref="AB79" authorId="0" shapeId="0">
      <text>
        <t>fires when: !asianalliance_upgrade_celestialpower</t>
      </text>
    </comment>
    <comment ref="L80" authorId="0" shapeId="0">
      <text>
        <t>raw warhead damages: 2000, 1, 2000, 1, 2000, 1000, 1, 2000, 1, 888
import scales all proportionally</t>
      </text>
    </comment>
    <comment ref="AB80" authorId="0" shapeId="0">
      <text>
        <t>fires when: asianalliance_upgrade_celestialpower</t>
      </text>
    </comment>
    <comment ref="AB82" authorId="0" shapeId="0">
      <text>
        <t>fires when: steelconsortium_upgrade_scalpeldefenders</t>
      </text>
    </comment>
    <comment ref="L83" authorId="0" shapeId="0">
      <text>
        <t>raw warhead damages: 2000, 1, 2000, 1, 2000, 1
import scales all proportionally</t>
      </text>
    </comment>
    <comment ref="L84" authorId="0" shapeId="0">
      <text>
        <t>raw warhead damages: 2000, 1, 2000, 1, 2000, 1
import scales all proportionally</t>
      </text>
    </comment>
    <comment ref="AB84" authorId="0" shapeId="0">
      <text>
        <t>fires when: steelconsortium_upgrade_resonanceammo</t>
      </text>
    </comment>
    <comment ref="L88" authorId="0" shapeId="0">
      <text>
        <t>raw warhead damages: 2000, 1, 2000, 1, 2000, 1
import scales all proportionally</t>
      </text>
    </comment>
    <comment ref="AB88" authorId="0" shapeId="0">
      <text>
        <t>fires when: !rank-elite</t>
      </text>
    </comment>
    <comment ref="L89" authorId="0" shapeId="0">
      <text>
        <t>raw warhead damages: 2000, 1, 2000, 1, 2000, 1
import scales all proportionally</t>
      </text>
    </comment>
    <comment ref="AB89" authorId="0" shapeId="0">
      <text>
        <t>fires when: rank-elite</t>
      </text>
    </comment>
    <comment ref="L93" authorId="0" shapeId="0">
      <text>
        <t>raw warhead damages: 2000, 1000, 1, 2000, 1, 2000, 1, 2000, 1
import scales all proportionally</t>
      </text>
    </comment>
    <comment ref="L94" authorId="0" shapeId="0">
      <text>
        <t>raw warhead damages: 2000, 1000, 1, 2000, 1, 2000, 1, 2000, 1
import scales all proportionally</t>
      </text>
    </comment>
    <comment ref="L96" authorId="0" shapeId="0">
      <text>
        <t>raw warhead damages: 32000, 16
import scales all proportionally</t>
      </text>
    </comment>
    <comment ref="L100" authorId="0" shapeId="0">
      <text>
        <t>raw warhead damages: 30000, 14, 30000, 14, 20000, 10000, 14
import scales all proportionally</t>
      </text>
    </comment>
    <comment ref="AB100" authorId="0" shapeId="0">
      <text>
        <t>fires when: !schwarzermond_upgrade_vrilpoweredweapons</t>
      </text>
    </comment>
    <comment ref="L101" authorId="0" shapeId="0">
      <text>
        <t>raw warhead damages: 2000, 1000, 1, 30000, 14, 30000, 14, 20000, 10000, 14
import scales all proportionally</t>
      </text>
    </comment>
    <comment ref="AB101" authorId="0" shapeId="0">
      <text>
        <t>fires when: schwarzermond_upgrade_vrilpoweredweapons</t>
      </text>
    </comment>
    <comment ref="L103" authorId="0" shapeId="0">
      <text>
        <t>raw warhead damages: 4000, 2, 4000, 2
import scales all proportionally</t>
      </text>
    </comment>
    <comment ref="AB103" authorId="0" shapeId="0">
      <text>
        <t>fires when: !ifv-mg &amp;&amp; !ifv-hmg &amp;&amp; !ifv-repair &amp;&amp; !ifv-ra1_allies_alliedsniper &amp;&amp; !ifv-flak &amp;&amp; !ifv-tesla &amp;&amp; !ifv-hero &amp;&amp; !ifv-chem &amp;&amp; !ifv-fire &amp;&amp; !ifv-cannon &amp;&amp; !ifv-miss &amp;&amp; !ifv-deso &amp;&amp; !ifv-demo &amp;&amp; !ifv-healer &amp;&amp; !ifv-chrono &amp;&amp; !ifv-spy &amp;&amp; !ifv-thief</t>
      </text>
    </comment>
    <comment ref="L104" authorId="0" shapeId="0">
      <text>
        <t>raw warhead damages: 2000, 1, 2000, 1, 2000, 1, 2000, 1000, 1, 2000, 1
import scales all proportionally</t>
      </text>
    </comment>
    <comment ref="AB104" authorId="0" shapeId="0">
      <text>
        <t>fires when: ifv-miss</t>
      </text>
    </comment>
    <comment ref="L105" authorId="0" shapeId="0">
      <text>
        <t>raw warhead damages: 4000, 2000, 2, 4000, 2000, 2, 4000, 2000, 2, 4000, 2
import scales all proportionally</t>
      </text>
    </comment>
    <comment ref="AB105" authorId="0" shapeId="0">
      <text>
        <t>fires when: ifv-mg || ifv-hmg || ifv-repair || ifv-ra1_allies_alliedsniper || ifv-flak || ifv-tesla || ifv-chem || ifv-fire || ifv-cannon || ifv-deso || ifv-demo || ifv-healer || ifv-chrono || ifv-spy || ifv-thief</t>
      </text>
    </comment>
    <comment ref="L106" authorId="0" shapeId="0">
      <text>
        <t>raw warhead damages: 10000, 5000, 5, 10000, 5, 888, 10000, 5, 10000, 5000, 5, 10000, 5
import scales all proportionally</t>
      </text>
    </comment>
    <comment ref="AB106" authorId="0" shapeId="0">
      <text>
        <t>fires when: ifv-hero</t>
      </text>
    </comment>
    <comment ref="L108" authorId="0" shapeId="0">
      <text>
        <t>raw warhead damages: 8000, 4, 8000, 4
import scales all proportionally</t>
      </text>
    </comment>
    <comment ref="L110" authorId="0" shapeId="0">
      <text>
        <t>raw warhead damages: 16000, 8, 16000, 8
import scales all proportionally</t>
      </text>
    </comment>
    <comment ref="L112" authorId="0" shapeId="0">
      <text>
        <t>raw warhead damages: 20000, 10000, 10, 20000, 10
import scales all proportionally</t>
      </text>
    </comment>
    <comment ref="L114" authorId="0" shapeId="0">
      <text>
        <t>raw warhead damages: 10000, 5, 10000, 5, 10000, 5
import scales all proportionally</t>
      </text>
    </comment>
    <comment ref="L116" authorId="0" shapeId="0">
      <text>
        <t>raw warhead damages: 2000, 1, 2000, 1
import scales all proportionally</t>
      </text>
    </comment>
    <comment ref="AB116" authorId="0" shapeId="0">
      <text>
        <t>fires when: !ixian_upgrade_tungstenneedleguns</t>
      </text>
    </comment>
    <comment ref="L117" authorId="0" shapeId="0">
      <text>
        <t>raw warhead damages: 2000, 1, 2000, 1, 2000, 1
import scales all proportionally</t>
      </text>
    </comment>
    <comment ref="AB117" authorId="0" shapeId="0">
      <text>
        <t>fires when: ixian_upgrade_tungstenneedleguns</t>
      </text>
    </comment>
    <comment ref="L119" authorId="0" shapeId="0">
      <text>
        <t>raw warhead damages: 25135, 12568, 4
import scales all proportionally</t>
      </text>
    </comment>
    <comment ref="L121" authorId="0" shapeId="0">
      <text>
        <t>raw warhead damages: 6000, 3, 1000, 6000, 3, 6000, 3, 6000, 3000, 3
import scales all proportionally</t>
      </text>
    </comment>
    <comment ref="AB121" authorId="0" shapeId="0">
      <text>
        <t>fires when: sunken</t>
      </text>
    </comment>
    <comment ref="L122" authorId="0" shapeId="0">
      <text>
        <t>raw warhead damages: 12000, 6, 12000, 6, 12000, 6
import scales all proportionally</t>
      </text>
    </comment>
    <comment ref="AB122" authorId="0" shapeId="0">
      <text>
        <t>fires when: spore</t>
      </text>
    </comment>
    <comment ref="L124" authorId="0" shapeId="0">
      <text>
        <t>raw warhead damages: 6000, 3, 1000, 6000, 3, 6000, 3, 6000, 3000, 3
import scales all proportionally</t>
      </text>
    </comment>
    <comment ref="AB124" authorId="0" shapeId="0">
      <text>
        <t>fires when: sunken</t>
      </text>
    </comment>
    <comment ref="L125" authorId="0" shapeId="0">
      <text>
        <t>raw warhead damages: 12000, 6, 12000, 6, 12000, 6
import scales all proportionally</t>
      </text>
    </comment>
    <comment ref="AB125" authorId="0" shapeId="0">
      <text>
        <t>fires when: spore</t>
      </text>
    </comment>
    <comment ref="L127" authorId="0" shapeId="0">
      <text>
        <t>raw warhead damages: 6000, 3, 1000, 6000, 3, 6000, 3, 6000, 3000, 3
import scales all proportionally</t>
      </text>
    </comment>
    <comment ref="AB127" authorId="0" shapeId="0">
      <text>
        <t>fires when: sunken</t>
      </text>
    </comment>
    <comment ref="L128" authorId="0" shapeId="0">
      <text>
        <t>raw warhead damages: 12000, 6, 12000, 6, 12000, 6
import scales all proportionally</t>
      </text>
    </comment>
    <comment ref="AB128" authorId="0" shapeId="0">
      <text>
        <t>fires when: spore</t>
      </text>
    </comment>
    <comment ref="L130" authorId="0" shapeId="0">
      <text>
        <t>raw warhead damages: 6000, 3, 1000, 6000, 3, 6000, 3, 6000, 3000, 3
import scales all proportionally</t>
      </text>
    </comment>
    <comment ref="AB130" authorId="0" shapeId="0">
      <text>
        <t>fires when: sunken</t>
      </text>
    </comment>
    <comment ref="L131" authorId="0" shapeId="0">
      <text>
        <t>raw warhead damages: 12000, 6, 12000, 6, 12000, 6
import scales all proportionally</t>
      </text>
    </comment>
    <comment ref="AB131" authorId="0" shapeId="0">
      <text>
        <t>fires when: spore</t>
      </text>
    </comment>
    <comment ref="L133" authorId="0" shapeId="0">
      <text>
        <t>raw warhead damages: 6000, 3, 1000, 6000, 3, 6000, 3
import scales all proportionally</t>
      </text>
    </comment>
    <comment ref="AB133" authorId="0" shapeId="0">
      <text>
        <t>fires when: guard</t>
      </text>
    </comment>
    <comment ref="L134" authorId="0" shapeId="0">
      <text>
        <t>raw warhead damages: 4000, 2000, 2, 4000, 2000, 2, 4000, 2000, 2, 4000, 2000, 2, 4000, 2000, 2, 4000, 2000, 2, 4000, 2, 4000, 2, 4000, 2, 4000, 2000, 2, 4000, 2000, 2, 4000, 2, 4000, 2, 4000, 2, 4000, 2
import scales all proportionally</t>
      </text>
    </comment>
    <comment ref="AB134" authorId="0" shapeId="0">
      <text>
        <t>fires when: cannon</t>
      </text>
    </comment>
    <comment ref="L136" authorId="0" shapeId="0">
      <text>
        <t>raw warhead damages: 6000, 3, 1000, 6000, 3, 6000, 3
import scales all proportionally</t>
      </text>
    </comment>
    <comment ref="AB136" authorId="0" shapeId="0">
      <text>
        <t>fires when: guard</t>
      </text>
    </comment>
    <comment ref="L137" authorId="0" shapeId="0">
      <text>
        <t>raw warhead damages: 4000, 2000, 2, 4000, 2000, 2, 4000, 2000, 2, 4000, 2000, 2, 4000, 2000, 2, 4000, 2000, 2, 4000, 2, 4000, 2, 4000, 2, 4000, 2000, 2, 4000, 2000, 2, 4000, 2, 4000, 2, 4000, 2, 4000, 2
import scales all proportionally</t>
      </text>
    </comment>
    <comment ref="AB137" authorId="0" shapeId="0">
      <text>
        <t>fires when: cannon</t>
      </text>
    </comment>
    <comment ref="L139" authorId="0" shapeId="0">
      <text>
        <t>raw warhead damages: 6000, 3, 1000, 6000, 3, 6000, 3
import scales all proportionally</t>
      </text>
    </comment>
    <comment ref="AB139" authorId="0" shapeId="0">
      <text>
        <t>fires when: guard</t>
      </text>
    </comment>
    <comment ref="L140" authorId="0" shapeId="0">
      <text>
        <t>raw warhead damages: 4000, 2000, 2, 4000, 2000, 2, 4000, 2000, 2, 4000, 2000, 2, 4000, 2000, 2, 4000, 2000, 2, 4000, 2, 4000, 2, 4000, 2, 4000, 2000, 2, 4000, 2000, 2, 4000, 2, 4000, 2, 4000, 2, 4000, 2
import scales all proportionally</t>
      </text>
    </comment>
    <comment ref="AB140" authorId="0" shapeId="0">
      <text>
        <t>fires when: cannon</t>
      </text>
    </comment>
    <comment ref="L142" authorId="0" shapeId="0">
      <text>
        <t>raw warhead damages: 6000, 3, 1000, 6000, 3, 6000, 3
import scales all proportionally</t>
      </text>
    </comment>
    <comment ref="AB142" authorId="0" shapeId="0">
      <text>
        <t>fires when: guard</t>
      </text>
    </comment>
    <comment ref="L143" authorId="0" shapeId="0">
      <text>
        <t>raw warhead damages: 4000, 2000, 2, 4000, 2000, 2, 4000, 2000, 2, 4000, 2000, 2, 4000, 2000, 2, 4000, 2000, 2, 4000, 2, 4000, 2, 4000, 2, 4000, 2000, 2, 4000, 2000, 2, 4000, 2, 4000, 2, 4000, 2, 4000, 2
import scales all proportionally</t>
      </text>
    </comment>
    <comment ref="AB143" authorId="0" shapeId="0">
      <text>
        <t>fires when: cannon</t>
      </text>
    </comment>
    <comment ref="L145" authorId="0" shapeId="0">
      <text>
        <t>raw warhead damages: 6000, 3, 1000, 6000, 3, 6000, 3
import scales all proportionally</t>
      </text>
    </comment>
    <comment ref="AB145" authorId="0" shapeId="0">
      <text>
        <t>fires when: guard</t>
      </text>
    </comment>
    <comment ref="L146" authorId="0" shapeId="0">
      <text>
        <t>raw warhead damages: 4000, 2000, 2, 4000, 2000, 2, 4000, 2000, 2, 4000, 2000, 2, 4000, 2000, 2, 4000, 2000, 2, 4000, 2, 4000, 2, 4000, 2, 4000, 2000, 2, 4000, 2000, 2, 4000, 2, 4000, 2, 4000, 2, 4000, 2
import scales all proportionally</t>
      </text>
    </comment>
    <comment ref="AB146" authorId="0" shapeId="0">
      <text>
        <t>fires when: cannon</t>
      </text>
    </comment>
    <comment ref="L148" authorId="0" shapeId="0">
      <text>
        <t>raw warhead damages: 6000, 3, 1000, 6000, 3, 6000, 3
import scales all proportionally</t>
      </text>
    </comment>
    <comment ref="AB148" authorId="0" shapeId="0">
      <text>
        <t>fires when: guard</t>
      </text>
    </comment>
    <comment ref="L149" authorId="0" shapeId="0">
      <text>
        <t>raw warhead damages: 4000, 2000, 2, 4000, 2000, 2, 4000, 2000, 2, 4000, 2000, 2, 4000, 2000, 2, 4000, 2000, 2, 4000, 2, 4000, 2, 4000, 2, 4000, 2000, 2, 4000, 2000, 2, 4000, 2, 4000, 2, 4000, 2, 4000, 2
import scales all proportionally</t>
      </text>
    </comment>
    <comment ref="AB149" authorId="0" shapeId="0">
      <text>
        <t>fires when: cannon</t>
      </text>
    </comment>
    <comment ref="L155" authorId="0" shapeId="0">
      <text>
        <t>raw warhead damages: 16000, 8, 16000, 8000, 8, 16000, 8000, 8
import scales all proportionally</t>
      </text>
    </comment>
    <comment ref="AB155" authorId="0" shapeId="0">
      <text>
        <t>fires when: mortar</t>
      </text>
    </comment>
    <comment ref="L156" authorId="0" shapeId="0">
      <text>
        <t>raw warhead damages: 4000, 2, 4000, 2
import scales all proportionally</t>
      </text>
    </comment>
    <comment ref="AB156" authorId="0" shapeId="0">
      <text>
        <t>fires when: mg</t>
      </text>
    </comment>
    <comment ref="L157" authorId="0" shapeId="0">
      <text>
        <t>raw warhead damages: 2000, 1000, 1, 2000, 1, 2000, 1, 2000, 1
import scales all proportionally</t>
      </text>
    </comment>
    <comment ref="AB157" authorId="0" shapeId="0">
      <text>
        <t>fires when: aa</t>
      </text>
    </comment>
    <comment ref="L159" authorId="0" shapeId="0">
      <text>
        <t>raw warhead damages: 2000, 1, 2000, 1
import scales all proportionally</t>
      </text>
    </comment>
    <comment ref="AB159" authorId="0" shapeId="0">
      <text>
        <t>fires when: !td_gdi_upgrade_armorpiercingbullets</t>
      </text>
    </comment>
    <comment ref="L160" authorId="0" shapeId="0">
      <text>
        <t>raw warhead damages: 4000, 2
import scales all proportionally</t>
      </text>
    </comment>
    <comment ref="AB160" authorId="0" shapeId="0">
      <text>
        <t>fires when: td_gdi_upgrade_armorpiercingbullets</t>
      </text>
    </comment>
    <comment ref="L164" authorId="0" shapeId="0">
      <text>
        <t>raw warhead damages: 2000, 1, 2000, 1, 2000, 1, 2000, 1
import scales all proportionally</t>
      </text>
    </comment>
    <comment ref="L166" authorId="0" shapeId="0">
      <text>
        <t>raw warhead damages: 6000, 3, 6000, 3
import scales all proportionally</t>
      </text>
    </comment>
    <comment ref="L168" authorId="0" shapeId="0">
      <text>
        <t>raw warhead damages: 4000, 2, 4000, 2, 4000, 2, 4000, 2
import scales all proportionally</t>
      </text>
    </comment>
    <comment ref="L170" authorId="0" shapeId="0">
      <text>
        <t>raw warhead damages: 4000, 2
import scales all proportionally</t>
      </text>
    </comment>
    <comment ref="L172" authorId="0" shapeId="0">
      <text>
        <t>raw warhead damages: 36000, 18, 600
import scales all proportionally</t>
      </text>
    </comment>
    <comment ref="L174" authorId="0" shapeId="0">
      <text>
        <t>raw warhead damages: 12000, 6
import scales all proportionally</t>
      </text>
    </comment>
    <comment ref="AB174" authorId="0" shapeId="0">
      <text>
        <t>fires when: !ts_nod_upgrade_tiberiumcoremissiles</t>
      </text>
    </comment>
    <comment ref="L175" authorId="0" shapeId="0">
      <text>
        <t>raw warhead damages: 18000, 9
import scales all proportionally</t>
      </text>
    </comment>
    <comment ref="AB175" authorId="0" shapeId="0">
      <text>
        <t>fires when: ts_nod_upgrade_tiberiumcoremissiles</t>
      </text>
    </comment>
    <comment ref="L177" authorId="0" shapeId="0">
      <text>
        <t>raw warhead damages: 8000, 4
import scales all proportionally</t>
      </text>
    </comment>
    <comment ref="L179" authorId="0" shapeId="0">
      <text>
        <t>raw warhead damages: 10000, 5
import scales all proportionally</t>
      </text>
    </comment>
    <comment ref="L181" authorId="0" shapeId="0">
      <text>
        <t>raw warhead damages: 10000, 5
import scales all proportionally</t>
      </text>
    </comment>
    <comment ref="AB181" authorId="0" shapeId="0">
      <text>
        <t>fires when: !ra2_allies_upgrade_thunderboltmissiles</t>
      </text>
    </comment>
    <comment ref="L182" authorId="0" shapeId="0">
      <text>
        <t>raw warhead damages: 2000, 1, 2000, 1, 2000, 1, 2000, 1, 2000, 1, 2000, 1
import scales all proportionally</t>
      </text>
    </comment>
    <comment ref="AB182" authorId="0" shapeId="0">
      <text>
        <t>fires when: ra2_allies_upgrade_thunderboltmissiles</t>
      </text>
    </comment>
    <comment ref="L184" authorId="0" shapeId="0">
      <text>
        <t>raw warhead damages: 10000, 5
import scales all proportionally</t>
      </text>
    </comment>
    <comment ref="L186" authorId="0" shapeId="0">
      <text>
        <t>raw warhead damages: 2000, 1, 600
import scales all proportionally</t>
      </text>
    </comment>
    <comment ref="L188" authorId="0" shapeId="0">
      <text>
        <t>raw warhead damages: 2000, 1, 2000, 1, 2000, 1000, 1, 2000, 1, 888
import scales all proportionally</t>
      </text>
    </comment>
    <comment ref="AB188" authorId="0" shapeId="0">
      <text>
        <t>fires when: !asianalliance_upgrade_celestialpower</t>
      </text>
    </comment>
    <comment ref="L189" authorId="0" shapeId="0">
      <text>
        <t>raw warhead damages: 2000, 1, 2000, 1, 2000, 1000, 1, 2000, 1, 888
import scales all proportionally</t>
      </text>
    </comment>
    <comment ref="AB189" authorId="0" shapeId="0">
      <text>
        <t>fires when: asianalliance_upgrade_celestialpower</t>
      </text>
    </comment>
    <comment ref="AB191" authorId="0" shapeId="0">
      <text>
        <t>fires when: steelconsortium_upgrade_scalpeldefenders</t>
      </text>
    </comment>
    <comment ref="L192" authorId="0" shapeId="0">
      <text>
        <t>raw warhead damages: 6000, 3000, 3, 6000, 3, 6000, 3, 6000, 3
import scales all proportionally</t>
      </text>
    </comment>
    <comment ref="AB192" authorId="0" shapeId="0">
      <text>
        <t>fires when: !steelconsortium_upgrade_quantumweaponpower</t>
      </text>
    </comment>
    <comment ref="L193" authorId="0" shapeId="0">
      <text>
        <t>raw warhead damages: 6000, 3000, 3, 6000, 3, 6000, 3, 6000, 3
import scales all proportionally</t>
      </text>
    </comment>
    <comment ref="AB193" authorId="0" shapeId="0">
      <text>
        <t>fires when: steelconsortium_upgrade_quantumweaponpower</t>
      </text>
    </comment>
    <comment ref="L195" authorId="0" shapeId="0">
      <text>
        <t>raw warhead damages: 2000, 1, 2000, 1
import scales all proportionally</t>
      </text>
    </comment>
    <comment ref="L196" authorId="0" shapeId="0">
      <text>
        <t>raw warhead damages: 2000, 1, 2000, 1
import scales all proportionally</t>
      </text>
    </comment>
    <comment ref="L198" authorId="0" shapeId="0">
      <text>
        <t>raw warhead damages: 2000, 2, 2000, 1
import scales all proportionally</t>
      </text>
    </comment>
    <comment ref="L200" authorId="0" shapeId="0">
      <text>
        <t>raw warhead damages: 10000, 5, 10000, 5, 10000, 5, 10000, 5
import scales all proportionally</t>
      </text>
    </comment>
    <comment ref="L202" authorId="0" shapeId="0">
      <text>
        <t>raw warhead damages: 4000, 2, 4000, 2, 4000, 2, 4000, 2, 4000, 2
import scales all proportionally</t>
      </text>
    </comment>
    <comment ref="L203" authorId="0" shapeId="0">
      <text>
        <t>raw warhead damages: 4000, 2, 4000, 2, 4000, 2, 4000, 2, 4000, 2
import scales all proportionally</t>
      </text>
    </comment>
    <comment ref="L206" authorId="0" shapeId="0">
      <text>
        <t>raw warhead damages: 2000, 1, 2000, 1000, 1, 2000, 1000, 1, 2000, 1, 2000, 1, 2000, 1, 2000, 1
import scales all proportionally</t>
      </text>
    </comment>
    <comment ref="AB206" authorId="0" shapeId="0">
      <text>
        <t>fires when: !td_gdi_upgrade_advancedmissiletargeting</t>
      </text>
    </comment>
    <comment ref="L207" authorId="0" shapeId="0">
      <text>
        <t>raw warhead damages: 2000, 1, 2000, 1000, 1, 2000, 1000, 1, 2000, 1, 2000, 1, 2000, 1, 2000, 1
import scales all proportionally</t>
      </text>
    </comment>
    <comment ref="AB207" authorId="0" shapeId="0">
      <text>
        <t>fires when: td_gdi_upgrade_advancedmissiletargeting</t>
      </text>
    </comment>
    <comment ref="L209" authorId="0" shapeId="0">
      <text>
        <t>raw warhead damages: 96000, 48, 600
import scales all proportionally</t>
      </text>
    </comment>
    <comment ref="L211" authorId="0" shapeId="0">
      <text>
        <t>raw warhead damages: 10000, 5000, 5, 10000, 5000, 5, 10000, 5000, 5, 10000, 5
import scales all proportionally</t>
      </text>
    </comment>
    <comment ref="L212" authorId="0" shapeId="0">
      <text>
        <t>raw warhead damages: 160000, 80
import scales all proportionally</t>
      </text>
    </comment>
    <comment ref="L213" authorId="0" shapeId="0">
      <text>
        <t>raw warhead damages: 10000, 5000, 5, 10000, 5000, 5, 10000, 5000, 5, 10000, 5
import scales all proportionally</t>
      </text>
    </comment>
    <comment ref="AB213" authorId="0" shapeId="0">
      <text>
        <t>fires when: japan_upgrade_energizedarrows</t>
      </text>
    </comment>
    <comment ref="L214" authorId="0" shapeId="0">
      <text>
        <t>raw warhead damages: 20000, 10, 20000, 10000, 10, 20000, 10000, 10, 20000, 10000, 10, 20000, 10, 20000, 10000, 10, 20000, 10, 20000, 10
import scales all proportionally</t>
      </text>
    </comment>
    <comment ref="AB214" authorId="0" shapeId="0">
      <text>
        <t>fires when: japan_upgrade_energizedarrows</t>
      </text>
    </comment>
    <comment ref="L218" authorId="0" shapeId="0">
      <text>
        <t>raw warhead damages: 32000, 16000, 16
import scales all proportionally</t>
      </text>
    </comment>
    <comment ref="AB218" authorId="0" shapeId="0">
      <text>
        <t>fires when: !ra1_soviets_doctrine_teslaandexperimentaltech &amp;&amp; !ra1_soviets_upgrade_teslaarcing</t>
      </text>
    </comment>
    <comment ref="L219" authorId="0" shapeId="0">
      <text>
        <t>raw warhead damages: 32000, 16000, 16
import scales all proportionally</t>
      </text>
    </comment>
    <comment ref="AB219" authorId="0" shapeId="0">
      <text>
        <t>fires when: ra1_soviets_doctrine_teslaandexperimentaltech &amp;&amp; !ra1_soviets_upgrade_teslaarcing</t>
      </text>
    </comment>
    <comment ref="L220" authorId="0" shapeId="0">
      <text>
        <t>raw warhead damages: 32000, 16000, 16
import scales all proportionally</t>
      </text>
    </comment>
    <comment ref="AB220" authorId="0" shapeId="0">
      <text>
        <t>fires when: ra1_soviets_upgrade_teslaarcing</t>
      </text>
    </comment>
    <comment ref="L222" authorId="0" shapeId="0">
      <text>
        <t>raw warhead damages: 10000, 5, 10000, 5000, 5, 10000, 5000, 5
import scales all proportionally</t>
      </text>
    </comment>
    <comment ref="AB222" authorId="0" shapeId="0">
      <text>
        <t>fires when: !disabled &amp;&amp; !lowpower &amp;&amp; !ra1_allies_upgrade_cryomissiles</t>
      </text>
    </comment>
    <comment ref="L223" authorId="0" shapeId="0">
      <text>
        <t>raw warhead damages: 10000, 5, 10000, 5000, 5, 10000, 5000, 5
import scales all proportionally</t>
      </text>
    </comment>
    <comment ref="AB223" authorId="0" shapeId="0">
      <text>
        <t>fires when: !disabled &amp;&amp; !lowpower &amp;&amp; ra1_allies_upgrade_cryomissiles</t>
      </text>
    </comment>
    <comment ref="L226" authorId="0" shapeId="0">
      <text>
        <t>raw warhead damages: 70000, 35, 70000, 35, 600, 70000, 35000, 35, 70000, 35000, 35
import scales all proportionally</t>
      </text>
    </comment>
    <comment ref="L228" authorId="0" shapeId="0">
      <text>
        <t>raw warhead damages: 52000, 26, 52000, 26, 600
import scales all proportionally</t>
      </text>
    </comment>
    <comment ref="AB228" authorId="0" shapeId="0">
      <text>
        <t>fires when: !ts_nod_upgrade_tiberiumlenses</t>
      </text>
    </comment>
    <comment ref="L229" authorId="0" shapeId="0">
      <text>
        <t>raw warhead damages: 80000, 40, 80000, 40, 600
import scales all proportionally</t>
      </text>
    </comment>
    <comment ref="AB229" authorId="0" shapeId="0">
      <text>
        <t>fires when: ts_nod_upgrade_tiberiumlenses</t>
      </text>
    </comment>
    <comment ref="L231" authorId="0" shapeId="0">
      <text>
        <t>raw warhead damages: 2000, 1000, 1
import scales all proportionally</t>
      </text>
    </comment>
    <comment ref="L233" authorId="0" shapeId="0">
      <text>
        <t>raw warhead damages: 16000, 8000, 8, 16000, 8
import scales all proportionally</t>
      </text>
    </comment>
    <comment ref="AB233" authorId="0" shapeId="0">
      <text>
        <t>fires when: !ts_gdi_upgrade_railgunweaponry</t>
      </text>
    </comment>
    <comment ref="L234" authorId="0" shapeId="0">
      <text>
        <t>raw warhead damages: 16000, 8000, 8, 16000, 8, 16000, 1, 1000, 8
import scales all proportionally</t>
      </text>
    </comment>
    <comment ref="AB234" authorId="0" shapeId="0">
      <text>
        <t>fires when: ts_gdi_upgrade_railgunweaponry</t>
      </text>
    </comment>
    <comment ref="L236" authorId="0" shapeId="0">
      <text>
        <t>raw warhead damages: 16000, 8000, 8, 16000, 8
import scales all proportionally</t>
      </text>
    </comment>
    <comment ref="AB236" authorId="0" shapeId="0">
      <text>
        <t>fires when: !forgotten_upgrade_chemicalweapons</t>
      </text>
    </comment>
    <comment ref="L237" authorId="0" shapeId="0">
      <text>
        <t>raw warhead damages: 16000, 8000, 8, 16000, 8000, 8, 16000, 8
import scales all proportionally</t>
      </text>
    </comment>
    <comment ref="AB237" authorId="0" shapeId="0">
      <text>
        <t>fires when: forgotten_upgrade_chemicalweapons</t>
      </text>
    </comment>
    <comment ref="L239" authorId="0" shapeId="0">
      <text>
        <t>raw warhead damages: 48000, 24
import scales all proportionally</t>
      </text>
    </comment>
    <comment ref="L242" authorId="0" shapeId="0">
      <text>
        <t>raw warhead damages: 50000, 25, 50000, 25, 50000, 25000, 25, 50000, 25000, 25, 50000, 25000, 25, 50000, 25000, 25
import scales all proportionally</t>
      </text>
    </comment>
    <comment ref="AB244" authorId="0" shapeId="0">
      <text>
        <t>fires when: ra2_allies_upgrade_prismlinking</t>
      </text>
    </comment>
    <comment ref="L245" authorId="0" shapeId="0">
      <text>
        <t>raw warhead damages: 32000, 16, 600
import scales all proportionally</t>
      </text>
    </comment>
    <comment ref="L247" authorId="0" shapeId="0">
      <text>
        <t>raw warhead damages: 64000, 32000, 32
import scales all proportionally</t>
      </text>
    </comment>
    <comment ref="AB247" authorId="0" shapeId="0">
      <text>
        <t>fires when: ((!TeslaCoilCharge &amp;&amp; !unpowered) || (TeslaCoilCharge == 1 &amp;&amp; unpowered)) &amp;&amp; (!ra2_soviets_upgrade_teslaoverload &amp;&amp; !rank-elite)</t>
      </text>
    </comment>
    <comment ref="L248" authorId="0" shapeId="0">
      <text>
        <t>raw warhead damages: 64000, 32000, 32
import scales all proportionally</t>
      </text>
    </comment>
    <comment ref="AB248" authorId="0" shapeId="0">
      <text>
        <t>fires when: ((!TeslaCoilCharge &amp;&amp; !unpowered) || (TeslaCoilCharge == 1 &amp;&amp; unpowered)) &amp;&amp; (ra2_soviets_upgrade_teslaoverload &amp;&amp; !rank-elite) || (!ra2_soviets_upgrade_teslaoverload &amp;&amp; rank-elite)</t>
      </text>
    </comment>
    <comment ref="L249" authorId="0" shapeId="0">
      <text>
        <t>raw warhead damages: 64000, 32000, 32
import scales all proportionally</t>
      </text>
    </comment>
    <comment ref="AB249" authorId="0" shapeId="0">
      <text>
        <t>fires when: ((!TeslaCoilCharge &amp;&amp; !unpowered) || (TeslaCoilCharge == 1 &amp;&amp; unpowered)) &amp;&amp; (ra2_soviets_upgrade_teslaoverload &amp;&amp; rank-elite)</t>
      </text>
    </comment>
    <comment ref="L250" authorId="0" shapeId="0">
      <text>
        <t>raw warhead damages: 64000, 32000, 32
import scales all proportionally</t>
      </text>
    </comment>
    <comment ref="AB250" authorId="0" shapeId="0">
      <text>
        <t>fires when: ((TeslaCoilCharge &amp;&amp; !unpowered) || (TeslaCoilCharge &gt; 1 &amp;&amp; unpowered)) &amp;&amp; (!ra2_soviets_upgrade_teslaoverload &amp;&amp; !rank-elite)</t>
      </text>
    </comment>
    <comment ref="L251" authorId="0" shapeId="0">
      <text>
        <t>raw warhead damages: 64000, 32000, 32
import scales all proportionally</t>
      </text>
    </comment>
    <comment ref="AB251" authorId="0" shapeId="0">
      <text>
        <t>fires when: ((TeslaCoilCharge &amp;&amp; !unpowered) || (TeslaCoilCharge &gt; 1 &amp;&amp; unpowered)) &amp;&amp; (ra2_soviets_upgrade_teslaoverload &amp;&amp; !rank-elite) || (!ra2_soviets_upgrade_teslaoverload &amp;&amp; rank-elite)</t>
      </text>
    </comment>
    <comment ref="L252" authorId="0" shapeId="0">
      <text>
        <t>raw warhead damages: 64000, 32000, 32
import scales all proportionally</t>
      </text>
    </comment>
    <comment ref="AB252" authorId="0" shapeId="0">
      <text>
        <t>fires when: ((TeslaCoilCharge &amp;&amp; !unpowered) || (TeslaCoilCharge &gt; 1 &amp;&amp; unpowered)) &amp;&amp; (ra2_soviets_upgrade_teslaoverload &amp;&amp; rank-elite)</t>
      </text>
    </comment>
    <comment ref="L258" authorId="0" shapeId="0">
      <text>
        <t>raw warhead damages: 2000, 1000, 1, 2000, 1000, 1, 2000, 1000, 1, 2000, 1000, 1, 2000, 1, 2000, 1000, 1, 2000, 1, 2000, 1
import scales all proportionally</t>
      </text>
    </comment>
    <comment ref="L260" authorId="0" shapeId="0">
      <text>
        <t>raw warhead damages: 30000, 15, 1000
import scales all proportionally</t>
      </text>
    </comment>
    <comment ref="L263" authorId="0" shapeId="0">
      <text>
        <t>raw warhead damages: 250000, 125000, 125, 250000, 125, 888, 250000, 125, 600, 250000, 125, 1000
import scales all proportionally</t>
      </text>
    </comment>
    <comment ref="L265" authorId="0" shapeId="0">
      <text>
        <t>raw warhead damages: 250000, 125000, 125, 250000, 125, 888, 250000, 125, 600, 250000, 125, 1000
import scales all proportionally</t>
      </text>
    </comment>
    <comment ref="AB267" authorId="0" shapeId="0">
      <text>
        <t>fires when: steelconsortium_upgrade_scalpeldefenders</t>
      </text>
    </comment>
    <comment ref="L268" authorId="0" shapeId="0">
      <text>
        <t>raw warhead damages: 2000, 1000, 1, 2000, 1000, 1, 2000, 1000, 1, 2000, 1, 600, 2000, 1, 1000, 2000, 1
import scales all proportionally</t>
      </text>
    </comment>
    <comment ref="AB268" authorId="0" shapeId="0">
      <text>
        <t>fires when: !steelconsortium_upgrade_quantumweaponpower</t>
      </text>
    </comment>
    <comment ref="L269" authorId="0" shapeId="0">
      <text>
        <t>raw warhead damages: 2000, 1000, 1, 2000, 1000, 1, 2000, 1000, 1, 2000, 1, 600, 2000, 1, 1000, 2000, 1
import scales all proportionally</t>
      </text>
    </comment>
    <comment ref="AB269" authorId="0" shapeId="0">
      <text>
        <t>fires when: !steelconsortium_upgrade_quantumweaponpower</t>
      </text>
    </comment>
    <comment ref="L270" authorId="0" shapeId="0">
      <text>
        <t>raw warhead damages: 2000, 1000, 1, 2000, 1000, 1, 2000, 1000, 1, 2000, 1, 600, 2000, 1, 1000, 2000, 1
import scales all proportionally</t>
      </text>
    </comment>
    <comment ref="AB270" authorId="0" shapeId="0">
      <text>
        <t>fires when: steelconsortium_upgrade_quantumweaponpower</t>
      </text>
    </comment>
    <comment ref="L271" authorId="0" shapeId="0">
      <text>
        <t>raw warhead damages: 2000, 1000, 1, 2000, 1000, 1, 2000, 1000, 1, 2000, 1, 600, 2000, 1, 1000, 2000, 1
import scales all proportionally</t>
      </text>
    </comment>
    <comment ref="AB271" authorId="0" shapeId="0">
      <text>
        <t>fires when: steelconsortium_upgrade_quantumweaponpower</t>
      </text>
    </comment>
    <comment ref="L275" authorId="0" shapeId="0">
      <text>
        <t>raw warhead damages: 2000, 1, 2000, 1, 2000, 1, 2000, 1, 600
import scales all proportionally</t>
      </text>
    </comment>
    <comment ref="AB275" authorId="0" shapeId="0">
      <text>
        <t>fires when: !schwarzermond_upgrade_crystallens &amp;&amp; !schwarzermond_upgrade_amplifiedlens</t>
      </text>
    </comment>
    <comment ref="L276" authorId="0" shapeId="0">
      <text>
        <t>raw warhead damages: 2000, 1, 2000, 1, 2000, 1, 2000, 1, 600
import scales all proportionally</t>
      </text>
    </comment>
    <comment ref="AB276" authorId="0" shapeId="0">
      <text>
        <t>fires when: schwarzermond_upgrade_crystallens &amp;&amp; !schwarzermond_upgrade_amplifiedlens</t>
      </text>
    </comment>
    <comment ref="L277" authorId="0" shapeId="0">
      <text>
        <t>raw warhead damages: 2000, 1, 2000, 1, 2000, 1, 2000, 1, 600
import scales all proportionally</t>
      </text>
    </comment>
    <comment ref="AB277" authorId="0" shapeId="0">
      <text>
        <t>fires when: schwarzermond_upgrade_amplifiedlens</t>
      </text>
    </comment>
    <comment ref="L279" authorId="0" shapeId="0">
      <text>
        <t>raw warhead damages: 2000, 1, 2000, 1, 2000, 1, 2000, 1, 2000, 1000, 1, 2000, 1, 600
import scales all proportionally</t>
      </text>
    </comment>
    <comment ref="L281" authorId="0" shapeId="0">
      <text>
        <t>raw warhead damages: 12000, 6000, 6, 12000, 6000, 6, 12000, 6, 12000, 6
import scales all proportionally</t>
      </text>
    </comment>
    <comment ref="L283" authorId="0" shapeId="0">
      <text>
        <t>raw warhead damages: 2000, 1, 2000, 1, 2000, 1
import scales all proportionally</t>
      </text>
    </comment>
    <comment ref="L285" authorId="0" shapeId="0">
      <text>
        <t>raw warhead damages: 4000, 2000, 2, 4000, 2000, 2, 4000, 2, 4000, 2
import scales all proportionally</t>
      </text>
    </comment>
    <comment ref="L287" authorId="0" shapeId="0">
      <text>
        <t>raw warhead damages: 150000, 75000, 75, 150000, 75, 888
import scales all proportionally</t>
      </text>
    </comment>
    <comment ref="L289" authorId="0" shapeId="0">
      <text>
        <t>raw warhead damages: 2000, 1, 2000, 1, 2000, 1
import scales all proportionally</t>
      </text>
    </comment>
    <comment ref="L291" authorId="0" shapeId="0">
      <text>
        <t>raw warhead damages: 4000, 2000, 2, 4000, 2000, 2, 4000, 2, 4000, 2
import scales all proportionally</t>
      </text>
    </comment>
    <comment ref="L293" authorId="0" shapeId="0">
      <text>
        <t>raw warhead damages: 2000, 1, 2000, 1, 2000, 1, 2000, 1, 600
import scales all proportionally</t>
      </text>
    </comment>
    <comment ref="AB293" authorId="0" shapeId="0">
      <text>
        <t>fires when: !schwarzermond_upgrade_crystallens</t>
      </text>
    </comment>
  </commentList>
</comments>
</file>

<file path=xl/comments/comment6.xml><?xml version="1.0" encoding="utf-8"?>
<comments xmlns="http://schemas.openxmlformats.org/spreadsheetml/2006/main">
  <authors>
    <author>balance-pipeline</author>
  </authors>
  <commentList>
    <comment ref="L8" authorId="0" shapeId="0">
      <text>
        <t>raw warhead damages: 18000, 9
import scales all proportionally</t>
      </text>
    </comment>
    <comment ref="AB8" authorId="0" shapeId="0">
      <text>
        <t>fires when: !td_gdi_upgrade_advancedmissiletargeting</t>
      </text>
    </comment>
    <comment ref="L9" authorId="0" shapeId="0">
      <text>
        <t>raw warhead damages: 18000, 9
import scales all proportionally</t>
      </text>
    </comment>
    <comment ref="AB9" authorId="0" shapeId="0">
      <text>
        <t>fires when: td_gdi_upgrade_advancedmissiletargeting</t>
      </text>
    </comment>
    <comment ref="L10" authorId="0" shapeId="0">
      <text>
        <t>raw warhead damages: 60000, 30000, 30
import scales all proportionally</t>
      </text>
    </comment>
    <comment ref="L11" authorId="0" shapeId="0">
      <text>
        <t>raw warhead damages: 60000, 30000, 30
import scales all proportionally</t>
      </text>
    </comment>
    <comment ref="L13" authorId="0" shapeId="0">
      <text>
        <t>raw warhead damages: 8000, 4000, 4, 8000, 4
import scales all proportionally</t>
      </text>
    </comment>
    <comment ref="AB13" authorId="0" shapeId="0">
      <text>
        <t>fires when: !td_nod_upgrade_blackmarketupgrades</t>
      </text>
    </comment>
    <comment ref="L14" authorId="0" shapeId="0">
      <text>
        <t>raw warhead damages: 8000, 4, 8000, 4
import scales all proportionally</t>
      </text>
    </comment>
    <comment ref="AB14" authorId="0" shapeId="0">
      <text>
        <t>fires when: td_nod_upgrade_blackmarketupgrades</t>
      </text>
    </comment>
    <comment ref="L16" authorId="0" shapeId="0">
      <text>
        <t>raw warhead damages: 2000, 1, 2000, 1
import scales all proportionally</t>
      </text>
    </comment>
    <comment ref="AB16" authorId="0" shapeId="0">
      <text>
        <t>fires when: !japan_upgrade_waveforcebullets</t>
      </text>
    </comment>
    <comment ref="L17" authorId="0" shapeId="0">
      <text>
        <t>raw warhead damages: 2000, 1, 1000, 2000, 1, 2000, 1
import scales all proportionally</t>
      </text>
    </comment>
    <comment ref="AB17" authorId="0" shapeId="0">
      <text>
        <t>fires when: japan_upgrade_waveforcebullets</t>
      </text>
    </comment>
    <comment ref="L18" authorId="0" shapeId="0">
      <text>
        <t>raw warhead damages: 60000, 30000, 30
import scales all proportionally</t>
      </text>
    </comment>
    <comment ref="L19" authorId="0" shapeId="0">
      <text>
        <t>raw warhead damages: 60000, 30000, 30
import scales all proportionally</t>
      </text>
    </comment>
    <comment ref="L21" authorId="0" shapeId="0">
      <text>
        <t>raw warhead damages: 30000, 15
import scales all proportionally</t>
      </text>
    </comment>
    <comment ref="L22" authorId="0" shapeId="0">
      <text>
        <t>raw warhead damages: 60000, 30000, 30
import scales all proportionally</t>
      </text>
    </comment>
    <comment ref="L24" authorId="0" shapeId="0">
      <text>
        <t>raw warhead damages: 16000, 8000, 8, 16000, 8
import scales all proportionally</t>
      </text>
    </comment>
    <comment ref="AB24" authorId="0" shapeId="0">
      <text>
        <t>fires when: !ra1_soviets_doctrine_inferno</t>
      </text>
    </comment>
    <comment ref="L25" authorId="0" shapeId="0">
      <text>
        <t>raw warhead damages: 16000, 8, 16000, 8
import scales all proportionally</t>
      </text>
    </comment>
    <comment ref="AB25" authorId="0" shapeId="0">
      <text>
        <t>fires when: ra1_soviets_doctrine_inferno</t>
      </text>
    </comment>
    <comment ref="L27" authorId="0" shapeId="0">
      <text>
        <t>raw warhead damages: 10000, 5
import scales all proportionally</t>
      </text>
    </comment>
    <comment ref="L28" authorId="0" shapeId="0">
      <text>
        <t>raw warhead damages: 20000, 10000, 15
import scales all proportionally</t>
      </text>
    </comment>
    <comment ref="L29" authorId="0" shapeId="0">
      <text>
        <t>raw warhead damages: 60000, 30000, 30
import scales all proportionally</t>
      </text>
    </comment>
    <comment ref="L31" authorId="0" shapeId="0">
      <text>
        <t>raw warhead damages: 24000, 12000, 12
import scales all proportionally</t>
      </text>
    </comment>
    <comment ref="AB31" authorId="0" shapeId="0">
      <text>
        <t>fires when: !forgotten_upgrade_chemicalweapons</t>
      </text>
    </comment>
    <comment ref="L32" authorId="0" shapeId="0">
      <text>
        <t>raw warhead damages: 12000, 6000, 6, 24000, 12000, 12
import scales all proportionally</t>
      </text>
    </comment>
    <comment ref="AB32" authorId="0" shapeId="0">
      <text>
        <t>fires when: forgotten_upgrade_chemicalweapons</t>
      </text>
    </comment>
    <comment ref="L34" authorId="0" shapeId="0">
      <text>
        <t>raw warhead damages: 16000, 8
import scales all proportionally</t>
      </text>
    </comment>
    <comment ref="AB34" authorId="0" shapeId="0">
      <text>
        <t>fires when: !rank-elite</t>
      </text>
    </comment>
    <comment ref="L35" authorId="0" shapeId="0">
      <text>
        <t>raw warhead damages: 16000, 8
import scales all proportionally</t>
      </text>
    </comment>
    <comment ref="AB35" authorId="0" shapeId="0">
      <text>
        <t>fires when: rank-elite</t>
      </text>
    </comment>
    <comment ref="L38" authorId="0" shapeId="0">
      <text>
        <t>raw warhead damages: 2000, 1, 888, 1000
import scales all proportionally</t>
      </text>
    </comment>
    <comment ref="L44" authorId="0" shapeId="0">
      <text>
        <t>raw warhead damages: 18000, 9000, 9, 18000, 9
import scales all proportionally</t>
      </text>
    </comment>
    <comment ref="AB44" authorId="0" shapeId="0">
      <text>
        <t>fires when: !rank-elite</t>
      </text>
    </comment>
    <comment ref="L45" authorId="0" shapeId="0">
      <text>
        <t>raw warhead damages: 18000, 9000, 9, 18000, 9
import scales all proportionally</t>
      </text>
    </comment>
    <comment ref="AB45" authorId="0" shapeId="0">
      <text>
        <t>fires when: rank-elite</t>
      </text>
    </comment>
    <comment ref="L47" authorId="0" shapeId="0">
      <text>
        <t>raw warhead damages: 16000, 8
import scales all proportionally</t>
      </text>
    </comment>
    <comment ref="AB47" authorId="0" shapeId="0">
      <text>
        <t>fires when: !rank-elite</t>
      </text>
    </comment>
    <comment ref="L48" authorId="0" shapeId="0">
      <text>
        <t>raw warhead damages: 16000, 8
import scales all proportionally</t>
      </text>
    </comment>
    <comment ref="AB48" authorId="0" shapeId="0">
      <text>
        <t>fires when: rank-elite</t>
      </text>
    </comment>
    <comment ref="L49" authorId="0" shapeId="0">
      <text>
        <t>raw warhead damages: 2000, 1, 2000, 1000, 1, 2000, 1, 2000, 1
import scales all proportionally</t>
      </text>
    </comment>
    <comment ref="AB49" authorId="0" shapeId="0">
      <text>
        <t>fires when: !rank-elite</t>
      </text>
    </comment>
    <comment ref="L50" authorId="0" shapeId="0">
      <text>
        <t>raw warhead damages: 2000, 1, 2000, 1000, 1, 2000, 1, 2000, 1
import scales all proportionally</t>
      </text>
    </comment>
    <comment ref="AB50" authorId="0" shapeId="0">
      <text>
        <t>fires when: rank-elite</t>
      </text>
    </comment>
    <comment ref="L51" authorId="0" shapeId="0">
      <text>
        <t>raw warhead damages: 60000, 30000, 30
import scales all proportionally</t>
      </text>
    </comment>
    <comment ref="L52" authorId="0" shapeId="0">
      <text>
        <t>raw warhead damages: 60000, 30000, 30
import scales all proportionally</t>
      </text>
    </comment>
    <comment ref="AB52" authorId="0" shapeId="0">
      <text>
        <t>fires when: rank-elite</t>
      </text>
    </comment>
    <comment ref="L56" authorId="0" shapeId="0">
      <text>
        <t>raw warhead damages: 12000, 6000, 6, 12000, 6
import scales all proportionally</t>
      </text>
    </comment>
    <comment ref="L58" authorId="0" shapeId="0">
      <text>
        <t>raw warhead damages: 10000, 5
import scales all proportionally</t>
      </text>
    </comment>
    <comment ref="AB58" authorId="0" shapeId="0">
      <text>
        <t>fires when: !rank-elite</t>
      </text>
    </comment>
    <comment ref="L59" authorId="0" shapeId="0">
      <text>
        <t>raw warhead damages: 10000, 5
import scales all proportionally</t>
      </text>
    </comment>
    <comment ref="AB59" authorId="0" shapeId="0">
      <text>
        <t>fires when: rank-elite</t>
      </text>
    </comment>
    <comment ref="L61" authorId="0" shapeId="0">
      <text>
        <t>raw warhead damages: 2000, 5, 10000, 5, 600, 2000, 1000, 1
import scales all proportionally</t>
      </text>
    </comment>
    <comment ref="AB61" authorId="0" shapeId="0">
      <text>
        <t>fires when: !rank-elite</t>
      </text>
    </comment>
    <comment ref="L62" authorId="0" shapeId="0">
      <text>
        <t>raw warhead damages: 2000, 5, 10000, 5, 600, 2000, 1000, 1
import scales all proportionally</t>
      </text>
    </comment>
    <comment ref="AB62" authorId="0" shapeId="0">
      <text>
        <t>fires when: rank-elite</t>
      </text>
    </comment>
    <comment ref="L64" authorId="0" shapeId="0">
      <text>
        <t>raw warhead damages: 8000, 4, 8000, 4000, 4, 8000, 4
import scales all proportionally</t>
      </text>
    </comment>
    <comment ref="L66" authorId="0" shapeId="0">
      <text>
        <t>raw warhead damages: 12000, 6000, 6, 12000, 6
import scales all proportionally</t>
      </text>
    </comment>
    <comment ref="L69" authorId="0" shapeId="0">
      <text>
        <t>raw warhead damages: 50000, 25, 1000
import scales all proportionally</t>
      </text>
    </comment>
    <comment ref="L70" authorId="0" shapeId="0">
      <text>
        <t>raw warhead damages: 50000, 25, 1000
import scales all proportionally</t>
      </text>
    </comment>
    <comment ref="L72" authorId="0" shapeId="0">
      <text>
        <t>raw warhead damages: 120000, 60, 600
import scales all proportionally</t>
      </text>
    </comment>
    <comment ref="L73" authorId="0" shapeId="0">
      <text>
        <t>raw warhead damages: 10000, 5
import scales all proportionally</t>
      </text>
    </comment>
    <comment ref="L75" authorId="0" shapeId="0">
      <text>
        <t>raw warhead damages: 20000, 10, 20000, 10
import scales all proportionally</t>
      </text>
    </comment>
    <comment ref="L76" authorId="0" shapeId="0">
      <text>
        <t>raw warhead damages: 20000, 10, 20000, 10
import scales all proportionally</t>
      </text>
    </comment>
    <comment ref="L77" authorId="0" shapeId="0">
      <text>
        <t>raw warhead damages: 2000, 1
import scales all proportionally</t>
      </text>
    </comment>
    <comment ref="L79" authorId="0" shapeId="0">
      <text>
        <t>raw warhead damages: 10000, 5
import scales all proportionally</t>
      </text>
    </comment>
    <comment ref="AB79" authorId="0" shapeId="0">
      <text>
        <t>fires when: !ra1_allies_upgrade_cryomissiles</t>
      </text>
    </comment>
    <comment ref="L80" authorId="0" shapeId="0">
      <text>
        <t>raw warhead damages: 10000, 5
import scales all proportionally</t>
      </text>
    </comment>
    <comment ref="AB80" authorId="0" shapeId="0">
      <text>
        <t>fires when: ra1_allies_upgrade_cryomissiles</t>
      </text>
    </comment>
    <comment ref="L81" authorId="0" shapeId="0">
      <text>
        <t>raw warhead damages: 60000, 30000, 30
import scales all proportionally</t>
      </text>
    </comment>
    <comment ref="L82" authorId="0" shapeId="0">
      <text>
        <t>raw warhead damages: 60000, 30000, 30
import scales all proportionally</t>
      </text>
    </comment>
    <comment ref="L84" authorId="0" shapeId="0">
      <text>
        <t>raw warhead damages: 1000, 500, 1, 16000, 8
import scales all proportionally</t>
      </text>
    </comment>
    <comment ref="L85" authorId="0" shapeId="0">
      <text>
        <t>raw warhead damages: 60000, 30000, 30
import scales all proportionally</t>
      </text>
    </comment>
    <comment ref="L86" authorId="0" shapeId="0">
      <text>
        <t>raw warhead damages: 60000, 30000, 30
import scales all proportionally</t>
      </text>
    </comment>
    <comment ref="L88" authorId="0" shapeId="0">
      <text>
        <t>raw warhead damages: 30000, 15
import scales all proportionally</t>
      </text>
    </comment>
    <comment ref="L89" authorId="0" shapeId="0">
      <text>
        <t>raw warhead damages: 30000, 15
import scales all proportionally</t>
      </text>
    </comment>
    <comment ref="AB89" authorId="0" shapeId="0">
      <text>
        <t>fires when: upra2aegismissiles</t>
      </text>
    </comment>
    <comment ref="L91" authorId="0" shapeId="0">
      <text>
        <t>raw warhead damages: 8000, 4
import scales all proportionally</t>
      </text>
    </comment>
    <comment ref="L92" authorId="0" shapeId="0">
      <text>
        <t>raw warhead damages: 2000, 1, 2000, 1000, 1, 2000, 1, 2000, 1
import scales all proportionally</t>
      </text>
    </comment>
    <comment ref="L94" authorId="0" shapeId="0">
      <text>
        <t>raw warhead damages: 2000, 1, 2000, 1, 2000, 1000, 1, 2000, 1, 888
import scales all proportionally</t>
      </text>
    </comment>
    <comment ref="AB94" authorId="0" shapeId="0">
      <text>
        <t>fires when: !asianalliance_upgrade_celestialpower</t>
      </text>
    </comment>
    <comment ref="L95" authorId="0" shapeId="0">
      <text>
        <t>raw warhead damages: 2000, 1, 2000, 1, 2000, 1000, 1, 2000, 1, 888
import scales all proportionally</t>
      </text>
    </comment>
    <comment ref="AB95" authorId="0" shapeId="0">
      <text>
        <t>fires when: asianalliance_upgrade_celestialpower</t>
      </text>
    </comment>
    <comment ref="L96" authorId="0" shapeId="0">
      <text>
        <t>raw warhead damages: 2000, 1, 2000, 1, 2000, 1000, 1, 2000, 1, 888
import scales all proportionally</t>
      </text>
    </comment>
    <comment ref="AB96" authorId="0" shapeId="0">
      <text>
        <t>fires when: !asianalliance_upgrade_celestialpower</t>
      </text>
    </comment>
    <comment ref="L97" authorId="0" shapeId="0">
      <text>
        <t>raw warhead damages: 2000, 1, 2000, 1, 2000, 1000, 1, 2000, 1, 888
import scales all proportionally</t>
      </text>
    </comment>
    <comment ref="AB97" authorId="0" shapeId="0">
      <text>
        <t>fires when: asianalliance_upgrade_celestialpower</t>
      </text>
    </comment>
    <comment ref="L99" authorId="0" shapeId="0">
      <text>
        <t>raw warhead damages: 2000, 1, 2000, 1, 2000, 1
import scales all proportionally</t>
      </text>
    </comment>
    <comment ref="AB99" authorId="0" shapeId="0">
      <text>
        <t>fires when: !rank-elite</t>
      </text>
    </comment>
    <comment ref="L100" authorId="0" shapeId="0">
      <text>
        <t>raw warhead damages: 2000, 1, 2000, 1, 2000, 1
import scales all proportionally</t>
      </text>
    </comment>
    <comment ref="AB100" authorId="0" shapeId="0">
      <text>
        <t>fires when: rank-elite</t>
      </text>
    </comment>
    <comment ref="L105" authorId="0" shapeId="0">
      <text>
        <t>raw warhead damages: 10000, 5000, 5, 10000, 5000, 5, 10000, 5000, 5, 10000, 5, 10000, 5
import scales all proportionally</t>
      </text>
    </comment>
    <comment ref="L109" authorId="0" shapeId="0">
      <text>
        <t>raw warhead damages: 40000, 20, 40000, 20000, 20
import scales all proportionally</t>
      </text>
    </comment>
    <comment ref="L110" authorId="0" shapeId="0">
      <text>
        <t>raw warhead damages: 40000, 20, 40000, 20000, 20
import scales all proportionally</t>
      </text>
    </comment>
    <comment ref="L112" authorId="0" shapeId="0">
      <text>
        <t>raw warhead damages: 2000, 1, 2000, 1000, 1, 2000, 1, 2000, 1
import scales all proportionally</t>
      </text>
    </comment>
    <comment ref="L118" authorId="0" shapeId="0">
      <text>
        <t>raw warhead damages: 20000, 10000, 10, 20000, 10
import scales all proportionally</t>
      </text>
    </comment>
    <comment ref="L125" authorId="0" shapeId="0">
      <text>
        <t>raw warhead damages: 16000, 8000, 8, 16000, 8, 16000, 8
import scales all proportionally</t>
      </text>
    </comment>
    <comment ref="L127" authorId="0" shapeId="0">
      <text>
        <t>raw warhead damages: 40000, 20, 40000, 20000, 20
import scales all proportionally</t>
      </text>
    </comment>
    <comment ref="L128" authorId="0" shapeId="0">
      <text>
        <t>raw warhead damages: 40000, 20, 40000, 20000, 20
import scales all proportionally</t>
      </text>
    </comment>
    <comment ref="L129" authorId="0" shapeId="0">
      <text>
        <t>raw warhead damages: 40000, 20, 40000, 20000, 20
import scales all proportionally</t>
      </text>
    </comment>
    <comment ref="L130" authorId="0" shapeId="0">
      <text>
        <t>raw warhead damages: 40000, 20, 40000, 20000, 20
import scales all proportionally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cameo_balance_by_type — generated workbench (build_workbook.py).</t>
        </is>
      </c>
    </row>
    <row r="2">
      <c r="A2" s="1" t="inlineStr">
        <is>
          <t>NEVER commit this file; regenerate from the ledger.</t>
        </is>
      </c>
    </row>
    <row r="3">
      <c r="A3" s="1" t="inlineStr">
        <is>
          <t>Formula law (formula.py, Tiger anchor O=P=Q=Cost=800):</t>
        </is>
      </c>
    </row>
    <row r="4">
      <c r="A4" s="2" t="inlineStr">
        <is>
          <t>DPS</t>
        </is>
      </c>
      <c r="B4" t="inlineStr">
        <is>
          <t>Damage*Burst/(Reload+BurstDel*(Burst-1))*WeapClass*FirepowerMultiplier/100</t>
        </is>
      </c>
    </row>
    <row r="5">
      <c r="A5" s="2" t="inlineStr">
        <is>
          <t>O</t>
        </is>
      </c>
      <c r="B5" t="inlineStr">
        <is>
          <t>(HP/1e5+Speed/100+Rng*Spec/5+DPS/200)*200*UC*Tier</t>
        </is>
      </c>
    </row>
    <row r="6">
      <c r="A6" s="2" t="inlineStr">
        <is>
          <t>P</t>
        </is>
      </c>
      <c r="B6" t="inlineStr">
        <is>
          <t>((HP*Speed/25000)+(Rng*Spec*DPS/2.5))*UC*Tier</t>
        </is>
      </c>
    </row>
    <row r="7">
      <c r="A7" s="2" t="inlineStr">
        <is>
          <t>Q</t>
        </is>
      </c>
      <c r="B7" t="inlineStr">
        <is>
          <t>(HP*Speed*Rng*Spec*DPS*UC*Tier)/12.5e6</t>
        </is>
      </c>
    </row>
    <row r="8">
      <c r="A8" s="2" t="inlineStr">
        <is>
          <t>Price</t>
        </is>
      </c>
      <c r="B8" t="inlineStr">
        <is>
          <t>(O+P+Q)/3   |   RangeSolve: price(range)=Cost, exact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2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Infantry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shared</t>
        </is>
      </c>
      <c r="B3" t="inlineStr">
        <is>
          <t>E6</t>
        </is>
      </c>
      <c r="C3" t="inlineStr">
        <is>
          <t>Engineer</t>
        </is>
      </c>
      <c r="D3" s="6" t="inlineStr">
        <is>
          <t>Infantry</t>
        </is>
      </c>
      <c r="E3" s="6" t="n">
        <v>5000</v>
      </c>
      <c r="F3" s="6" t="n">
        <v>50</v>
      </c>
      <c r="G3" t="inlineStr">
        <is>
          <t>None</t>
        </is>
      </c>
      <c r="H3" s="6" t="n">
        <v>1</v>
      </c>
      <c r="I3" s="6" t="n">
        <v>1</v>
      </c>
      <c r="J3" s="6" t="n">
        <v>1</v>
      </c>
      <c r="K3" s="6" t="n"/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DefuseKit</t>
        </is>
      </c>
      <c r="C4" s="7" t="inlineStr">
        <is>
          <t>Armament@defuse</t>
        </is>
      </c>
      <c r="L4" s="6" t="n"/>
      <c r="M4" s="6" t="n">
        <v>20</v>
      </c>
      <c r="N4" s="6" t="n">
        <v>1</v>
      </c>
      <c r="O4" s="6" t="n"/>
      <c r="P4" s="6" t="n">
        <v>1536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^RemovesIvanBombs, ^RemovesTerrorDrone</t>
        </is>
      </c>
    </row>
    <row r="5">
      <c r="B5" s="7" t="inlineStr">
        <is>
          <t xml:space="preserve">  ↳ LeechDisinfect</t>
        </is>
      </c>
      <c r="C5" s="7" t="inlineStr">
        <is>
          <t>Armament@leechdisinfect</t>
        </is>
      </c>
      <c r="L5" s="6" t="n"/>
      <c r="M5" s="6" t="n">
        <v>100</v>
      </c>
      <c r="N5" s="6" t="n">
        <v>1</v>
      </c>
      <c r="O5" s="6" t="n"/>
      <c r="P5" s="6" t="n">
        <v>1536</v>
      </c>
      <c r="Q5" s="6" t="n">
        <v>1</v>
      </c>
      <c r="R5">
        <f>M5+IF(N5&gt;1,N(O5)*(N5-1),0)</f>
        <v/>
      </c>
      <c r="S5">
        <f>IFERROR(L5*MAX(N5,1)/R5*Q5*IF(ISBLANK(K3),1,K3),0)</f>
        <v/>
      </c>
      <c r="AB5" s="7" t="inlineStr"/>
    </row>
    <row r="6">
      <c r="A6" t="inlineStr">
        <is>
          <t>shared</t>
        </is>
      </c>
      <c r="B6" t="inlineStr">
        <is>
          <t>ra1_agentdelphi</t>
        </is>
      </c>
      <c r="C6" t="inlineStr">
        <is>
          <t>Agent Delphi</t>
        </is>
      </c>
      <c r="D6" s="6" t="inlineStr">
        <is>
          <t>Infantry</t>
        </is>
      </c>
      <c r="E6" s="6" t="n">
        <v>2500</v>
      </c>
      <c r="F6" s="6" t="n">
        <v>71</v>
      </c>
      <c r="G6" t="inlineStr">
        <is>
          <t>None</t>
        </is>
      </c>
      <c r="H6" s="6" t="n">
        <v>1</v>
      </c>
      <c r="I6" s="6" t="n">
        <v>1</v>
      </c>
      <c r="J6" s="6" t="n">
        <v>1</v>
      </c>
      <c r="K6" s="6" t="n"/>
      <c r="P6">
        <f>MAX(P7)</f>
        <v/>
      </c>
      <c r="S6">
        <f>S7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10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Pistol</t>
        </is>
      </c>
      <c r="C7" s="7" t="inlineStr">
        <is>
          <t>Armament</t>
        </is>
      </c>
      <c r="L7" s="6" t="n">
        <v>100</v>
      </c>
      <c r="M7" s="6" t="n">
        <v>7</v>
      </c>
      <c r="N7" s="6" t="n">
        <v>1</v>
      </c>
      <c r="O7" s="6" t="n"/>
      <c r="P7" s="6" t="n">
        <v>3072</v>
      </c>
      <c r="Q7" s="6" t="n">
        <v>0.75</v>
      </c>
      <c r="R7">
        <f>M7+IF(N7&gt;1,N(O7)*(N7-1),0)</f>
        <v/>
      </c>
      <c r="S7">
        <f>IFERROR(L7*MAX(N7,1)/R7*Q7*IF(ISBLANK(K6),1,K6),0)</f>
        <v/>
      </c>
      <c r="AB7" s="7" t="inlineStr">
        <is>
          <t>^LightMG</t>
        </is>
      </c>
    </row>
    <row r="8">
      <c r="A8" t="inlineStr">
        <is>
          <t>shared</t>
        </is>
      </c>
      <c r="B8" t="inlineStr">
        <is>
          <t>ra1_einstein</t>
        </is>
      </c>
      <c r="C8" t="inlineStr">
        <is>
          <t>Prof. Einstein</t>
        </is>
      </c>
      <c r="D8" s="6" t="inlineStr">
        <is>
          <t>Infantry</t>
        </is>
      </c>
      <c r="E8" s="6" t="n">
        <v>2500</v>
      </c>
      <c r="F8" s="6" t="n">
        <v>71</v>
      </c>
      <c r="G8" t="inlineStr">
        <is>
          <t>None</t>
        </is>
      </c>
      <c r="H8" s="6" t="n">
        <v>1</v>
      </c>
      <c r="I8" s="6" t="n">
        <v>1</v>
      </c>
      <c r="J8" s="6" t="n">
        <v>1</v>
      </c>
      <c r="K8" s="6" t="n"/>
      <c r="X8" s="6" t="n">
        <v>10</v>
      </c>
    </row>
    <row r="9">
      <c r="A9" t="inlineStr">
        <is>
          <t>shared</t>
        </is>
      </c>
      <c r="B9" t="inlineStr">
        <is>
          <t>ra1_engineer</t>
        </is>
      </c>
      <c r="C9" t="inlineStr">
        <is>
          <t>Engineer</t>
        </is>
      </c>
      <c r="D9" s="6" t="inlineStr">
        <is>
          <t>Infantry</t>
        </is>
      </c>
      <c r="E9" s="6" t="n">
        <v>5000</v>
      </c>
      <c r="F9" s="6" t="n">
        <v>50</v>
      </c>
      <c r="G9" t="inlineStr">
        <is>
          <t>None</t>
        </is>
      </c>
      <c r="H9" s="6" t="n">
        <v>1</v>
      </c>
      <c r="I9" s="6" t="n">
        <v>1</v>
      </c>
      <c r="J9" s="6" t="n">
        <v>1</v>
      </c>
      <c r="K9" s="6" t="n"/>
      <c r="P9">
        <f>MAX(P10,P11)</f>
        <v/>
      </c>
      <c r="S9">
        <f>S10+S11</f>
        <v/>
      </c>
      <c r="T9">
        <f>(E9/100000+F9/100+(P9/1000)*J9/5+S9/200)*200*I9*H9</f>
        <v/>
      </c>
      <c r="U9">
        <f>((E9*F9/25000)+((P9/1000)*J9*S9/2.5))*I9*H9</f>
        <v/>
      </c>
      <c r="V9">
        <f>(E9*F9*(P9/1000)*J9*S9*I9*H9)/12500000</f>
        <v/>
      </c>
      <c r="W9">
        <f>(T9+U9+V9)/3</f>
        <v/>
      </c>
      <c r="X9" s="6" t="n">
        <v>500</v>
      </c>
      <c r="Y9">
        <f>IFERROR(W9-X9,"")</f>
        <v/>
      </c>
      <c r="Z9">
        <f>IFERROR(ABS(Y9)/MAX(X9,1),"")</f>
        <v/>
      </c>
      <c r="AA9">
        <f>IFERROR((X9-(((E9/100000+F9/100+S9/200)*200*I9*H9)+((E9*F9/25000)*I9*H9))/3)/(((J9/5)*200*I9*H9)+((J9*S9/2.5)*I9*H9)+((E9*F9*J9*S9*I9*H9)/12500000))/3*1000,"")</f>
        <v/>
      </c>
    </row>
    <row r="10">
      <c r="B10" s="7" t="inlineStr">
        <is>
          <t xml:space="preserve">  ↳ DefuseKit</t>
        </is>
      </c>
      <c r="C10" s="7" t="inlineStr">
        <is>
          <t>Armament@defuse</t>
        </is>
      </c>
      <c r="L10" s="6" t="n"/>
      <c r="M10" s="6" t="n">
        <v>20</v>
      </c>
      <c r="N10" s="6" t="n">
        <v>1</v>
      </c>
      <c r="O10" s="6" t="n"/>
      <c r="P10" s="6" t="n">
        <v>1536</v>
      </c>
      <c r="Q10" s="6" t="n">
        <v>1</v>
      </c>
      <c r="R10">
        <f>M10+IF(N10&gt;1,N(O10)*(N10-1),0)</f>
        <v/>
      </c>
      <c r="S10">
        <f>IFERROR(L10*MAX(N10,1)/R10*Q10*IF(ISBLANK(K9),1,K9),0)</f>
        <v/>
      </c>
      <c r="AB10" s="7" t="inlineStr">
        <is>
          <t>^RemovesIvanBombs, ^RemovesTerrorDrone</t>
        </is>
      </c>
    </row>
    <row r="11">
      <c r="B11" s="7" t="inlineStr">
        <is>
          <t xml:space="preserve">  ↳ LeechDisinfect</t>
        </is>
      </c>
      <c r="C11" s="7" t="inlineStr">
        <is>
          <t>Armament@leechdisinfect</t>
        </is>
      </c>
      <c r="L11" s="6" t="n"/>
      <c r="M11" s="6" t="n">
        <v>100</v>
      </c>
      <c r="N11" s="6" t="n">
        <v>1</v>
      </c>
      <c r="O11" s="6" t="n"/>
      <c r="P11" s="6" t="n">
        <v>1536</v>
      </c>
      <c r="Q11" s="6" t="n">
        <v>1</v>
      </c>
      <c r="R11">
        <f>M11+IF(N11&gt;1,N(O11)*(N11-1),0)</f>
        <v/>
      </c>
      <c r="S11">
        <f>IFERROR(L11*MAX(N11,1)/R11*Q11*IF(ISBLANK(K9),1,K9),0)</f>
        <v/>
      </c>
      <c r="AB11" s="7" t="inlineStr"/>
    </row>
    <row r="12">
      <c r="A12" t="inlineStr">
        <is>
          <t>shared</t>
        </is>
      </c>
      <c r="B12" t="inlineStr">
        <is>
          <t>ra1_general</t>
        </is>
      </c>
      <c r="C12" t="inlineStr">
        <is>
          <t>General</t>
        </is>
      </c>
      <c r="D12" s="6" t="inlineStr">
        <is>
          <t>Infantry</t>
        </is>
      </c>
      <c r="E12" s="6" t="n">
        <v>2500</v>
      </c>
      <c r="F12" s="6" t="n">
        <v>56</v>
      </c>
      <c r="G12" t="inlineStr">
        <is>
          <t>None</t>
        </is>
      </c>
      <c r="H12" s="6" t="n">
        <v>1</v>
      </c>
      <c r="I12" s="6" t="n">
        <v>1</v>
      </c>
      <c r="J12" s="6" t="n">
        <v>1</v>
      </c>
      <c r="K12" s="6" t="n"/>
      <c r="P12">
        <f>MAX(P13)</f>
        <v/>
      </c>
      <c r="S12">
        <f>S13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10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Pistol</t>
        </is>
      </c>
      <c r="C13" s="7" t="inlineStr">
        <is>
          <t>Armament</t>
        </is>
      </c>
      <c r="L13" s="6" t="n">
        <v>100</v>
      </c>
      <c r="M13" s="6" t="n">
        <v>7</v>
      </c>
      <c r="N13" s="6" t="n">
        <v>1</v>
      </c>
      <c r="O13" s="6" t="n"/>
      <c r="P13" s="6" t="n">
        <v>3072</v>
      </c>
      <c r="Q13" s="6" t="n">
        <v>0.75</v>
      </c>
      <c r="R13">
        <f>M13+IF(N13&gt;1,N(O13)*(N13-1),0)</f>
        <v/>
      </c>
      <c r="S13">
        <f>IFERROR(L13*MAX(N13,1)/R13*Q13*IF(ISBLANK(K12),1,K12),0)</f>
        <v/>
      </c>
      <c r="AB13" s="7" t="inlineStr">
        <is>
          <t>^LightMG</t>
        </is>
      </c>
    </row>
    <row r="14">
      <c r="A14" t="inlineStr">
        <is>
          <t>shared</t>
        </is>
      </c>
      <c r="B14" t="inlineStr">
        <is>
          <t>ra1_scientist</t>
        </is>
      </c>
      <c r="C14" t="inlineStr">
        <is>
          <t>Scientist</t>
        </is>
      </c>
      <c r="D14" s="6" t="inlineStr">
        <is>
          <t>Infantry</t>
        </is>
      </c>
      <c r="E14" s="6" t="n">
        <v>2500</v>
      </c>
      <c r="F14" s="6" t="n">
        <v>56</v>
      </c>
      <c r="G14" t="inlineStr">
        <is>
          <t>None</t>
        </is>
      </c>
      <c r="H14" s="6" t="n">
        <v>1</v>
      </c>
      <c r="I14" s="6" t="n">
        <v>1</v>
      </c>
      <c r="J14" s="6" t="n">
        <v>1</v>
      </c>
      <c r="K14" s="6" t="n"/>
      <c r="X14" s="6" t="n">
        <v>500</v>
      </c>
    </row>
    <row r="15">
      <c r="A15" t="inlineStr">
        <is>
          <t>shared</t>
        </is>
      </c>
      <c r="B15" t="inlineStr">
        <is>
          <t>ra1_technician</t>
        </is>
      </c>
      <c r="C15" t="inlineStr">
        <is>
          <t>Technician</t>
        </is>
      </c>
      <c r="D15" s="6" t="inlineStr">
        <is>
          <t>Infantry</t>
        </is>
      </c>
      <c r="E15" s="6" t="n">
        <v>2500</v>
      </c>
      <c r="F15" s="6" t="n">
        <v>56</v>
      </c>
      <c r="G15" t="inlineStr">
        <is>
          <t>None</t>
        </is>
      </c>
      <c r="H15" s="6" t="n">
        <v>1</v>
      </c>
      <c r="I15" s="6" t="n">
        <v>1</v>
      </c>
      <c r="J15" s="6" t="n">
        <v>1</v>
      </c>
      <c r="K15" s="6" t="n"/>
      <c r="P15">
        <f>MAX(P16)</f>
        <v/>
      </c>
      <c r="S15">
        <f>S16</f>
        <v/>
      </c>
      <c r="T15">
        <f>(E15/100000+F15/100+(P15/1000)*J15/5+S15/200)*200*I15*H15</f>
        <v/>
      </c>
      <c r="U15">
        <f>((E15*F15/25000)+((P15/1000)*J15*S15/2.5))*I15*H15</f>
        <v/>
      </c>
      <c r="V15">
        <f>(E15*F15*(P15/1000)*J15*S15*I15*H15)/12500000</f>
        <v/>
      </c>
      <c r="W15">
        <f>(T15+U15+V15)/3</f>
        <v/>
      </c>
      <c r="X15" s="6" t="n">
        <v>10</v>
      </c>
      <c r="Y15">
        <f>IFERROR(W15-X15,"")</f>
        <v/>
      </c>
      <c r="Z15">
        <f>IFERROR(ABS(Y15)/MAX(X15,1),"")</f>
        <v/>
      </c>
      <c r="AA15">
        <f>IFERROR((X15-(((E15/100000+F15/100+S15/200)*200*I15*H15)+((E15*F15/25000)*I15*H15))/3)/(((J15/5)*200*I15*H15)+((J15*S15/2.5)*I15*H15)+((E15*F15*J15*S15*I15*H15)/12500000))/3*1000,"")</f>
        <v/>
      </c>
    </row>
    <row r="16">
      <c r="B16" s="7" t="inlineStr">
        <is>
          <t xml:space="preserve">  ↳ Pistol</t>
        </is>
      </c>
      <c r="C16" s="7" t="inlineStr">
        <is>
          <t>Armament</t>
        </is>
      </c>
      <c r="L16" s="6" t="n">
        <v>100</v>
      </c>
      <c r="M16" s="6" t="n">
        <v>7</v>
      </c>
      <c r="N16" s="6" t="n">
        <v>1</v>
      </c>
      <c r="O16" s="6" t="n"/>
      <c r="P16" s="6" t="n">
        <v>3072</v>
      </c>
      <c r="Q16" s="6" t="n">
        <v>0.75</v>
      </c>
      <c r="R16">
        <f>M16+IF(N16&gt;1,N(O16)*(N16-1),0)</f>
        <v/>
      </c>
      <c r="S16">
        <f>IFERROR(L16*MAX(N16,1)/R16*Q16*IF(ISBLANK(K15),1,K15),0)</f>
        <v/>
      </c>
      <c r="AB16" s="7" t="inlineStr">
        <is>
          <t>^LightMG</t>
        </is>
      </c>
    </row>
    <row r="17">
      <c r="A17" t="inlineStr">
        <is>
          <t>redalert2</t>
        </is>
      </c>
      <c r="B17" t="inlineStr">
        <is>
          <t>ra2_allies_engineer</t>
        </is>
      </c>
      <c r="C17" t="inlineStr">
        <is>
          <t>Engineer</t>
        </is>
      </c>
      <c r="D17" s="6" t="inlineStr">
        <is>
          <t>Infantry</t>
        </is>
      </c>
      <c r="E17" s="6" t="n">
        <v>5000</v>
      </c>
      <c r="F17" s="6" t="n">
        <v>50</v>
      </c>
      <c r="G17" t="inlineStr">
        <is>
          <t>None</t>
        </is>
      </c>
      <c r="H17" s="6" t="n">
        <v>1</v>
      </c>
      <c r="I17" s="6" t="n">
        <v>1</v>
      </c>
      <c r="J17" s="6" t="n">
        <v>1</v>
      </c>
      <c r="K17" s="6" t="n"/>
      <c r="P17">
        <f>MAX(P18,P19)</f>
        <v/>
      </c>
      <c r="S17">
        <f>S18+S19</f>
        <v/>
      </c>
      <c r="T17">
        <f>(E17/100000+F17/100+(P17/1000)*J17/5+S17/200)*200*I17*H17</f>
        <v/>
      </c>
      <c r="U17">
        <f>((E17*F17/25000)+((P17/1000)*J17*S17/2.5))*I17*H17</f>
        <v/>
      </c>
      <c r="V17">
        <f>(E17*F17*(P17/1000)*J17*S17*I17*H17)/12500000</f>
        <v/>
      </c>
      <c r="W17">
        <f>(T17+U17+V17)/3</f>
        <v/>
      </c>
      <c r="X17" s="6" t="n">
        <v>500</v>
      </c>
      <c r="Y17">
        <f>IFERROR(W17-X17,"")</f>
        <v/>
      </c>
      <c r="Z17">
        <f>IFERROR(ABS(Y17)/MAX(X17,1),"")</f>
        <v/>
      </c>
      <c r="AA17">
        <f>IFERROR((X17-(((E17/100000+F17/100+S17/200)*200*I17*H17)+((E17*F17/25000)*I17*H17))/3)/(((J17/5)*200*I17*H17)+((J17*S17/2.5)*I17*H17)+((E17*F17*J17*S17*I17*H17)/12500000))/3*1000,"")</f>
        <v/>
      </c>
    </row>
    <row r="18">
      <c r="B18" s="7" t="inlineStr">
        <is>
          <t xml:space="preserve">  ↳ DefuseKit</t>
        </is>
      </c>
      <c r="C18" s="7" t="inlineStr">
        <is>
          <t>Armament@defuse</t>
        </is>
      </c>
      <c r="L18" s="6" t="n"/>
      <c r="M18" s="6" t="n">
        <v>20</v>
      </c>
      <c r="N18" s="6" t="n">
        <v>1</v>
      </c>
      <c r="O18" s="6" t="n"/>
      <c r="P18" s="6" t="n">
        <v>1536</v>
      </c>
      <c r="Q18" s="6" t="n">
        <v>1</v>
      </c>
      <c r="R18">
        <f>M18+IF(N18&gt;1,N(O18)*(N18-1),0)</f>
        <v/>
      </c>
      <c r="S18">
        <f>IFERROR(L18*MAX(N18,1)/R18*Q18*IF(ISBLANK(K17),1,K17),0)</f>
        <v/>
      </c>
      <c r="AB18" s="7" t="inlineStr">
        <is>
          <t>^RemovesIvanBombs, ^RemovesTerrorDrone</t>
        </is>
      </c>
    </row>
    <row r="19">
      <c r="B19" s="7" t="inlineStr">
        <is>
          <t xml:space="preserve">  ↳ LeechDisinfect</t>
        </is>
      </c>
      <c r="C19" s="7" t="inlineStr">
        <is>
          <t>Armament@leechdisinfect</t>
        </is>
      </c>
      <c r="L19" s="6" t="n"/>
      <c r="M19" s="6" t="n">
        <v>100</v>
      </c>
      <c r="N19" s="6" t="n">
        <v>1</v>
      </c>
      <c r="O19" s="6" t="n"/>
      <c r="P19" s="6" t="n">
        <v>1536</v>
      </c>
      <c r="Q19" s="6" t="n">
        <v>1</v>
      </c>
      <c r="R19">
        <f>M19+IF(N19&gt;1,N(O19)*(N19-1),0)</f>
        <v/>
      </c>
      <c r="S19">
        <f>IFERROR(L19*MAX(N19,1)/R19*Q19*IF(ISBLANK(K17),1,K17),0)</f>
        <v/>
      </c>
      <c r="AB19" s="7" t="inlineStr"/>
    </row>
    <row r="20">
      <c r="A20" t="inlineStr">
        <is>
          <t>redalert2</t>
        </is>
      </c>
      <c r="B20" t="inlineStr">
        <is>
          <t>ra2_soviets_engineer</t>
        </is>
      </c>
      <c r="C20" t="inlineStr">
        <is>
          <t>Engineer</t>
        </is>
      </c>
      <c r="D20" s="6" t="inlineStr">
        <is>
          <t>Infantry</t>
        </is>
      </c>
      <c r="E20" s="6" t="n">
        <v>5000</v>
      </c>
      <c r="F20" s="6" t="n">
        <v>50</v>
      </c>
      <c r="G20" t="inlineStr">
        <is>
          <t>None</t>
        </is>
      </c>
      <c r="H20" s="6" t="n">
        <v>1</v>
      </c>
      <c r="I20" s="6" t="n">
        <v>1</v>
      </c>
      <c r="J20" s="6" t="n">
        <v>1</v>
      </c>
      <c r="K20" s="6" t="n"/>
      <c r="P20">
        <f>MAX(P21,P22)</f>
        <v/>
      </c>
      <c r="S20">
        <f>S21+S22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500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DefuseKit</t>
        </is>
      </c>
      <c r="C21" s="7" t="inlineStr">
        <is>
          <t>Armament@defuse</t>
        </is>
      </c>
      <c r="L21" s="6" t="n"/>
      <c r="M21" s="6" t="n">
        <v>20</v>
      </c>
      <c r="N21" s="6" t="n">
        <v>1</v>
      </c>
      <c r="O21" s="6" t="n"/>
      <c r="P21" s="6" t="n">
        <v>1536</v>
      </c>
      <c r="Q21" s="6" t="n">
        <v>1</v>
      </c>
      <c r="R21">
        <f>M21+IF(N21&gt;1,N(O21)*(N21-1),0)</f>
        <v/>
      </c>
      <c r="S21">
        <f>IFERROR(L21*MAX(N21,1)/R21*Q21*IF(ISBLANK(K20),1,K20),0)</f>
        <v/>
      </c>
      <c r="AB21" s="7" t="inlineStr">
        <is>
          <t>^RemovesIvanBombs, ^RemovesTerrorDrone</t>
        </is>
      </c>
    </row>
    <row r="22">
      <c r="B22" s="7" t="inlineStr">
        <is>
          <t xml:space="preserve">  ↳ LeechDisinfect</t>
        </is>
      </c>
      <c r="C22" s="7" t="inlineStr">
        <is>
          <t>Armament@leechdisinfect</t>
        </is>
      </c>
      <c r="L22" s="6" t="n"/>
      <c r="M22" s="6" t="n">
        <v>100</v>
      </c>
      <c r="N22" s="6" t="n">
        <v>1</v>
      </c>
      <c r="O22" s="6" t="n"/>
      <c r="P22" s="6" t="n">
        <v>1536</v>
      </c>
      <c r="Q22" s="6" t="n">
        <v>1</v>
      </c>
      <c r="R22">
        <f>M22+IF(N22&gt;1,N(O22)*(N22-1),0)</f>
        <v/>
      </c>
      <c r="S22">
        <f>IFERROR(L22*MAX(N22,1)/R22*Q22*IF(ISBLANK(K20),1,K20),0)</f>
        <v/>
      </c>
      <c r="AB22" s="7" t="inlineStr"/>
    </row>
    <row r="23">
      <c r="A23" t="inlineStr">
        <is>
          <t>redalert2</t>
        </is>
      </c>
      <c r="B23" t="inlineStr">
        <is>
          <t>yuri_engineer</t>
        </is>
      </c>
      <c r="C23" t="inlineStr">
        <is>
          <t>Engineer</t>
        </is>
      </c>
      <c r="D23" s="6" t="inlineStr">
        <is>
          <t>Infantry</t>
        </is>
      </c>
      <c r="E23" s="6" t="n">
        <v>5000</v>
      </c>
      <c r="F23" s="6" t="n">
        <v>50</v>
      </c>
      <c r="G23" t="inlineStr">
        <is>
          <t>None</t>
        </is>
      </c>
      <c r="H23" s="6" t="n">
        <v>1</v>
      </c>
      <c r="I23" s="6" t="n">
        <v>1</v>
      </c>
      <c r="J23" s="6" t="n">
        <v>1</v>
      </c>
      <c r="K23" s="6" t="n"/>
      <c r="P23">
        <f>MAX(P24,P25)</f>
        <v/>
      </c>
      <c r="S23">
        <f>S24+S25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500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DefuseKit</t>
        </is>
      </c>
      <c r="C24" s="7" t="inlineStr">
        <is>
          <t>Armament@defuse</t>
        </is>
      </c>
      <c r="L24" s="6" t="n"/>
      <c r="M24" s="6" t="n">
        <v>20</v>
      </c>
      <c r="N24" s="6" t="n">
        <v>1</v>
      </c>
      <c r="O24" s="6" t="n"/>
      <c r="P24" s="6" t="n">
        <v>1536</v>
      </c>
      <c r="Q24" s="6" t="n">
        <v>1</v>
      </c>
      <c r="R24">
        <f>M24+IF(N24&gt;1,N(O24)*(N24-1),0)</f>
        <v/>
      </c>
      <c r="S24">
        <f>IFERROR(L24*MAX(N24,1)/R24*Q24*IF(ISBLANK(K23),1,K23),0)</f>
        <v/>
      </c>
      <c r="AB24" s="7" t="inlineStr">
        <is>
          <t>^RemovesIvanBombs, ^RemovesTerrorDrone</t>
        </is>
      </c>
    </row>
    <row r="25">
      <c r="B25" s="7" t="inlineStr">
        <is>
          <t xml:space="preserve">  ↳ LeechDisinfect</t>
        </is>
      </c>
      <c r="C25" s="7" t="inlineStr">
        <is>
          <t>Armament@leechdisinfect</t>
        </is>
      </c>
      <c r="L25" s="6" t="n"/>
      <c r="M25" s="6" t="n">
        <v>100</v>
      </c>
      <c r="N25" s="6" t="n">
        <v>1</v>
      </c>
      <c r="O25" s="6" t="n"/>
      <c r="P25" s="6" t="n">
        <v>1536</v>
      </c>
      <c r="Q25" s="6" t="n">
        <v>1</v>
      </c>
      <c r="R25">
        <f>M25+IF(N25&gt;1,N(O25)*(N25-1),0)</f>
        <v/>
      </c>
      <c r="S25">
        <f>IFERROR(L25*MAX(N25,1)/R25*Q25*IF(ISBLANK(K23),1,K23),0)</f>
        <v/>
      </c>
      <c r="AB25" s="7" t="inlineStr"/>
    </row>
    <row r="26">
      <c r="A26" t="inlineStr">
        <is>
          <t>redalert2mod</t>
        </is>
      </c>
      <c r="B26" t="inlineStr">
        <is>
          <t>asianalliance_engineer</t>
        </is>
      </c>
      <c r="C26" t="inlineStr">
        <is>
          <t>Engineer</t>
        </is>
      </c>
      <c r="D26" s="6" t="inlineStr">
        <is>
          <t>Infantry</t>
        </is>
      </c>
      <c r="E26" s="6" t="n">
        <v>5000</v>
      </c>
      <c r="F26" s="6" t="n">
        <v>50</v>
      </c>
      <c r="G26" t="inlineStr">
        <is>
          <t>None</t>
        </is>
      </c>
      <c r="H26" s="6" t="n">
        <v>1</v>
      </c>
      <c r="I26" s="6" t="n">
        <v>1</v>
      </c>
      <c r="J26" s="6" t="n">
        <v>1</v>
      </c>
      <c r="K26" s="6" t="n"/>
      <c r="P26">
        <f>MAX(P27,P28)</f>
        <v/>
      </c>
      <c r="S26">
        <f>S27+S28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500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DefuseKit</t>
        </is>
      </c>
      <c r="C27" s="7" t="inlineStr">
        <is>
          <t>Armament@defuse</t>
        </is>
      </c>
      <c r="L27" s="6" t="n"/>
      <c r="M27" s="6" t="n">
        <v>20</v>
      </c>
      <c r="N27" s="6" t="n">
        <v>1</v>
      </c>
      <c r="O27" s="6" t="n"/>
      <c r="P27" s="6" t="n">
        <v>1536</v>
      </c>
      <c r="Q27" s="6" t="n">
        <v>1</v>
      </c>
      <c r="R27">
        <f>M27+IF(N27&gt;1,N(O27)*(N27-1),0)</f>
        <v/>
      </c>
      <c r="S27">
        <f>IFERROR(L27*MAX(N27,1)/R27*Q27*IF(ISBLANK(K26),1,K26),0)</f>
        <v/>
      </c>
      <c r="AB27" s="7" t="inlineStr">
        <is>
          <t>^RemovesIvanBombs, ^RemovesTerrorDrone</t>
        </is>
      </c>
    </row>
    <row r="28">
      <c r="B28" s="7" t="inlineStr">
        <is>
          <t xml:space="preserve">  ↳ LeechDisinfect</t>
        </is>
      </c>
      <c r="C28" s="7" t="inlineStr">
        <is>
          <t>Armament@leechdisinfect</t>
        </is>
      </c>
      <c r="L28" s="6" t="n"/>
      <c r="M28" s="6" t="n">
        <v>100</v>
      </c>
      <c r="N28" s="6" t="n">
        <v>1</v>
      </c>
      <c r="O28" s="6" t="n"/>
      <c r="P28" s="6" t="n">
        <v>1536</v>
      </c>
      <c r="Q28" s="6" t="n">
        <v>1</v>
      </c>
      <c r="R28">
        <f>M28+IF(N28&gt;1,N(O28)*(N28-1),0)</f>
        <v/>
      </c>
      <c r="S28">
        <f>IFERROR(L28*MAX(N28,1)/R28*Q28*IF(ISBLANK(K26),1,K26),0)</f>
        <v/>
      </c>
      <c r="AB28" s="7" t="inlineStr"/>
    </row>
    <row r="29">
      <c r="A29" t="inlineStr">
        <is>
          <t>redalert2mod</t>
        </is>
      </c>
      <c r="B29" t="inlineStr">
        <is>
          <t>steelconsortium_engineer</t>
        </is>
      </c>
      <c r="C29" t="inlineStr">
        <is>
          <t>Engineer</t>
        </is>
      </c>
      <c r="D29" s="6" t="inlineStr">
        <is>
          <t>Infantry</t>
        </is>
      </c>
      <c r="E29" s="6" t="n">
        <v>5000</v>
      </c>
      <c r="F29" s="6" t="n">
        <v>50</v>
      </c>
      <c r="G29" t="inlineStr">
        <is>
          <t>None</t>
        </is>
      </c>
      <c r="H29" s="6" t="n">
        <v>1</v>
      </c>
      <c r="I29" s="6" t="n">
        <v>1</v>
      </c>
      <c r="J29" s="6" t="n">
        <v>1</v>
      </c>
      <c r="K29" s="6" t="n"/>
      <c r="P29">
        <f>MAX(P30,P31)</f>
        <v/>
      </c>
      <c r="S29">
        <f>S30+S31</f>
        <v/>
      </c>
      <c r="T29">
        <f>(E29/100000+F29/100+(P29/1000)*J29/5+S29/200)*200*I29*H29</f>
        <v/>
      </c>
      <c r="U29">
        <f>((E29*F29/25000)+((P29/1000)*J29*S29/2.5))*I29*H29</f>
        <v/>
      </c>
      <c r="V29">
        <f>(E29*F29*(P29/1000)*J29*S29*I29*H29)/12500000</f>
        <v/>
      </c>
      <c r="W29">
        <f>(T29+U29+V29)/3</f>
        <v/>
      </c>
      <c r="X29" s="6" t="n">
        <v>500</v>
      </c>
      <c r="Y29">
        <f>IFERROR(W29-X29,"")</f>
        <v/>
      </c>
      <c r="Z29">
        <f>IFERROR(ABS(Y29)/MAX(X29,1),"")</f>
        <v/>
      </c>
      <c r="AA29">
        <f>IFERROR((X29-(((E29/100000+F29/100+S29/200)*200*I29*H29)+((E29*F29/25000)*I29*H29))/3)/(((J29/5)*200*I29*H29)+((J29*S29/2.5)*I29*H29)+((E29*F29*J29*S29*I29*H29)/12500000))/3*1000,"")</f>
        <v/>
      </c>
    </row>
    <row r="30">
      <c r="B30" s="7" t="inlineStr">
        <is>
          <t xml:space="preserve">  ↳ DefuseKit</t>
        </is>
      </c>
      <c r="C30" s="7" t="inlineStr">
        <is>
          <t>Armament@defuse</t>
        </is>
      </c>
      <c r="L30" s="6" t="n"/>
      <c r="M30" s="6" t="n">
        <v>20</v>
      </c>
      <c r="N30" s="6" t="n">
        <v>1</v>
      </c>
      <c r="O30" s="6" t="n"/>
      <c r="P30" s="6" t="n">
        <v>1536</v>
      </c>
      <c r="Q30" s="6" t="n">
        <v>1</v>
      </c>
      <c r="R30">
        <f>M30+IF(N30&gt;1,N(O30)*(N30-1),0)</f>
        <v/>
      </c>
      <c r="S30">
        <f>IFERROR(L30*MAX(N30,1)/R30*Q30*IF(ISBLANK(K29),1,K29),0)</f>
        <v/>
      </c>
      <c r="AB30" s="7" t="inlineStr">
        <is>
          <t>^RemovesIvanBombs, ^RemovesTerrorDrone</t>
        </is>
      </c>
    </row>
    <row r="31">
      <c r="B31" s="7" t="inlineStr">
        <is>
          <t xml:space="preserve">  ↳ LeechDisinfect</t>
        </is>
      </c>
      <c r="C31" s="7" t="inlineStr">
        <is>
          <t>Armament@leechdisinfect</t>
        </is>
      </c>
      <c r="L31" s="6" t="n"/>
      <c r="M31" s="6" t="n">
        <v>100</v>
      </c>
      <c r="N31" s="6" t="n">
        <v>1</v>
      </c>
      <c r="O31" s="6" t="n"/>
      <c r="P31" s="6" t="n">
        <v>1536</v>
      </c>
      <c r="Q31" s="6" t="n">
        <v>1</v>
      </c>
      <c r="R31">
        <f>M31+IF(N31&gt;1,N(O31)*(N31-1),0)</f>
        <v/>
      </c>
      <c r="S31">
        <f>IFERROR(L31*MAX(N31,1)/R31*Q31*IF(ISBLANK(K29),1,K29),0)</f>
        <v/>
      </c>
      <c r="AB31" s="7" t="inlineStr"/>
    </row>
    <row r="32">
      <c r="A32" t="inlineStr">
        <is>
          <t>redalert2mod</t>
        </is>
      </c>
      <c r="B32" t="inlineStr">
        <is>
          <t>latinsyndicate_engineer</t>
        </is>
      </c>
      <c r="C32" t="inlineStr">
        <is>
          <t>Engineer</t>
        </is>
      </c>
      <c r="D32" s="6" t="inlineStr">
        <is>
          <t>Infantry</t>
        </is>
      </c>
      <c r="E32" s="6" t="n">
        <v>5000</v>
      </c>
      <c r="F32" s="6" t="n">
        <v>50</v>
      </c>
      <c r="G32" t="inlineStr">
        <is>
          <t>None</t>
        </is>
      </c>
      <c r="H32" s="6" t="n">
        <v>1</v>
      </c>
      <c r="I32" s="6" t="n">
        <v>1</v>
      </c>
      <c r="J32" s="6" t="n">
        <v>1</v>
      </c>
      <c r="K32" s="6" t="n"/>
      <c r="P32">
        <f>MAX(P33,P34)</f>
        <v/>
      </c>
      <c r="S32">
        <f>S33+S34</f>
        <v/>
      </c>
      <c r="T32">
        <f>(E32/100000+F32/100+(P32/1000)*J32/5+S32/200)*200*I32*H32</f>
        <v/>
      </c>
      <c r="U32">
        <f>((E32*F32/25000)+((P32/1000)*J32*S32/2.5))*I32*H32</f>
        <v/>
      </c>
      <c r="V32">
        <f>(E32*F32*(P32/1000)*J32*S32*I32*H32)/12500000</f>
        <v/>
      </c>
      <c r="W32">
        <f>(T32+U32+V32)/3</f>
        <v/>
      </c>
      <c r="X32" s="6" t="n">
        <v>500</v>
      </c>
      <c r="Y32">
        <f>IFERROR(W32-X32,"")</f>
        <v/>
      </c>
      <c r="Z32">
        <f>IFERROR(ABS(Y32)/MAX(X32,1),"")</f>
        <v/>
      </c>
      <c r="AA32">
        <f>IFERROR((X32-(((E32/100000+F32/100+S32/200)*200*I32*H32)+((E32*F32/25000)*I32*H32))/3)/(((J32/5)*200*I32*H32)+((J32*S32/2.5)*I32*H32)+((E32*F32*J32*S32*I32*H32)/12500000))/3*1000,"")</f>
        <v/>
      </c>
    </row>
    <row r="33">
      <c r="B33" s="7" t="inlineStr">
        <is>
          <t xml:space="preserve">  ↳ DefuseKit</t>
        </is>
      </c>
      <c r="C33" s="7" t="inlineStr">
        <is>
          <t>Armament@defuse</t>
        </is>
      </c>
      <c r="L33" s="6" t="n"/>
      <c r="M33" s="6" t="n">
        <v>20</v>
      </c>
      <c r="N33" s="6" t="n">
        <v>1</v>
      </c>
      <c r="O33" s="6" t="n"/>
      <c r="P33" s="6" t="n">
        <v>1536</v>
      </c>
      <c r="Q33" s="6" t="n">
        <v>1</v>
      </c>
      <c r="R33">
        <f>M33+IF(N33&gt;1,N(O33)*(N33-1),0)</f>
        <v/>
      </c>
      <c r="S33">
        <f>IFERROR(L33*MAX(N33,1)/R33*Q33*IF(ISBLANK(K32),1,K32),0)</f>
        <v/>
      </c>
      <c r="AB33" s="7" t="inlineStr">
        <is>
          <t>^RemovesIvanBombs, ^RemovesTerrorDrone</t>
        </is>
      </c>
    </row>
    <row r="34">
      <c r="B34" s="7" t="inlineStr">
        <is>
          <t xml:space="preserve">  ↳ LeechDisinfect</t>
        </is>
      </c>
      <c r="C34" s="7" t="inlineStr">
        <is>
          <t>Armament@leechdisinfect</t>
        </is>
      </c>
      <c r="L34" s="6" t="n"/>
      <c r="M34" s="6" t="n">
        <v>100</v>
      </c>
      <c r="N34" s="6" t="n">
        <v>1</v>
      </c>
      <c r="O34" s="6" t="n"/>
      <c r="P34" s="6" t="n">
        <v>1536</v>
      </c>
      <c r="Q34" s="6" t="n">
        <v>1</v>
      </c>
      <c r="R34">
        <f>M34+IF(N34&gt;1,N(O34)*(N34-1),0)</f>
        <v/>
      </c>
      <c r="S34">
        <f>IFERROR(L34*MAX(N34,1)/R34*Q34*IF(ISBLANK(K32),1,K32),0)</f>
        <v/>
      </c>
      <c r="AB34" s="7" t="inlineStr"/>
    </row>
    <row r="35">
      <c r="A35" t="inlineStr">
        <is>
          <t>redalert2mod</t>
        </is>
      </c>
      <c r="B35" t="inlineStr">
        <is>
          <t>futuretech_engineer</t>
        </is>
      </c>
      <c r="C35" t="inlineStr">
        <is>
          <t>Engineer</t>
        </is>
      </c>
      <c r="D35" s="6" t="inlineStr">
        <is>
          <t>Infantry</t>
        </is>
      </c>
      <c r="E35" s="6" t="n">
        <v>5000</v>
      </c>
      <c r="F35" s="6" t="n">
        <v>50</v>
      </c>
      <c r="G35" t="inlineStr">
        <is>
          <t>None</t>
        </is>
      </c>
      <c r="H35" s="6" t="n">
        <v>1</v>
      </c>
      <c r="I35" s="6" t="n">
        <v>1</v>
      </c>
      <c r="J35" s="6" t="n">
        <v>1</v>
      </c>
      <c r="K35" s="6" t="n"/>
      <c r="P35">
        <f>MAX(P36,P37)</f>
        <v/>
      </c>
      <c r="S35">
        <f>S36+S37</f>
        <v/>
      </c>
      <c r="T35">
        <f>(E35/100000+F35/100+(P35/1000)*J35/5+S35/200)*200*I35*H35</f>
        <v/>
      </c>
      <c r="U35">
        <f>((E35*F35/25000)+((P35/1000)*J35*S35/2.5))*I35*H35</f>
        <v/>
      </c>
      <c r="V35">
        <f>(E35*F35*(P35/1000)*J35*S35*I35*H35)/12500000</f>
        <v/>
      </c>
      <c r="W35">
        <f>(T35+U35+V35)/3</f>
        <v/>
      </c>
      <c r="X35" s="6" t="n">
        <v>500</v>
      </c>
      <c r="Y35">
        <f>IFERROR(W35-X35,"")</f>
        <v/>
      </c>
      <c r="Z35">
        <f>IFERROR(ABS(Y35)/MAX(X35,1),"")</f>
        <v/>
      </c>
      <c r="AA35">
        <f>IFERROR((X35-(((E35/100000+F35/100+S35/200)*200*I35*H35)+((E35*F35/25000)*I35*H35))/3)/(((J35/5)*200*I35*H35)+((J35*S35/2.5)*I35*H35)+((E35*F35*J35*S35*I35*H35)/12500000))/3*1000,"")</f>
        <v/>
      </c>
    </row>
    <row r="36">
      <c r="B36" s="7" t="inlineStr">
        <is>
          <t xml:space="preserve">  ↳ DefuseKit</t>
        </is>
      </c>
      <c r="C36" s="7" t="inlineStr">
        <is>
          <t>Armament@defuse</t>
        </is>
      </c>
      <c r="L36" s="6" t="n"/>
      <c r="M36" s="6" t="n">
        <v>20</v>
      </c>
      <c r="N36" s="6" t="n">
        <v>1</v>
      </c>
      <c r="O36" s="6" t="n"/>
      <c r="P36" s="6" t="n">
        <v>1536</v>
      </c>
      <c r="Q36" s="6" t="n">
        <v>1</v>
      </c>
      <c r="R36">
        <f>M36+IF(N36&gt;1,N(O36)*(N36-1),0)</f>
        <v/>
      </c>
      <c r="S36">
        <f>IFERROR(L36*MAX(N36,1)/R36*Q36*IF(ISBLANK(K35),1,K35),0)</f>
        <v/>
      </c>
      <c r="AB36" s="7" t="inlineStr">
        <is>
          <t>^RemovesIvanBombs, ^RemovesTerrorDrone</t>
        </is>
      </c>
    </row>
    <row r="37">
      <c r="B37" s="7" t="inlineStr">
        <is>
          <t xml:space="preserve">  ↳ LeechDisinfect</t>
        </is>
      </c>
      <c r="C37" s="7" t="inlineStr">
        <is>
          <t>Armament@leechdisinfect</t>
        </is>
      </c>
      <c r="L37" s="6" t="n"/>
      <c r="M37" s="6" t="n">
        <v>100</v>
      </c>
      <c r="N37" s="6" t="n">
        <v>1</v>
      </c>
      <c r="O37" s="6" t="n"/>
      <c r="P37" s="6" t="n">
        <v>1536</v>
      </c>
      <c r="Q37" s="6" t="n">
        <v>1</v>
      </c>
      <c r="R37">
        <f>M37+IF(N37&gt;1,N(O37)*(N37-1),0)</f>
        <v/>
      </c>
      <c r="S37">
        <f>IFERROR(L37*MAX(N37,1)/R37*Q37*IF(ISBLANK(K35),1,K35),0)</f>
        <v/>
      </c>
      <c r="AB37" s="7" t="inlineStr"/>
    </row>
    <row r="38">
      <c r="A38" t="inlineStr">
        <is>
          <t>redalert2mod</t>
        </is>
      </c>
      <c r="B38" t="inlineStr">
        <is>
          <t>tkm_engineer</t>
        </is>
      </c>
      <c r="C38" t="inlineStr">
        <is>
          <t>Engineer</t>
        </is>
      </c>
      <c r="D38" s="6" t="inlineStr">
        <is>
          <t>Infantry</t>
        </is>
      </c>
      <c r="E38" s="6" t="n">
        <v>5000</v>
      </c>
      <c r="F38" s="6" t="n">
        <v>50</v>
      </c>
      <c r="G38" t="inlineStr">
        <is>
          <t>None</t>
        </is>
      </c>
      <c r="H38" s="6" t="n">
        <v>1</v>
      </c>
      <c r="I38" s="6" t="n">
        <v>1</v>
      </c>
      <c r="J38" s="6" t="n">
        <v>1</v>
      </c>
      <c r="K38" s="6" t="n"/>
      <c r="P38">
        <f>MAX(P39,P40,P41,P43)</f>
        <v/>
      </c>
      <c r="S38">
        <f>S39+S40+S41+S43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(T38+U38+V38)/3</f>
        <v/>
      </c>
      <c r="X38" s="6" t="n">
        <v>500</v>
      </c>
      <c r="Y38">
        <f>IFERROR(W38-X38,"")</f>
        <v/>
      </c>
      <c r="Z38">
        <f>IFERROR(ABS(Y38)/MAX(X38,1),"")</f>
        <v/>
      </c>
      <c r="AA38">
        <f>IFERROR((X38-(((E38/100000+F38/100+S38/200)*200*I38*H38)+((E38*F38/25000)*I38*H38))/3)/(((J38/5)*200*I38*H38)+((J38*S38/2.5)*I38*H38)+((E38*F38*J38*S38*I38*H38)/12500000))/3*1000,"")</f>
        <v/>
      </c>
    </row>
    <row r="39">
      <c r="B39" s="7" t="inlineStr">
        <is>
          <t xml:space="preserve">  ↳ DefuseKit</t>
        </is>
      </c>
      <c r="C39" s="7" t="inlineStr">
        <is>
          <t>Armament@defuse</t>
        </is>
      </c>
      <c r="L39" s="6" t="n"/>
      <c r="M39" s="6" t="n">
        <v>20</v>
      </c>
      <c r="N39" s="6" t="n">
        <v>1</v>
      </c>
      <c r="O39" s="6" t="n"/>
      <c r="P39" s="6" t="n">
        <v>1536</v>
      </c>
      <c r="Q39" s="6" t="n">
        <v>1</v>
      </c>
      <c r="R39">
        <f>M39+IF(N39&gt;1,N(O39)*(N39-1),0)</f>
        <v/>
      </c>
      <c r="S39">
        <f>IFERROR(L39*MAX(N39,1)/R39*Q39*IF(ISBLANK(K38),1,K38),0)</f>
        <v/>
      </c>
      <c r="AB39" s="7" t="inlineStr">
        <is>
          <t>^RemovesIvanBombs, ^RemovesTerrorDrone</t>
        </is>
      </c>
    </row>
    <row r="40">
      <c r="B40" s="7" t="inlineStr">
        <is>
          <t xml:space="preserve">  ↳ LeechDisinfect</t>
        </is>
      </c>
      <c r="C40" s="7" t="inlineStr">
        <is>
          <t>Armament@leechdisinfect</t>
        </is>
      </c>
      <c r="L40" s="6" t="n"/>
      <c r="M40" s="6" t="n">
        <v>100</v>
      </c>
      <c r="N40" s="6" t="n">
        <v>1</v>
      </c>
      <c r="O40" s="6" t="n"/>
      <c r="P40" s="6" t="n">
        <v>1536</v>
      </c>
      <c r="Q40" s="6" t="n">
        <v>1</v>
      </c>
      <c r="R40">
        <f>M40+IF(N40&gt;1,N(O40)*(N40-1),0)</f>
        <v/>
      </c>
      <c r="S40">
        <f>IFERROR(L40*MAX(N40,1)/R40*Q40*IF(ISBLANK(K38),1,K38),0)</f>
        <v/>
      </c>
      <c r="AB40" s="7" t="inlineStr"/>
    </row>
    <row r="41">
      <c r="B41" s="7" t="inlineStr">
        <is>
          <t xml:space="preserve">  ↳ Heal</t>
        </is>
      </c>
      <c r="C41" s="7" t="inlineStr">
        <is>
          <t>Armament@HEAL</t>
        </is>
      </c>
      <c r="L41" s="6" t="n">
        <v>-1</v>
      </c>
      <c r="M41" s="6" t="n">
        <v>75</v>
      </c>
      <c r="N41" s="6" t="n">
        <v>1</v>
      </c>
      <c r="O41" s="6" t="n"/>
      <c r="P41" s="6" t="n">
        <v>5000</v>
      </c>
      <c r="Q41" s="6" t="n">
        <v>1</v>
      </c>
      <c r="R41">
        <f>M41+IF(N41&gt;1,N(O41)*(N41-1),0)</f>
        <v/>
      </c>
      <c r="S41">
        <f>IFERROR(L41*MAX(N41,1)/R41*Q41*IF(ISBLANK(K38),1,K38),0)</f>
        <v/>
      </c>
      <c r="AB41" s="7" t="inlineStr">
        <is>
          <t>^HealingWeapon</t>
        </is>
      </c>
    </row>
    <row r="42">
      <c r="B42" s="7" t="inlineStr">
        <is>
          <t xml:space="preserve">  ↳ Heal</t>
        </is>
      </c>
      <c r="C42" s="7" t="inlineStr">
        <is>
          <t>Armament@GARRISONEDHEAL</t>
        </is>
      </c>
      <c r="L42" s="6" t="n">
        <v>-1</v>
      </c>
      <c r="M42" s="6" t="n">
        <v>75</v>
      </c>
      <c r="N42" s="6" t="n">
        <v>1</v>
      </c>
      <c r="O42" s="6" t="n"/>
      <c r="P42" s="6" t="n">
        <v>5000</v>
      </c>
      <c r="Q42" s="6" t="n">
        <v>1</v>
      </c>
      <c r="R42">
        <f>M42+IF(N42&gt;1,N(O42)*(N42-1),0)</f>
        <v/>
      </c>
      <c r="S42">
        <f>IFERROR(L42*MAX(N42,1)/R42*Q42*IF(ISBLANK(K38),1,K38),0)</f>
        <v/>
      </c>
      <c r="AB42" s="7" t="inlineStr">
        <is>
          <t>^HealingWeapon</t>
        </is>
      </c>
    </row>
    <row r="43">
      <c r="B43" s="7" t="inlineStr">
        <is>
          <t xml:space="preserve">  ↳ Repair</t>
        </is>
      </c>
      <c r="C43" s="7" t="inlineStr">
        <is>
          <t>Armament@REPAIR</t>
        </is>
      </c>
      <c r="L43" s="6" t="n">
        <v>-1</v>
      </c>
      <c r="M43" s="6" t="n">
        <v>75</v>
      </c>
      <c r="N43" s="6" t="n">
        <v>10</v>
      </c>
      <c r="O43" s="6" t="n">
        <v>1</v>
      </c>
      <c r="P43" s="6" t="n">
        <v>5000</v>
      </c>
      <c r="Q43" s="6" t="n">
        <v>1.5</v>
      </c>
      <c r="R43">
        <f>M43+IF(N43&gt;1,N(O43)*(N43-1),0)</f>
        <v/>
      </c>
      <c r="S43">
        <f>IFERROR(L43*MAX(N43,1)/R43*Q43*IF(ISBLANK(K38),1,K38),0)</f>
        <v/>
      </c>
      <c r="AB43" s="7" t="inlineStr">
        <is>
          <t>^RepairWeapon</t>
        </is>
      </c>
    </row>
    <row r="44">
      <c r="B44" s="7" t="inlineStr">
        <is>
          <t xml:space="preserve">  ↳ Repair</t>
        </is>
      </c>
      <c r="C44" s="7" t="inlineStr">
        <is>
          <t>Armament@GARRISONEDREPAIR</t>
        </is>
      </c>
      <c r="L44" s="6" t="n">
        <v>-1</v>
      </c>
      <c r="M44" s="6" t="n">
        <v>75</v>
      </c>
      <c r="N44" s="6" t="n">
        <v>10</v>
      </c>
      <c r="O44" s="6" t="n">
        <v>1</v>
      </c>
      <c r="P44" s="6" t="n">
        <v>5000</v>
      </c>
      <c r="Q44" s="6" t="n">
        <v>1.5</v>
      </c>
      <c r="R44">
        <f>M44+IF(N44&gt;1,N(O44)*(N44-1),0)</f>
        <v/>
      </c>
      <c r="S44">
        <f>IFERROR(L44*MAX(N44,1)/R44*Q44*IF(ISBLANK(K38),1,K38),0)</f>
        <v/>
      </c>
      <c r="AB44" s="7" t="inlineStr">
        <is>
          <t>^RepairWeapon</t>
        </is>
      </c>
    </row>
    <row r="45">
      <c r="A45" t="inlineStr">
        <is>
          <t>shared</t>
        </is>
      </c>
      <c r="B45" t="inlineStr">
        <is>
          <t>engineer</t>
        </is>
      </c>
      <c r="C45" t="inlineStr">
        <is>
          <t>Engineer</t>
        </is>
      </c>
      <c r="D45" s="6" t="inlineStr">
        <is>
          <t>Infantry</t>
        </is>
      </c>
      <c r="E45" s="6" t="n">
        <v>5000</v>
      </c>
      <c r="F45" s="6" t="n">
        <v>50</v>
      </c>
      <c r="G45" t="inlineStr">
        <is>
          <t>None</t>
        </is>
      </c>
      <c r="H45" s="6" t="n">
        <v>1</v>
      </c>
      <c r="I45" s="6" t="n">
        <v>1</v>
      </c>
      <c r="J45" s="6" t="n">
        <v>1</v>
      </c>
      <c r="K45" s="6" t="n"/>
      <c r="P45">
        <f>MAX(P46,P47)</f>
        <v/>
      </c>
      <c r="S45">
        <f>S46+S47</f>
        <v/>
      </c>
      <c r="T45">
        <f>(E45/100000+F45/100+(P45/1000)*J45/5+S45/200)*200*I45*H45</f>
        <v/>
      </c>
      <c r="U45">
        <f>((E45*F45/25000)+((P45/1000)*J45*S45/2.5))*I45*H45</f>
        <v/>
      </c>
      <c r="V45">
        <f>(E45*F45*(P45/1000)*J45*S45*I45*H45)/12500000</f>
        <v/>
      </c>
      <c r="W45">
        <f>(T45+U45+V45)/3</f>
        <v/>
      </c>
      <c r="X45" s="6" t="n">
        <v>500</v>
      </c>
      <c r="Y45">
        <f>IFERROR(W45-X45,"")</f>
        <v/>
      </c>
      <c r="Z45">
        <f>IFERROR(ABS(Y45)/MAX(X45,1),"")</f>
        <v/>
      </c>
      <c r="AA45">
        <f>IFERROR((X45-(((E45/100000+F45/100+S45/200)*200*I45*H45)+((E45*F45/25000)*I45*H45))/3)/(((J45/5)*200*I45*H45)+((J45*S45/2.5)*I45*H45)+((E45*F45*J45*S45*I45*H45)/12500000))/3*1000,"")</f>
        <v/>
      </c>
    </row>
    <row r="46">
      <c r="B46" s="7" t="inlineStr">
        <is>
          <t xml:space="preserve">  ↳ DefuseKit</t>
        </is>
      </c>
      <c r="C46" s="7" t="inlineStr">
        <is>
          <t>Armament@defuse</t>
        </is>
      </c>
      <c r="L46" s="6" t="n"/>
      <c r="M46" s="6" t="n">
        <v>20</v>
      </c>
      <c r="N46" s="6" t="n">
        <v>1</v>
      </c>
      <c r="O46" s="6" t="n"/>
      <c r="P46" s="6" t="n">
        <v>1536</v>
      </c>
      <c r="Q46" s="6" t="n">
        <v>1</v>
      </c>
      <c r="R46">
        <f>M46+IF(N46&gt;1,N(O46)*(N46-1),0)</f>
        <v/>
      </c>
      <c r="S46">
        <f>IFERROR(L46*MAX(N46,1)/R46*Q46*IF(ISBLANK(K45),1,K45),0)</f>
        <v/>
      </c>
      <c r="AB46" s="7" t="inlineStr">
        <is>
          <t>^RemovesIvanBombs, ^RemovesTerrorDrone</t>
        </is>
      </c>
    </row>
    <row r="47">
      <c r="B47" s="7" t="inlineStr">
        <is>
          <t xml:space="preserve">  ↳ LeechDisinfect</t>
        </is>
      </c>
      <c r="C47" s="7" t="inlineStr">
        <is>
          <t>Armament@leechdisinfect</t>
        </is>
      </c>
      <c r="L47" s="6" t="n"/>
      <c r="M47" s="6" t="n">
        <v>100</v>
      </c>
      <c r="N47" s="6" t="n">
        <v>1</v>
      </c>
      <c r="O47" s="6" t="n"/>
      <c r="P47" s="6" t="n">
        <v>1536</v>
      </c>
      <c r="Q47" s="6" t="n">
        <v>1</v>
      </c>
      <c r="R47">
        <f>M47+IF(N47&gt;1,N(O47)*(N47-1),0)</f>
        <v/>
      </c>
      <c r="S47">
        <f>IFERROR(L47*MAX(N47,1)/R47*Q47*IF(ISBLANK(K45),1,K45),0)</f>
        <v/>
      </c>
      <c r="AB47" s="7" t="inlineStr"/>
    </row>
    <row r="48">
      <c r="A48" t="inlineStr">
        <is>
          <t>shared</t>
        </is>
      </c>
      <c r="B48" t="inlineStr">
        <is>
          <t>fremen_creep</t>
        </is>
      </c>
      <c r="C48" t="inlineStr">
        <is>
          <t>Fremen Warrior</t>
        </is>
      </c>
      <c r="D48" s="6" t="inlineStr">
        <is>
          <t>Infantry</t>
        </is>
      </c>
      <c r="E48" s="6" t="n">
        <v>25000</v>
      </c>
      <c r="F48" s="6" t="n">
        <v>50</v>
      </c>
      <c r="G48" t="inlineStr">
        <is>
          <t>None</t>
        </is>
      </c>
      <c r="H48" s="6" t="n">
        <v>1</v>
      </c>
      <c r="I48" s="6" t="n">
        <v>1</v>
      </c>
      <c r="J48" s="6" t="n">
        <v>1</v>
      </c>
      <c r="K48" s="6" t="n"/>
      <c r="P48">
        <f>MAX(P49,P50)</f>
        <v/>
      </c>
      <c r="S48">
        <f>S49+S50</f>
        <v/>
      </c>
      <c r="T48">
        <f>(E48/100000+F48/100+(P48/1000)*J48/5+S48/200)*200*I48*H48</f>
        <v/>
      </c>
      <c r="U48">
        <f>((E48*F48/25000)+((P48/1000)*J48*S48/2.5))*I48*H48</f>
        <v/>
      </c>
      <c r="V48">
        <f>(E48*F48*(P48/1000)*J48*S48*I48*H48)/12500000</f>
        <v/>
      </c>
      <c r="W48">
        <f>(T48+U48+V48)/3</f>
        <v/>
      </c>
      <c r="X48" s="6" t="n">
        <v>500</v>
      </c>
      <c r="Y48">
        <f>IFERROR(W48-X48,"")</f>
        <v/>
      </c>
      <c r="Z48">
        <f>IFERROR(ABS(Y48)/MAX(X48,1),"")</f>
        <v/>
      </c>
      <c r="AA48">
        <f>IFERROR((X48-(((E48/100000+F48/100+S48/200)*200*I48*H48)+((E48*F48/25000)*I48*H48))/3)/(((J48/5)*200*I48*H48)+((J48*S48/2.5)*I48*H48)+((E48*F48*J48*S48*I48*H48)/12500000))/3*1000,"")</f>
        <v/>
      </c>
    </row>
    <row r="49">
      <c r="B49" s="7" t="inlineStr">
        <is>
          <t xml:space="preserve">  ↳ HMG_fremen</t>
        </is>
      </c>
      <c r="C49" s="7" t="inlineStr">
        <is>
          <t>Armament@PRIMARY</t>
        </is>
      </c>
      <c r="L49" s="6" t="n">
        <v>2000</v>
      </c>
      <c r="M49" s="6" t="n">
        <v>20</v>
      </c>
      <c r="N49" s="6" t="n">
        <v>1</v>
      </c>
      <c r="O49" s="6" t="n"/>
      <c r="P49" s="6" t="n">
        <v>3072</v>
      </c>
      <c r="Q49" s="6" t="n">
        <v>0.875</v>
      </c>
      <c r="R49">
        <f>M49+IF(N49&gt;1,N(O49)*(N49-1),0)</f>
        <v/>
      </c>
      <c r="S49">
        <f>IFERROR(L49*MAX(N49,1)/R49*Q49*IF(ISBLANK(K48),1,K48),0)</f>
        <v/>
      </c>
      <c r="AB49" s="7" t="inlineStr">
        <is>
          <t>^Chaingun, ^SmallArms</t>
        </is>
      </c>
    </row>
    <row r="50">
      <c r="B50" s="7" t="inlineStr">
        <is>
          <t xml:space="preserve">  ↳ Fremen_RPG</t>
        </is>
      </c>
      <c r="C50" s="7" t="inlineStr">
        <is>
          <t>Armament@SECONDARY</t>
        </is>
      </c>
      <c r="L50" s="6" t="n">
        <v>3200</v>
      </c>
      <c r="M50" s="6" t="n">
        <v>45</v>
      </c>
      <c r="N50" s="6" t="n">
        <v>1</v>
      </c>
      <c r="O50" s="6" t="n"/>
      <c r="P50" s="6" t="n">
        <v>4864</v>
      </c>
      <c r="Q50" s="6" t="n">
        <v>1</v>
      </c>
      <c r="R50">
        <f>M50+IF(N50&gt;1,N(O50)*(N50-1),0)</f>
        <v/>
      </c>
      <c r="S50">
        <f>IFERROR(L50*MAX(N50,1)/R50*Q50*IF(ISBLANK(K48),1,K48),0)</f>
        <v/>
      </c>
      <c r="AB50" s="7" t="inlineStr">
        <is>
          <t>^D2KMissile</t>
        </is>
      </c>
    </row>
    <row r="51">
      <c r="A51" t="inlineStr">
        <is>
          <t>d2k</t>
        </is>
      </c>
      <c r="B51" t="inlineStr">
        <is>
          <t>ordos_saboteur</t>
        </is>
      </c>
      <c r="C51" t="inlineStr">
        <is>
          <t>Saboteur</t>
        </is>
      </c>
      <c r="D51" s="6" t="inlineStr">
        <is>
          <t>Infantry</t>
        </is>
      </c>
      <c r="E51" s="6" t="n">
        <v>12000</v>
      </c>
      <c r="F51" s="6" t="n">
        <v>100</v>
      </c>
      <c r="G51" t="inlineStr">
        <is>
          <t>None</t>
        </is>
      </c>
      <c r="H51" s="6" t="n">
        <v>1</v>
      </c>
      <c r="I51" s="6" t="n">
        <v>1</v>
      </c>
      <c r="J51" s="6" t="n">
        <v>1</v>
      </c>
      <c r="K51" s="6" t="n"/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(T51+U51+V51)/3</f>
        <v/>
      </c>
      <c r="X51" s="6" t="n">
        <v>300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GenericC4</t>
        </is>
      </c>
      <c r="C52" s="7" t="inlineStr">
        <is>
          <t>Armament@c4</t>
        </is>
      </c>
      <c r="L52" s="6" t="n"/>
      <c r="M52" s="6" t="n">
        <v>20</v>
      </c>
      <c r="N52" s="6" t="n">
        <v>1</v>
      </c>
      <c r="O52" s="6" t="n"/>
      <c r="P52" s="6" t="n">
        <v>2000</v>
      </c>
      <c r="Q52" s="6" t="n">
        <v>1</v>
      </c>
      <c r="R52">
        <f>M52+IF(N52&gt;1,N(O52)*(N52-1),0)</f>
        <v/>
      </c>
      <c r="S52">
        <f>IFERROR(L52*MAX(N52,1)/R52*Q52*IF(ISBLANK(K51),1,K51),0)</f>
        <v/>
      </c>
      <c r="AB52" s="7" t="inlineStr"/>
    </row>
    <row r="53">
      <c r="A53" s="4" t="inlineStr">
        <is>
          <t>Medic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</row>
    <row r="54">
      <c r="A54" t="inlineStr">
        <is>
          <t>redalert</t>
        </is>
      </c>
      <c r="B54" t="inlineStr">
        <is>
          <t>ra1_allies_medic</t>
        </is>
      </c>
      <c r="C54" t="inlineStr">
        <is>
          <t>Medic</t>
        </is>
      </c>
      <c r="D54" s="6" t="inlineStr">
        <is>
          <t>Medic</t>
        </is>
      </c>
      <c r="E54" s="6" t="n">
        <v>10000</v>
      </c>
      <c r="F54" s="6" t="n">
        <v>50</v>
      </c>
      <c r="G54" t="inlineStr">
        <is>
          <t>None</t>
        </is>
      </c>
      <c r="H54" s="6" t="n">
        <v>1</v>
      </c>
      <c r="I54" s="6" t="n">
        <v>1</v>
      </c>
      <c r="J54" s="6" t="n">
        <v>1</v>
      </c>
      <c r="K54" s="6" t="n"/>
      <c r="P54">
        <f>MAX(P55,P56)</f>
        <v/>
      </c>
      <c r="S54">
        <f>S55+S56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500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dummytargeting</t>
        </is>
      </c>
      <c r="C55" s="7" t="inlineStr">
        <is>
          <t>Armament@Dummy</t>
        </is>
      </c>
      <c r="L55" s="6" t="n"/>
      <c r="M55" s="6" t="n"/>
      <c r="N55" s="6" t="n">
        <v>1</v>
      </c>
      <c r="O55" s="6" t="n"/>
      <c r="P55" s="6" t="n">
        <v>10000</v>
      </c>
      <c r="Q55" s="6" t="n">
        <v>1</v>
      </c>
      <c r="R55">
        <f>M55+IF(N55&gt;1,N(O55)*(N55-1),0)</f>
        <v/>
      </c>
      <c r="S55">
        <f>IFERROR(L55*MAX(N55,1)/R55*Q55*IF(ISBLANK(K54),1,K54),0)</f>
        <v/>
      </c>
      <c r="AB55" s="7" t="inlineStr"/>
    </row>
    <row r="56">
      <c r="B56" s="7" t="inlineStr">
        <is>
          <t xml:space="preserve">  ↳ Heal</t>
        </is>
      </c>
      <c r="C56" s="7" t="inlineStr">
        <is>
          <t>Armament</t>
        </is>
      </c>
      <c r="L56" s="6" t="n">
        <v>-1</v>
      </c>
      <c r="M56" s="6" t="n">
        <v>75</v>
      </c>
      <c r="N56" s="6" t="n">
        <v>1</v>
      </c>
      <c r="O56" s="6" t="n"/>
      <c r="P56" s="6" t="n">
        <v>5000</v>
      </c>
      <c r="Q56" s="6" t="n">
        <v>1</v>
      </c>
      <c r="R56">
        <f>M56+IF(N56&gt;1,N(O56)*(N56-1),0)</f>
        <v/>
      </c>
      <c r="S56">
        <f>IFERROR(L56*MAX(N56,1)/R56*Q56*IF(ISBLANK(K54),1,K54),0)</f>
        <v/>
      </c>
      <c r="AB56" s="7" t="inlineStr">
        <is>
          <t>^HealingWeapon</t>
        </is>
      </c>
    </row>
    <row r="57">
      <c r="B57" s="7" t="inlineStr">
        <is>
          <t xml:space="preserve">  ↳ Heal</t>
        </is>
      </c>
      <c r="C57" s="7" t="inlineStr">
        <is>
          <t>Armament@GARRISONED</t>
        </is>
      </c>
      <c r="L57" s="6" t="n">
        <v>-1</v>
      </c>
      <c r="M57" s="6" t="n">
        <v>75</v>
      </c>
      <c r="N57" s="6" t="n">
        <v>1</v>
      </c>
      <c r="O57" s="6" t="n"/>
      <c r="P57" s="6" t="n">
        <v>5000</v>
      </c>
      <c r="Q57" s="6" t="n">
        <v>1</v>
      </c>
      <c r="R57">
        <f>M57+IF(N57&gt;1,N(O57)*(N57-1),0)</f>
        <v/>
      </c>
      <c r="S57">
        <f>IFERROR(L57*MAX(N57,1)/R57*Q57*IF(ISBLANK(K54),1,K54),0)</f>
        <v/>
      </c>
      <c r="AB57" s="7" t="inlineStr">
        <is>
          <t>^HealingWeapon</t>
        </is>
      </c>
    </row>
    <row r="58">
      <c r="A58" t="inlineStr">
        <is>
          <t>tiberiansun</t>
        </is>
      </c>
      <c r="B58" t="inlineStr">
        <is>
          <t>ts_gdi_medic</t>
        </is>
      </c>
      <c r="C58" t="inlineStr">
        <is>
          <t>Medic</t>
        </is>
      </c>
      <c r="D58" s="6" t="inlineStr">
        <is>
          <t>Medic</t>
        </is>
      </c>
      <c r="E58" s="6" t="n">
        <v>10000</v>
      </c>
      <c r="F58" s="6" t="n">
        <v>50</v>
      </c>
      <c r="G58" t="inlineStr">
        <is>
          <t>None</t>
        </is>
      </c>
      <c r="H58" s="6" t="n">
        <v>1</v>
      </c>
      <c r="I58" s="6" t="n">
        <v>1</v>
      </c>
      <c r="J58" s="6" t="n">
        <v>1</v>
      </c>
      <c r="K58" s="6" t="n"/>
      <c r="P58">
        <f>MAX(P59,P60)</f>
        <v/>
      </c>
      <c r="S58">
        <f>S59+S60</f>
        <v/>
      </c>
      <c r="T58">
        <f>(E58/100000+F58/100+(P58/1000)*J58/5+S58/200)*200*I58*H58</f>
        <v/>
      </c>
      <c r="U58">
        <f>((E58*F58/25000)+((P58/1000)*J58*S58/2.5))*I58*H58</f>
        <v/>
      </c>
      <c r="V58">
        <f>(E58*F58*(P58/1000)*J58*S58*I58*H58)/12500000</f>
        <v/>
      </c>
      <c r="W58">
        <f>(T58+U58+V58)/3</f>
        <v/>
      </c>
      <c r="X58" s="6" t="n">
        <v>500</v>
      </c>
      <c r="Y58">
        <f>IFERROR(W58-X58,"")</f>
        <v/>
      </c>
      <c r="Z58">
        <f>IFERROR(ABS(Y58)/MAX(X58,1),"")</f>
        <v/>
      </c>
      <c r="AA58">
        <f>IFERROR((X58-(((E58/100000+F58/100+S58/200)*200*I58*H58)+((E58*F58/25000)*I58*H58))/3)/(((J58/5)*200*I58*H58)+((J58*S58/2.5)*I58*H58)+((E58*F58*J58*S58*I58*H58)/12500000))/3*1000,"")</f>
        <v/>
      </c>
    </row>
    <row r="59">
      <c r="B59" s="7" t="inlineStr">
        <is>
          <t xml:space="preserve">  ↳ dummytargeting</t>
        </is>
      </c>
      <c r="C59" s="7" t="inlineStr">
        <is>
          <t>Armament@Dummy</t>
        </is>
      </c>
      <c r="L59" s="6" t="n"/>
      <c r="M59" s="6" t="n"/>
      <c r="N59" s="6" t="n">
        <v>1</v>
      </c>
      <c r="O59" s="6" t="n"/>
      <c r="P59" s="6" t="n">
        <v>10000</v>
      </c>
      <c r="Q59" s="6" t="n">
        <v>1</v>
      </c>
      <c r="R59">
        <f>M59+IF(N59&gt;1,N(O59)*(N59-1),0)</f>
        <v/>
      </c>
      <c r="S59">
        <f>IFERROR(L59*MAX(N59,1)/R59*Q59*IF(ISBLANK(K58),1,K58),0)</f>
        <v/>
      </c>
      <c r="AB59" s="7" t="inlineStr"/>
    </row>
    <row r="60">
      <c r="B60" s="7" t="inlineStr">
        <is>
          <t xml:space="preserve">  ↳ Heal</t>
        </is>
      </c>
      <c r="C60" s="7" t="inlineStr">
        <is>
          <t>Armament</t>
        </is>
      </c>
      <c r="L60" s="6" t="n">
        <v>-1</v>
      </c>
      <c r="M60" s="6" t="n">
        <v>75</v>
      </c>
      <c r="N60" s="6" t="n">
        <v>1</v>
      </c>
      <c r="O60" s="6" t="n"/>
      <c r="P60" s="6" t="n">
        <v>5000</v>
      </c>
      <c r="Q60" s="6" t="n">
        <v>1</v>
      </c>
      <c r="R60">
        <f>M60+IF(N60&gt;1,N(O60)*(N60-1),0)</f>
        <v/>
      </c>
      <c r="S60">
        <f>IFERROR(L60*MAX(N60,1)/R60*Q60*IF(ISBLANK(K58),1,K58),0)</f>
        <v/>
      </c>
      <c r="AB60" s="7" t="inlineStr">
        <is>
          <t>^HealingWeapon</t>
        </is>
      </c>
    </row>
    <row r="61">
      <c r="B61" s="7" t="inlineStr">
        <is>
          <t xml:space="preserve">  ↳ Heal</t>
        </is>
      </c>
      <c r="C61" s="7" t="inlineStr">
        <is>
          <t>Armament@GARRISONED</t>
        </is>
      </c>
      <c r="L61" s="6" t="n">
        <v>-1</v>
      </c>
      <c r="M61" s="6" t="n">
        <v>75</v>
      </c>
      <c r="N61" s="6" t="n">
        <v>1</v>
      </c>
      <c r="O61" s="6" t="n"/>
      <c r="P61" s="6" t="n">
        <v>5000</v>
      </c>
      <c r="Q61" s="6" t="n">
        <v>1</v>
      </c>
      <c r="R61">
        <f>M61+IF(N61&gt;1,N(O61)*(N61-1),0)</f>
        <v/>
      </c>
      <c r="S61">
        <f>IFERROR(L61*MAX(N61,1)/R61*Q61*IF(ISBLANK(K58),1,K58),0)</f>
        <v/>
      </c>
      <c r="AB61" s="7" t="inlineStr">
        <is>
          <t>^HealingWeapon</t>
        </is>
      </c>
    </row>
    <row r="62">
      <c r="A62" t="inlineStr">
        <is>
          <t>starcraft</t>
        </is>
      </c>
      <c r="B62" t="inlineStr">
        <is>
          <t>terran_medic</t>
        </is>
      </c>
      <c r="C62" t="inlineStr">
        <is>
          <t>Medic</t>
        </is>
      </c>
      <c r="D62" s="6" t="inlineStr">
        <is>
          <t>Medic</t>
        </is>
      </c>
      <c r="E62" s="6" t="n">
        <v>60000</v>
      </c>
      <c r="F62" s="6" t="n">
        <v>60</v>
      </c>
      <c r="G62" t="inlineStr">
        <is>
          <t>None</t>
        </is>
      </c>
      <c r="H62" s="6" t="n">
        <v>1</v>
      </c>
      <c r="I62" s="6" t="n">
        <v>1</v>
      </c>
      <c r="J62" s="6" t="n">
        <v>1</v>
      </c>
      <c r="K62" s="6" t="n"/>
      <c r="P62">
        <f>MAX(P63,P64)</f>
        <v/>
      </c>
      <c r="S62">
        <f>S63+S64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(T62+U62+V62)/3</f>
        <v/>
      </c>
      <c r="X62" s="6" t="n">
        <v>600</v>
      </c>
      <c r="Y62">
        <f>IFERROR(W62-X62,"")</f>
        <v/>
      </c>
      <c r="Z62">
        <f>IFERROR(ABS(Y62)/MAX(X62,1),"")</f>
        <v/>
      </c>
      <c r="AA62">
        <f>IFERROR((X62-(((E62/100000+F62/100+S62/200)*200*I62*H62)+((E62*F62/25000)*I62*H62))/3)/(((J62/5)*200*I62*H62)+((J62*S62/2.5)*I62*H62)+((E62*F62*J62*S62*I62*H62)/12500000))/3*1000,"")</f>
        <v/>
      </c>
    </row>
    <row r="63">
      <c r="B63" s="7" t="inlineStr">
        <is>
          <t xml:space="preserve">  ↳ MedicFlare</t>
        </is>
      </c>
      <c r="C63" s="7" t="inlineStr">
        <is>
          <t>Armament@Flare</t>
        </is>
      </c>
      <c r="L63" s="6" t="n">
        <v>2000</v>
      </c>
      <c r="M63" s="6" t="n">
        <v>60</v>
      </c>
      <c r="N63" s="6" t="n">
        <v>1</v>
      </c>
      <c r="O63" s="6" t="n"/>
      <c r="P63" s="6" t="n">
        <v>6000</v>
      </c>
      <c r="Q63" s="6" t="n">
        <v>0.9166666666666666</v>
      </c>
      <c r="R63">
        <f>M63+IF(N63&gt;1,N(O63)*(N63-1),0)</f>
        <v/>
      </c>
      <c r="S63">
        <f>IFERROR(L63*MAX(N63,1)/R63*Q63*IF(ISBLANK(K62),1,K62),0)</f>
        <v/>
      </c>
      <c r="AB63" s="7" t="inlineStr">
        <is>
          <t>^LightFlameWeapon, ^FlakWeapon, ^LaserWeapon</t>
        </is>
      </c>
    </row>
    <row r="64">
      <c r="B64" s="7" t="inlineStr">
        <is>
          <t xml:space="preserve">  ↳ MedicHeal</t>
        </is>
      </c>
      <c r="C64" s="7" t="inlineStr">
        <is>
          <t>Armament@Heal</t>
        </is>
      </c>
      <c r="L64" s="6" t="n">
        <v>-1</v>
      </c>
      <c r="M64" s="6" t="n">
        <v>10</v>
      </c>
      <c r="N64" s="6" t="n">
        <v>1</v>
      </c>
      <c r="O64" s="6" t="n"/>
      <c r="P64" s="6" t="n">
        <v>6000</v>
      </c>
      <c r="Q64" s="6" t="n">
        <v>1</v>
      </c>
      <c r="R64">
        <f>M64+IF(N64&gt;1,N(O64)*(N64-1),0)</f>
        <v/>
      </c>
      <c r="S64">
        <f>IFERROR(L64*MAX(N64,1)/R64*Q64*IF(ISBLANK(K62),1,K62),0)</f>
        <v/>
      </c>
      <c r="AB64" s="7" t="inlineStr">
        <is>
          <t>^HealingWeapon</t>
        </is>
      </c>
    </row>
    <row r="65">
      <c r="B65" s="7" t="inlineStr">
        <is>
          <t xml:space="preserve">  ↳ MedicFlare</t>
        </is>
      </c>
      <c r="C65" s="7" t="inlineStr">
        <is>
          <t>Armament@FlareGARRISONED</t>
        </is>
      </c>
      <c r="L65" s="6" t="n">
        <v>2000</v>
      </c>
      <c r="M65" s="6" t="n">
        <v>60</v>
      </c>
      <c r="N65" s="6" t="n">
        <v>1</v>
      </c>
      <c r="O65" s="6" t="n"/>
      <c r="P65" s="6" t="n">
        <v>6000</v>
      </c>
      <c r="Q65" s="6" t="n">
        <v>0.9166666666666666</v>
      </c>
      <c r="R65">
        <f>M65+IF(N65&gt;1,N(O65)*(N65-1),0)</f>
        <v/>
      </c>
      <c r="S65">
        <f>IFERROR(L65*MAX(N65,1)/R65*Q65*IF(ISBLANK(K62),1,K62),0)</f>
        <v/>
      </c>
      <c r="AB65" s="7" t="inlineStr">
        <is>
          <t>^LightFlameWeapon, ^FlakWeapon, ^LaserWeapon</t>
        </is>
      </c>
    </row>
    <row r="66">
      <c r="A66" s="4" t="inlineStr">
        <is>
          <t>Mechanic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</row>
    <row r="67">
      <c r="A67" t="inlineStr">
        <is>
          <t>redalert</t>
        </is>
      </c>
      <c r="B67" t="inlineStr">
        <is>
          <t>ra1_allies_mechanic</t>
        </is>
      </c>
      <c r="C67" t="inlineStr">
        <is>
          <t>Mechanic</t>
        </is>
      </c>
      <c r="D67" s="6" t="inlineStr">
        <is>
          <t>Mechanic</t>
        </is>
      </c>
      <c r="E67" s="6" t="n">
        <v>7500</v>
      </c>
      <c r="F67" s="6" t="n">
        <v>50</v>
      </c>
      <c r="G67" t="inlineStr">
        <is>
          <t>None</t>
        </is>
      </c>
      <c r="H67" s="6" t="n">
        <v>1</v>
      </c>
      <c r="I67" s="6" t="n">
        <v>1</v>
      </c>
      <c r="J67" s="6" t="n">
        <v>1</v>
      </c>
      <c r="K67" s="6" t="n"/>
      <c r="P67">
        <f>MAX(P68,P69)</f>
        <v/>
      </c>
      <c r="S67">
        <f>S68+S69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500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dummytargeting</t>
        </is>
      </c>
      <c r="C68" s="7" t="inlineStr">
        <is>
          <t>Armament@Dummy</t>
        </is>
      </c>
      <c r="L68" s="6" t="n"/>
      <c r="M68" s="6" t="n"/>
      <c r="N68" s="6" t="n">
        <v>1</v>
      </c>
      <c r="O68" s="6" t="n"/>
      <c r="P68" s="6" t="n">
        <v>10000</v>
      </c>
      <c r="Q68" s="6" t="n">
        <v>1</v>
      </c>
      <c r="R68">
        <f>M68+IF(N68&gt;1,N(O68)*(N68-1),0)</f>
        <v/>
      </c>
      <c r="S68">
        <f>IFERROR(L68*MAX(N68,1)/R68*Q68*IF(ISBLANK(K67),1,K67),0)</f>
        <v/>
      </c>
      <c r="AB68" s="7" t="inlineStr"/>
    </row>
    <row r="69">
      <c r="B69" s="7" t="inlineStr">
        <is>
          <t xml:space="preserve">  ↳ Repair</t>
        </is>
      </c>
      <c r="C69" s="7" t="inlineStr">
        <is>
          <t>Armament</t>
        </is>
      </c>
      <c r="L69" s="6" t="n">
        <v>-1</v>
      </c>
      <c r="M69" s="6" t="n">
        <v>75</v>
      </c>
      <c r="N69" s="6" t="n">
        <v>10</v>
      </c>
      <c r="O69" s="6" t="n">
        <v>1</v>
      </c>
      <c r="P69" s="6" t="n">
        <v>5000</v>
      </c>
      <c r="Q69" s="6" t="n">
        <v>1.5</v>
      </c>
      <c r="R69">
        <f>M69+IF(N69&gt;1,N(O69)*(N69-1),0)</f>
        <v/>
      </c>
      <c r="S69">
        <f>IFERROR(L69*MAX(N69,1)/R69*Q69*IF(ISBLANK(K67),1,K67),0)</f>
        <v/>
      </c>
      <c r="AB69" s="7" t="inlineStr">
        <is>
          <t>^RepairWeapon</t>
        </is>
      </c>
    </row>
    <row r="70">
      <c r="B70" s="7" t="inlineStr">
        <is>
          <t xml:space="preserve">  ↳ Repair</t>
        </is>
      </c>
      <c r="C70" s="7" t="inlineStr">
        <is>
          <t>Armament@GARRISONED</t>
        </is>
      </c>
      <c r="L70" s="6" t="n">
        <v>-1</v>
      </c>
      <c r="M70" s="6" t="n">
        <v>75</v>
      </c>
      <c r="N70" s="6" t="n">
        <v>10</v>
      </c>
      <c r="O70" s="6" t="n">
        <v>1</v>
      </c>
      <c r="P70" s="6" t="n">
        <v>5000</v>
      </c>
      <c r="Q70" s="6" t="n">
        <v>1.5</v>
      </c>
      <c r="R70">
        <f>M70+IF(N70&gt;1,N(O70)*(N70-1),0)</f>
        <v/>
      </c>
      <c r="S70">
        <f>IFERROR(L70*MAX(N70,1)/R70*Q70*IF(ISBLANK(K67),1,K67),0)</f>
        <v/>
      </c>
      <c r="AB70" s="7" t="inlineStr">
        <is>
          <t>^RepairWeapon</t>
        </is>
      </c>
    </row>
    <row r="71">
      <c r="A71" t="inlineStr">
        <is>
          <t>tiberiansun</t>
        </is>
      </c>
      <c r="B71" t="inlineStr">
        <is>
          <t>cabal_engineer</t>
        </is>
      </c>
      <c r="C71" t="inlineStr">
        <is>
          <t>CABAL Engineer</t>
        </is>
      </c>
      <c r="D71" s="6" t="inlineStr">
        <is>
          <t>Mechanic</t>
        </is>
      </c>
      <c r="E71" s="6" t="n">
        <v>20000</v>
      </c>
      <c r="F71" s="6" t="n">
        <v>40</v>
      </c>
      <c r="G71" t="inlineStr">
        <is>
          <t>None</t>
        </is>
      </c>
      <c r="H71" s="6" t="n">
        <v>1</v>
      </c>
      <c r="I71" s="6" t="n">
        <v>1</v>
      </c>
      <c r="J71" s="6" t="n">
        <v>1</v>
      </c>
      <c r="K71" s="6" t="n"/>
      <c r="P71">
        <f>MAX(P72,P73)</f>
        <v/>
      </c>
      <c r="S71">
        <f>S72+S73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(T71+U71+V71)/3</f>
        <v/>
      </c>
      <c r="X71" s="6" t="n">
        <v>800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dummytargeting</t>
        </is>
      </c>
      <c r="C72" s="7" t="inlineStr">
        <is>
          <t>Armament@Dummy</t>
        </is>
      </c>
      <c r="L72" s="6" t="n"/>
      <c r="M72" s="6" t="n"/>
      <c r="N72" s="6" t="n">
        <v>1</v>
      </c>
      <c r="O72" s="6" t="n"/>
      <c r="P72" s="6" t="n">
        <v>10000</v>
      </c>
      <c r="Q72" s="6" t="n">
        <v>1</v>
      </c>
      <c r="R72">
        <f>M72+IF(N72&gt;1,N(O72)*(N72-1),0)</f>
        <v/>
      </c>
      <c r="S72">
        <f>IFERROR(L72*MAX(N72,1)/R72*Q72*IF(ISBLANK(K71),1,K71),0)</f>
        <v/>
      </c>
      <c r="AB72" s="7" t="inlineStr"/>
    </row>
    <row r="73">
      <c r="B73" s="7" t="inlineStr">
        <is>
          <t xml:space="preserve">  ↳ CabalEngineerRepairBeam</t>
        </is>
      </c>
      <c r="C73" s="7" t="inlineStr">
        <is>
          <t>Armament@REPAIRBEAM</t>
        </is>
      </c>
      <c r="L73" s="6" t="n">
        <v>-1</v>
      </c>
      <c r="M73" s="6" t="n">
        <v>31</v>
      </c>
      <c r="N73" s="6" t="n">
        <v>10</v>
      </c>
      <c r="O73" s="6" t="n">
        <v>1</v>
      </c>
      <c r="P73" s="6" t="n">
        <v>6128</v>
      </c>
      <c r="Q73" s="6" t="n">
        <v>1.5</v>
      </c>
      <c r="R73">
        <f>M73+IF(N73&gt;1,N(O73)*(N73-1),0)</f>
        <v/>
      </c>
      <c r="S73">
        <f>IFERROR(L73*MAX(N73,1)/R73*Q73*IF(ISBLANK(K71),1,K71),0)</f>
        <v/>
      </c>
      <c r="AB73" s="7" t="inlineStr">
        <is>
          <t>^RepairWeapon</t>
        </is>
      </c>
    </row>
    <row r="74">
      <c r="A74" s="4" t="inlineStr">
        <is>
          <t>ScoutInfantry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</row>
    <row r="75">
      <c r="A75" t="inlineStr">
        <is>
          <t>tiberiandawn</t>
        </is>
      </c>
      <c r="B75" t="inlineStr">
        <is>
          <t>E1</t>
        </is>
      </c>
      <c r="C75" t="inlineStr">
        <is>
          <t>GDI Minigunner</t>
        </is>
      </c>
      <c r="D75" s="6" t="inlineStr">
        <is>
          <t>ScoutInfantry</t>
        </is>
      </c>
      <c r="E75" s="6" t="n">
        <v>32000</v>
      </c>
      <c r="F75" s="6" t="n">
        <v>63</v>
      </c>
      <c r="G75" t="inlineStr">
        <is>
          <t>None</t>
        </is>
      </c>
      <c r="H75" s="6" t="n">
        <v>1</v>
      </c>
      <c r="I75" s="6" t="n">
        <v>1</v>
      </c>
      <c r="J75" s="6" t="n">
        <v>1</v>
      </c>
      <c r="K75" s="6" t="n"/>
      <c r="P75">
        <f>MAX(P76,P78)</f>
        <v/>
      </c>
      <c r="S75">
        <f>S76+S78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(((E75/20000)+(F75/60)+(S75/60)+((P75/5000)*J75))*100/4+(((E75/20000)*(F75/60))+(((P75/5000)*J75)*(S75/60)))*100/2+((E75/20000)*(F75/60)*((P75/5000)*J75)*(S75/60))*100)*H75/3</f>
        <v/>
      </c>
      <c r="X75" s="6" t="n">
        <v>100</v>
      </c>
      <c r="Y75">
        <f>IFERROR(W75-X75,"")</f>
        <v/>
      </c>
      <c r="Z75">
        <f>IFERROR(ABS(Y75)/MAX(X75,1),"")</f>
        <v/>
      </c>
      <c r="AA75">
        <f>IFERROR(ROUND(((3*X75-(((E75/20000)+(F75/60)+(S75/60))*100/4+((E75/20000)*(F75/60))*100/2)*H75)/(100/4+((S75/60))*100/2+((E75/20000)*(F75/60)*(S75/60))*100)*H75*5000)/J75,-1),"")</f>
        <v/>
      </c>
    </row>
    <row r="76">
      <c r="B76" s="7" t="inlineStr">
        <is>
          <t xml:space="preserve">  ↳ td_gdi_minigunner_minigun</t>
        </is>
      </c>
      <c r="C76" s="7" t="inlineStr">
        <is>
          <t>Armament@PRIMARY</t>
        </is>
      </c>
      <c r="L76" s="6" t="n">
        <v>2000</v>
      </c>
      <c r="M76" s="6" t="n">
        <v>45</v>
      </c>
      <c r="N76" s="6" t="n">
        <v>4</v>
      </c>
      <c r="O76" s="6" t="n">
        <v>3</v>
      </c>
      <c r="P76" s="6" t="n">
        <v>4600</v>
      </c>
      <c r="Q76" s="6" t="n">
        <v>0.75</v>
      </c>
      <c r="R76">
        <f>M76+IF(N76&gt;1,N(O76)*(N76-1),0)</f>
        <v/>
      </c>
      <c r="S76">
        <f>IFERROR(L76*MAX(N76,1)/R76*Q76*IF(ISBLANK(K75),1,K75),0)</f>
        <v/>
      </c>
      <c r="AB76" s="7" t="inlineStr">
        <is>
          <t>^SmallArms</t>
        </is>
      </c>
    </row>
    <row r="77">
      <c r="B77" s="7" t="inlineStr">
        <is>
          <t xml:space="preserve">  ↳ td_gdi_minigunner_minigun</t>
        </is>
      </c>
      <c r="C77" s="7" t="inlineStr">
        <is>
          <t>Armament@GARRISONED</t>
        </is>
      </c>
      <c r="L77" s="6" t="n">
        <v>2000</v>
      </c>
      <c r="M77" s="6" t="n">
        <v>45</v>
      </c>
      <c r="N77" s="6" t="n">
        <v>4</v>
      </c>
      <c r="O77" s="6" t="n">
        <v>3</v>
      </c>
      <c r="P77" s="6" t="n">
        <v>4600</v>
      </c>
      <c r="Q77" s="6" t="n">
        <v>0.75</v>
      </c>
      <c r="R77">
        <f>M77+IF(N77&gt;1,N(O77)*(N77-1),0)</f>
        <v/>
      </c>
      <c r="S77">
        <f>IFERROR(L77*MAX(N77,1)/R77*Q77*IF(ISBLANK(K75),1,K75),0)</f>
        <v/>
      </c>
      <c r="AB77" s="7" t="inlineStr">
        <is>
          <t>^SmallArms</t>
        </is>
      </c>
    </row>
    <row r="78">
      <c r="B78" s="7" t="inlineStr">
        <is>
          <t xml:space="preserve">  ↳ td_gdi_minigunner_minigun_ap</t>
        </is>
      </c>
      <c r="C78" s="7" t="inlineStr">
        <is>
          <t>Armament@Upgrade</t>
        </is>
      </c>
      <c r="L78" s="6" t="n">
        <v>4000</v>
      </c>
      <c r="M78" s="6" t="n">
        <v>45</v>
      </c>
      <c r="N78" s="6" t="n">
        <v>4</v>
      </c>
      <c r="O78" s="6" t="n">
        <v>3</v>
      </c>
      <c r="P78" s="6" t="n">
        <v>4600</v>
      </c>
      <c r="Q78" s="6" t="n">
        <v>1</v>
      </c>
      <c r="R78">
        <f>M78+IF(N78&gt;1,N(O78)*(N78-1),0)</f>
        <v/>
      </c>
      <c r="S78">
        <f>IFERROR(L78*MAX(N78,1)/R78*Q78*IF(ISBLANK(K75),1,K75),0)</f>
        <v/>
      </c>
      <c r="AB78" s="7" t="inlineStr">
        <is>
          <t>^Chaingun</t>
        </is>
      </c>
    </row>
    <row r="79">
      <c r="B79" s="7" t="inlineStr">
        <is>
          <t xml:space="preserve">  ↳ td_gdi_minigunner_minigun_ap</t>
        </is>
      </c>
      <c r="C79" s="7" t="inlineStr">
        <is>
          <t>Armament@UpgradeGARRISONED</t>
        </is>
      </c>
      <c r="L79" s="6" t="n">
        <v>4000</v>
      </c>
      <c r="M79" s="6" t="n">
        <v>45</v>
      </c>
      <c r="N79" s="6" t="n">
        <v>4</v>
      </c>
      <c r="O79" s="6" t="n">
        <v>3</v>
      </c>
      <c r="P79" s="6" t="n">
        <v>4600</v>
      </c>
      <c r="Q79" s="6" t="n">
        <v>1</v>
      </c>
      <c r="R79">
        <f>M79+IF(N79&gt;1,N(O79)*(N79-1),0)</f>
        <v/>
      </c>
      <c r="S79">
        <f>IFERROR(L79*MAX(N79,1)/R79*Q79*IF(ISBLANK(K75),1,K75),0)</f>
        <v/>
      </c>
      <c r="AB79" s="7" t="inlineStr">
        <is>
          <t>^Chaingun</t>
        </is>
      </c>
    </row>
    <row r="80">
      <c r="A80" t="inlineStr">
        <is>
          <t>tiberiandawn</t>
        </is>
      </c>
      <c r="B80" t="inlineStr">
        <is>
          <t>td_gdi_minigunner</t>
        </is>
      </c>
      <c r="C80" t="inlineStr">
        <is>
          <t>GDI Minigunner</t>
        </is>
      </c>
      <c r="D80" s="6" t="inlineStr">
        <is>
          <t>ScoutInfantry</t>
        </is>
      </c>
      <c r="E80" s="6" t="n">
        <v>32000</v>
      </c>
      <c r="F80" s="6" t="n">
        <v>63</v>
      </c>
      <c r="G80" t="inlineStr">
        <is>
          <t>None</t>
        </is>
      </c>
      <c r="H80" s="6" t="n">
        <v>1</v>
      </c>
      <c r="I80" s="6" t="n">
        <v>1</v>
      </c>
      <c r="J80" s="6" t="n">
        <v>1</v>
      </c>
      <c r="K80" s="6" t="n">
        <v>0.3</v>
      </c>
      <c r="P80">
        <f>MAX(P81,P83)</f>
        <v/>
      </c>
      <c r="S80">
        <f>S81+S83</f>
        <v/>
      </c>
      <c r="T80">
        <f>(E80/100000+F80/100+(P80/1000)*J80/5+S80/200)*200*I80*H80</f>
        <v/>
      </c>
      <c r="U80">
        <f>((E80*F80/25000)+((P80/1000)*J80*S80/2.5))*I80*H80</f>
        <v/>
      </c>
      <c r="V80">
        <f>(E80*F80*(P80/1000)*J80*S80*I80*H80)/12500000</f>
        <v/>
      </c>
      <c r="W80">
        <f>(((E80/20000)+(F80/60)+(S80/60)+((P80/5000)*J80))*100/4+(((E80/20000)*(F80/60))+(((P80/5000)*J80)*(S80/60)))*100/2+((E80/20000)*(F80/60)*((P80/5000)*J80)*(S80/60))*100)*H80/3</f>
        <v/>
      </c>
      <c r="X80" s="6" t="n">
        <v>100</v>
      </c>
      <c r="Y80">
        <f>IFERROR(W80-X80,"")</f>
        <v/>
      </c>
      <c r="Z80">
        <f>IFERROR(ABS(Y80)/MAX(X80,1),"")</f>
        <v/>
      </c>
      <c r="AA80">
        <f>IFERROR(ROUND(((3*X80-(((E80/20000)+(F80/60)+(S80/60))*100/4+((E80/20000)*(F80/60))*100/2)*H80)/(100/4+((S80/60))*100/2+((E80/20000)*(F80/60)*(S80/60))*100)*H80*5000)/J80,-1),"")</f>
        <v/>
      </c>
    </row>
    <row r="81">
      <c r="B81" s="7" t="inlineStr">
        <is>
          <t xml:space="preserve">  ↳ td_gdi_minigunner_minigun</t>
        </is>
      </c>
      <c r="C81" s="7" t="inlineStr">
        <is>
          <t>Armament@PRIMARY</t>
        </is>
      </c>
      <c r="L81" s="6" t="n">
        <v>2000</v>
      </c>
      <c r="M81" s="6" t="n">
        <v>45</v>
      </c>
      <c r="N81" s="6" t="n">
        <v>4</v>
      </c>
      <c r="O81" s="6" t="n">
        <v>3</v>
      </c>
      <c r="P81" s="6" t="n">
        <v>4600</v>
      </c>
      <c r="Q81" s="6" t="n">
        <v>0.75</v>
      </c>
      <c r="R81">
        <f>M81+IF(N81&gt;1,N(O81)*(N81-1),0)</f>
        <v/>
      </c>
      <c r="S81">
        <f>IFERROR(L81*MAX(N81,1)/R81*Q81*IF(ISBLANK(K80),1,K80),0)</f>
        <v/>
      </c>
      <c r="AB81" s="7" t="inlineStr">
        <is>
          <t>^SmallArms</t>
        </is>
      </c>
    </row>
    <row r="82">
      <c r="B82" s="7" t="inlineStr">
        <is>
          <t xml:space="preserve">  ↳ td_gdi_minigunner_minigun</t>
        </is>
      </c>
      <c r="C82" s="7" t="inlineStr">
        <is>
          <t>Armament@GARRISONED</t>
        </is>
      </c>
      <c r="L82" s="6" t="n">
        <v>2000</v>
      </c>
      <c r="M82" s="6" t="n">
        <v>45</v>
      </c>
      <c r="N82" s="6" t="n">
        <v>4</v>
      </c>
      <c r="O82" s="6" t="n">
        <v>3</v>
      </c>
      <c r="P82" s="6" t="n">
        <v>4600</v>
      </c>
      <c r="Q82" s="6" t="n">
        <v>0.75</v>
      </c>
      <c r="R82">
        <f>M82+IF(N82&gt;1,N(O82)*(N82-1),0)</f>
        <v/>
      </c>
      <c r="S82">
        <f>IFERROR(L82*MAX(N82,1)/R82*Q82*IF(ISBLANK(K80),1,K80),0)</f>
        <v/>
      </c>
      <c r="AB82" s="7" t="inlineStr">
        <is>
          <t>^SmallArms</t>
        </is>
      </c>
    </row>
    <row r="83">
      <c r="B83" s="7" t="inlineStr">
        <is>
          <t xml:space="preserve">  ↳ td_gdi_minigunner_minigun_ap</t>
        </is>
      </c>
      <c r="C83" s="7" t="inlineStr">
        <is>
          <t>Armament@Upgrade</t>
        </is>
      </c>
      <c r="L83" s="6" t="n">
        <v>4000</v>
      </c>
      <c r="M83" s="6" t="n">
        <v>45</v>
      </c>
      <c r="N83" s="6" t="n">
        <v>4</v>
      </c>
      <c r="O83" s="6" t="n">
        <v>3</v>
      </c>
      <c r="P83" s="6" t="n">
        <v>4600</v>
      </c>
      <c r="Q83" s="6" t="n">
        <v>0.75</v>
      </c>
      <c r="R83">
        <f>M83+IF(N83&gt;1,N(O83)*(N83-1),0)</f>
        <v/>
      </c>
      <c r="S83">
        <f>IFERROR(L83*MAX(N83,1)/R83*Q83*IF(ISBLANK(K80),1,K80),0)</f>
        <v/>
      </c>
      <c r="AB83" s="7" t="inlineStr">
        <is>
          <t>^Chaingun</t>
        </is>
      </c>
    </row>
    <row r="84">
      <c r="B84" s="7" t="inlineStr">
        <is>
          <t xml:space="preserve">  ↳ td_gdi_minigunner_minigun_ap</t>
        </is>
      </c>
      <c r="C84" s="7" t="inlineStr">
        <is>
          <t>Armament@UpgradeGARRISONED</t>
        </is>
      </c>
      <c r="L84" s="6" t="n">
        <v>4000</v>
      </c>
      <c r="M84" s="6" t="n">
        <v>45</v>
      </c>
      <c r="N84" s="6" t="n">
        <v>4</v>
      </c>
      <c r="O84" s="6" t="n">
        <v>3</v>
      </c>
      <c r="P84" s="6" t="n">
        <v>4600</v>
      </c>
      <c r="Q84" s="6" t="n">
        <v>0.75</v>
      </c>
      <c r="R84">
        <f>M84+IF(N84&gt;1,N(O84)*(N84-1),0)</f>
        <v/>
      </c>
      <c r="S84">
        <f>IFERROR(L84*MAX(N84,1)/R84*Q84*IF(ISBLANK(K80),1,K80),0)</f>
        <v/>
      </c>
      <c r="AB84" s="7" t="inlineStr">
        <is>
          <t>^Chaingun</t>
        </is>
      </c>
    </row>
    <row r="85">
      <c r="A85" t="inlineStr">
        <is>
          <t>tiberiandawn</t>
        </is>
      </c>
      <c r="B85" t="inlineStr">
        <is>
          <t>td_nod_minigunner</t>
        </is>
      </c>
      <c r="C85" t="inlineStr">
        <is>
          <t>Nod Minigunner</t>
        </is>
      </c>
      <c r="D85" s="6" t="inlineStr">
        <is>
          <t>ScoutInfantry</t>
        </is>
      </c>
      <c r="E85" s="6" t="n">
        <v>30000</v>
      </c>
      <c r="F85" s="6" t="n">
        <v>66</v>
      </c>
      <c r="G85" t="inlineStr">
        <is>
          <t>None</t>
        </is>
      </c>
      <c r="H85" s="6" t="n">
        <v>1</v>
      </c>
      <c r="I85" s="6" t="n">
        <v>1</v>
      </c>
      <c r="J85" s="6" t="n">
        <v>1</v>
      </c>
      <c r="K85" s="6" t="n">
        <v>0.27</v>
      </c>
      <c r="P85">
        <f>MAX(P86,P88)</f>
        <v/>
      </c>
      <c r="S85">
        <f>S86+S88</f>
        <v/>
      </c>
      <c r="T85">
        <f>(E85/100000+F85/100+(P85/1000)*J85/5+S85/200)*200*I85*H85</f>
        <v/>
      </c>
      <c r="U85">
        <f>((E85*F85/25000)+((P85/1000)*J85*S85/2.5))*I85*H85</f>
        <v/>
      </c>
      <c r="V85">
        <f>(E85*F85*(P85/1000)*J85*S85*I85*H85)/12500000</f>
        <v/>
      </c>
      <c r="W85">
        <f>(((E85/20000)+(F85/60)+(S85/60)+((P85/5000)*J85))*100/4+(((E85/20000)*(F85/60))+(((P85/5000)*J85)*(S85/60)))*100/2+((E85/20000)*(F85/60)*((P85/5000)*J85)*(S85/60))*100)*H85/3</f>
        <v/>
      </c>
      <c r="X85" s="6" t="n">
        <v>100</v>
      </c>
      <c r="Y85">
        <f>IFERROR(W85-X85,"")</f>
        <v/>
      </c>
      <c r="Z85">
        <f>IFERROR(ABS(Y85)/MAX(X85,1),"")</f>
        <v/>
      </c>
      <c r="AA85">
        <f>IFERROR(ROUND(((3*X85-(((E85/20000)+(F85/60)+(S85/60))*100/4+((E85/20000)*(F85/60))*100/2)*H85)/(100/4+((S85/60))*100/2+((E85/20000)*(F85/60)*(S85/60))*100)*H85*5000)/J85,-1),"")</f>
        <v/>
      </c>
    </row>
    <row r="86">
      <c r="B86" s="7" t="inlineStr">
        <is>
          <t xml:space="preserve">  ↳ td_nod_minigunner_minigun</t>
        </is>
      </c>
      <c r="C86" s="7" t="inlineStr">
        <is>
          <t>Armament@PRIMARY</t>
        </is>
      </c>
      <c r="L86" s="6" t="n">
        <v>2000</v>
      </c>
      <c r="M86" s="6" t="n">
        <v>40</v>
      </c>
      <c r="N86" s="6" t="n">
        <v>4</v>
      </c>
      <c r="O86" s="6" t="n">
        <v>2</v>
      </c>
      <c r="P86" s="6" t="n">
        <v>4500</v>
      </c>
      <c r="Q86" s="6" t="n">
        <v>0.75</v>
      </c>
      <c r="R86">
        <f>M86+IF(N86&gt;1,N(O86)*(N86-1),0)</f>
        <v/>
      </c>
      <c r="S86">
        <f>IFERROR(L86*MAX(N86,1)/R86*Q86*IF(ISBLANK(K85),1,K85),0)</f>
        <v/>
      </c>
      <c r="AB86" s="7" t="inlineStr">
        <is>
          <t>^SmallArms</t>
        </is>
      </c>
    </row>
    <row r="87">
      <c r="B87" s="7" t="inlineStr">
        <is>
          <t xml:space="preserve">  ↳ td_nod_minigunner_minigun</t>
        </is>
      </c>
      <c r="C87" s="7" t="inlineStr">
        <is>
          <t>Armament@GARRISONED</t>
        </is>
      </c>
      <c r="L87" s="6" t="n">
        <v>2000</v>
      </c>
      <c r="M87" s="6" t="n">
        <v>40</v>
      </c>
      <c r="N87" s="6" t="n">
        <v>4</v>
      </c>
      <c r="O87" s="6" t="n">
        <v>2</v>
      </c>
      <c r="P87" s="6" t="n">
        <v>4500</v>
      </c>
      <c r="Q87" s="6" t="n">
        <v>0.75</v>
      </c>
      <c r="R87">
        <f>M87+IF(N87&gt;1,N(O87)*(N87-1),0)</f>
        <v/>
      </c>
      <c r="S87">
        <f>IFERROR(L87*MAX(N87,1)/R87*Q87*IF(ISBLANK(K85),1,K85),0)</f>
        <v/>
      </c>
      <c r="AB87" s="7" t="inlineStr">
        <is>
          <t>^SmallArms</t>
        </is>
      </c>
    </row>
    <row r="88">
      <c r="B88" s="7" t="inlineStr">
        <is>
          <t xml:space="preserve">  ↳ td_nod_minigunner_minigun_laser</t>
        </is>
      </c>
      <c r="C88" s="7" t="inlineStr">
        <is>
          <t>Armament@Upgrade</t>
        </is>
      </c>
      <c r="L88" s="6" t="n">
        <v>2000</v>
      </c>
      <c r="M88" s="6" t="n">
        <v>40</v>
      </c>
      <c r="N88" s="6" t="n">
        <v>4</v>
      </c>
      <c r="O88" s="6" t="n">
        <v>2</v>
      </c>
      <c r="P88" s="6" t="n">
        <v>4500</v>
      </c>
      <c r="Q88" s="6" t="n">
        <v>0.75</v>
      </c>
      <c r="R88">
        <f>M88+IF(N88&gt;1,N(O88)*(N88-1),0)</f>
        <v/>
      </c>
      <c r="S88">
        <f>IFERROR(L88*MAX(N88,1)/R88*Q88*IF(ISBLANK(K85),1,K85),0)</f>
        <v/>
      </c>
      <c r="AB88" s="7" t="inlineStr">
        <is>
          <t>^SmallArms, ^Chaingun, ^LaserWeapon</t>
        </is>
      </c>
    </row>
    <row r="89">
      <c r="B89" s="7" t="inlineStr">
        <is>
          <t xml:space="preserve">  ↳ td_nod_minigunner_minigun_laser</t>
        </is>
      </c>
      <c r="C89" s="7" t="inlineStr">
        <is>
          <t>Armament@UpgradeGARRISONED</t>
        </is>
      </c>
      <c r="L89" s="6" t="n">
        <v>2000</v>
      </c>
      <c r="M89" s="6" t="n">
        <v>40</v>
      </c>
      <c r="N89" s="6" t="n">
        <v>4</v>
      </c>
      <c r="O89" s="6" t="n">
        <v>2</v>
      </c>
      <c r="P89" s="6" t="n">
        <v>4500</v>
      </c>
      <c r="Q89" s="6" t="n">
        <v>0.75</v>
      </c>
      <c r="R89">
        <f>M89+IF(N89&gt;1,N(O89)*(N89-1),0)</f>
        <v/>
      </c>
      <c r="S89">
        <f>IFERROR(L89*MAX(N89,1)/R89*Q89*IF(ISBLANK(K85),1,K85),0)</f>
        <v/>
      </c>
      <c r="AB89" s="7" t="inlineStr">
        <is>
          <t>^SmallArms, ^Chaingun, ^LaserWeapon</t>
        </is>
      </c>
    </row>
    <row r="90">
      <c r="A90" t="inlineStr">
        <is>
          <t>shared</t>
        </is>
      </c>
      <c r="B90" t="inlineStr">
        <is>
          <t>ra1_allies_rifleinfantry</t>
        </is>
      </c>
      <c r="C90" t="inlineStr">
        <is>
          <t>Rifle Infantry</t>
        </is>
      </c>
      <c r="D90" s="6" t="inlineStr">
        <is>
          <t>ScoutInfantry</t>
        </is>
      </c>
      <c r="E90" s="6" t="n">
        <v>28000</v>
      </c>
      <c r="F90" s="6" t="n">
        <v>57</v>
      </c>
      <c r="G90" t="inlineStr">
        <is>
          <t>None</t>
        </is>
      </c>
      <c r="H90" s="6" t="n">
        <v>1</v>
      </c>
      <c r="I90" s="6" t="n">
        <v>1</v>
      </c>
      <c r="J90" s="6" t="n">
        <v>1</v>
      </c>
      <c r="K90" s="6" t="n">
        <v>0.51</v>
      </c>
      <c r="P90">
        <f>MAX(P91,P93)</f>
        <v/>
      </c>
      <c r="S90">
        <f>S91+S93</f>
        <v/>
      </c>
      <c r="T90">
        <f>(E90/100000+F90/100+(P90/1000)*J90/5+S90/200)*200*I90*H90</f>
        <v/>
      </c>
      <c r="U90">
        <f>((E90*F90/25000)+((P90/1000)*J90*S90/2.5))*I90*H90</f>
        <v/>
      </c>
      <c r="V90">
        <f>(E90*F90*(P90/1000)*J90*S90*I90*H90)/12500000</f>
        <v/>
      </c>
      <c r="W90">
        <f>(((E90/20000)+(F90/60)+(S90/60)+((P90/5000)*J90))*100/4+(((E90/20000)*(F90/60))+(((P90/5000)*J90)*(S90/60)))*100/2+((E90/20000)*(F90/60)*((P90/5000)*J90)*(S90/60))*100)*H90/3</f>
        <v/>
      </c>
      <c r="X90" s="6" t="n">
        <v>100</v>
      </c>
      <c r="Y90">
        <f>IFERROR(W90-X90,"")</f>
        <v/>
      </c>
      <c r="Z90">
        <f>IFERROR(ABS(Y90)/MAX(X90,1),"")</f>
        <v/>
      </c>
      <c r="AA90">
        <f>IFERROR(ROUND(((3*X90-(((E90/20000)+(F90/60)+(S90/60))*100/4+((E90/20000)*(F90/60))*100/2)*H90)/(100/4+((S90/60))*100/2+((E90/20000)*(F90/60)*(S90/60))*100)*H90*5000)/J90,-1),"")</f>
        <v/>
      </c>
    </row>
    <row r="91">
      <c r="B91" s="7" t="inlineStr">
        <is>
          <t xml:space="preserve">  ↳ ra1_allies_rifleinfantry_carbine</t>
        </is>
      </c>
      <c r="C91" s="7" t="inlineStr">
        <is>
          <t>Armament@PRIMARY</t>
        </is>
      </c>
      <c r="L91" s="6" t="n">
        <v>2000</v>
      </c>
      <c r="M91" s="6" t="n">
        <v>50</v>
      </c>
      <c r="N91" s="6" t="n">
        <v>3</v>
      </c>
      <c r="O91" s="6" t="n">
        <v>4</v>
      </c>
      <c r="P91" s="6" t="n">
        <v>5400</v>
      </c>
      <c r="Q91" s="6" t="n">
        <v>0.75</v>
      </c>
      <c r="R91">
        <f>M91+IF(N91&gt;1,N(O91)*(N91-1),0)</f>
        <v/>
      </c>
      <c r="S91">
        <f>IFERROR(L91*MAX(N91,1)/R91*Q91*IF(ISBLANK(K90),1,K90),0)</f>
        <v/>
      </c>
      <c r="AB91" s="7" t="inlineStr">
        <is>
          <t>^SmallArms</t>
        </is>
      </c>
    </row>
    <row r="92">
      <c r="B92" s="7" t="inlineStr">
        <is>
          <t xml:space="preserve">  ↳ ra1_allies_rifleinfantry_carbine</t>
        </is>
      </c>
      <c r="C92" s="7" t="inlineStr">
        <is>
          <t>Armament@GARRISONED</t>
        </is>
      </c>
      <c r="L92" s="6" t="n">
        <v>2000</v>
      </c>
      <c r="M92" s="6" t="n">
        <v>50</v>
      </c>
      <c r="N92" s="6" t="n">
        <v>3</v>
      </c>
      <c r="O92" s="6" t="n">
        <v>4</v>
      </c>
      <c r="P92" s="6" t="n">
        <v>5400</v>
      </c>
      <c r="Q92" s="6" t="n">
        <v>0.75</v>
      </c>
      <c r="R92">
        <f>M92+IF(N92&gt;1,N(O92)*(N92-1),0)</f>
        <v/>
      </c>
      <c r="S92">
        <f>IFERROR(L92*MAX(N92,1)/R92*Q92*IF(ISBLANK(K90),1,K90),0)</f>
        <v/>
      </c>
      <c r="AB92" s="7" t="inlineStr">
        <is>
          <t>^SmallArms</t>
        </is>
      </c>
    </row>
    <row r="93">
      <c r="B93" s="7" t="inlineStr">
        <is>
          <t xml:space="preserve">  ↳ ra1_allies_rifleinfantry_carbine_cryo</t>
        </is>
      </c>
      <c r="C93" s="7" t="inlineStr">
        <is>
          <t>Armament@Upgrade</t>
        </is>
      </c>
      <c r="L93" s="6" t="n">
        <v>2000</v>
      </c>
      <c r="M93" s="6" t="n">
        <v>50</v>
      </c>
      <c r="N93" s="6" t="n">
        <v>3</v>
      </c>
      <c r="O93" s="6" t="n">
        <v>4</v>
      </c>
      <c r="P93" s="6" t="n">
        <v>5400</v>
      </c>
      <c r="Q93" s="6" t="n">
        <v>0.75</v>
      </c>
      <c r="R93">
        <f>M93+IF(N93&gt;1,N(O93)*(N93-1),0)</f>
        <v/>
      </c>
      <c r="S93">
        <f>IFERROR(L93*MAX(N93,1)/R93*Q93*IF(ISBLANK(K90),1,K90),0)</f>
        <v/>
      </c>
      <c r="AB93" s="7" t="inlineStr">
        <is>
          <t>^SmallArms, ^CryoMissileProjectile</t>
        </is>
      </c>
    </row>
    <row r="94">
      <c r="B94" s="7" t="inlineStr">
        <is>
          <t xml:space="preserve">  ↳ ra1_allies_rifleinfantry_carbine_cryo</t>
        </is>
      </c>
      <c r="C94" s="7" t="inlineStr">
        <is>
          <t>Armament@UpgradeGARRISONED</t>
        </is>
      </c>
      <c r="L94" s="6" t="n">
        <v>2000</v>
      </c>
      <c r="M94" s="6" t="n">
        <v>50</v>
      </c>
      <c r="N94" s="6" t="n">
        <v>3</v>
      </c>
      <c r="O94" s="6" t="n">
        <v>4</v>
      </c>
      <c r="P94" s="6" t="n">
        <v>5400</v>
      </c>
      <c r="Q94" s="6" t="n">
        <v>0.75</v>
      </c>
      <c r="R94">
        <f>M94+IF(N94&gt;1,N(O94)*(N94-1),0)</f>
        <v/>
      </c>
      <c r="S94">
        <f>IFERROR(L94*MAX(N94,1)/R94*Q94*IF(ISBLANK(K90),1,K90),0)</f>
        <v/>
      </c>
      <c r="AB94" s="7" t="inlineStr">
        <is>
          <t>^SmallArms, ^CryoMissileProjectile</t>
        </is>
      </c>
    </row>
    <row r="95">
      <c r="A95" t="inlineStr">
        <is>
          <t>redalert</t>
        </is>
      </c>
      <c r="B95" t="inlineStr">
        <is>
          <t>ra1_soviets_ak47conscript</t>
        </is>
      </c>
      <c r="C95" t="inlineStr">
        <is>
          <t>AK-47 Conscript</t>
        </is>
      </c>
      <c r="D95" s="6" t="inlineStr">
        <is>
          <t>ScoutInfantry</t>
        </is>
      </c>
      <c r="E95" s="6" t="n">
        <v>44000</v>
      </c>
      <c r="F95" s="6" t="n">
        <v>71</v>
      </c>
      <c r="G95" t="inlineStr">
        <is>
          <t>None</t>
        </is>
      </c>
      <c r="H95" s="6" t="n">
        <v>1</v>
      </c>
      <c r="I95" s="6" t="n">
        <v>1</v>
      </c>
      <c r="J95" s="6" t="n">
        <v>1</v>
      </c>
      <c r="K95" s="6" t="n">
        <v>0.2</v>
      </c>
      <c r="P95">
        <f>MAX(P96)</f>
        <v/>
      </c>
      <c r="S95">
        <f>S96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(((E95/20000)+(F95/60)+(S95/60)+((P95/5000)*J95))*100/4+(((E95/20000)*(F95/60))+(((P95/5000)*J95)*(S95/60)))*100/2+((E95/20000)*(F95/60)*((P95/5000)*J95)*(S95/60))*100)*H95/3</f>
        <v/>
      </c>
      <c r="X95" s="6" t="n">
        <v>200</v>
      </c>
      <c r="Y95">
        <f>IFERROR(W95-X95,"")</f>
        <v/>
      </c>
      <c r="Z95">
        <f>IFERROR(ABS(Y95)/MAX(X95,1),"")</f>
        <v/>
      </c>
      <c r="AA95">
        <f>IFERROR(ROUND(((3*X95-(((E95/20000)+(F95/60)+(S95/60))*100/4+((E95/20000)*(F95/60))*100/2)*H95)/(100/4+((S95/60))*100/2+((E95/20000)*(F95/60)*(S95/60))*100)*H95*5000)/J95,-1),"")</f>
        <v/>
      </c>
    </row>
    <row r="96">
      <c r="B96" s="7" t="inlineStr">
        <is>
          <t xml:space="preserve">  ↳ ra1_soviets_ak47conscript_rifle</t>
        </is>
      </c>
      <c r="C96" s="7" t="inlineStr">
        <is>
          <t>Armament</t>
        </is>
      </c>
      <c r="L96" s="6" t="n">
        <v>2000</v>
      </c>
      <c r="M96" s="6" t="n">
        <v>11</v>
      </c>
      <c r="N96" s="6" t="n">
        <v>3</v>
      </c>
      <c r="O96" s="6" t="n">
        <v>2</v>
      </c>
      <c r="P96" s="6" t="n">
        <v>4500</v>
      </c>
      <c r="Q96" s="6" t="n">
        <v>0.875</v>
      </c>
      <c r="R96">
        <f>M96+IF(N96&gt;1,N(O96)*(N96-1),0)</f>
        <v/>
      </c>
      <c r="S96">
        <f>IFERROR(L96*MAX(N96,1)/R96*Q96*IF(ISBLANK(K95),1,K95),0)</f>
        <v/>
      </c>
      <c r="AB96" s="7" t="inlineStr">
        <is>
          <t>^SmallArms, ^Chaingun</t>
        </is>
      </c>
    </row>
    <row r="97">
      <c r="B97" s="7" t="inlineStr">
        <is>
          <t xml:space="preserve">  ↳ ra1_soviets_ak47conscript_rifle</t>
        </is>
      </c>
      <c r="C97" s="7" t="inlineStr">
        <is>
          <t>Armament@GARRISONED</t>
        </is>
      </c>
      <c r="L97" s="6" t="n">
        <v>2000</v>
      </c>
      <c r="M97" s="6" t="n">
        <v>11</v>
      </c>
      <c r="N97" s="6" t="n">
        <v>3</v>
      </c>
      <c r="O97" s="6" t="n">
        <v>2</v>
      </c>
      <c r="P97" s="6" t="n">
        <v>4500</v>
      </c>
      <c r="Q97" s="6" t="n">
        <v>0.875</v>
      </c>
      <c r="R97">
        <f>M97+IF(N97&gt;1,N(O97)*(N97-1),0)</f>
        <v/>
      </c>
      <c r="S97">
        <f>IFERROR(L97*MAX(N97,1)/R97*Q97*IF(ISBLANK(K95),1,K95),0)</f>
        <v/>
      </c>
      <c r="AB97" s="7" t="inlineStr">
        <is>
          <t>^SmallArms, ^Chaingun</t>
        </is>
      </c>
    </row>
    <row r="98">
      <c r="A98" t="inlineStr">
        <is>
          <t>redalert</t>
        </is>
      </c>
      <c r="B98" t="inlineStr">
        <is>
          <t>ra1_soviets_rifleinfantry</t>
        </is>
      </c>
      <c r="C98" t="inlineStr">
        <is>
          <t>Rifle Infantry</t>
        </is>
      </c>
      <c r="D98" s="6" t="inlineStr">
        <is>
          <t>ScoutInfantry</t>
        </is>
      </c>
      <c r="E98" s="6" t="n">
        <v>34000</v>
      </c>
      <c r="F98" s="6" t="n">
        <v>54</v>
      </c>
      <c r="G98" t="inlineStr">
        <is>
          <t>None</t>
        </is>
      </c>
      <c r="H98" s="6" t="n">
        <v>1</v>
      </c>
      <c r="I98" s="6" t="n">
        <v>1</v>
      </c>
      <c r="J98" s="6" t="n">
        <v>1</v>
      </c>
      <c r="K98" s="6" t="n">
        <v>0.54</v>
      </c>
      <c r="P98">
        <f>MAX(P99,P101)</f>
        <v/>
      </c>
      <c r="S98">
        <f>S99+S101</f>
        <v/>
      </c>
      <c r="T98">
        <f>(E98/100000+F98/100+(P98/1000)*J98/5+S98/200)*200*I98*H98</f>
        <v/>
      </c>
      <c r="U98">
        <f>((E98*F98/25000)+((P98/1000)*J98*S98/2.5))*I98*H98</f>
        <v/>
      </c>
      <c r="V98">
        <f>(E98*F98*(P98/1000)*J98*S98*I98*H98)/12500000</f>
        <v/>
      </c>
      <c r="W98">
        <f>(((E98/20000)+(F98/60)+(S98/60)+((P98/5000)*J98))*100/4+(((E98/20000)*(F98/60))+(((P98/5000)*J98)*(S98/60)))*100/2+((E98/20000)*(F98/60)*((P98/5000)*J98)*(S98/60))*100)*H98/3</f>
        <v/>
      </c>
      <c r="X98" s="6" t="n">
        <v>100</v>
      </c>
      <c r="Y98">
        <f>IFERROR(W98-X98,"")</f>
        <v/>
      </c>
      <c r="Z98">
        <f>IFERROR(ABS(Y98)/MAX(X98,1),"")</f>
        <v/>
      </c>
      <c r="AA98">
        <f>IFERROR(ROUND(((3*X98-(((E98/20000)+(F98/60)+(S98/60))*100/4+((E98/20000)*(F98/60))*100/2)*H98)/(100/4+((S98/60))*100/2+((E98/20000)*(F98/60)*(S98/60))*100)*H98*5000)/J98,-1),"")</f>
        <v/>
      </c>
    </row>
    <row r="99">
      <c r="B99" s="7" t="inlineStr">
        <is>
          <t xml:space="preserve">  ↳ ra1_soviets_rifleinfantry_carbine</t>
        </is>
      </c>
      <c r="C99" s="7" t="inlineStr">
        <is>
          <t>Armament@PRIMARY</t>
        </is>
      </c>
      <c r="L99" s="6" t="n">
        <v>2000</v>
      </c>
      <c r="M99" s="6" t="n">
        <v>55</v>
      </c>
      <c r="N99" s="6" t="n">
        <v>3</v>
      </c>
      <c r="O99" s="6" t="n">
        <v>5</v>
      </c>
      <c r="P99" s="6" t="n">
        <v>5100</v>
      </c>
      <c r="Q99" s="6" t="n">
        <v>0.75</v>
      </c>
      <c r="R99">
        <f>M99+IF(N99&gt;1,N(O99)*(N99-1),0)</f>
        <v/>
      </c>
      <c r="S99">
        <f>IFERROR(L99*MAX(N99,1)/R99*Q99*IF(ISBLANK(K98),1,K98),0)</f>
        <v/>
      </c>
      <c r="AB99" s="7" t="inlineStr">
        <is>
          <t>^SmallArms</t>
        </is>
      </c>
    </row>
    <row r="100">
      <c r="B100" s="7" t="inlineStr">
        <is>
          <t xml:space="preserve">  ↳ ra1_soviets_rifleinfantry_carbine</t>
        </is>
      </c>
      <c r="C100" s="7" t="inlineStr">
        <is>
          <t>Armament@GARRISONED</t>
        </is>
      </c>
      <c r="L100" s="6" t="n">
        <v>2000</v>
      </c>
      <c r="M100" s="6" t="n">
        <v>55</v>
      </c>
      <c r="N100" s="6" t="n">
        <v>3</v>
      </c>
      <c r="O100" s="6" t="n">
        <v>5</v>
      </c>
      <c r="P100" s="6" t="n">
        <v>5100</v>
      </c>
      <c r="Q100" s="6" t="n">
        <v>0.75</v>
      </c>
      <c r="R100">
        <f>M100+IF(N100&gt;1,N(O100)*(N100-1),0)</f>
        <v/>
      </c>
      <c r="S100">
        <f>IFERROR(L100*MAX(N100,1)/R100*Q100*IF(ISBLANK(K98),1,K98),0)</f>
        <v/>
      </c>
      <c r="AB100" s="7" t="inlineStr">
        <is>
          <t>^SmallArms</t>
        </is>
      </c>
    </row>
    <row r="101">
      <c r="B101" s="7" t="inlineStr">
        <is>
          <t xml:space="preserve">  ↳ ra1_soviets_rifleinfantry_carbine_incendiary</t>
        </is>
      </c>
      <c r="C101" s="7" t="inlineStr">
        <is>
          <t>Armament@Upgrade</t>
        </is>
      </c>
      <c r="L101" s="6" t="n">
        <v>2000</v>
      </c>
      <c r="M101" s="6" t="n">
        <v>55</v>
      </c>
      <c r="N101" s="6" t="n">
        <v>3</v>
      </c>
      <c r="O101" s="6" t="n">
        <v>5</v>
      </c>
      <c r="P101" s="6" t="n">
        <v>5100</v>
      </c>
      <c r="Q101" s="6" t="n">
        <v>0.75</v>
      </c>
      <c r="R101">
        <f>M101+IF(N101&gt;1,N(O101)*(N101-1),0)</f>
        <v/>
      </c>
      <c r="S101">
        <f>IFERROR(L101*MAX(N101,1)/R101*Q101*IF(ISBLANK(K98),1,K98),0)</f>
        <v/>
      </c>
      <c r="AB101" s="7" t="inlineStr">
        <is>
          <t>^LightFlameWeapon, ^SmallArms, ^IncendiaryBulletProjectile</t>
        </is>
      </c>
    </row>
    <row r="102">
      <c r="B102" s="7" t="inlineStr">
        <is>
          <t xml:space="preserve">  ↳ ra1_soviets_rifleinfantry_carbine_incendiary</t>
        </is>
      </c>
      <c r="C102" s="7" t="inlineStr">
        <is>
          <t>Armament@UpgradeGARRISONED</t>
        </is>
      </c>
      <c r="L102" s="6" t="n">
        <v>2000</v>
      </c>
      <c r="M102" s="6" t="n">
        <v>55</v>
      </c>
      <c r="N102" s="6" t="n">
        <v>3</v>
      </c>
      <c r="O102" s="6" t="n">
        <v>5</v>
      </c>
      <c r="P102" s="6" t="n">
        <v>5100</v>
      </c>
      <c r="Q102" s="6" t="n">
        <v>0.75</v>
      </c>
      <c r="R102">
        <f>M102+IF(N102&gt;1,N(O102)*(N102-1),0)</f>
        <v/>
      </c>
      <c r="S102">
        <f>IFERROR(L102*MAX(N102,1)/R102*Q102*IF(ISBLANK(K98),1,K98),0)</f>
        <v/>
      </c>
      <c r="AB102" s="7" t="inlineStr">
        <is>
          <t>^LightFlameWeapon, ^SmallArms, ^IncendiaryBulletProjectile</t>
        </is>
      </c>
    </row>
    <row r="103">
      <c r="A103" t="inlineStr">
        <is>
          <t>redalert</t>
        </is>
      </c>
      <c r="B103" t="inlineStr">
        <is>
          <t>ra1_allies_raspy</t>
        </is>
      </c>
      <c r="C103" t="inlineStr">
        <is>
          <t>Spy</t>
        </is>
      </c>
      <c r="D103" s="6" t="inlineStr">
        <is>
          <t>ScoutInfantry</t>
        </is>
      </c>
      <c r="E103" s="6" t="n">
        <v>5000</v>
      </c>
      <c r="F103" s="6" t="n">
        <v>60</v>
      </c>
      <c r="G103" t="inlineStr">
        <is>
          <t>None</t>
        </is>
      </c>
      <c r="H103" s="6" t="n">
        <v>1</v>
      </c>
      <c r="I103" s="6" t="n">
        <v>1</v>
      </c>
      <c r="J103" s="6" t="n">
        <v>1</v>
      </c>
      <c r="K103" s="6" t="n"/>
      <c r="P103">
        <f>MAX(P104)</f>
        <v/>
      </c>
      <c r="S103">
        <f>S104</f>
        <v/>
      </c>
      <c r="T103">
        <f>(E103/100000+F103/100+(P103/1000)*J103/5+S103/200)*200*I103*H103</f>
        <v/>
      </c>
      <c r="U103">
        <f>((E103*F103/25000)+((P103/1000)*J103*S103/2.5))*I103*H103</f>
        <v/>
      </c>
      <c r="V103">
        <f>(E103*F103*(P103/1000)*J103*S103*I103*H103)/12500000</f>
        <v/>
      </c>
      <c r="W103">
        <f>(((E103/20000)+(F103/60)+(S103/60)+((P103/5000)*J103))*100/4+(((E103/20000)*(F103/60))+(((P103/5000)*J103)*(S103/60)))*100/2+((E103/20000)*(F103/60)*((P103/5000)*J103)*(S103/60))*100)*H103/3</f>
        <v/>
      </c>
      <c r="X103" s="6" t="n">
        <v>500</v>
      </c>
      <c r="Y103">
        <f>IFERROR(W103-X103,"")</f>
        <v/>
      </c>
      <c r="Z103">
        <f>IFERROR(ABS(Y103)/MAX(X103,1),"")</f>
        <v/>
      </c>
      <c r="AA103">
        <f>IFERROR(ROUND(((3*X103-(((E103/20000)+(F103/60)+(S103/60))*100/4+((E103/20000)*(F103/60))*100/2)*H103)/(100/4+((S103/60))*100/2+((E103/20000)*(F103/60)*(S103/60))*100)*H103*5000)/J103,-1),"")</f>
        <v/>
      </c>
    </row>
    <row r="104">
      <c r="B104" s="7" t="inlineStr">
        <is>
          <t xml:space="preserve">  ↳ SilencedPPK</t>
        </is>
      </c>
      <c r="C104" s="7" t="inlineStr">
        <is>
          <t>Armament</t>
        </is>
      </c>
      <c r="L104" s="6" t="n">
        <v>15000</v>
      </c>
      <c r="M104" s="6" t="n">
        <v>80</v>
      </c>
      <c r="N104" s="6" t="n">
        <v>1</v>
      </c>
      <c r="O104" s="6" t="n"/>
      <c r="P104" s="6" t="n">
        <v>2560</v>
      </c>
      <c r="Q104" s="6" t="n">
        <v>1</v>
      </c>
      <c r="R104">
        <f>M104+IF(N104&gt;1,N(O104)*(N104-1),0)</f>
        <v/>
      </c>
      <c r="S104">
        <f>IFERROR(L104*MAX(N104,1)/R104*Q104*IF(ISBLANK(K103),1,K103),0)</f>
        <v/>
      </c>
      <c r="AB104" s="7" t="inlineStr">
        <is>
          <t>^SnipeWeapon</t>
        </is>
      </c>
    </row>
    <row r="105">
      <c r="A105" t="inlineStr">
        <is>
          <t>tiberiansun</t>
        </is>
      </c>
      <c r="B105" t="inlineStr">
        <is>
          <t>ts_nod_lightinfantry</t>
        </is>
      </c>
      <c r="C105" t="inlineStr">
        <is>
          <t>Light Infantry</t>
        </is>
      </c>
      <c r="D105" s="6" t="inlineStr">
        <is>
          <t>ScoutInfantry</t>
        </is>
      </c>
      <c r="E105" s="6" t="n">
        <v>16000</v>
      </c>
      <c r="F105" s="6" t="n">
        <v>60</v>
      </c>
      <c r="G105" t="inlineStr">
        <is>
          <t>None</t>
        </is>
      </c>
      <c r="H105" s="6" t="n">
        <v>1</v>
      </c>
      <c r="I105" s="6" t="n">
        <v>1</v>
      </c>
      <c r="J105" s="6" t="n">
        <v>1</v>
      </c>
      <c r="K105" s="6" t="n"/>
      <c r="P105">
        <f>MAX(P106,P108)</f>
        <v/>
      </c>
      <c r="S105">
        <f>S106+S108</f>
        <v/>
      </c>
      <c r="T105">
        <f>(E105/100000+F105/100+(P105/1000)*J105/5+S105/200)*200*I105*H105</f>
        <v/>
      </c>
      <c r="U105">
        <f>((E105*F105/25000)+((P105/1000)*J105*S105/2.5))*I105*H105</f>
        <v/>
      </c>
      <c r="V105">
        <f>(E105*F105*(P105/1000)*J105*S105*I105*H105)/12500000</f>
        <v/>
      </c>
      <c r="W105">
        <f>(((E105/20000)+(F105/60)+(S105/60)+((P105/5000)*J105))*100/4+(((E105/20000)*(F105/60))+(((P105/5000)*J105)*(S105/60)))*100/2+((E105/20000)*(F105/60)*((P105/5000)*J105)*(S105/60))*100)*H105/3</f>
        <v/>
      </c>
      <c r="X105" s="6" t="n">
        <v>120</v>
      </c>
      <c r="Y105">
        <f>IFERROR(W105-X105,"")</f>
        <v/>
      </c>
      <c r="Z105">
        <f>IFERROR(ABS(Y105)/MAX(X105,1),"")</f>
        <v/>
      </c>
      <c r="AA105">
        <f>IFERROR(ROUND(((3*X105-(((E105/20000)+(F105/60)+(S105/60))*100/4+((E105/20000)*(F105/60))*100/2)*H105)/(100/4+((S105/60))*100/2+((E105/20000)*(F105/60)*(S105/60))*100)*H105*5000)/J105,-1),"")</f>
        <v/>
      </c>
    </row>
    <row r="106">
      <c r="B106" s="7" t="inlineStr">
        <is>
          <t xml:space="preserve">  ↳ TSMinigun</t>
        </is>
      </c>
      <c r="C106" s="7" t="inlineStr">
        <is>
          <t>Armament@PRIMARY</t>
        </is>
      </c>
      <c r="L106" s="6" t="n">
        <v>2000</v>
      </c>
      <c r="M106" s="6" t="n">
        <v>12</v>
      </c>
      <c r="N106" s="6" t="n">
        <v>1</v>
      </c>
      <c r="O106" s="6" t="n"/>
      <c r="P106" s="6" t="n">
        <v>4062</v>
      </c>
      <c r="Q106" s="6" t="n">
        <v>0.75</v>
      </c>
      <c r="R106">
        <f>M106+IF(N106&gt;1,N(O106)*(N106-1),0)</f>
        <v/>
      </c>
      <c r="S106">
        <f>IFERROR(L106*MAX(N106,1)/R106*Q106*IF(ISBLANK(K105),1,K105),0)</f>
        <v/>
      </c>
      <c r="AB106" s="7" t="inlineStr">
        <is>
          <t>^SmallArms</t>
        </is>
      </c>
    </row>
    <row r="107">
      <c r="B107" s="7" t="inlineStr">
        <is>
          <t xml:space="preserve">  ↳ TSMinigun</t>
        </is>
      </c>
      <c r="C107" s="7" t="inlineStr">
        <is>
          <t>Armament@GARRISONED</t>
        </is>
      </c>
      <c r="L107" s="6" t="n">
        <v>2000</v>
      </c>
      <c r="M107" s="6" t="n">
        <v>12</v>
      </c>
      <c r="N107" s="6" t="n">
        <v>1</v>
      </c>
      <c r="O107" s="6" t="n"/>
      <c r="P107" s="6" t="n">
        <v>4062</v>
      </c>
      <c r="Q107" s="6" t="n">
        <v>0.75</v>
      </c>
      <c r="R107">
        <f>M107+IF(N107&gt;1,N(O107)*(N107-1),0)</f>
        <v/>
      </c>
      <c r="S107">
        <f>IFERROR(L107*MAX(N107,1)/R107*Q107*IF(ISBLANK(K105),1,K105),0)</f>
        <v/>
      </c>
      <c r="AB107" s="7" t="inlineStr">
        <is>
          <t>^SmallArms</t>
        </is>
      </c>
    </row>
    <row r="108">
      <c r="B108" s="7" t="inlineStr">
        <is>
          <t xml:space="preserve">  ↳ TSLasergun</t>
        </is>
      </c>
      <c r="C108" s="7" t="inlineStr">
        <is>
          <t>Armament@UPGRADE</t>
        </is>
      </c>
      <c r="L108" s="6" t="n">
        <v>2000</v>
      </c>
      <c r="M108" s="6" t="n">
        <v>18</v>
      </c>
      <c r="N108" s="6" t="n">
        <v>1</v>
      </c>
      <c r="O108" s="6" t="n"/>
      <c r="P108" s="6" t="n">
        <v>4062</v>
      </c>
      <c r="Q108" s="6" t="n">
        <v>0.875</v>
      </c>
      <c r="R108">
        <f>M108+IF(N108&gt;1,N(O108)*(N108-1),0)</f>
        <v/>
      </c>
      <c r="S108">
        <f>IFERROR(L108*MAX(N108,1)/R108*Q108*IF(ISBLANK(K105),1,K105),0)</f>
        <v/>
      </c>
      <c r="AB108" s="7" t="inlineStr">
        <is>
          <t>^SmallArms, ^LaserWeapon, ^TSLaserEffect</t>
        </is>
      </c>
    </row>
    <row r="109">
      <c r="B109" s="7" t="inlineStr">
        <is>
          <t xml:space="preserve">  ↳ TSLasergun</t>
        </is>
      </c>
      <c r="C109" s="7" t="inlineStr">
        <is>
          <t>Armament@UPGRADEGARRISONED</t>
        </is>
      </c>
      <c r="L109" s="6" t="n">
        <v>2000</v>
      </c>
      <c r="M109" s="6" t="n">
        <v>18</v>
      </c>
      <c r="N109" s="6" t="n">
        <v>1</v>
      </c>
      <c r="O109" s="6" t="n"/>
      <c r="P109" s="6" t="n">
        <v>4062</v>
      </c>
      <c r="Q109" s="6" t="n">
        <v>0.875</v>
      </c>
      <c r="R109">
        <f>M109+IF(N109&gt;1,N(O109)*(N109-1),0)</f>
        <v/>
      </c>
      <c r="S109">
        <f>IFERROR(L109*MAX(N109,1)/R109*Q109*IF(ISBLANK(K105),1,K105),0)</f>
        <v/>
      </c>
      <c r="AB109" s="7" t="inlineStr">
        <is>
          <t>^SmallArms, ^LaserWeapon, ^TSLaserEffect</t>
        </is>
      </c>
    </row>
    <row r="110">
      <c r="A110" t="inlineStr">
        <is>
          <t>tiberiansun</t>
        </is>
      </c>
      <c r="B110" t="inlineStr">
        <is>
          <t>ts_gdi_lightinfantry</t>
        </is>
      </c>
      <c r="C110" t="inlineStr">
        <is>
          <t>Light Infantry</t>
        </is>
      </c>
      <c r="D110" s="6" t="inlineStr">
        <is>
          <t>ScoutInfantry</t>
        </is>
      </c>
      <c r="E110" s="6" t="n">
        <v>16000</v>
      </c>
      <c r="F110" s="6" t="n">
        <v>60</v>
      </c>
      <c r="G110" t="inlineStr">
        <is>
          <t>None</t>
        </is>
      </c>
      <c r="H110" s="6" t="n">
        <v>1</v>
      </c>
      <c r="I110" s="6" t="n">
        <v>1</v>
      </c>
      <c r="J110" s="6" t="n">
        <v>1</v>
      </c>
      <c r="K110" s="6" t="n"/>
      <c r="P110">
        <f>MAX(P111)</f>
        <v/>
      </c>
      <c r="S110">
        <f>S111</f>
        <v/>
      </c>
      <c r="T110">
        <f>(E110/100000+F110/100+(P110/1000)*J110/5+S110/200)*200*I110*H110</f>
        <v/>
      </c>
      <c r="U110">
        <f>((E110*F110/25000)+((P110/1000)*J110*S110/2.5))*I110*H110</f>
        <v/>
      </c>
      <c r="V110">
        <f>(E110*F110*(P110/1000)*J110*S110*I110*H110)/12500000</f>
        <v/>
      </c>
      <c r="W110">
        <f>(((E110/20000)+(F110/60)+(S110/60)+((P110/5000)*J110))*100/4+(((E110/20000)*(F110/60))+(((P110/5000)*J110)*(S110/60)))*100/2+((E110/20000)*(F110/60)*((P110/5000)*J110)*(S110/60))*100)*H110/3</f>
        <v/>
      </c>
      <c r="X110" s="6" t="n">
        <v>120</v>
      </c>
      <c r="Y110">
        <f>IFERROR(W110-X110,"")</f>
        <v/>
      </c>
      <c r="Z110">
        <f>IFERROR(ABS(Y110)/MAX(X110,1),"")</f>
        <v/>
      </c>
      <c r="AA110">
        <f>IFERROR(ROUND(((3*X110-(((E110/20000)+(F110/60)+(S110/60))*100/4+((E110/20000)*(F110/60))*100/2)*H110)/(100/4+((S110/60))*100/2+((E110/20000)*(F110/60)*(S110/60))*100)*H110*5000)/J110,-1),"")</f>
        <v/>
      </c>
    </row>
    <row r="111">
      <c r="B111" s="7" t="inlineStr">
        <is>
          <t xml:space="preserve">  ↳ TSMinigun</t>
        </is>
      </c>
      <c r="C111" s="7" t="inlineStr">
        <is>
          <t>Armament@PRIMARY</t>
        </is>
      </c>
      <c r="L111" s="6" t="n">
        <v>2000</v>
      </c>
      <c r="M111" s="6" t="n">
        <v>12</v>
      </c>
      <c r="N111" s="6" t="n">
        <v>1</v>
      </c>
      <c r="O111" s="6" t="n"/>
      <c r="P111" s="6" t="n">
        <v>4062</v>
      </c>
      <c r="Q111" s="6" t="n">
        <v>0.75</v>
      </c>
      <c r="R111">
        <f>M111+IF(N111&gt;1,N(O111)*(N111-1),0)</f>
        <v/>
      </c>
      <c r="S111">
        <f>IFERROR(L111*MAX(N111,1)/R111*Q111*IF(ISBLANK(K110),1,K110),0)</f>
        <v/>
      </c>
      <c r="AB111" s="7" t="inlineStr">
        <is>
          <t>^SmallArms</t>
        </is>
      </c>
    </row>
    <row r="112">
      <c r="B112" s="7" t="inlineStr">
        <is>
          <t xml:space="preserve">  ↳ TSMinigun</t>
        </is>
      </c>
      <c r="C112" s="7" t="inlineStr">
        <is>
          <t>Armament@GARRISONED</t>
        </is>
      </c>
      <c r="L112" s="6" t="n">
        <v>2000</v>
      </c>
      <c r="M112" s="6" t="n">
        <v>12</v>
      </c>
      <c r="N112" s="6" t="n">
        <v>1</v>
      </c>
      <c r="O112" s="6" t="n"/>
      <c r="P112" s="6" t="n">
        <v>4062</v>
      </c>
      <c r="Q112" s="6" t="n">
        <v>0.75</v>
      </c>
      <c r="R112">
        <f>M112+IF(N112&gt;1,N(O112)*(N112-1),0)</f>
        <v/>
      </c>
      <c r="S112">
        <f>IFERROR(L112*MAX(N112,1)/R112*Q112*IF(ISBLANK(K110),1,K110),0)</f>
        <v/>
      </c>
      <c r="AB112" s="7" t="inlineStr">
        <is>
          <t>^SmallArms</t>
        </is>
      </c>
    </row>
    <row r="113">
      <c r="A113" t="inlineStr">
        <is>
          <t>tiberiansun</t>
        </is>
      </c>
      <c r="B113" t="inlineStr">
        <is>
          <t>forgotten_mutant</t>
        </is>
      </c>
      <c r="C113" t="inlineStr">
        <is>
          <t>actor_forgotten_mutant.name</t>
        </is>
      </c>
      <c r="D113" s="6" t="inlineStr">
        <is>
          <t>ScoutInfantry</t>
        </is>
      </c>
      <c r="E113" s="6" t="n">
        <v>45000</v>
      </c>
      <c r="F113" s="6" t="n">
        <v>65</v>
      </c>
      <c r="G113" t="inlineStr">
        <is>
          <t>None</t>
        </is>
      </c>
      <c r="H113" s="6" t="n">
        <v>1</v>
      </c>
      <c r="I113" s="6" t="n">
        <v>1</v>
      </c>
      <c r="J113" s="6" t="n">
        <v>1</v>
      </c>
      <c r="K113" s="6" t="n">
        <v>1</v>
      </c>
      <c r="P113">
        <f>MAX(P114)</f>
        <v/>
      </c>
      <c r="S113">
        <f>S114</f>
        <v/>
      </c>
      <c r="T113">
        <f>(E113/100000+F113/100+(P113/1000)*J113/5+S113/200)*200*I113*H113</f>
        <v/>
      </c>
      <c r="U113">
        <f>((E113*F113/25000)+((P113/1000)*J113*S113/2.5))*I113*H113</f>
        <v/>
      </c>
      <c r="V113">
        <f>(E113*F113*(P113/1000)*J113*S113*I113*H113)/12500000</f>
        <v/>
      </c>
      <c r="W113">
        <f>(((E113/20000)+(F113/60)+(S113/60)+((P113/5000)*J113))*100/4+(((E113/20000)*(F113/60))+(((P113/5000)*J113)*(S113/60)))*100/2+((E113/20000)*(F113/60)*((P113/5000)*J113)*(S113/60))*100)*H113/3</f>
        <v/>
      </c>
      <c r="X113" s="6" t="n">
        <v>175</v>
      </c>
      <c r="Y113">
        <f>IFERROR(W113-X113,"")</f>
        <v/>
      </c>
      <c r="Z113">
        <f>IFERROR(ABS(Y113)/MAX(X113,1),"")</f>
        <v/>
      </c>
      <c r="AA113">
        <f>IFERROR(ROUND(((3*X113-(((E113/20000)+(F113/60)+(S113/60))*100/4+((E113/20000)*(F113/60))*100/2)*H113)/(100/4+((S113/60))*100/2+((E113/20000)*(F113/60)*(S113/60))*100)*H113*5000)/J113,-1),"")</f>
        <v/>
      </c>
    </row>
    <row r="114">
      <c r="B114" s="7" t="inlineStr">
        <is>
          <t xml:space="preserve">  ↳ forgotten_mutant_dualwield</t>
        </is>
      </c>
      <c r="C114" s="7" t="inlineStr">
        <is>
          <t>Armament@PRIMARY</t>
        </is>
      </c>
      <c r="L114" s="6" t="n">
        <v>10000</v>
      </c>
      <c r="M114" s="6" t="n">
        <v>250</v>
      </c>
      <c r="N114" s="6" t="n">
        <v>2</v>
      </c>
      <c r="O114" s="6" t="n"/>
      <c r="P114" s="6" t="n">
        <v>4550</v>
      </c>
      <c r="Q114" s="6" t="n">
        <v>0.75</v>
      </c>
      <c r="R114">
        <f>M114+IF(N114&gt;1,N(O114)*(N114-1),0)</f>
        <v/>
      </c>
      <c r="S114">
        <f>IFERROR(L114*MAX(N114,1)/R114*Q114*IF(ISBLANK(K113),1,K113),0)</f>
        <v/>
      </c>
      <c r="AB114" s="7" t="inlineStr">
        <is>
          <t>^SmallArms</t>
        </is>
      </c>
    </row>
    <row r="115">
      <c r="B115" s="7" t="inlineStr">
        <is>
          <t xml:space="preserve">  ↳ forgotten_mutant_dualwield</t>
        </is>
      </c>
      <c r="C115" s="7" t="inlineStr">
        <is>
          <t>Armament@GARRISONED</t>
        </is>
      </c>
      <c r="L115" s="6" t="n">
        <v>10000</v>
      </c>
      <c r="M115" s="6" t="n">
        <v>250</v>
      </c>
      <c r="N115" s="6" t="n">
        <v>2</v>
      </c>
      <c r="O115" s="6" t="n"/>
      <c r="P115" s="6" t="n">
        <v>4550</v>
      </c>
      <c r="Q115" s="6" t="n">
        <v>0.75</v>
      </c>
      <c r="R115">
        <f>M115+IF(N115&gt;1,N(O115)*(N115-1),0)</f>
        <v/>
      </c>
      <c r="S115">
        <f>IFERROR(L115*MAX(N115,1)/R115*Q115*IF(ISBLANK(K113),1,K113),0)</f>
        <v/>
      </c>
      <c r="AB115" s="7" t="inlineStr">
        <is>
          <t>^SmallArms</t>
        </is>
      </c>
    </row>
    <row r="116">
      <c r="A116" t="inlineStr">
        <is>
          <t>tiberiansun</t>
        </is>
      </c>
      <c r="B116" t="inlineStr">
        <is>
          <t>forgotten_mutant_sp</t>
        </is>
      </c>
      <c r="C116" t="inlineStr">
        <is>
          <t>actor_forgotten_mutant.name</t>
        </is>
      </c>
      <c r="D116" s="6" t="inlineStr">
        <is>
          <t>ScoutInfantry</t>
        </is>
      </c>
      <c r="E116" s="6" t="n">
        <v>45000</v>
      </c>
      <c r="F116" s="6" t="n">
        <v>65</v>
      </c>
      <c r="G116" t="inlineStr">
        <is>
          <t>None</t>
        </is>
      </c>
      <c r="H116" s="6" t="n">
        <v>1</v>
      </c>
      <c r="I116" s="6" t="n">
        <v>1</v>
      </c>
      <c r="J116" s="6" t="n">
        <v>1</v>
      </c>
      <c r="K116" s="6" t="n"/>
      <c r="P116">
        <f>MAX(P117)</f>
        <v/>
      </c>
      <c r="S116">
        <f>S117</f>
        <v/>
      </c>
      <c r="T116">
        <f>(E116/100000+F116/100+(P116/1000)*J116/5+S116/200)*200*I116*H116</f>
        <v/>
      </c>
      <c r="U116">
        <f>((E116*F116/25000)+((P116/1000)*J116*S116/2.5))*I116*H116</f>
        <v/>
      </c>
      <c r="V116">
        <f>(E116*F116*(P116/1000)*J116*S116*I116*H116)/12500000</f>
        <v/>
      </c>
      <c r="W116">
        <f>(((E116/20000)+(F116/60)+(S116/60)+((P116/5000)*J116))*100/4+(((E116/20000)*(F116/60))+(((P116/5000)*J116)*(S116/60)))*100/2+((E116/20000)*(F116/60)*((P116/5000)*J116)*(S116/60))*100)*H116/3</f>
        <v/>
      </c>
      <c r="X116" s="6" t="n">
        <v>175</v>
      </c>
      <c r="Y116">
        <f>IFERROR(W116-X116,"")</f>
        <v/>
      </c>
      <c r="Z116">
        <f>IFERROR(ABS(Y116)/MAX(X116,1),"")</f>
        <v/>
      </c>
      <c r="AA116">
        <f>IFERROR(ROUND(((3*X116-(((E116/20000)+(F116/60)+(S116/60))*100/4+((E116/20000)*(F116/60))*100/2)*H116)/(100/4+((S116/60))*100/2+((E116/20000)*(F116/60)*(S116/60))*100)*H116*5000)/J116,-1),"")</f>
        <v/>
      </c>
    </row>
    <row r="117">
      <c r="B117" s="7" t="inlineStr">
        <is>
          <t xml:space="preserve">  ↳ forgotten_mutant_dualwield</t>
        </is>
      </c>
      <c r="C117" s="7" t="inlineStr">
        <is>
          <t>Armament@PRIMARY</t>
        </is>
      </c>
      <c r="L117" s="6" t="n">
        <v>10000</v>
      </c>
      <c r="M117" s="6" t="n">
        <v>250</v>
      </c>
      <c r="N117" s="6" t="n">
        <v>2</v>
      </c>
      <c r="O117" s="6" t="n"/>
      <c r="P117" s="6" t="n">
        <v>4550</v>
      </c>
      <c r="Q117" s="6" t="n">
        <v>0.75</v>
      </c>
      <c r="R117">
        <f>M117+IF(N117&gt;1,N(O117)*(N117-1),0)</f>
        <v/>
      </c>
      <c r="S117">
        <f>IFERROR(L117*MAX(N117,1)/R117*Q117*IF(ISBLANK(K116),1,K116),0)</f>
        <v/>
      </c>
      <c r="AB117" s="7" t="inlineStr">
        <is>
          <t>^SmallArms</t>
        </is>
      </c>
    </row>
    <row r="118">
      <c r="B118" s="7" t="inlineStr">
        <is>
          <t xml:space="preserve">  ↳ forgotten_mutant_dualwield</t>
        </is>
      </c>
      <c r="C118" s="7" t="inlineStr">
        <is>
          <t>Armament@GARRISONED</t>
        </is>
      </c>
      <c r="L118" s="6" t="n">
        <v>10000</v>
      </c>
      <c r="M118" s="6" t="n">
        <v>250</v>
      </c>
      <c r="N118" s="6" t="n">
        <v>2</v>
      </c>
      <c r="O118" s="6" t="n"/>
      <c r="P118" s="6" t="n">
        <v>4550</v>
      </c>
      <c r="Q118" s="6" t="n">
        <v>0.75</v>
      </c>
      <c r="R118">
        <f>M118+IF(N118&gt;1,N(O118)*(N118-1),0)</f>
        <v/>
      </c>
      <c r="S118">
        <f>IFERROR(L118*MAX(N118,1)/R118*Q118*IF(ISBLANK(K116),1,K116),0)</f>
        <v/>
      </c>
      <c r="AB118" s="7" t="inlineStr">
        <is>
          <t>^SmallArms</t>
        </is>
      </c>
    </row>
    <row r="119">
      <c r="A119" t="inlineStr">
        <is>
          <t>tiberiansun</t>
        </is>
      </c>
      <c r="B119" t="inlineStr">
        <is>
          <t>forgotten_mutant_wild</t>
        </is>
      </c>
      <c r="C119" t="inlineStr">
        <is>
          <t>actor_forgotten_mutant.name</t>
        </is>
      </c>
      <c r="D119" s="6" t="inlineStr">
        <is>
          <t>ScoutInfantry</t>
        </is>
      </c>
      <c r="E119" s="6" t="n">
        <v>45000</v>
      </c>
      <c r="F119" s="6" t="n">
        <v>65</v>
      </c>
      <c r="G119" t="inlineStr">
        <is>
          <t>None</t>
        </is>
      </c>
      <c r="H119" s="6" t="n">
        <v>1</v>
      </c>
      <c r="I119" s="6" t="n">
        <v>1</v>
      </c>
      <c r="J119" s="6" t="n">
        <v>1</v>
      </c>
      <c r="K119" s="6" t="n"/>
      <c r="P119">
        <f>MAX(P120)</f>
        <v/>
      </c>
      <c r="S119">
        <f>S120</f>
        <v/>
      </c>
      <c r="T119">
        <f>(E119/100000+F119/100+(P119/1000)*J119/5+S119/200)*200*I119*H119</f>
        <v/>
      </c>
      <c r="U119">
        <f>((E119*F119/25000)+((P119/1000)*J119*S119/2.5))*I119*H119</f>
        <v/>
      </c>
      <c r="V119">
        <f>(E119*F119*(P119/1000)*J119*S119*I119*H119)/12500000</f>
        <v/>
      </c>
      <c r="W119">
        <f>(((E119/20000)+(F119/60)+(S119/60)+((P119/5000)*J119))*100/4+(((E119/20000)*(F119/60))+(((P119/5000)*J119)*(S119/60)))*100/2+((E119/20000)*(F119/60)*((P119/5000)*J119)*(S119/60))*100)*H119/3</f>
        <v/>
      </c>
      <c r="X119" s="6" t="n">
        <v>175</v>
      </c>
      <c r="Y119">
        <f>IFERROR(W119-X119,"")</f>
        <v/>
      </c>
      <c r="Z119">
        <f>IFERROR(ABS(Y119)/MAX(X119,1),"")</f>
        <v/>
      </c>
      <c r="AA119">
        <f>IFERROR(ROUND(((3*X119-(((E119/20000)+(F119/60)+(S119/60))*100/4+((E119/20000)*(F119/60))*100/2)*H119)/(100/4+((S119/60))*100/2+((E119/20000)*(F119/60)*(S119/60))*100)*H119*5000)/J119,-1),"")</f>
        <v/>
      </c>
    </row>
    <row r="120">
      <c r="B120" s="7" t="inlineStr">
        <is>
          <t xml:space="preserve">  ↳ forgotten_mutant_dualwield</t>
        </is>
      </c>
      <c r="C120" s="7" t="inlineStr">
        <is>
          <t>Armament@PRIMARY</t>
        </is>
      </c>
      <c r="L120" s="6" t="n">
        <v>10000</v>
      </c>
      <c r="M120" s="6" t="n">
        <v>250</v>
      </c>
      <c r="N120" s="6" t="n">
        <v>2</v>
      </c>
      <c r="O120" s="6" t="n"/>
      <c r="P120" s="6" t="n">
        <v>4550</v>
      </c>
      <c r="Q120" s="6" t="n">
        <v>0.75</v>
      </c>
      <c r="R120">
        <f>M120+IF(N120&gt;1,N(O120)*(N120-1),0)</f>
        <v/>
      </c>
      <c r="S120">
        <f>IFERROR(L120*MAX(N120,1)/R120*Q120*IF(ISBLANK(K119),1,K119),0)</f>
        <v/>
      </c>
      <c r="AB120" s="7" t="inlineStr">
        <is>
          <t>^SmallArms</t>
        </is>
      </c>
    </row>
    <row r="121">
      <c r="B121" s="7" t="inlineStr">
        <is>
          <t xml:space="preserve">  ↳ forgotten_mutant_dualwield</t>
        </is>
      </c>
      <c r="C121" s="7" t="inlineStr">
        <is>
          <t>Armament@GARRISONED</t>
        </is>
      </c>
      <c r="L121" s="6" t="n">
        <v>10000</v>
      </c>
      <c r="M121" s="6" t="n">
        <v>250</v>
      </c>
      <c r="N121" s="6" t="n">
        <v>2</v>
      </c>
      <c r="O121" s="6" t="n"/>
      <c r="P121" s="6" t="n">
        <v>4550</v>
      </c>
      <c r="Q121" s="6" t="n">
        <v>0.75</v>
      </c>
      <c r="R121">
        <f>M121+IF(N121&gt;1,N(O121)*(N121-1),0)</f>
        <v/>
      </c>
      <c r="S121">
        <f>IFERROR(L121*MAX(N121,1)/R121*Q121*IF(ISBLANK(K119),1,K119),0)</f>
        <v/>
      </c>
      <c r="AB121" s="7" t="inlineStr">
        <is>
          <t>^SmallArms</t>
        </is>
      </c>
    </row>
    <row r="122">
      <c r="A122" t="inlineStr">
        <is>
          <t>tiberiansun</t>
        </is>
      </c>
      <c r="B122" t="inlineStr">
        <is>
          <t>forgotten_mutantsoldier</t>
        </is>
      </c>
      <c r="C122" t="inlineStr">
        <is>
          <t>actor_forgotten_mutantsoldier.name</t>
        </is>
      </c>
      <c r="D122" s="6" t="inlineStr">
        <is>
          <t>ScoutInfantry</t>
        </is>
      </c>
      <c r="E122" s="6" t="n">
        <v>40000</v>
      </c>
      <c r="F122" s="6" t="n">
        <v>60</v>
      </c>
      <c r="G122" t="inlineStr">
        <is>
          <t>None</t>
        </is>
      </c>
      <c r="H122" s="6" t="n">
        <v>1</v>
      </c>
      <c r="I122" s="6" t="n">
        <v>1</v>
      </c>
      <c r="J122" s="6" t="n">
        <v>1</v>
      </c>
      <c r="K122" s="6" t="n">
        <v>1</v>
      </c>
      <c r="P122">
        <f>MAX(P123)</f>
        <v/>
      </c>
      <c r="S122">
        <f>S123</f>
        <v/>
      </c>
      <c r="T122">
        <f>(E122/100000+F122/100+(P122/1000)*J122/5+S122/200)*200*I122*H122</f>
        <v/>
      </c>
      <c r="U122">
        <f>((E122*F122/25000)+((P122/1000)*J122*S122/2.5))*I122*H122</f>
        <v/>
      </c>
      <c r="V122">
        <f>(E122*F122*(P122/1000)*J122*S122*I122*H122)/12500000</f>
        <v/>
      </c>
      <c r="W122">
        <f>(((E122/20000)+(F122/60)+(S122/60)+((P122/5000)*J122))*100/4+(((E122/20000)*(F122/60))+(((P122/5000)*J122)*(S122/60)))*100/2+((E122/20000)*(F122/60)*((P122/5000)*J122)*(S122/60))*100)*H122/3</f>
        <v/>
      </c>
      <c r="X122" s="6" t="n">
        <v>250</v>
      </c>
      <c r="Y122">
        <f>IFERROR(W122-X122,"")</f>
        <v/>
      </c>
      <c r="Z122">
        <f>IFERROR(ABS(Y122)/MAX(X122,1),"")</f>
        <v/>
      </c>
      <c r="AA122">
        <f>IFERROR(ROUND(((3*X122-(((E122/20000)+(F122/60)+(S122/60))*100/4+((E122/20000)*(F122/60))*100/2)*H122)/(100/4+((S122/60))*100/2+((E122/20000)*(F122/60)*(S122/60))*100)*H122*5000)/J122,-1),"")</f>
        <v/>
      </c>
    </row>
    <row r="123">
      <c r="B123" s="7" t="inlineStr">
        <is>
          <t xml:space="preserve">  ↳ forgotten_mutantsoldier_rifle</t>
        </is>
      </c>
      <c r="C123" s="7" t="inlineStr">
        <is>
          <t>Armament@PRIMARY</t>
        </is>
      </c>
      <c r="L123" s="6" t="n">
        <v>8000</v>
      </c>
      <c r="M123" s="6" t="n">
        <v>50</v>
      </c>
      <c r="N123" s="6" t="n">
        <v>1</v>
      </c>
      <c r="O123" s="6" t="n"/>
      <c r="P123" s="6" t="n">
        <v>5000</v>
      </c>
      <c r="Q123" s="6" t="n">
        <v>0.75</v>
      </c>
      <c r="R123">
        <f>M123+IF(N123&gt;1,N(O123)*(N123-1),0)</f>
        <v/>
      </c>
      <c r="S123">
        <f>IFERROR(L123*MAX(N123,1)/R123*Q123*IF(ISBLANK(K122),1,K122),0)</f>
        <v/>
      </c>
      <c r="AB123" s="7" t="inlineStr">
        <is>
          <t>^SmallArms</t>
        </is>
      </c>
    </row>
    <row r="124">
      <c r="B124" s="7" t="inlineStr">
        <is>
          <t xml:space="preserve">  ↳ forgotten_mutantsoldier_rifle</t>
        </is>
      </c>
      <c r="C124" s="7" t="inlineStr">
        <is>
          <t>Armament@GARRISONED</t>
        </is>
      </c>
      <c r="L124" s="6" t="n">
        <v>8000</v>
      </c>
      <c r="M124" s="6" t="n">
        <v>50</v>
      </c>
      <c r="N124" s="6" t="n">
        <v>1</v>
      </c>
      <c r="O124" s="6" t="n"/>
      <c r="P124" s="6" t="n">
        <v>5000</v>
      </c>
      <c r="Q124" s="6" t="n">
        <v>0.75</v>
      </c>
      <c r="R124">
        <f>M124+IF(N124&gt;1,N(O124)*(N124-1),0)</f>
        <v/>
      </c>
      <c r="S124">
        <f>IFERROR(L124*MAX(N124,1)/R124*Q124*IF(ISBLANK(K122),1,K122),0)</f>
        <v/>
      </c>
      <c r="AB124" s="7" t="inlineStr">
        <is>
          <t>^SmallArms</t>
        </is>
      </c>
    </row>
    <row r="125">
      <c r="A125" t="inlineStr">
        <is>
          <t>tiberiansun</t>
        </is>
      </c>
      <c r="B125" t="inlineStr">
        <is>
          <t>forgotten_mutantsoldier_sp</t>
        </is>
      </c>
      <c r="C125" t="inlineStr">
        <is>
          <t>actor_forgotten_mutantsoldier.name</t>
        </is>
      </c>
      <c r="D125" s="6" t="inlineStr">
        <is>
          <t>ScoutInfantry</t>
        </is>
      </c>
      <c r="E125" s="6" t="n">
        <v>40000</v>
      </c>
      <c r="F125" s="6" t="n">
        <v>60</v>
      </c>
      <c r="G125" t="inlineStr">
        <is>
          <t>None</t>
        </is>
      </c>
      <c r="H125" s="6" t="n">
        <v>1</v>
      </c>
      <c r="I125" s="6" t="n">
        <v>1</v>
      </c>
      <c r="J125" s="6" t="n">
        <v>1</v>
      </c>
      <c r="K125" s="6" t="n"/>
      <c r="P125">
        <f>MAX(P126)</f>
        <v/>
      </c>
      <c r="S125">
        <f>S126</f>
        <v/>
      </c>
      <c r="T125">
        <f>(E125/100000+F125/100+(P125/1000)*J125/5+S125/200)*200*I125*H125</f>
        <v/>
      </c>
      <c r="U125">
        <f>((E125*F125/25000)+((P125/1000)*J125*S125/2.5))*I125*H125</f>
        <v/>
      </c>
      <c r="V125">
        <f>(E125*F125*(P125/1000)*J125*S125*I125*H125)/12500000</f>
        <v/>
      </c>
      <c r="W125">
        <f>(((E125/20000)+(F125/60)+(S125/60)+((P125/5000)*J125))*100/4+(((E125/20000)*(F125/60))+(((P125/5000)*J125)*(S125/60)))*100/2+((E125/20000)*(F125/60)*((P125/5000)*J125)*(S125/60))*100)*H125/3</f>
        <v/>
      </c>
      <c r="X125" s="6" t="n">
        <v>250</v>
      </c>
      <c r="Y125">
        <f>IFERROR(W125-X125,"")</f>
        <v/>
      </c>
      <c r="Z125">
        <f>IFERROR(ABS(Y125)/MAX(X125,1),"")</f>
        <v/>
      </c>
      <c r="AA125">
        <f>IFERROR(ROUND(((3*X125-(((E125/20000)+(F125/60)+(S125/60))*100/4+((E125/20000)*(F125/60))*100/2)*H125)/(100/4+((S125/60))*100/2+((E125/20000)*(F125/60)*(S125/60))*100)*H125*5000)/J125,-1),"")</f>
        <v/>
      </c>
    </row>
    <row r="126">
      <c r="B126" s="7" t="inlineStr">
        <is>
          <t xml:space="preserve">  ↳ forgotten_mutantsoldier_rifle</t>
        </is>
      </c>
      <c r="C126" s="7" t="inlineStr">
        <is>
          <t>Armament@PRIMARY</t>
        </is>
      </c>
      <c r="L126" s="6" t="n">
        <v>8000</v>
      </c>
      <c r="M126" s="6" t="n">
        <v>50</v>
      </c>
      <c r="N126" s="6" t="n">
        <v>1</v>
      </c>
      <c r="O126" s="6" t="n"/>
      <c r="P126" s="6" t="n">
        <v>5000</v>
      </c>
      <c r="Q126" s="6" t="n">
        <v>0.75</v>
      </c>
      <c r="R126">
        <f>M126+IF(N126&gt;1,N(O126)*(N126-1),0)</f>
        <v/>
      </c>
      <c r="S126">
        <f>IFERROR(L126*MAX(N126,1)/R126*Q126*IF(ISBLANK(K125),1,K125),0)</f>
        <v/>
      </c>
      <c r="AB126" s="7" t="inlineStr">
        <is>
          <t>^SmallArms</t>
        </is>
      </c>
    </row>
    <row r="127">
      <c r="B127" s="7" t="inlineStr">
        <is>
          <t xml:space="preserve">  ↳ forgotten_mutantsoldier_rifle</t>
        </is>
      </c>
      <c r="C127" s="7" t="inlineStr">
        <is>
          <t>Armament@GARRISONED</t>
        </is>
      </c>
      <c r="L127" s="6" t="n">
        <v>8000</v>
      </c>
      <c r="M127" s="6" t="n">
        <v>50</v>
      </c>
      <c r="N127" s="6" t="n">
        <v>1</v>
      </c>
      <c r="O127" s="6" t="n"/>
      <c r="P127" s="6" t="n">
        <v>5000</v>
      </c>
      <c r="Q127" s="6" t="n">
        <v>0.75</v>
      </c>
      <c r="R127">
        <f>M127+IF(N127&gt;1,N(O127)*(N127-1),0)</f>
        <v/>
      </c>
      <c r="S127">
        <f>IFERROR(L127*MAX(N127,1)/R127*Q127*IF(ISBLANK(K125),1,K125),0)</f>
        <v/>
      </c>
      <c r="AB127" s="7" t="inlineStr">
        <is>
          <t>^SmallArms</t>
        </is>
      </c>
    </row>
    <row r="128">
      <c r="A128" t="inlineStr">
        <is>
          <t>shared</t>
        </is>
      </c>
      <c r="B128" t="inlineStr">
        <is>
          <t>ra2e2.black</t>
        </is>
      </c>
      <c r="C128" t="inlineStr">
        <is>
          <t>Black Operation Soldier</t>
        </is>
      </c>
      <c r="D128" s="6" t="inlineStr">
        <is>
          <t>ScoutInfantry</t>
        </is>
      </c>
      <c r="E128" s="6" t="n">
        <v>25000</v>
      </c>
      <c r="F128" s="6" t="n">
        <v>57</v>
      </c>
      <c r="G128" t="inlineStr">
        <is>
          <t>None</t>
        </is>
      </c>
      <c r="H128" s="6" t="n">
        <v>1</v>
      </c>
      <c r="I128" s="6" t="n">
        <v>1</v>
      </c>
      <c r="J128" s="6" t="n">
        <v>1</v>
      </c>
      <c r="K128" s="6" t="n"/>
      <c r="P128">
        <f>MAX(P129,P130)</f>
        <v/>
      </c>
      <c r="S128">
        <f>S129+S130</f>
        <v/>
      </c>
      <c r="T128">
        <f>(E128/100000+F128/100+(P128/1000)*J128/5+S128/200)*200*I128*H128</f>
        <v/>
      </c>
      <c r="U128">
        <f>((E128*F128/25000)+((P128/1000)*J128*S128/2.5))*I128*H128</f>
        <v/>
      </c>
      <c r="V128">
        <f>(E128*F128*(P128/1000)*J128*S128*I128*H128)/12500000</f>
        <v/>
      </c>
      <c r="W128">
        <f>(((E128/20000)+(F128/60)+(S128/60)+((P128/5000)*J128))*100/4+(((E128/20000)*(F128/60))+(((P128/5000)*J128)*(S128/60)))*100/2+((E128/20000)*(F128/60)*((P128/5000)*J128)*(S128/60))*100)*H128/3</f>
        <v/>
      </c>
      <c r="X128" s="6" t="n">
        <v>150</v>
      </c>
      <c r="Y128">
        <f>IFERROR(W128-X128,"")</f>
        <v/>
      </c>
      <c r="Z128">
        <f>IFERROR(ABS(Y128)/MAX(X128,1),"")</f>
        <v/>
      </c>
      <c r="AA128">
        <f>IFERROR(ROUND(((3*X128-(((E128/20000)+(F128/60)+(S128/60))*100/4+((E128/20000)*(F128/60))*100/2)*H128)/(100/4+((S128/60))*100/2+((E128/20000)*(F128/60)*(S128/60))*100)*H128*5000)/J128,-1),"")</f>
        <v/>
      </c>
    </row>
    <row r="129">
      <c r="B129" s="7" t="inlineStr">
        <is>
          <t xml:space="preserve">  ↳ ra2_soviets_conscript_carbine</t>
        </is>
      </c>
      <c r="C129" s="7" t="inlineStr">
        <is>
          <t>Armament@PRIMARY</t>
        </is>
      </c>
      <c r="L129" s="6" t="n">
        <v>2000</v>
      </c>
      <c r="M129" s="6" t="n">
        <v>18</v>
      </c>
      <c r="N129" s="6" t="n">
        <v>1</v>
      </c>
      <c r="O129" s="6" t="n"/>
      <c r="P129" s="6" t="n">
        <v>4500</v>
      </c>
      <c r="Q129" s="6" t="n">
        <v>0.75</v>
      </c>
      <c r="R129">
        <f>M129+IF(N129&gt;1,N(O129)*(N129-1),0)</f>
        <v/>
      </c>
      <c r="S129">
        <f>IFERROR(L129*MAX(N129,1)/R129*Q129*IF(ISBLANK(K128),1,K128),0)</f>
        <v/>
      </c>
      <c r="AB129" s="7" t="inlineStr">
        <is>
          <t>^RA2SmallArms</t>
        </is>
      </c>
    </row>
    <row r="130">
      <c r="B130" s="7" t="inlineStr">
        <is>
          <t xml:space="preserve">  ↳ ra2_soviets_conscript_carbine_elite</t>
        </is>
      </c>
      <c r="C130" s="7" t="inlineStr">
        <is>
          <t>Armament@ELITE</t>
        </is>
      </c>
      <c r="L130" s="6" t="n">
        <v>2000</v>
      </c>
      <c r="M130" s="6" t="n">
        <v>18</v>
      </c>
      <c r="N130" s="6" t="n">
        <v>2</v>
      </c>
      <c r="O130" s="6" t="n">
        <v>3</v>
      </c>
      <c r="P130" s="6" t="n">
        <v>5500</v>
      </c>
      <c r="Q130" s="6" t="n">
        <v>0.75</v>
      </c>
      <c r="R130">
        <f>M130+IF(N130&gt;1,N(O130)*(N130-1),0)</f>
        <v/>
      </c>
      <c r="S130">
        <f>IFERROR(L130*MAX(N130,1)/R130*Q130*IF(ISBLANK(K128),1,K128),0)</f>
        <v/>
      </c>
      <c r="AB130" s="7" t="inlineStr">
        <is>
          <t>^RA2SmallArms</t>
        </is>
      </c>
    </row>
    <row r="131">
      <c r="B131" s="7" t="inlineStr">
        <is>
          <t xml:space="preserve">  ↳ RA2vulcan3</t>
        </is>
      </c>
      <c r="C131" s="7" t="inlineStr">
        <is>
          <t>Armament@GARRISONED</t>
        </is>
      </c>
      <c r="L131" s="6" t="n">
        <v>2000</v>
      </c>
      <c r="M131" s="6" t="n">
        <v>50</v>
      </c>
      <c r="N131" s="6" t="n">
        <v>3</v>
      </c>
      <c r="O131" s="6" t="n">
        <v>2</v>
      </c>
      <c r="P131" s="6" t="n">
        <v>5724</v>
      </c>
      <c r="Q131" s="6" t="n">
        <v>0.875</v>
      </c>
      <c r="R131">
        <f>M131+IF(N131&gt;1,N(O131)*(N131-1),0)</f>
        <v/>
      </c>
      <c r="S131">
        <f>IFERROR(L131*MAX(N131,1)/R131*Q131*IF(ISBLANK(K128),1,K128),0)</f>
        <v/>
      </c>
      <c r="AB131" s="7" t="inlineStr">
        <is>
          <t>^RA2SmallArms, ^RA2Chaingun</t>
        </is>
      </c>
    </row>
    <row r="132">
      <c r="A132" t="inlineStr">
        <is>
          <t>redalert2</t>
        </is>
      </c>
      <c r="B132" t="inlineStr">
        <is>
          <t>ra2_allies_gi</t>
        </is>
      </c>
      <c r="C132" t="inlineStr">
        <is>
          <t>G.I.</t>
        </is>
      </c>
      <c r="D132" s="6" t="inlineStr">
        <is>
          <t>ScoutInfantry</t>
        </is>
      </c>
      <c r="E132" s="6" t="n">
        <v>50000</v>
      </c>
      <c r="F132" s="6" t="n">
        <v>50</v>
      </c>
      <c r="G132" t="inlineStr">
        <is>
          <t>None</t>
        </is>
      </c>
      <c r="H132" s="6" t="n">
        <v>1</v>
      </c>
      <c r="I132" s="6" t="n">
        <v>1</v>
      </c>
      <c r="J132" s="6" t="n">
        <v>1.25</v>
      </c>
      <c r="K132" s="6" t="n">
        <v>0.33</v>
      </c>
      <c r="P132">
        <f>MAX(P133,P134,P135)</f>
        <v/>
      </c>
      <c r="S132">
        <f>S133+S134+S135</f>
        <v/>
      </c>
      <c r="T132">
        <f>(E132/100000+F132/100+(P132/1000)*J132/5+S132/200)*200*I132*H132</f>
        <v/>
      </c>
      <c r="U132">
        <f>((E132*F132/25000)+((P132/1000)*J132*S132/2.5))*I132*H132</f>
        <v/>
      </c>
      <c r="V132">
        <f>(E132*F132*(P132/1000)*J132*S132*I132*H132)/12500000</f>
        <v/>
      </c>
      <c r="W132">
        <f>(((E132/20000)+(F132/60)+(S132/60)+((P132/5000)*J132))*100/4+(((E132/20000)*(F132/60))+(((P132/5000)*J132)*(S132/60)))*100/2+((E132/20000)*(F132/60)*((P132/5000)*J132)*(S132/60))*100)*H132/3</f>
        <v/>
      </c>
      <c r="X132" s="6" t="n">
        <v>200</v>
      </c>
      <c r="Y132">
        <f>IFERROR(W132-X132,"")</f>
        <v/>
      </c>
      <c r="Z132">
        <f>IFERROR(ABS(Y132)/MAX(X132,1),"")</f>
        <v/>
      </c>
      <c r="AA132">
        <f>IFERROR(ROUND(((3*X132-(((E132/20000)+(F132/60)+(S132/60))*100/4+((E132/20000)*(F132/60))*100/2)*H132)/(100/4+((S132/60))*100/2+((E132/20000)*(F132/60)*(S132/60))*100)*H132*5000)/J132,-1),"")</f>
        <v/>
      </c>
    </row>
    <row r="133">
      <c r="B133" s="7" t="inlineStr">
        <is>
          <t xml:space="preserve">  ↳ ra2_allies_gi_mg</t>
        </is>
      </c>
      <c r="C133" s="7" t="inlineStr">
        <is>
          <t>Armament@PRIMARY</t>
        </is>
      </c>
      <c r="L133" s="6" t="n">
        <v>2000</v>
      </c>
      <c r="M133" s="6" t="n">
        <v>15</v>
      </c>
      <c r="N133" s="6" t="n">
        <v>3</v>
      </c>
      <c r="O133" s="6" t="n">
        <v>2</v>
      </c>
      <c r="P133" s="6" t="n">
        <v>4500</v>
      </c>
      <c r="Q133" s="6" t="n">
        <v>0.75</v>
      </c>
      <c r="R133">
        <f>M133+IF(N133&gt;1,N(O133)*(N133-1),0)</f>
        <v/>
      </c>
      <c r="S133">
        <f>IFERROR(L133*MAX(N133,1)/R133*Q133*IF(ISBLANK(K132),1,K132),0)</f>
        <v/>
      </c>
      <c r="AB133" s="7" t="inlineStr">
        <is>
          <t>^RA2SmallArms</t>
        </is>
      </c>
    </row>
    <row r="134">
      <c r="B134" s="7" t="inlineStr">
        <is>
          <t xml:space="preserve">  ↳ ra2_allies_gi_para</t>
        </is>
      </c>
      <c r="C134" s="7" t="inlineStr">
        <is>
          <t>Armament@PRIMARY2</t>
        </is>
      </c>
      <c r="L134" s="6" t="n">
        <v>2000</v>
      </c>
      <c r="M134" s="6" t="n">
        <v>19</v>
      </c>
      <c r="N134" s="6" t="n">
        <v>3</v>
      </c>
      <c r="O134" s="6" t="n">
        <v>3</v>
      </c>
      <c r="P134" s="6" t="n">
        <v>5500</v>
      </c>
      <c r="Q134" s="6" t="n">
        <v>1</v>
      </c>
      <c r="R134">
        <f>M134+IF(N134&gt;1,N(O134)*(N134-1),0)</f>
        <v/>
      </c>
      <c r="S134">
        <f>IFERROR(L134*MAX(N134,1)/R134*Q134*IF(ISBLANK(K132),1,K132),0)</f>
        <v/>
      </c>
      <c r="AB134" s="7" t="inlineStr">
        <is>
          <t>^RA2Chaingun</t>
        </is>
      </c>
    </row>
    <row r="135">
      <c r="B135" s="7" t="inlineStr">
        <is>
          <t xml:space="preserve">  ↳ ra2_allies_gi_para</t>
        </is>
      </c>
      <c r="C135" s="7" t="inlineStr">
        <is>
          <t>Armament@DEPLOYED</t>
        </is>
      </c>
      <c r="L135" s="6" t="n">
        <v>2000</v>
      </c>
      <c r="M135" s="6" t="n">
        <v>19</v>
      </c>
      <c r="N135" s="6" t="n">
        <v>3</v>
      </c>
      <c r="O135" s="6" t="n">
        <v>3</v>
      </c>
      <c r="P135" s="6" t="n">
        <v>5500</v>
      </c>
      <c r="Q135" s="6" t="n">
        <v>1</v>
      </c>
      <c r="R135">
        <f>M135+IF(N135&gt;1,N(O135)*(N135-1),0)</f>
        <v/>
      </c>
      <c r="S135">
        <f>IFERROR(L135*MAX(N135,1)/R135*Q135*IF(ISBLANK(K132),1,K132),0)</f>
        <v/>
      </c>
      <c r="AB135" s="7" t="inlineStr">
        <is>
          <t>^RA2Chaingun</t>
        </is>
      </c>
    </row>
    <row r="136">
      <c r="B136" s="7" t="inlineStr">
        <is>
          <t xml:space="preserve">  ↳ RA2vulcan2</t>
        </is>
      </c>
      <c r="C136" s="7" t="inlineStr">
        <is>
          <t>Armament@GARRISONED</t>
        </is>
      </c>
      <c r="L136" s="6" t="n">
        <v>2000</v>
      </c>
      <c r="M136" s="6" t="n">
        <v>25</v>
      </c>
      <c r="N136" s="6" t="n">
        <v>3</v>
      </c>
      <c r="O136" s="6" t="n">
        <v>2</v>
      </c>
      <c r="P136" s="6" t="n">
        <v>5724</v>
      </c>
      <c r="Q136" s="6" t="n">
        <v>0.875</v>
      </c>
      <c r="R136">
        <f>M136+IF(N136&gt;1,N(O136)*(N136-1),0)</f>
        <v/>
      </c>
      <c r="S136">
        <f>IFERROR(L136*MAX(N136,1)/R136*Q136*IF(ISBLANK(K132),1,K132),0)</f>
        <v/>
      </c>
      <c r="AB136" s="7" t="inlineStr">
        <is>
          <t>^RA2SmallArms, ^RA2Chaingun</t>
        </is>
      </c>
    </row>
    <row r="137">
      <c r="A137" t="inlineStr">
        <is>
          <t>redalert2</t>
        </is>
      </c>
      <c r="B137" t="inlineStr">
        <is>
          <t>ra2_allies_ra2spy</t>
        </is>
      </c>
      <c r="C137" t="inlineStr">
        <is>
          <t>Spy</t>
        </is>
      </c>
      <c r="D137" s="6" t="inlineStr">
        <is>
          <t>ScoutInfantry</t>
        </is>
      </c>
      <c r="E137" s="6" t="n">
        <v>5000</v>
      </c>
      <c r="F137" s="6" t="n">
        <v>60</v>
      </c>
      <c r="G137" t="inlineStr">
        <is>
          <t>None</t>
        </is>
      </c>
      <c r="H137" s="6" t="n">
        <v>1</v>
      </c>
      <c r="I137" s="6" t="n">
        <v>1</v>
      </c>
      <c r="J137" s="6" t="n">
        <v>1</v>
      </c>
      <c r="K137" s="6" t="n"/>
      <c r="X137" s="6" t="n">
        <v>500</v>
      </c>
    </row>
    <row r="138">
      <c r="A138" t="inlineStr">
        <is>
          <t>redalert2</t>
        </is>
      </c>
      <c r="B138" t="inlineStr">
        <is>
          <t>ra2_soviets_conscript</t>
        </is>
      </c>
      <c r="C138" t="inlineStr">
        <is>
          <t>Conscript</t>
        </is>
      </c>
      <c r="D138" s="6" t="inlineStr">
        <is>
          <t>ScoutInfantry</t>
        </is>
      </c>
      <c r="E138" s="6" t="n">
        <v>26000</v>
      </c>
      <c r="F138" s="6" t="n">
        <v>57</v>
      </c>
      <c r="G138" t="inlineStr">
        <is>
          <t>None</t>
        </is>
      </c>
      <c r="H138" s="6" t="n">
        <v>1</v>
      </c>
      <c r="I138" s="6" t="n">
        <v>1</v>
      </c>
      <c r="J138" s="6" t="n">
        <v>1</v>
      </c>
      <c r="K138" s="6" t="n">
        <v>0.63</v>
      </c>
      <c r="P138">
        <f>MAX(P139,P140)</f>
        <v/>
      </c>
      <c r="S138">
        <f>S139+S140</f>
        <v/>
      </c>
      <c r="T138">
        <f>(E138/100000+F138/100+(P138/1000)*J138/5+S138/200)*200*I138*H138</f>
        <v/>
      </c>
      <c r="U138">
        <f>((E138*F138/25000)+((P138/1000)*J138*S138/2.5))*I138*H138</f>
        <v/>
      </c>
      <c r="V138">
        <f>(E138*F138*(P138/1000)*J138*S138*I138*H138)/12500000</f>
        <v/>
      </c>
      <c r="W138">
        <f>(((E138/20000)+(F138/60)+(S138/60)+((P138/5000)*J138))*100/4+(((E138/20000)*(F138/60))+(((P138/5000)*J138)*(S138/60)))*100/2+((E138/20000)*(F138/60)*((P138/5000)*J138)*(S138/60))*100)*H138/3</f>
        <v/>
      </c>
      <c r="X138" s="6" t="n">
        <v>100</v>
      </c>
      <c r="Y138">
        <f>IFERROR(W138-X138,"")</f>
        <v/>
      </c>
      <c r="Z138">
        <f>IFERROR(ABS(Y138)/MAX(X138,1),"")</f>
        <v/>
      </c>
      <c r="AA138">
        <f>IFERROR(ROUND(((3*X138-(((E138/20000)+(F138/60)+(S138/60))*100/4+((E138/20000)*(F138/60))*100/2)*H138)/(100/4+((S138/60))*100/2+((E138/20000)*(F138/60)*(S138/60))*100)*H138*5000)/J138,-1),"")</f>
        <v/>
      </c>
    </row>
    <row r="139">
      <c r="B139" s="7" t="inlineStr">
        <is>
          <t xml:space="preserve">  ↳ ra2_soviets_conscript_carbine</t>
        </is>
      </c>
      <c r="C139" s="7" t="inlineStr">
        <is>
          <t>Armament@PRIMARY</t>
        </is>
      </c>
      <c r="L139" s="6" t="n">
        <v>2000</v>
      </c>
      <c r="M139" s="6" t="n">
        <v>18</v>
      </c>
      <c r="N139" s="6" t="n">
        <v>1</v>
      </c>
      <c r="O139" s="6" t="n"/>
      <c r="P139" s="6" t="n">
        <v>4500</v>
      </c>
      <c r="Q139" s="6" t="n">
        <v>0.75</v>
      </c>
      <c r="R139">
        <f>M139+IF(N139&gt;1,N(O139)*(N139-1),0)</f>
        <v/>
      </c>
      <c r="S139">
        <f>IFERROR(L139*MAX(N139,1)/R139*Q139*IF(ISBLANK(K138),1,K138),0)</f>
        <v/>
      </c>
      <c r="AB139" s="7" t="inlineStr">
        <is>
          <t>^RA2SmallArms</t>
        </is>
      </c>
    </row>
    <row r="140">
      <c r="B140" s="7" t="inlineStr">
        <is>
          <t xml:space="preserve">  ↳ ra2_soviets_conscript_carbine_elite</t>
        </is>
      </c>
      <c r="C140" s="7" t="inlineStr">
        <is>
          <t>Armament@ELITE</t>
        </is>
      </c>
      <c r="L140" s="6" t="n">
        <v>2000</v>
      </c>
      <c r="M140" s="6" t="n">
        <v>18</v>
      </c>
      <c r="N140" s="6" t="n">
        <v>2</v>
      </c>
      <c r="O140" s="6" t="n">
        <v>3</v>
      </c>
      <c r="P140" s="6" t="n">
        <v>5500</v>
      </c>
      <c r="Q140" s="6" t="n">
        <v>0.75</v>
      </c>
      <c r="R140">
        <f>M140+IF(N140&gt;1,N(O140)*(N140-1),0)</f>
        <v/>
      </c>
      <c r="S140">
        <f>IFERROR(L140*MAX(N140,1)/R140*Q140*IF(ISBLANK(K138),1,K138),0)</f>
        <v/>
      </c>
      <c r="AB140" s="7" t="inlineStr">
        <is>
          <t>^RA2SmallArms</t>
        </is>
      </c>
    </row>
    <row r="141">
      <c r="B141" s="7" t="inlineStr">
        <is>
          <t xml:space="preserve">  ↳ RA2vulcan3</t>
        </is>
      </c>
      <c r="C141" s="7" t="inlineStr">
        <is>
          <t>Armament@GARRISONED</t>
        </is>
      </c>
      <c r="L141" s="6" t="n">
        <v>2000</v>
      </c>
      <c r="M141" s="6" t="n">
        <v>50</v>
      </c>
      <c r="N141" s="6" t="n">
        <v>3</v>
      </c>
      <c r="O141" s="6" t="n">
        <v>2</v>
      </c>
      <c r="P141" s="6" t="n">
        <v>5724</v>
      </c>
      <c r="Q141" s="6" t="n">
        <v>0.875</v>
      </c>
      <c r="R141">
        <f>M141+IF(N141&gt;1,N(O141)*(N141-1),0)</f>
        <v/>
      </c>
      <c r="S141">
        <f>IFERROR(L141*MAX(N141,1)/R141*Q141*IF(ISBLANK(K138),1,K138),0)</f>
        <v/>
      </c>
      <c r="AB141" s="7" t="inlineStr">
        <is>
          <t>^RA2SmallArms, ^RA2Chaingun</t>
        </is>
      </c>
    </row>
    <row r="142">
      <c r="A142" t="inlineStr">
        <is>
          <t>redalert2</t>
        </is>
      </c>
      <c r="B142" t="inlineStr">
        <is>
          <t>yuri_clone</t>
        </is>
      </c>
      <c r="C142" t="inlineStr">
        <is>
          <t>Yuri Clone</t>
        </is>
      </c>
      <c r="D142" s="6" t="inlineStr">
        <is>
          <t>ScoutInfantry</t>
        </is>
      </c>
      <c r="E142" s="6" t="n">
        <v>5000</v>
      </c>
      <c r="F142" s="6" t="n">
        <v>50</v>
      </c>
      <c r="G142" t="inlineStr">
        <is>
          <t>None</t>
        </is>
      </c>
      <c r="H142" s="6" t="n">
        <v>1</v>
      </c>
      <c r="I142" s="6" t="n">
        <v>1</v>
      </c>
      <c r="J142" s="6" t="n">
        <v>1</v>
      </c>
      <c r="K142" s="6" t="n"/>
      <c r="P142">
        <f>MAX(P143)</f>
        <v/>
      </c>
      <c r="S142">
        <f>S143</f>
        <v/>
      </c>
      <c r="T142">
        <f>(E142/100000+F142/100+(P142/1000)*J142/5+S142/200)*200*I142*H142</f>
        <v/>
      </c>
      <c r="U142">
        <f>((E142*F142/25000)+((P142/1000)*J142*S142/2.5))*I142*H142</f>
        <v/>
      </c>
      <c r="V142">
        <f>(E142*F142*(P142/1000)*J142*S142*I142*H142)/12500000</f>
        <v/>
      </c>
      <c r="W142">
        <f>(((E142/20000)+(F142/60)+(S142/60)+((P142/5000)*J142))*100/4+(((E142/20000)*(F142/60))+(((P142/5000)*J142)*(S142/60)))*100/2+((E142/20000)*(F142/60)*((P142/5000)*J142)*(S142/60))*100)*H142/3</f>
        <v/>
      </c>
      <c r="X142" s="6" t="n">
        <v>500</v>
      </c>
      <c r="Y142">
        <f>IFERROR(W142-X142,"")</f>
        <v/>
      </c>
      <c r="Z142">
        <f>IFERROR(ABS(Y142)/MAX(X142,1),"")</f>
        <v/>
      </c>
      <c r="AA142">
        <f>IFERROR(ROUND(((3*X142-(((E142/20000)+(F142/60)+(S142/60))*100/4+((E142/20000)*(F142/60))*100/2)*H142)/(100/4+((S142/60))*100/2+((E142/20000)*(F142/60)*(S142/60))*100)*H142*5000)/J142,-1),"")</f>
        <v/>
      </c>
    </row>
    <row r="143">
      <c r="B143" s="7" t="inlineStr">
        <is>
          <t xml:space="preserve">  ↳ RA2MindControl</t>
        </is>
      </c>
      <c r="C143" s="7" t="inlineStr">
        <is>
          <t>Armament@CONTROL</t>
        </is>
      </c>
      <c r="L143" s="6" t="n">
        <v>0</v>
      </c>
      <c r="M143" s="6" t="n">
        <v>75</v>
      </c>
      <c r="N143" s="6" t="n">
        <v>1</v>
      </c>
      <c r="O143" s="6" t="n"/>
      <c r="P143" s="6" t="n">
        <v>7000</v>
      </c>
      <c r="Q143" s="6" t="n">
        <v>1</v>
      </c>
      <c r="R143">
        <f>M143+IF(N143&gt;1,N(O143)*(N143-1),0)</f>
        <v/>
      </c>
      <c r="S143">
        <f>IFERROR(L143*MAX(N143,1)/R143*Q143*IF(ISBLANK(K142),1,K142),0)</f>
        <v/>
      </c>
      <c r="AB143" s="7" t="inlineStr"/>
    </row>
    <row r="144">
      <c r="A144" t="inlineStr">
        <is>
          <t>redalert2mod</t>
        </is>
      </c>
      <c r="B144" t="inlineStr">
        <is>
          <t>asianalliance_asianmilitia</t>
        </is>
      </c>
      <c r="C144" t="inlineStr">
        <is>
          <t>Asian Militia</t>
        </is>
      </c>
      <c r="D144" s="6" t="inlineStr">
        <is>
          <t>ScoutInfantry</t>
        </is>
      </c>
      <c r="E144" s="6" t="n">
        <v>24000</v>
      </c>
      <c r="F144" s="6" t="n">
        <v>52</v>
      </c>
      <c r="G144" t="inlineStr">
        <is>
          <t>None</t>
        </is>
      </c>
      <c r="H144" s="6" t="n">
        <v>1</v>
      </c>
      <c r="I144" s="6" t="n">
        <v>1</v>
      </c>
      <c r="J144" s="6" t="n">
        <v>1</v>
      </c>
      <c r="K144" s="6" t="n">
        <v>0.7</v>
      </c>
      <c r="P144">
        <f>MAX(P145,P146,P147,P148)</f>
        <v/>
      </c>
      <c r="S144">
        <f>S145+S146+S147+S148</f>
        <v/>
      </c>
      <c r="T144">
        <f>(E144/100000+F144/100+(P144/1000)*J144/5+S144/200)*200*I144*H144</f>
        <v/>
      </c>
      <c r="U144">
        <f>((E144*F144/25000)+((P144/1000)*J144*S144/2.5))*I144*H144</f>
        <v/>
      </c>
      <c r="V144">
        <f>(E144*F144*(P144/1000)*J144*S144*I144*H144)/12500000</f>
        <v/>
      </c>
      <c r="W144">
        <f>(((E144/20000)+(F144/60)+(S144/60)+((P144/5000)*J144))*100/4+(((E144/20000)*(F144/60))+(((P144/5000)*J144)*(S144/60)))*100/2+((E144/20000)*(F144/60)*((P144/5000)*J144)*(S144/60))*100)*H144/3</f>
        <v/>
      </c>
      <c r="X144" s="6" t="n">
        <v>100</v>
      </c>
      <c r="Y144">
        <f>IFERROR(W144-X144,"")</f>
        <v/>
      </c>
      <c r="Z144">
        <f>IFERROR(ABS(Y144)/MAX(X144,1),"")</f>
        <v/>
      </c>
      <c r="AA144">
        <f>IFERROR(ROUND(((3*X144-(((E144/20000)+(F144/60)+(S144/60))*100/4+((E144/20000)*(F144/60))*100/2)*H144)/(100/4+((S144/60))*100/2+((E144/20000)*(F144/60)*(S144/60))*100)*H144*5000)/J144,-1),"")</f>
        <v/>
      </c>
    </row>
    <row r="145">
      <c r="B145" s="7" t="inlineStr">
        <is>
          <t xml:space="preserve">  ↳ asianalliance_asianmilitia_shotgun</t>
        </is>
      </c>
      <c r="C145" s="7" t="inlineStr">
        <is>
          <t>Armament@PRIMARY</t>
        </is>
      </c>
      <c r="L145" s="6" t="n">
        <v>6000</v>
      </c>
      <c r="M145" s="6" t="n">
        <v>50</v>
      </c>
      <c r="N145" s="6" t="n">
        <v>1</v>
      </c>
      <c r="O145" s="6" t="n"/>
      <c r="P145" s="6" t="n">
        <v>4500</v>
      </c>
      <c r="Q145" s="6" t="n">
        <v>0.75</v>
      </c>
      <c r="R145">
        <f>M145+IF(N145&gt;1,N(O145)*(N145-1),0)</f>
        <v/>
      </c>
      <c r="S145">
        <f>IFERROR(L145*MAX(N145,1)/R145*Q145*IF(ISBLANK(K144),1,K144),0)</f>
        <v/>
      </c>
      <c r="AB145" s="7" t="inlineStr">
        <is>
          <t>^RA2SmallArms</t>
        </is>
      </c>
    </row>
    <row r="146">
      <c r="B146" s="7" t="inlineStr">
        <is>
          <t xml:space="preserve">  ↳ asianalliance_asianmilitia_shotgun_elite</t>
        </is>
      </c>
      <c r="C146" s="7" t="inlineStr">
        <is>
          <t>Armament@ELITE</t>
        </is>
      </c>
      <c r="L146" s="6" t="n">
        <v>6000</v>
      </c>
      <c r="M146" s="6" t="n">
        <v>50</v>
      </c>
      <c r="N146" s="6" t="n">
        <v>2</v>
      </c>
      <c r="O146" s="6" t="n">
        <v>3</v>
      </c>
      <c r="P146" s="6" t="n">
        <v>5500</v>
      </c>
      <c r="Q146" s="6" t="n">
        <v>0.75</v>
      </c>
      <c r="R146">
        <f>M146+IF(N146&gt;1,N(O146)*(N146-1),0)</f>
        <v/>
      </c>
      <c r="S146">
        <f>IFERROR(L146*MAX(N146,1)/R146*Q146*IF(ISBLANK(K144),1,K144),0)</f>
        <v/>
      </c>
      <c r="AB146" s="7" t="inlineStr">
        <is>
          <t>^RA2SmallArms</t>
        </is>
      </c>
    </row>
    <row r="147">
      <c r="B147" s="7" t="inlineStr">
        <is>
          <t xml:space="preserve">  ↳ asianalliance_asianmilitia_grenade</t>
        </is>
      </c>
      <c r="C147" s="7" t="inlineStr">
        <is>
          <t>Armament@GRENADE</t>
        </is>
      </c>
      <c r="L147" s="6" t="n">
        <v>4000</v>
      </c>
      <c r="M147" s="6" t="n">
        <v>92</v>
      </c>
      <c r="N147" s="6" t="n">
        <v>1</v>
      </c>
      <c r="O147" s="6" t="n"/>
      <c r="P147" s="6" t="n">
        <v>4500</v>
      </c>
      <c r="Q147" s="6" t="n">
        <v>1</v>
      </c>
      <c r="R147">
        <f>M147+IF(N147&gt;1,N(O147)*(N147-1),0)</f>
        <v/>
      </c>
      <c r="S147">
        <f>IFERROR(L147*MAX(N147,1)/R147*Q147*IF(ISBLANK(K144),1,K144),0)</f>
        <v/>
      </c>
      <c r="AB147" s="7" t="inlineStr">
        <is>
          <t>^ShrapnelWeapon, ^RA2MediumCannon</t>
        </is>
      </c>
    </row>
    <row r="148">
      <c r="B148" s="7" t="inlineStr">
        <is>
          <t xml:space="preserve">  ↳ asianalliance_asianmilitia_grenade_elite</t>
        </is>
      </c>
      <c r="C148" s="7" t="inlineStr">
        <is>
          <t>Armament@GRENADEELITE</t>
        </is>
      </c>
      <c r="L148" s="6" t="n">
        <v>4000</v>
      </c>
      <c r="M148" s="6" t="n">
        <v>92</v>
      </c>
      <c r="N148" s="6" t="n">
        <v>2</v>
      </c>
      <c r="O148" s="6" t="n">
        <v>3</v>
      </c>
      <c r="P148" s="6" t="n">
        <v>5500</v>
      </c>
      <c r="Q148" s="6" t="n">
        <v>1</v>
      </c>
      <c r="R148">
        <f>M148+IF(N148&gt;1,N(O148)*(N148-1),0)</f>
        <v/>
      </c>
      <c r="S148">
        <f>IFERROR(L148*MAX(N148,1)/R148*Q148*IF(ISBLANK(K144),1,K144),0)</f>
        <v/>
      </c>
      <c r="AB148" s="7" t="inlineStr">
        <is>
          <t>^ShrapnelWeapon, ^RA2MediumCannon</t>
        </is>
      </c>
    </row>
    <row r="149">
      <c r="B149" s="7" t="inlineStr">
        <is>
          <t xml:space="preserve">  ↳ asianalliance_asianmilitia_shotgun</t>
        </is>
      </c>
      <c r="C149" s="7" t="inlineStr">
        <is>
          <t>Armament@GARRISONED</t>
        </is>
      </c>
      <c r="L149" s="6" t="n">
        <v>6000</v>
      </c>
      <c r="M149" s="6" t="n">
        <v>50</v>
      </c>
      <c r="N149" s="6" t="n">
        <v>1</v>
      </c>
      <c r="O149" s="6" t="n"/>
      <c r="P149" s="6" t="n">
        <v>4500</v>
      </c>
      <c r="Q149" s="6" t="n">
        <v>0.75</v>
      </c>
      <c r="R149">
        <f>M149+IF(N149&gt;1,N(O149)*(N149-1),0)</f>
        <v/>
      </c>
      <c r="S149">
        <f>IFERROR(L149*MAX(N149,1)/R149*Q149*IF(ISBLANK(K144),1,K144),0)</f>
        <v/>
      </c>
      <c r="AB149" s="7" t="inlineStr">
        <is>
          <t>^RA2SmallArms</t>
        </is>
      </c>
    </row>
    <row r="150">
      <c r="B150" s="7" t="inlineStr">
        <is>
          <t xml:space="preserve">  ↳ asianalliance_asianmilitia_shotgun_elite</t>
        </is>
      </c>
      <c r="C150" s="7" t="inlineStr">
        <is>
          <t>Armament@GARRISONEDELITE</t>
        </is>
      </c>
      <c r="L150" s="6" t="n">
        <v>6000</v>
      </c>
      <c r="M150" s="6" t="n">
        <v>50</v>
      </c>
      <c r="N150" s="6" t="n">
        <v>2</v>
      </c>
      <c r="O150" s="6" t="n">
        <v>3</v>
      </c>
      <c r="P150" s="6" t="n">
        <v>5500</v>
      </c>
      <c r="Q150" s="6" t="n">
        <v>0.75</v>
      </c>
      <c r="R150">
        <f>M150+IF(N150&gt;1,N(O150)*(N150-1),0)</f>
        <v/>
      </c>
      <c r="S150">
        <f>IFERROR(L150*MAX(N150,1)/R150*Q150*IF(ISBLANK(K144),1,K144),0)</f>
        <v/>
      </c>
      <c r="AB150" s="7" t="inlineStr">
        <is>
          <t>^RA2SmallArms</t>
        </is>
      </c>
    </row>
    <row r="151">
      <c r="B151" s="7" t="inlineStr">
        <is>
          <t xml:space="preserve">  ↳ asianalliance_asianmilitia_grenade</t>
        </is>
      </c>
      <c r="C151" s="7" t="inlineStr">
        <is>
          <t>Armament@GRENADEG</t>
        </is>
      </c>
      <c r="L151" s="6" t="n">
        <v>4000</v>
      </c>
      <c r="M151" s="6" t="n">
        <v>92</v>
      </c>
      <c r="N151" s="6" t="n">
        <v>1</v>
      </c>
      <c r="O151" s="6" t="n"/>
      <c r="P151" s="6" t="n">
        <v>4500</v>
      </c>
      <c r="Q151" s="6" t="n">
        <v>1</v>
      </c>
      <c r="R151">
        <f>M151+IF(N151&gt;1,N(O151)*(N151-1),0)</f>
        <v/>
      </c>
      <c r="S151">
        <f>IFERROR(L151*MAX(N151,1)/R151*Q151*IF(ISBLANK(K144),1,K144),0)</f>
        <v/>
      </c>
      <c r="AB151" s="7" t="inlineStr">
        <is>
          <t>^ShrapnelWeapon, ^RA2MediumCannon</t>
        </is>
      </c>
    </row>
    <row r="152">
      <c r="B152" s="7" t="inlineStr">
        <is>
          <t xml:space="preserve">  ↳ asianalliance_asianmilitia_grenade_elite</t>
        </is>
      </c>
      <c r="C152" s="7" t="inlineStr">
        <is>
          <t>Armament@GRENADEGE</t>
        </is>
      </c>
      <c r="L152" s="6" t="n">
        <v>4000</v>
      </c>
      <c r="M152" s="6" t="n">
        <v>92</v>
      </c>
      <c r="N152" s="6" t="n">
        <v>2</v>
      </c>
      <c r="O152" s="6" t="n">
        <v>3</v>
      </c>
      <c r="P152" s="6" t="n">
        <v>5500</v>
      </c>
      <c r="Q152" s="6" t="n">
        <v>1</v>
      </c>
      <c r="R152">
        <f>M152+IF(N152&gt;1,N(O152)*(N152-1),0)</f>
        <v/>
      </c>
      <c r="S152">
        <f>IFERROR(L152*MAX(N152,1)/R152*Q152*IF(ISBLANK(K144),1,K144),0)</f>
        <v/>
      </c>
      <c r="AB152" s="7" t="inlineStr">
        <is>
          <t>^ShrapnelWeapon, ^RA2MediumCannon</t>
        </is>
      </c>
    </row>
    <row r="153">
      <c r="A153" t="inlineStr">
        <is>
          <t>redalert2mod</t>
        </is>
      </c>
      <c r="B153" t="inlineStr">
        <is>
          <t>latinsyndicate_latinmilitia</t>
        </is>
      </c>
      <c r="C153" t="inlineStr">
        <is>
          <t>Latin Militia</t>
        </is>
      </c>
      <c r="D153" s="6" t="inlineStr">
        <is>
          <t>ScoutInfantry</t>
        </is>
      </c>
      <c r="E153" s="6" t="n">
        <v>26000</v>
      </c>
      <c r="F153" s="6" t="n">
        <v>52</v>
      </c>
      <c r="G153" t="inlineStr">
        <is>
          <t>None</t>
        </is>
      </c>
      <c r="H153" s="6" t="n">
        <v>1</v>
      </c>
      <c r="I153" s="6" t="n">
        <v>1</v>
      </c>
      <c r="J153" s="6" t="n">
        <v>1</v>
      </c>
      <c r="K153" s="6" t="n">
        <v>0.6</v>
      </c>
      <c r="P153">
        <f>MAX(P154,P155,P156,P157)</f>
        <v/>
      </c>
      <c r="S153">
        <f>S154+S155+S156+S157</f>
        <v/>
      </c>
      <c r="T153">
        <f>(E153/100000+F153/100+(P153/1000)*J153/5+S153/200)*200*I153*H153</f>
        <v/>
      </c>
      <c r="U153">
        <f>((E153*F153/25000)+((P153/1000)*J153*S153/2.5))*I153*H153</f>
        <v/>
      </c>
      <c r="V153">
        <f>(E153*F153*(P153/1000)*J153*S153*I153*H153)/12500000</f>
        <v/>
      </c>
      <c r="W153">
        <f>(((E153/20000)+(F153/60)+(S153/60)+((P153/5000)*J153))*100/4+(((E153/20000)*(F153/60))+(((P153/5000)*J153)*(S153/60)))*100/2+((E153/20000)*(F153/60)*((P153/5000)*J153)*(S153/60))*100)*H153/3</f>
        <v/>
      </c>
      <c r="X153" s="6" t="n">
        <v>130</v>
      </c>
      <c r="Y153">
        <f>IFERROR(W153-X153,"")</f>
        <v/>
      </c>
      <c r="Z153">
        <f>IFERROR(ABS(Y153)/MAX(X153,1),"")</f>
        <v/>
      </c>
      <c r="AA153">
        <f>IFERROR(ROUND(((3*X153-(((E153/20000)+(F153/60)+(S153/60))*100/4+((E153/20000)*(F153/60))*100/2)*H153)/(100/4+((S153/60))*100/2+((E153/20000)*(F153/60)*(S153/60))*100)*H153*5000)/J153,-1),"")</f>
        <v/>
      </c>
    </row>
    <row r="154">
      <c r="B154" s="7" t="inlineStr">
        <is>
          <t xml:space="preserve">  ↳ latinsyndicate_latinmilitia_ak47</t>
        </is>
      </c>
      <c r="C154" s="7" t="inlineStr">
        <is>
          <t>Armament@PRIMARY</t>
        </is>
      </c>
      <c r="L154" s="6" t="n">
        <v>2000</v>
      </c>
      <c r="M154" s="6" t="n">
        <v>22</v>
      </c>
      <c r="N154" s="6" t="n">
        <v>3</v>
      </c>
      <c r="O154" s="6" t="n">
        <v>4</v>
      </c>
      <c r="P154" s="6" t="n">
        <v>4500</v>
      </c>
      <c r="Q154" s="6" t="n">
        <v>0.75</v>
      </c>
      <c r="R154">
        <f>M154+IF(N154&gt;1,N(O154)*(N154-1),0)</f>
        <v/>
      </c>
      <c r="S154">
        <f>IFERROR(L154*MAX(N154,1)/R154*Q154*IF(ISBLANK(K153),1,K153),0)</f>
        <v/>
      </c>
      <c r="AB154" s="7" t="inlineStr">
        <is>
          <t>^RA2SmallArms</t>
        </is>
      </c>
    </row>
    <row r="155">
      <c r="B155" s="7" t="inlineStr">
        <is>
          <t xml:space="preserve">  ↳ latinsyndicate_latinmilitia_ak47_elite</t>
        </is>
      </c>
      <c r="C155" s="7" t="inlineStr">
        <is>
          <t>Armament@ELITE</t>
        </is>
      </c>
      <c r="L155" s="6" t="n">
        <v>2000</v>
      </c>
      <c r="M155" s="6" t="n">
        <v>22</v>
      </c>
      <c r="N155" s="6" t="n">
        <v>6</v>
      </c>
      <c r="O155" s="6" t="n">
        <v>3</v>
      </c>
      <c r="P155" s="6" t="n">
        <v>5500</v>
      </c>
      <c r="Q155" s="6" t="n">
        <v>0.75</v>
      </c>
      <c r="R155">
        <f>M155+IF(N155&gt;1,N(O155)*(N155-1),0)</f>
        <v/>
      </c>
      <c r="S155">
        <f>IFERROR(L155*MAX(N155,1)/R155*Q155*IF(ISBLANK(K153),1,K153),0)</f>
        <v/>
      </c>
      <c r="AB155" s="7" t="inlineStr">
        <is>
          <t>^RA2SmallArms</t>
        </is>
      </c>
    </row>
    <row r="156">
      <c r="B156" s="7" t="inlineStr">
        <is>
          <t xml:space="preserve">  ↳ latinsyndicate_latinmilitia_molotov</t>
        </is>
      </c>
      <c r="C156" s="7" t="inlineStr">
        <is>
          <t>Armament@Molotov</t>
        </is>
      </c>
      <c r="L156" s="6" t="n">
        <v>2000</v>
      </c>
      <c r="M156" s="6" t="n">
        <v>93</v>
      </c>
      <c r="N156" s="6" t="n">
        <v>1</v>
      </c>
      <c r="O156" s="6" t="n"/>
      <c r="P156" s="6" t="n">
        <v>4500</v>
      </c>
      <c r="Q156" s="6" t="n">
        <v>0.9375</v>
      </c>
      <c r="R156">
        <f>M156+IF(N156&gt;1,N(O156)*(N156-1),0)</f>
        <v/>
      </c>
      <c r="S156">
        <f>IFERROR(L156*MAX(N156,1)/R156*Q156*IF(ISBLANK(K153),1,K153),0)</f>
        <v/>
      </c>
      <c r="AB156" s="7" t="inlineStr">
        <is>
          <t>^LightFlameWeapon, ^MediumChemicalWeapon, ^ShrapnelWeapon, ^RA2Grenade</t>
        </is>
      </c>
    </row>
    <row r="157">
      <c r="B157" s="7" t="inlineStr">
        <is>
          <t xml:space="preserve">  ↳ latinsyndicate_latinmilitia_molotov_elite</t>
        </is>
      </c>
      <c r="C157" s="7" t="inlineStr">
        <is>
          <t>Armament@MolotovELITE</t>
        </is>
      </c>
      <c r="L157" s="6" t="n">
        <v>2000</v>
      </c>
      <c r="M157" s="6" t="n">
        <v>93</v>
      </c>
      <c r="N157" s="6" t="n">
        <v>2</v>
      </c>
      <c r="O157" s="6" t="n">
        <v>3</v>
      </c>
      <c r="P157" s="6" t="n">
        <v>5500</v>
      </c>
      <c r="Q157" s="6" t="n">
        <v>0.9375</v>
      </c>
      <c r="R157">
        <f>M157+IF(N157&gt;1,N(O157)*(N157-1),0)</f>
        <v/>
      </c>
      <c r="S157">
        <f>IFERROR(L157*MAX(N157,1)/R157*Q157*IF(ISBLANK(K153),1,K153),0)</f>
        <v/>
      </c>
      <c r="AB157" s="7" t="inlineStr">
        <is>
          <t>^LightFlameWeapon, ^MediumChemicalWeapon, ^ShrapnelWeapon, ^RA2Grenade</t>
        </is>
      </c>
    </row>
    <row r="158">
      <c r="B158" s="7" t="inlineStr">
        <is>
          <t xml:space="preserve">  ↳ latinsyndicate_latinmilitia_ak47</t>
        </is>
      </c>
      <c r="C158" s="7" t="inlineStr">
        <is>
          <t>Armament@GARRISONED</t>
        </is>
      </c>
      <c r="L158" s="6" t="n">
        <v>2000</v>
      </c>
      <c r="M158" s="6" t="n">
        <v>22</v>
      </c>
      <c r="N158" s="6" t="n">
        <v>3</v>
      </c>
      <c r="O158" s="6" t="n">
        <v>4</v>
      </c>
      <c r="P158" s="6" t="n">
        <v>4500</v>
      </c>
      <c r="Q158" s="6" t="n">
        <v>0.75</v>
      </c>
      <c r="R158">
        <f>M158+IF(N158&gt;1,N(O158)*(N158-1),0)</f>
        <v/>
      </c>
      <c r="S158">
        <f>IFERROR(L158*MAX(N158,1)/R158*Q158*IF(ISBLANK(K153),1,K153),0)</f>
        <v/>
      </c>
      <c r="AB158" s="7" t="inlineStr">
        <is>
          <t>^RA2SmallArms</t>
        </is>
      </c>
    </row>
    <row r="159">
      <c r="B159" s="7" t="inlineStr">
        <is>
          <t xml:space="preserve">  ↳ latinsyndicate_latinmilitia_ak47_elite</t>
        </is>
      </c>
      <c r="C159" s="7" t="inlineStr">
        <is>
          <t>Armament@GARRISONEDELITE</t>
        </is>
      </c>
      <c r="L159" s="6" t="n">
        <v>2000</v>
      </c>
      <c r="M159" s="6" t="n">
        <v>22</v>
      </c>
      <c r="N159" s="6" t="n">
        <v>6</v>
      </c>
      <c r="O159" s="6" t="n">
        <v>3</v>
      </c>
      <c r="P159" s="6" t="n">
        <v>5500</v>
      </c>
      <c r="Q159" s="6" t="n">
        <v>0.75</v>
      </c>
      <c r="R159">
        <f>M159+IF(N159&gt;1,N(O159)*(N159-1),0)</f>
        <v/>
      </c>
      <c r="S159">
        <f>IFERROR(L159*MAX(N159,1)/R159*Q159*IF(ISBLANK(K153),1,K153),0)</f>
        <v/>
      </c>
      <c r="AB159" s="7" t="inlineStr">
        <is>
          <t>^RA2SmallArms</t>
        </is>
      </c>
    </row>
    <row r="160">
      <c r="B160" s="7" t="inlineStr">
        <is>
          <t xml:space="preserve">  ↳ latinsyndicate_latinmilitia_molotov</t>
        </is>
      </c>
      <c r="C160" s="7" t="inlineStr">
        <is>
          <t>Armament@MolotovGARRISONED</t>
        </is>
      </c>
      <c r="L160" s="6" t="n">
        <v>2000</v>
      </c>
      <c r="M160" s="6" t="n">
        <v>93</v>
      </c>
      <c r="N160" s="6" t="n">
        <v>1</v>
      </c>
      <c r="O160" s="6" t="n"/>
      <c r="P160" s="6" t="n">
        <v>4500</v>
      </c>
      <c r="Q160" s="6" t="n">
        <v>0.9375</v>
      </c>
      <c r="R160">
        <f>M160+IF(N160&gt;1,N(O160)*(N160-1),0)</f>
        <v/>
      </c>
      <c r="S160">
        <f>IFERROR(L160*MAX(N160,1)/R160*Q160*IF(ISBLANK(K153),1,K153),0)</f>
        <v/>
      </c>
      <c r="AB160" s="7" t="inlineStr">
        <is>
          <t>^LightFlameWeapon, ^MediumChemicalWeapon, ^ShrapnelWeapon, ^RA2Grenade</t>
        </is>
      </c>
    </row>
    <row r="161">
      <c r="B161" s="7" t="inlineStr">
        <is>
          <t xml:space="preserve">  ↳ latinsyndicate_latinmilitia_molotov_elite</t>
        </is>
      </c>
      <c r="C161" s="7" t="inlineStr">
        <is>
          <t>Armament@MolotovGARRISONEDELITE</t>
        </is>
      </c>
      <c r="L161" s="6" t="n">
        <v>2000</v>
      </c>
      <c r="M161" s="6" t="n">
        <v>93</v>
      </c>
      <c r="N161" s="6" t="n">
        <v>2</v>
      </c>
      <c r="O161" s="6" t="n">
        <v>3</v>
      </c>
      <c r="P161" s="6" t="n">
        <v>5500</v>
      </c>
      <c r="Q161" s="6" t="n">
        <v>0.9375</v>
      </c>
      <c r="R161">
        <f>M161+IF(N161&gt;1,N(O161)*(N161-1),0)</f>
        <v/>
      </c>
      <c r="S161">
        <f>IFERROR(L161*MAX(N161,1)/R161*Q161*IF(ISBLANK(K153),1,K153),0)</f>
        <v/>
      </c>
      <c r="AB161" s="7" t="inlineStr">
        <is>
          <t>^LightFlameWeapon, ^MediumChemicalWeapon, ^ShrapnelWeapon, ^RA2Grenade</t>
        </is>
      </c>
    </row>
    <row r="162">
      <c r="A162" t="inlineStr">
        <is>
          <t>redalert2mod</t>
        </is>
      </c>
      <c r="B162" t="inlineStr">
        <is>
          <t>conehead2.nax</t>
        </is>
      </c>
      <c r="C162" t="inlineStr">
        <is>
          <t>Conehead Leader</t>
        </is>
      </c>
      <c r="D162" s="6" t="inlineStr">
        <is>
          <t>ScoutInfantry</t>
        </is>
      </c>
      <c r="E162" s="6" t="n">
        <v>40000</v>
      </c>
      <c r="F162" s="6" t="n">
        <v>90</v>
      </c>
      <c r="G162" t="inlineStr">
        <is>
          <t>None</t>
        </is>
      </c>
      <c r="H162" s="6" t="n">
        <v>1</v>
      </c>
      <c r="I162" s="6" t="n">
        <v>1</v>
      </c>
      <c r="J162" s="6" t="n">
        <v>1</v>
      </c>
      <c r="K162" s="6" t="n"/>
      <c r="P162">
        <f>MAX(P163,P164)</f>
        <v/>
      </c>
      <c r="S162">
        <f>S163+S164</f>
        <v/>
      </c>
      <c r="T162">
        <f>(E162/100000+F162/100+(P162/1000)*J162/5+S162/200)*200*I162*H162</f>
        <v/>
      </c>
      <c r="U162">
        <f>((E162*F162/25000)+((P162/1000)*J162*S162/2.5))*I162*H162</f>
        <v/>
      </c>
      <c r="V162">
        <f>(E162*F162*(P162/1000)*J162*S162*I162*H162)/12500000</f>
        <v/>
      </c>
      <c r="W162">
        <f>(((E162/20000)+(F162/60)+(S162/60)+((P162/5000)*J162))*100/4+(((E162/20000)*(F162/60))+(((P162/5000)*J162)*(S162/60)))*100/2+((E162/20000)*(F162/60)*((P162/5000)*J162)*(S162/60))*100)*H162/3</f>
        <v/>
      </c>
      <c r="X162" s="6" t="n">
        <v>500</v>
      </c>
      <c r="Y162">
        <f>IFERROR(W162-X162,"")</f>
        <v/>
      </c>
      <c r="Z162">
        <f>IFERROR(ABS(Y162)/MAX(X162,1),"")</f>
        <v/>
      </c>
      <c r="AA162">
        <f>IFERROR(ROUND(((3*X162-(((E162/20000)+(F162/60)+(S162/60))*100/4+((E162/20000)*(F162/60))*100/2)*H162)/(100/4+((S162/60))*100/2+((E162/20000)*(F162/60)*(S162/60))*100)*H162*5000)/J162,-1),"")</f>
        <v/>
      </c>
    </row>
    <row r="163">
      <c r="B163" s="7" t="inlineStr">
        <is>
          <t xml:space="preserve">  ↳ RA2PortaTesla</t>
        </is>
      </c>
      <c r="C163" s="7" t="inlineStr">
        <is>
          <t>Armament@PRIMARY</t>
        </is>
      </c>
      <c r="L163" s="6" t="n">
        <v>24000</v>
      </c>
      <c r="M163" s="6" t="n">
        <v>100</v>
      </c>
      <c r="N163" s="6" t="n">
        <v>1</v>
      </c>
      <c r="O163" s="6" t="n"/>
      <c r="P163" s="6" t="n">
        <v>5222</v>
      </c>
      <c r="Q163" s="6" t="n">
        <v>1</v>
      </c>
      <c r="R163">
        <f>M163+IF(N163&gt;1,N(O163)*(N163-1),0)</f>
        <v/>
      </c>
      <c r="S163">
        <f>IFERROR(L163*MAX(N163,1)/R163*Q163*IF(ISBLANK(K162),1,K162),0)</f>
        <v/>
      </c>
      <c r="AB163" s="7" t="inlineStr">
        <is>
          <t>^TeslaWeapon</t>
        </is>
      </c>
    </row>
    <row r="164">
      <c r="B164" s="7" t="inlineStr">
        <is>
          <t xml:space="preserve">  ↳ RA2PortaTesla</t>
        </is>
      </c>
      <c r="C164" s="7" t="inlineStr">
        <is>
          <t>Armament@ELITE</t>
        </is>
      </c>
      <c r="L164" s="6" t="n">
        <v>24000</v>
      </c>
      <c r="M164" s="6" t="n">
        <v>100</v>
      </c>
      <c r="N164" s="6" t="n">
        <v>1</v>
      </c>
      <c r="O164" s="6" t="n"/>
      <c r="P164" s="6" t="n">
        <v>5222</v>
      </c>
      <c r="Q164" s="6" t="n">
        <v>1</v>
      </c>
      <c r="R164">
        <f>M164+IF(N164&gt;1,N(O164)*(N164-1),0)</f>
        <v/>
      </c>
      <c r="S164">
        <f>IFERROR(L164*MAX(N164,1)/R164*Q164*IF(ISBLANK(K162),1,K162),0)</f>
        <v/>
      </c>
      <c r="AB164" s="7" t="inlineStr">
        <is>
          <t>^TeslaWeapon</t>
        </is>
      </c>
    </row>
    <row r="165">
      <c r="B165" s="7" t="inlineStr">
        <is>
          <t xml:space="preserve">  ↳ RA2PortaTesla</t>
        </is>
      </c>
      <c r="C165" s="7" t="inlineStr">
        <is>
          <t>Armament@GARRISONED</t>
        </is>
      </c>
      <c r="L165" s="6" t="n">
        <v>24000</v>
      </c>
      <c r="M165" s="6" t="n">
        <v>100</v>
      </c>
      <c r="N165" s="6" t="n">
        <v>1</v>
      </c>
      <c r="O165" s="6" t="n"/>
      <c r="P165" s="6" t="n">
        <v>5222</v>
      </c>
      <c r="Q165" s="6" t="n">
        <v>1</v>
      </c>
      <c r="R165">
        <f>M165+IF(N165&gt;1,N(O165)*(N165-1),0)</f>
        <v/>
      </c>
      <c r="S165">
        <f>IFERROR(L165*MAX(N165,1)/R165*Q165*IF(ISBLANK(K162),1,K162),0)</f>
        <v/>
      </c>
      <c r="AB165" s="7" t="inlineStr">
        <is>
          <t>^TeslaWeapon</t>
        </is>
      </c>
    </row>
    <row r="166">
      <c r="B166" s="7" t="inlineStr">
        <is>
          <t xml:space="preserve">  ↳ RA2PortaTesla</t>
        </is>
      </c>
      <c r="C166" s="7" t="inlineStr">
        <is>
          <t>Armament@GARRISONEDELITE</t>
        </is>
      </c>
      <c r="L166" s="6" t="n">
        <v>24000</v>
      </c>
      <c r="M166" s="6" t="n">
        <v>100</v>
      </c>
      <c r="N166" s="6" t="n">
        <v>1</v>
      </c>
      <c r="O166" s="6" t="n"/>
      <c r="P166" s="6" t="n">
        <v>5222</v>
      </c>
      <c r="Q166" s="6" t="n">
        <v>1</v>
      </c>
      <c r="R166">
        <f>M166+IF(N166&gt;1,N(O166)*(N166-1),0)</f>
        <v/>
      </c>
      <c r="S166">
        <f>IFERROR(L166*MAX(N166,1)/R166*Q166*IF(ISBLANK(K162),1,K162),0)</f>
        <v/>
      </c>
      <c r="AB166" s="7" t="inlineStr">
        <is>
          <t>^TeslaWeapon</t>
        </is>
      </c>
    </row>
    <row r="167">
      <c r="A167" t="inlineStr">
        <is>
          <t>redalert2mod</t>
        </is>
      </c>
      <c r="B167" t="inlineStr">
        <is>
          <t>naxis_coneheadsknights</t>
        </is>
      </c>
      <c r="C167" t="inlineStr">
        <is>
          <t>Coneheads Knights</t>
        </is>
      </c>
      <c r="D167" s="6" t="inlineStr">
        <is>
          <t>ScoutInfantry</t>
        </is>
      </c>
      <c r="E167" s="6" t="n">
        <v>20000</v>
      </c>
      <c r="F167" s="6" t="n">
        <v>90</v>
      </c>
      <c r="G167" t="inlineStr">
        <is>
          <t>None</t>
        </is>
      </c>
      <c r="H167" s="6" t="n">
        <v>1</v>
      </c>
      <c r="I167" s="6" t="n">
        <v>1</v>
      </c>
      <c r="J167" s="6" t="n">
        <v>1</v>
      </c>
      <c r="K167" s="6" t="n"/>
      <c r="P167">
        <f>MAX(P168)</f>
        <v/>
      </c>
      <c r="S167">
        <f>S168</f>
        <v/>
      </c>
      <c r="T167">
        <f>(E167/100000+F167/100+(P167/1000)*J167/5+S167/200)*200*I167*H167</f>
        <v/>
      </c>
      <c r="U167">
        <f>((E167*F167/25000)+((P167/1000)*J167*S167/2.5))*I167*H167</f>
        <v/>
      </c>
      <c r="V167">
        <f>(E167*F167*(P167/1000)*J167*S167*I167*H167)/12500000</f>
        <v/>
      </c>
      <c r="W167">
        <f>(((E167/20000)+(F167/60)+(S167/60)+((P167/5000)*J167))*100/4+(((E167/20000)*(F167/60))+(((P167/5000)*J167)*(S167/60)))*100/2+((E167/20000)*(F167/60)*((P167/5000)*J167)*(S167/60))*100)*H167/3</f>
        <v/>
      </c>
      <c r="X167" s="6" t="n">
        <v>1000</v>
      </c>
      <c r="Y167">
        <f>IFERROR(W167-X167,"")</f>
        <v/>
      </c>
      <c r="Z167">
        <f>IFERROR(ABS(Y167)/MAX(X167,1),"")</f>
        <v/>
      </c>
      <c r="AA167">
        <f>IFERROR(ROUND(((3*X167-(((E167/20000)+(F167/60)+(S167/60))*100/4+((E167/20000)*(F167/60))*100/2)*H167)/(100/4+((S167/60))*100/2+((E167/20000)*(F167/60)*(S167/60))*100)*H167*5000)/J167,-1),"")</f>
        <v/>
      </c>
    </row>
    <row r="168">
      <c r="B168" s="7" t="inlineStr">
        <is>
          <t xml:space="preserve">  ↳ wc2gruntslice</t>
        </is>
      </c>
      <c r="C168" s="7" t="inlineStr">
        <is>
          <t>Armament</t>
        </is>
      </c>
      <c r="L168" s="6" t="n">
        <v>16000</v>
      </c>
      <c r="M168" s="6" t="n">
        <v>18</v>
      </c>
      <c r="N168" s="6" t="n">
        <v>1</v>
      </c>
      <c r="O168" s="6" t="n"/>
      <c r="P168" s="6" t="n">
        <v>1555</v>
      </c>
      <c r="Q168" s="6" t="n">
        <v>1</v>
      </c>
      <c r="R168">
        <f>M168+IF(N168&gt;1,N(O168)*(N168-1),0)</f>
        <v/>
      </c>
      <c r="S168">
        <f>IFERROR(L168*MAX(N168,1)/R168*Q168*IF(ISBLANK(K167),1,K167),0)</f>
        <v/>
      </c>
      <c r="AB168" s="7" t="inlineStr">
        <is>
          <t>^SwordWeapon</t>
        </is>
      </c>
    </row>
    <row r="169">
      <c r="B169" s="7" t="inlineStr">
        <is>
          <t xml:space="preserve">  ↳ NaxiRifleCons</t>
        </is>
      </c>
      <c r="C169" s="7" t="inlineStr">
        <is>
          <t>Armament@GARRISONED</t>
        </is>
      </c>
      <c r="L169" s="6" t="n">
        <v>4000</v>
      </c>
      <c r="M169" s="6" t="n">
        <v>100</v>
      </c>
      <c r="N169" s="6" t="n">
        <v>1</v>
      </c>
      <c r="O169" s="6" t="n"/>
      <c r="P169" s="6" t="n">
        <v>5501</v>
      </c>
      <c r="Q169" s="6" t="n">
        <v>0.75</v>
      </c>
      <c r="R169">
        <f>M169+IF(N169&gt;1,N(O169)*(N169-1),0)</f>
        <v/>
      </c>
      <c r="S169">
        <f>IFERROR(L169*MAX(N169,1)/R169*Q169*IF(ISBLANK(K167),1,K167),0)</f>
        <v/>
      </c>
      <c r="AB169" s="7" t="inlineStr">
        <is>
          <t>^SmallArms</t>
        </is>
      </c>
    </row>
    <row r="170">
      <c r="B170" s="7" t="inlineStr">
        <is>
          <t xml:space="preserve">  ↳ NaxiRifleConsE</t>
        </is>
      </c>
      <c r="C170" s="7" t="inlineStr">
        <is>
          <t>Armament@GARRISONEDELITE</t>
        </is>
      </c>
      <c r="L170" s="6" t="n">
        <v>4000</v>
      </c>
      <c r="M170" s="6" t="n">
        <v>100</v>
      </c>
      <c r="N170" s="6" t="n">
        <v>2</v>
      </c>
      <c r="O170" s="6" t="n">
        <v>3</v>
      </c>
      <c r="P170" s="6" t="n">
        <v>6501</v>
      </c>
      <c r="Q170" s="6" t="n">
        <v>0.75</v>
      </c>
      <c r="R170">
        <f>M170+IF(N170&gt;1,N(O170)*(N170-1),0)</f>
        <v/>
      </c>
      <c r="S170">
        <f>IFERROR(L170*MAX(N170,1)/R170*Q170*IF(ISBLANK(K167),1,K167),0)</f>
        <v/>
      </c>
      <c r="AB170" s="7" t="inlineStr">
        <is>
          <t>^SmallArms</t>
        </is>
      </c>
    </row>
    <row r="171">
      <c r="A171" t="inlineStr">
        <is>
          <t>redalert2mod</t>
        </is>
      </c>
      <c r="B171" t="inlineStr">
        <is>
          <t>naxis_naxiriflerecruit</t>
        </is>
      </c>
      <c r="C171" t="inlineStr">
        <is>
          <t>Naxi Rifle Recruit</t>
        </is>
      </c>
      <c r="D171" s="6" t="inlineStr">
        <is>
          <t>ScoutInfantry</t>
        </is>
      </c>
      <c r="E171" s="6" t="n">
        <v>20000</v>
      </c>
      <c r="F171" s="6" t="n">
        <v>45</v>
      </c>
      <c r="G171" t="inlineStr">
        <is>
          <t>None</t>
        </is>
      </c>
      <c r="H171" s="6" t="n">
        <v>1</v>
      </c>
      <c r="I171" s="6" t="n">
        <v>1</v>
      </c>
      <c r="J171" s="6" t="n">
        <v>1</v>
      </c>
      <c r="K171" s="6" t="n">
        <v>0.8100000000000001</v>
      </c>
      <c r="P171">
        <f>MAX(P172,P173)</f>
        <v/>
      </c>
      <c r="S171">
        <f>S172+S173</f>
        <v/>
      </c>
      <c r="T171">
        <f>(E171/100000+F171/100+(P171/1000)*J171/5+S171/200)*200*I171*H171</f>
        <v/>
      </c>
      <c r="U171">
        <f>((E171*F171/25000)+((P171/1000)*J171*S171/2.5))*I171*H171</f>
        <v/>
      </c>
      <c r="V171">
        <f>(E171*F171*(P171/1000)*J171*S171*I171*H171)/12500000</f>
        <v/>
      </c>
      <c r="W171">
        <f>(((E171/20000)+(F171/60)+(S171/60)+((P171/5000)*J171))*100/4+(((E171/20000)*(F171/60))+(((P171/5000)*J171)*(S171/60)))*100/2+((E171/20000)*(F171/60)*((P171/5000)*J171)*(S171/60))*100)*H171/3</f>
        <v/>
      </c>
      <c r="X171" s="6" t="n">
        <v>75</v>
      </c>
      <c r="Y171">
        <f>IFERROR(W171-X171,"")</f>
        <v/>
      </c>
      <c r="Z171">
        <f>IFERROR(ABS(Y171)/MAX(X171,1),"")</f>
        <v/>
      </c>
      <c r="AA171">
        <f>IFERROR(ROUND(((3*X171-(((E171/20000)+(F171/60)+(S171/60))*100/4+((E171/20000)*(F171/60))*100/2)*H171)/(100/4+((S171/60))*100/2+((E171/20000)*(F171/60)*(S171/60))*100)*H171*5000)/J171,-1),"")</f>
        <v/>
      </c>
    </row>
    <row r="172">
      <c r="B172" s="7" t="inlineStr">
        <is>
          <t xml:space="preserve">  ↳ naxis_naxiriflerecruit_rifle</t>
        </is>
      </c>
      <c r="C172" s="7" t="inlineStr">
        <is>
          <t>Armament@PRIMARY</t>
        </is>
      </c>
      <c r="L172" s="6" t="n">
        <v>8000</v>
      </c>
      <c r="M172" s="6" t="n">
        <v>100</v>
      </c>
      <c r="N172" s="6" t="n">
        <v>1</v>
      </c>
      <c r="O172" s="6" t="n"/>
      <c r="P172" s="6" t="n">
        <v>5500</v>
      </c>
      <c r="Q172" s="6" t="n">
        <v>0.75</v>
      </c>
      <c r="R172">
        <f>M172+IF(N172&gt;1,N(O172)*(N172-1),0)</f>
        <v/>
      </c>
      <c r="S172">
        <f>IFERROR(L172*MAX(N172,1)/R172*Q172*IF(ISBLANK(K171),1,K171),0)</f>
        <v/>
      </c>
      <c r="AB172" s="7" t="inlineStr">
        <is>
          <t>^SmallArms</t>
        </is>
      </c>
    </row>
    <row r="173">
      <c r="B173" s="7" t="inlineStr">
        <is>
          <t xml:space="preserve">  ↳ naxis_naxiriflerecruit_rifle_elite</t>
        </is>
      </c>
      <c r="C173" s="7" t="inlineStr">
        <is>
          <t>Armament@ELITE</t>
        </is>
      </c>
      <c r="L173" s="6" t="n">
        <v>8000</v>
      </c>
      <c r="M173" s="6" t="n">
        <v>100</v>
      </c>
      <c r="N173" s="6" t="n">
        <v>2</v>
      </c>
      <c r="O173" s="6" t="n">
        <v>3</v>
      </c>
      <c r="P173" s="6" t="n">
        <v>6500</v>
      </c>
      <c r="Q173" s="6" t="n">
        <v>0.75</v>
      </c>
      <c r="R173">
        <f>M173+IF(N173&gt;1,N(O173)*(N173-1),0)</f>
        <v/>
      </c>
      <c r="S173">
        <f>IFERROR(L173*MAX(N173,1)/R173*Q173*IF(ISBLANK(K171),1,K171),0)</f>
        <v/>
      </c>
      <c r="AB173" s="7" t="inlineStr">
        <is>
          <t>^SmallArms</t>
        </is>
      </c>
    </row>
    <row r="174">
      <c r="B174" s="7" t="inlineStr">
        <is>
          <t xml:space="preserve">  ↳ naxis_naxiriflerecruit_rifle</t>
        </is>
      </c>
      <c r="C174" s="7" t="inlineStr">
        <is>
          <t>Armament@GARRISONED</t>
        </is>
      </c>
      <c r="L174" s="6" t="n">
        <v>8000</v>
      </c>
      <c r="M174" s="6" t="n">
        <v>100</v>
      </c>
      <c r="N174" s="6" t="n">
        <v>1</v>
      </c>
      <c r="O174" s="6" t="n"/>
      <c r="P174" s="6" t="n">
        <v>5500</v>
      </c>
      <c r="Q174" s="6" t="n">
        <v>0.75</v>
      </c>
      <c r="R174">
        <f>M174+IF(N174&gt;1,N(O174)*(N174-1),0)</f>
        <v/>
      </c>
      <c r="S174">
        <f>IFERROR(L174*MAX(N174,1)/R174*Q174*IF(ISBLANK(K171),1,K171),0)</f>
        <v/>
      </c>
      <c r="AB174" s="7" t="inlineStr">
        <is>
          <t>^SmallArms</t>
        </is>
      </c>
    </row>
    <row r="175">
      <c r="B175" s="7" t="inlineStr">
        <is>
          <t xml:space="preserve">  ↳ naxis_naxiriflerecruit_rifle_elite</t>
        </is>
      </c>
      <c r="C175" s="7" t="inlineStr">
        <is>
          <t>Armament@GARRISONEDELITE</t>
        </is>
      </c>
      <c r="L175" s="6" t="n">
        <v>8000</v>
      </c>
      <c r="M175" s="6" t="n">
        <v>100</v>
      </c>
      <c r="N175" s="6" t="n">
        <v>2</v>
      </c>
      <c r="O175" s="6" t="n">
        <v>3</v>
      </c>
      <c r="P175" s="6" t="n">
        <v>6500</v>
      </c>
      <c r="Q175" s="6" t="n">
        <v>0.75</v>
      </c>
      <c r="R175">
        <f>M175+IF(N175&gt;1,N(O175)*(N175-1),0)</f>
        <v/>
      </c>
      <c r="S175">
        <f>IFERROR(L175*MAX(N175,1)/R175*Q175*IF(ISBLANK(K171),1,K171),0)</f>
        <v/>
      </c>
      <c r="AB175" s="7" t="inlineStr">
        <is>
          <t>^SmallArms</t>
        </is>
      </c>
    </row>
    <row r="176">
      <c r="A176" t="inlineStr">
        <is>
          <t>redalert2mod</t>
        </is>
      </c>
      <c r="B176" t="inlineStr">
        <is>
          <t>naxis_naxiriflesoldier</t>
        </is>
      </c>
      <c r="C176" t="inlineStr">
        <is>
          <t>Naxi Rifle Soldier</t>
        </is>
      </c>
      <c r="D176" s="6" t="inlineStr">
        <is>
          <t>ScoutInfantry</t>
        </is>
      </c>
      <c r="E176" s="6" t="n">
        <v>20000</v>
      </c>
      <c r="F176" s="6" t="n">
        <v>60</v>
      </c>
      <c r="G176" t="inlineStr">
        <is>
          <t>None</t>
        </is>
      </c>
      <c r="H176" s="6" t="n">
        <v>1</v>
      </c>
      <c r="I176" s="6" t="n">
        <v>1</v>
      </c>
      <c r="J176" s="6" t="n">
        <v>1</v>
      </c>
      <c r="K176" s="6" t="n">
        <v>1</v>
      </c>
      <c r="P176">
        <f>MAX(P177,P178)</f>
        <v/>
      </c>
      <c r="S176">
        <f>S177+S178</f>
        <v/>
      </c>
      <c r="T176">
        <f>(E176/100000+F176/100+(P176/1000)*J176/5+S176/200)*200*I176*H176</f>
        <v/>
      </c>
      <c r="U176">
        <f>((E176*F176/25000)+((P176/1000)*J176*S176/2.5))*I176*H176</f>
        <v/>
      </c>
      <c r="V176">
        <f>(E176*F176*(P176/1000)*J176*S176*I176*H176)/12500000</f>
        <v/>
      </c>
      <c r="W176">
        <f>(((E176/20000)+(F176/60)+(S176/60)+((P176/5000)*J176))*100/4+(((E176/20000)*(F176/60))+(((P176/5000)*J176)*(S176/60)))*100/2+((E176/20000)*(F176/60)*((P176/5000)*J176)*(S176/60))*100)*H176/3</f>
        <v/>
      </c>
      <c r="X176" s="6" t="n">
        <v>100</v>
      </c>
      <c r="Y176">
        <f>IFERROR(W176-X176,"")</f>
        <v/>
      </c>
      <c r="Z176">
        <f>IFERROR(ABS(Y176)/MAX(X176,1),"")</f>
        <v/>
      </c>
      <c r="AA176">
        <f>IFERROR(ROUND(((3*X176-(((E176/20000)+(F176/60)+(S176/60))*100/4+((E176/20000)*(F176/60))*100/2)*H176)/(100/4+((S176/60))*100/2+((E176/20000)*(F176/60)*(S176/60))*100)*H176*5000)/J176,-1),"")</f>
        <v/>
      </c>
    </row>
    <row r="177">
      <c r="B177" s="7" t="inlineStr">
        <is>
          <t xml:space="preserve">  ↳ naxis_naxiriflesoldier_rifle</t>
        </is>
      </c>
      <c r="C177" s="7" t="inlineStr">
        <is>
          <t>Armament@PRIMARY</t>
        </is>
      </c>
      <c r="L177" s="6" t="n">
        <v>4000</v>
      </c>
      <c r="M177" s="6" t="n">
        <v>50</v>
      </c>
      <c r="N177" s="6" t="n">
        <v>1</v>
      </c>
      <c r="O177" s="6" t="n"/>
      <c r="P177" s="6" t="n">
        <v>5000</v>
      </c>
      <c r="Q177" s="6" t="n">
        <v>0.75</v>
      </c>
      <c r="R177">
        <f>M177+IF(N177&gt;1,N(O177)*(N177-1),0)</f>
        <v/>
      </c>
      <c r="S177">
        <f>IFERROR(L177*MAX(N177,1)/R177*Q177*IF(ISBLANK(K176),1,K176),0)</f>
        <v/>
      </c>
      <c r="AB177" s="7" t="inlineStr">
        <is>
          <t>^SmallArms</t>
        </is>
      </c>
    </row>
    <row r="178">
      <c r="B178" s="7" t="inlineStr">
        <is>
          <t xml:space="preserve">  ↳ naxis_naxiriflesoldier_rifle_elite</t>
        </is>
      </c>
      <c r="C178" s="7" t="inlineStr">
        <is>
          <t>Armament@ELITE</t>
        </is>
      </c>
      <c r="L178" s="6" t="n">
        <v>4000</v>
      </c>
      <c r="M178" s="6" t="n">
        <v>50</v>
      </c>
      <c r="N178" s="6" t="n">
        <v>2</v>
      </c>
      <c r="O178" s="6" t="n">
        <v>3</v>
      </c>
      <c r="P178" s="6" t="n">
        <v>6500</v>
      </c>
      <c r="Q178" s="6" t="n">
        <v>0.75</v>
      </c>
      <c r="R178">
        <f>M178+IF(N178&gt;1,N(O178)*(N178-1),0)</f>
        <v/>
      </c>
      <c r="S178">
        <f>IFERROR(L178*MAX(N178,1)/R178*Q178*IF(ISBLANK(K176),1,K176),0)</f>
        <v/>
      </c>
      <c r="AB178" s="7" t="inlineStr">
        <is>
          <t>^SmallArms</t>
        </is>
      </c>
    </row>
    <row r="179">
      <c r="B179" s="7" t="inlineStr">
        <is>
          <t xml:space="preserve">  ↳ naxis_naxiriflesoldier_rifle</t>
        </is>
      </c>
      <c r="C179" s="7" t="inlineStr">
        <is>
          <t>Armament@GARRISONED</t>
        </is>
      </c>
      <c r="L179" s="6" t="n">
        <v>4000</v>
      </c>
      <c r="M179" s="6" t="n">
        <v>50</v>
      </c>
      <c r="N179" s="6" t="n">
        <v>1</v>
      </c>
      <c r="O179" s="6" t="n"/>
      <c r="P179" s="6" t="n">
        <v>5000</v>
      </c>
      <c r="Q179" s="6" t="n">
        <v>0.75</v>
      </c>
      <c r="R179">
        <f>M179+IF(N179&gt;1,N(O179)*(N179-1),0)</f>
        <v/>
      </c>
      <c r="S179">
        <f>IFERROR(L179*MAX(N179,1)/R179*Q179*IF(ISBLANK(K176),1,K176),0)</f>
        <v/>
      </c>
      <c r="AB179" s="7" t="inlineStr">
        <is>
          <t>^SmallArms</t>
        </is>
      </c>
    </row>
    <row r="180">
      <c r="B180" s="7" t="inlineStr">
        <is>
          <t xml:space="preserve">  ↳ naxis_naxiriflesoldier_rifle_elite</t>
        </is>
      </c>
      <c r="C180" s="7" t="inlineStr">
        <is>
          <t>Armament@GARRISONEDELITE</t>
        </is>
      </c>
      <c r="L180" s="6" t="n">
        <v>4000</v>
      </c>
      <c r="M180" s="6" t="n">
        <v>50</v>
      </c>
      <c r="N180" s="6" t="n">
        <v>2</v>
      </c>
      <c r="O180" s="6" t="n">
        <v>3</v>
      </c>
      <c r="P180" s="6" t="n">
        <v>6500</v>
      </c>
      <c r="Q180" s="6" t="n">
        <v>0.75</v>
      </c>
      <c r="R180">
        <f>M180+IF(N180&gt;1,N(O180)*(N180-1),0)</f>
        <v/>
      </c>
      <c r="S180">
        <f>IFERROR(L180*MAX(N180,1)/R180*Q180*IF(ISBLANK(K176),1,K176),0)</f>
        <v/>
      </c>
      <c r="AB180" s="7" t="inlineStr">
        <is>
          <t>^SmallArms</t>
        </is>
      </c>
    </row>
    <row r="181">
      <c r="A181" t="inlineStr">
        <is>
          <t>redalert2mod</t>
        </is>
      </c>
      <c r="B181" t="inlineStr">
        <is>
          <t>naxis_slaveoverseer</t>
        </is>
      </c>
      <c r="C181" t="inlineStr">
        <is>
          <t>Slave Overseer</t>
        </is>
      </c>
      <c r="D181" s="6" t="inlineStr">
        <is>
          <t>ScoutInfantry</t>
        </is>
      </c>
      <c r="E181" s="6" t="n">
        <v>20000</v>
      </c>
      <c r="F181" s="6" t="n">
        <v>90</v>
      </c>
      <c r="G181" t="inlineStr">
        <is>
          <t>None</t>
        </is>
      </c>
      <c r="H181" s="6" t="n">
        <v>1</v>
      </c>
      <c r="I181" s="6" t="n">
        <v>1</v>
      </c>
      <c r="J181" s="6" t="n">
        <v>1</v>
      </c>
      <c r="K181" s="6" t="n"/>
      <c r="P181">
        <f>MAX(P182,P183,P184)</f>
        <v/>
      </c>
      <c r="S181">
        <f>S182+S183+S184</f>
        <v/>
      </c>
      <c r="T181">
        <f>(E181/100000+F181/100+(P181/1000)*J181/5+S181/200)*200*I181*H181</f>
        <v/>
      </c>
      <c r="U181">
        <f>((E181*F181/25000)+((P181/1000)*J181*S181/2.5))*I181*H181</f>
        <v/>
      </c>
      <c r="V181">
        <f>(E181*F181*(P181/1000)*J181*S181*I181*H181)/12500000</f>
        <v/>
      </c>
      <c r="W181">
        <f>(((E181/20000)+(F181/60)+(S181/60)+((P181/5000)*J181))*100/4+(((E181/20000)*(F181/60))+(((P181/5000)*J181)*(S181/60)))*100/2+((E181/20000)*(F181/60)*((P181/5000)*J181)*(S181/60))*100)*H181/3</f>
        <v/>
      </c>
      <c r="X181" s="6" t="n">
        <v>500</v>
      </c>
      <c r="Y181">
        <f>IFERROR(W181-X181,"")</f>
        <v/>
      </c>
      <c r="Z181">
        <f>IFERROR(ABS(Y181)/MAX(X181,1),"")</f>
        <v/>
      </c>
      <c r="AA181">
        <f>IFERROR(ROUND(((3*X181-(((E181/20000)+(F181/60)+(S181/60))*100/4+((E181/20000)*(F181/60))*100/2)*H181)/(100/4+((S181/60))*100/2+((E181/20000)*(F181/60)*(S181/60))*100)*H181*5000)/J181,-1),"")</f>
        <v/>
      </c>
    </row>
    <row r="182">
      <c r="B182" s="7" t="inlineStr">
        <is>
          <t xml:space="preserve">  ↳ NaxiSlaveWhip</t>
        </is>
      </c>
      <c r="C182" s="7" t="inlineStr">
        <is>
          <t>Armament@SlaveWhip</t>
        </is>
      </c>
      <c r="L182" s="6" t="n"/>
      <c r="M182" s="6" t="n">
        <v>50</v>
      </c>
      <c r="N182" s="6" t="n">
        <v>1</v>
      </c>
      <c r="O182" s="6" t="n"/>
      <c r="P182" s="6" t="n">
        <v>2500</v>
      </c>
      <c r="Q182" s="6" t="n">
        <v>1</v>
      </c>
      <c r="R182">
        <f>M182+IF(N182&gt;1,N(O182)*(N182-1),0)</f>
        <v/>
      </c>
      <c r="S182">
        <f>IFERROR(L182*MAX(N182,1)/R182*Q182*IF(ISBLANK(K181),1,K181),0)</f>
        <v/>
      </c>
      <c r="AB182" s="7" t="inlineStr"/>
    </row>
    <row r="183">
      <c r="B183" s="7" t="inlineStr">
        <is>
          <t xml:space="preserve">  ↳ NaxiRifle</t>
        </is>
      </c>
      <c r="C183" s="7" t="inlineStr">
        <is>
          <t>Armament@PRIMARY</t>
        </is>
      </c>
      <c r="L183" s="6" t="n">
        <v>6000</v>
      </c>
      <c r="M183" s="6" t="n">
        <v>75</v>
      </c>
      <c r="N183" s="6" t="n">
        <v>1</v>
      </c>
      <c r="O183" s="6" t="n"/>
      <c r="P183" s="6" t="n">
        <v>5621</v>
      </c>
      <c r="Q183" s="6" t="n">
        <v>0.75</v>
      </c>
      <c r="R183">
        <f>M183+IF(N183&gt;1,N(O183)*(N183-1),0)</f>
        <v/>
      </c>
      <c r="S183">
        <f>IFERROR(L183*MAX(N183,1)/R183*Q183*IF(ISBLANK(K181),1,K181),0)</f>
        <v/>
      </c>
      <c r="AB183" s="7" t="inlineStr">
        <is>
          <t>^SmallArms</t>
        </is>
      </c>
    </row>
    <row r="184">
      <c r="B184" s="7" t="inlineStr">
        <is>
          <t xml:space="preserve">  ↳ NaxiRifleE</t>
        </is>
      </c>
      <c r="C184" s="7" t="inlineStr">
        <is>
          <t>Armament@ELITE</t>
        </is>
      </c>
      <c r="L184" s="6" t="n">
        <v>6000</v>
      </c>
      <c r="M184" s="6" t="n">
        <v>75</v>
      </c>
      <c r="N184" s="6" t="n">
        <v>2</v>
      </c>
      <c r="O184" s="6" t="n">
        <v>3</v>
      </c>
      <c r="P184" s="6" t="n">
        <v>6621</v>
      </c>
      <c r="Q184" s="6" t="n">
        <v>0.75</v>
      </c>
      <c r="R184">
        <f>M184+IF(N184&gt;1,N(O184)*(N184-1),0)</f>
        <v/>
      </c>
      <c r="S184">
        <f>IFERROR(L184*MAX(N184,1)/R184*Q184*IF(ISBLANK(K181),1,K181),0)</f>
        <v/>
      </c>
      <c r="AB184" s="7" t="inlineStr">
        <is>
          <t>^SmallArms</t>
        </is>
      </c>
    </row>
    <row r="185">
      <c r="B185" s="7" t="inlineStr">
        <is>
          <t xml:space="preserve">  ↳ NaxiRifle</t>
        </is>
      </c>
      <c r="C185" s="7" t="inlineStr">
        <is>
          <t>Armament@GARRISONED</t>
        </is>
      </c>
      <c r="L185" s="6" t="n">
        <v>6000</v>
      </c>
      <c r="M185" s="6" t="n">
        <v>75</v>
      </c>
      <c r="N185" s="6" t="n">
        <v>1</v>
      </c>
      <c r="O185" s="6" t="n"/>
      <c r="P185" s="6" t="n">
        <v>5621</v>
      </c>
      <c r="Q185" s="6" t="n">
        <v>0.75</v>
      </c>
      <c r="R185">
        <f>M185+IF(N185&gt;1,N(O185)*(N185-1),0)</f>
        <v/>
      </c>
      <c r="S185">
        <f>IFERROR(L185*MAX(N185,1)/R185*Q185*IF(ISBLANK(K181),1,K181),0)</f>
        <v/>
      </c>
      <c r="AB185" s="7" t="inlineStr">
        <is>
          <t>^SmallArms</t>
        </is>
      </c>
    </row>
    <row r="186">
      <c r="B186" s="7" t="inlineStr">
        <is>
          <t xml:space="preserve">  ↳ NaxiRifleE</t>
        </is>
      </c>
      <c r="C186" s="7" t="inlineStr">
        <is>
          <t>Armament@GARRISONEDELITE</t>
        </is>
      </c>
      <c r="L186" s="6" t="n">
        <v>6000</v>
      </c>
      <c r="M186" s="6" t="n">
        <v>75</v>
      </c>
      <c r="N186" s="6" t="n">
        <v>2</v>
      </c>
      <c r="O186" s="6" t="n">
        <v>3</v>
      </c>
      <c r="P186" s="6" t="n">
        <v>6621</v>
      </c>
      <c r="Q186" s="6" t="n">
        <v>0.75</v>
      </c>
      <c r="R186">
        <f>M186+IF(N186&gt;1,N(O186)*(N186-1),0)</f>
        <v/>
      </c>
      <c r="S186">
        <f>IFERROR(L186*MAX(N186,1)/R186*Q186*IF(ISBLANK(K181),1,K181),0)</f>
        <v/>
      </c>
      <c r="AB186" s="7" t="inlineStr">
        <is>
          <t>^SmallArms</t>
        </is>
      </c>
    </row>
    <row r="187">
      <c r="A187" t="inlineStr">
        <is>
          <t>redalert2mod</t>
        </is>
      </c>
      <c r="B187" t="inlineStr">
        <is>
          <t>undead.nax</t>
        </is>
      </c>
      <c r="C187" t="inlineStr">
        <is>
          <t>Undead Soldier</t>
        </is>
      </c>
      <c r="D187" s="6" t="inlineStr">
        <is>
          <t>ScoutInfantry</t>
        </is>
      </c>
      <c r="E187" s="6" t="n">
        <v>15000</v>
      </c>
      <c r="F187" s="6" t="n">
        <v>50</v>
      </c>
      <c r="G187" t="inlineStr">
        <is>
          <t>None</t>
        </is>
      </c>
      <c r="H187" s="6" t="n">
        <v>1</v>
      </c>
      <c r="I187" s="6" t="n">
        <v>1</v>
      </c>
      <c r="J187" s="6" t="n">
        <v>1</v>
      </c>
      <c r="K187" s="6" t="n"/>
      <c r="P187">
        <f>MAX(P188,P189)</f>
        <v/>
      </c>
      <c r="S187">
        <f>S188+S189</f>
        <v/>
      </c>
      <c r="T187">
        <f>(E187/100000+F187/100+(P187/1000)*J187/5+S187/200)*200*I187*H187</f>
        <v/>
      </c>
      <c r="U187">
        <f>((E187*F187/25000)+((P187/1000)*J187*S187/2.5))*I187*H187</f>
        <v/>
      </c>
      <c r="V187">
        <f>(E187*F187*(P187/1000)*J187*S187*I187*H187)/12500000</f>
        <v/>
      </c>
      <c r="W187">
        <f>(((E187/20000)+(F187/60)+(S187/60)+((P187/5000)*J187))*100/4+(((E187/20000)*(F187/60))+(((P187/5000)*J187)*(S187/60)))*100/2+((E187/20000)*(F187/60)*((P187/5000)*J187)*(S187/60))*100)*H187/3</f>
        <v/>
      </c>
      <c r="X187" s="6" t="n">
        <v>100</v>
      </c>
      <c r="Y187">
        <f>IFERROR(W187-X187,"")</f>
        <v/>
      </c>
      <c r="Z187">
        <f>IFERROR(ABS(Y187)/MAX(X187,1),"")</f>
        <v/>
      </c>
      <c r="AA187">
        <f>IFERROR(ROUND(((3*X187-(((E187/20000)+(F187/60)+(S187/60))*100/4+((E187/20000)*(F187/60))*100/2)*H187)/(100/4+((S187/60))*100/2+((E187/20000)*(F187/60)*(S187/60))*100)*H187*5000)/J187,-1),"")</f>
        <v/>
      </c>
    </row>
    <row r="188">
      <c r="B188" s="7" t="inlineStr">
        <is>
          <t xml:space="preserve">  ↳ NaxiRifle</t>
        </is>
      </c>
      <c r="C188" s="7" t="inlineStr">
        <is>
          <t>Armament@PRIMARY</t>
        </is>
      </c>
      <c r="L188" s="6" t="n">
        <v>6000</v>
      </c>
      <c r="M188" s="6" t="n">
        <v>75</v>
      </c>
      <c r="N188" s="6" t="n">
        <v>1</v>
      </c>
      <c r="O188" s="6" t="n"/>
      <c r="P188" s="6" t="n">
        <v>5621</v>
      </c>
      <c r="Q188" s="6" t="n">
        <v>0.75</v>
      </c>
      <c r="R188">
        <f>M188+IF(N188&gt;1,N(O188)*(N188-1),0)</f>
        <v/>
      </c>
      <c r="S188">
        <f>IFERROR(L188*MAX(N188,1)/R188*Q188*IF(ISBLANK(K187),1,K187),0)</f>
        <v/>
      </c>
      <c r="AB188" s="7" t="inlineStr">
        <is>
          <t>^SmallArms</t>
        </is>
      </c>
    </row>
    <row r="189">
      <c r="B189" s="7" t="inlineStr">
        <is>
          <t xml:space="preserve">  ↳ NaxiRifleE</t>
        </is>
      </c>
      <c r="C189" s="7" t="inlineStr">
        <is>
          <t>Armament@ELITE</t>
        </is>
      </c>
      <c r="L189" s="6" t="n">
        <v>6000</v>
      </c>
      <c r="M189" s="6" t="n">
        <v>75</v>
      </c>
      <c r="N189" s="6" t="n">
        <v>2</v>
      </c>
      <c r="O189" s="6" t="n">
        <v>3</v>
      </c>
      <c r="P189" s="6" t="n">
        <v>6621</v>
      </c>
      <c r="Q189" s="6" t="n">
        <v>0.75</v>
      </c>
      <c r="R189">
        <f>M189+IF(N189&gt;1,N(O189)*(N189-1),0)</f>
        <v/>
      </c>
      <c r="S189">
        <f>IFERROR(L189*MAX(N189,1)/R189*Q189*IF(ISBLANK(K187),1,K187),0)</f>
        <v/>
      </c>
      <c r="AB189" s="7" t="inlineStr">
        <is>
          <t>^SmallArms</t>
        </is>
      </c>
    </row>
    <row r="190">
      <c r="B190" s="7" t="inlineStr">
        <is>
          <t xml:space="preserve">  ↳ NaxiRifle</t>
        </is>
      </c>
      <c r="C190" s="7" t="inlineStr">
        <is>
          <t>Armament@GARRISONED</t>
        </is>
      </c>
      <c r="L190" s="6" t="n">
        <v>6000</v>
      </c>
      <c r="M190" s="6" t="n">
        <v>75</v>
      </c>
      <c r="N190" s="6" t="n">
        <v>1</v>
      </c>
      <c r="O190" s="6" t="n"/>
      <c r="P190" s="6" t="n">
        <v>5621</v>
      </c>
      <c r="Q190" s="6" t="n">
        <v>0.75</v>
      </c>
      <c r="R190">
        <f>M190+IF(N190&gt;1,N(O190)*(N190-1),0)</f>
        <v/>
      </c>
      <c r="S190">
        <f>IFERROR(L190*MAX(N190,1)/R190*Q190*IF(ISBLANK(K187),1,K187),0)</f>
        <v/>
      </c>
      <c r="AB190" s="7" t="inlineStr">
        <is>
          <t>^SmallArms</t>
        </is>
      </c>
    </row>
    <row r="191">
      <c r="B191" s="7" t="inlineStr">
        <is>
          <t xml:space="preserve">  ↳ NaxiRifleE</t>
        </is>
      </c>
      <c r="C191" s="7" t="inlineStr">
        <is>
          <t>Armament@GARRISONEDELITE</t>
        </is>
      </c>
      <c r="L191" s="6" t="n">
        <v>6000</v>
      </c>
      <c r="M191" s="6" t="n">
        <v>75</v>
      </c>
      <c r="N191" s="6" t="n">
        <v>2</v>
      </c>
      <c r="O191" s="6" t="n">
        <v>3</v>
      </c>
      <c r="P191" s="6" t="n">
        <v>6621</v>
      </c>
      <c r="Q191" s="6" t="n">
        <v>0.75</v>
      </c>
      <c r="R191">
        <f>M191+IF(N191&gt;1,N(O191)*(N191-1),0)</f>
        <v/>
      </c>
      <c r="S191">
        <f>IFERROR(L191*MAX(N191,1)/R191*Q191*IF(ISBLANK(K187),1,K187),0)</f>
        <v/>
      </c>
      <c r="AB191" s="7" t="inlineStr">
        <is>
          <t>^SmallArms</t>
        </is>
      </c>
    </row>
    <row r="192">
      <c r="A192" t="inlineStr">
        <is>
          <t>redalert2mod</t>
        </is>
      </c>
      <c r="B192" t="inlineStr">
        <is>
          <t>futuretech_spyfutu</t>
        </is>
      </c>
      <c r="C192" t="inlineStr">
        <is>
          <t>Infiltrator</t>
        </is>
      </c>
      <c r="D192" s="6" t="inlineStr">
        <is>
          <t>ScoutInfantry</t>
        </is>
      </c>
      <c r="E192" s="6" t="n">
        <v>5000</v>
      </c>
      <c r="F192" s="6" t="n">
        <v>60</v>
      </c>
      <c r="G192" t="inlineStr">
        <is>
          <t>None</t>
        </is>
      </c>
      <c r="H192" s="6" t="n">
        <v>1</v>
      </c>
      <c r="I192" s="6" t="n">
        <v>1</v>
      </c>
      <c r="J192" s="6" t="n">
        <v>1</v>
      </c>
      <c r="K192" s="6" t="n"/>
      <c r="X192" s="6" t="n">
        <v>1000</v>
      </c>
    </row>
    <row r="193">
      <c r="A193" t="inlineStr">
        <is>
          <t>redalert2mod</t>
        </is>
      </c>
      <c r="B193" t="inlineStr">
        <is>
          <t>tkm_marine</t>
        </is>
      </c>
      <c r="C193" t="inlineStr">
        <is>
          <t>Marine</t>
        </is>
      </c>
      <c r="D193" s="6" t="inlineStr">
        <is>
          <t>ScoutInfantry</t>
        </is>
      </c>
      <c r="E193" s="6" t="n">
        <v>20000</v>
      </c>
      <c r="F193" s="6" t="n">
        <v>60</v>
      </c>
      <c r="G193" t="inlineStr">
        <is>
          <t>None</t>
        </is>
      </c>
      <c r="H193" s="6" t="n">
        <v>1</v>
      </c>
      <c r="I193" s="6" t="n">
        <v>1</v>
      </c>
      <c r="J193" s="6" t="n">
        <v>1</v>
      </c>
      <c r="K193" s="6" t="n"/>
      <c r="P193">
        <f>MAX(P194,P195)</f>
        <v/>
      </c>
      <c r="S193">
        <f>S194+S195</f>
        <v/>
      </c>
      <c r="T193">
        <f>(E193/100000+F193/100+(P193/1000)*J193/5+S193/200)*200*I193*H193</f>
        <v/>
      </c>
      <c r="U193">
        <f>((E193*F193/25000)+((P193/1000)*J193*S193/2.5))*I193*H193</f>
        <v/>
      </c>
      <c r="V193">
        <f>(E193*F193*(P193/1000)*J193*S193*I193*H193)/12500000</f>
        <v/>
      </c>
      <c r="W193">
        <f>(((E193/20000)+(F193/60)+(S193/60)+((P193/5000)*J193))*100/4+(((E193/20000)*(F193/60))+(((P193/5000)*J193)*(S193/60)))*100/2+((E193/20000)*(F193/60)*((P193/5000)*J193)*(S193/60))*100)*H193/3</f>
        <v/>
      </c>
      <c r="X193" s="6" t="n">
        <v>300</v>
      </c>
      <c r="Y193">
        <f>IFERROR(W193-X193,"")</f>
        <v/>
      </c>
      <c r="Z193">
        <f>IFERROR(ABS(Y193)/MAX(X193,1),"")</f>
        <v/>
      </c>
      <c r="AA193">
        <f>IFERROR(ROUND(((3*X193-(((E193/20000)+(F193/60)+(S193/60))*100/4+((E193/20000)*(F193/60))*100/2)*H193)/(100/4+((S193/60))*100/2+((E193/20000)*(F193/60)*(S193/60))*100)*H193*5000)/J193,-1),"")</f>
        <v/>
      </c>
    </row>
    <row r="194">
      <c r="B194" s="7" t="inlineStr">
        <is>
          <t xml:space="preserve">  ↳ tkmm16</t>
        </is>
      </c>
      <c r="C194" s="7" t="inlineStr">
        <is>
          <t>Armament@PRIMARY</t>
        </is>
      </c>
      <c r="L194" s="6" t="n">
        <v>2000</v>
      </c>
      <c r="M194" s="6" t="n">
        <v>16</v>
      </c>
      <c r="N194" s="6" t="n">
        <v>5</v>
      </c>
      <c r="O194" s="6" t="n">
        <v>1</v>
      </c>
      <c r="P194" s="6" t="n">
        <v>5385</v>
      </c>
      <c r="Q194" s="6" t="n">
        <v>0.75</v>
      </c>
      <c r="R194">
        <f>M194+IF(N194&gt;1,N(O194)*(N194-1),0)</f>
        <v/>
      </c>
      <c r="S194">
        <f>IFERROR(L194*MAX(N194,1)/R194*Q194*IF(ISBLANK(K193),1,K193),0)</f>
        <v/>
      </c>
      <c r="AB194" s="7" t="inlineStr">
        <is>
          <t>^SmallArms</t>
        </is>
      </c>
    </row>
    <row r="195">
      <c r="B195" s="7" t="inlineStr">
        <is>
          <t xml:space="preserve">  ↳ tkmm16ap</t>
        </is>
      </c>
      <c r="C195" s="7" t="inlineStr">
        <is>
          <t>Armament@PRIMARYUPGRADE</t>
        </is>
      </c>
      <c r="L195" s="6" t="n">
        <v>2000</v>
      </c>
      <c r="M195" s="6" t="n">
        <v>16</v>
      </c>
      <c r="N195" s="6" t="n">
        <v>5</v>
      </c>
      <c r="O195" s="6" t="n">
        <v>1</v>
      </c>
      <c r="P195" s="6" t="n">
        <v>5385</v>
      </c>
      <c r="Q195" s="6" t="n">
        <v>1</v>
      </c>
      <c r="R195">
        <f>M195+IF(N195&gt;1,N(O195)*(N195-1),0)</f>
        <v/>
      </c>
      <c r="S195">
        <f>IFERROR(L195*MAX(N195,1)/R195*Q195*IF(ISBLANK(K193),1,K193),0)</f>
        <v/>
      </c>
      <c r="AB195" s="7" t="inlineStr">
        <is>
          <t>^RA2Chaingun</t>
        </is>
      </c>
    </row>
    <row r="196">
      <c r="B196" s="7" t="inlineStr">
        <is>
          <t xml:space="preserve">  ↳ tkmm16</t>
        </is>
      </c>
      <c r="C196" s="7" t="inlineStr">
        <is>
          <t>Armament@GARRISONED</t>
        </is>
      </c>
      <c r="L196" s="6" t="n">
        <v>2000</v>
      </c>
      <c r="M196" s="6" t="n">
        <v>16</v>
      </c>
      <c r="N196" s="6" t="n">
        <v>5</v>
      </c>
      <c r="O196" s="6" t="n">
        <v>1</v>
      </c>
      <c r="P196" s="6" t="n">
        <v>5385</v>
      </c>
      <c r="Q196" s="6" t="n">
        <v>0.75</v>
      </c>
      <c r="R196">
        <f>M196+IF(N196&gt;1,N(O196)*(N196-1),0)</f>
        <v/>
      </c>
      <c r="S196">
        <f>IFERROR(L196*MAX(N196,1)/R196*Q196*IF(ISBLANK(K193),1,K193),0)</f>
        <v/>
      </c>
      <c r="AB196" s="7" t="inlineStr">
        <is>
          <t>^SmallArms</t>
        </is>
      </c>
    </row>
    <row r="197">
      <c r="B197" s="7" t="inlineStr">
        <is>
          <t xml:space="preserve">  ↳ tkmm16ap</t>
        </is>
      </c>
      <c r="C197" s="7" t="inlineStr">
        <is>
          <t>Armament@GARRISONEDUPGRADE</t>
        </is>
      </c>
      <c r="L197" s="6" t="n">
        <v>2000</v>
      </c>
      <c r="M197" s="6" t="n">
        <v>16</v>
      </c>
      <c r="N197" s="6" t="n">
        <v>5</v>
      </c>
      <c r="O197" s="6" t="n">
        <v>1</v>
      </c>
      <c r="P197" s="6" t="n">
        <v>5385</v>
      </c>
      <c r="Q197" s="6" t="n">
        <v>1</v>
      </c>
      <c r="R197">
        <f>M197+IF(N197&gt;1,N(O197)*(N197-1),0)</f>
        <v/>
      </c>
      <c r="S197">
        <f>IFERROR(L197*MAX(N197,1)/R197*Q197*IF(ISBLANK(K193),1,K193),0)</f>
        <v/>
      </c>
      <c r="AB197" s="7" t="inlineStr">
        <is>
          <t>^RA2Chaingun</t>
        </is>
      </c>
    </row>
    <row r="198">
      <c r="A198" t="inlineStr">
        <is>
          <t>redalert2mod</t>
        </is>
      </c>
      <c r="B198" t="inlineStr">
        <is>
          <t>tkm_rifleman</t>
        </is>
      </c>
      <c r="C198" t="inlineStr">
        <is>
          <t>Rifleman</t>
        </is>
      </c>
      <c r="D198" s="6" t="inlineStr">
        <is>
          <t>ScoutInfantry</t>
        </is>
      </c>
      <c r="E198" s="6" t="n">
        <v>32000</v>
      </c>
      <c r="F198" s="6" t="n">
        <v>60</v>
      </c>
      <c r="G198" t="inlineStr">
        <is>
          <t>None</t>
        </is>
      </c>
      <c r="H198" s="6" t="n">
        <v>1</v>
      </c>
      <c r="I198" s="6" t="n">
        <v>1</v>
      </c>
      <c r="J198" s="6" t="n">
        <v>1</v>
      </c>
      <c r="K198" s="6" t="n">
        <v>0.73</v>
      </c>
      <c r="P198">
        <f>MAX(P199,P200)</f>
        <v/>
      </c>
      <c r="S198">
        <f>S199+S200</f>
        <v/>
      </c>
      <c r="T198">
        <f>(E198/100000+F198/100+(P198/1000)*J198/5+S198/200)*200*I198*H198</f>
        <v/>
      </c>
      <c r="U198">
        <f>((E198*F198/25000)+((P198/1000)*J198*S198/2.5))*I198*H198</f>
        <v/>
      </c>
      <c r="V198">
        <f>(E198*F198*(P198/1000)*J198*S198*I198*H198)/12500000</f>
        <v/>
      </c>
      <c r="W198">
        <f>(((E198/20000)+(F198/60)+(S198/60)+((P198/5000)*J198))*100/4+(((E198/20000)*(F198/60))+(((P198/5000)*J198)*(S198/60)))*100/2+((E198/20000)*(F198/60)*((P198/5000)*J198)*(S198/60))*100)*H198/3</f>
        <v/>
      </c>
      <c r="X198" s="6" t="n">
        <v>120</v>
      </c>
      <c r="Y198">
        <f>IFERROR(W198-X198,"")</f>
        <v/>
      </c>
      <c r="Z198">
        <f>IFERROR(ABS(Y198)/MAX(X198,1),"")</f>
        <v/>
      </c>
      <c r="AA198">
        <f>IFERROR(ROUND(((3*X198-(((E198/20000)+(F198/60)+(S198/60))*100/4+((E198/20000)*(F198/60))*100/2)*H198)/(100/4+((S198/60))*100/2+((E198/20000)*(F198/60)*(S198/60))*100)*H198*5000)/J198,-1),"")</f>
        <v/>
      </c>
    </row>
    <row r="199">
      <c r="B199" s="7" t="inlineStr">
        <is>
          <t xml:space="preserve">  ↳ tkm_rifleman_rifle</t>
        </is>
      </c>
      <c r="C199" s="7" t="inlineStr">
        <is>
          <t>Armament@PRIMARY</t>
        </is>
      </c>
      <c r="L199" s="6" t="n">
        <v>6000</v>
      </c>
      <c r="M199" s="6" t="n">
        <v>75</v>
      </c>
      <c r="N199" s="6" t="n">
        <v>1</v>
      </c>
      <c r="O199" s="6" t="n"/>
      <c r="P199" s="6" t="n">
        <v>5500</v>
      </c>
      <c r="Q199" s="6" t="n">
        <v>0.75</v>
      </c>
      <c r="R199">
        <f>M199+IF(N199&gt;1,N(O199)*(N199-1),0)</f>
        <v/>
      </c>
      <c r="S199">
        <f>IFERROR(L199*MAX(N199,1)/R199*Q199*IF(ISBLANK(K198),1,K198),0)</f>
        <v/>
      </c>
      <c r="AB199" s="7" t="inlineStr">
        <is>
          <t>^SmallArms</t>
        </is>
      </c>
    </row>
    <row r="200">
      <c r="B200" s="7" t="inlineStr">
        <is>
          <t xml:space="preserve">  ↳ tkm_rifleman_semiautorifle</t>
        </is>
      </c>
      <c r="C200" s="7" t="inlineStr">
        <is>
          <t>Armament@PRIMARYUPGRADE</t>
        </is>
      </c>
      <c r="L200" s="6" t="n">
        <v>10000</v>
      </c>
      <c r="M200" s="6" t="n">
        <v>25</v>
      </c>
      <c r="N200" s="6" t="n">
        <v>1</v>
      </c>
      <c r="O200" s="6" t="n"/>
      <c r="P200" s="6" t="n">
        <v>5500</v>
      </c>
      <c r="Q200" s="6" t="n">
        <v>0.75</v>
      </c>
      <c r="R200">
        <f>M200+IF(N200&gt;1,N(O200)*(N200-1),0)</f>
        <v/>
      </c>
      <c r="S200">
        <f>IFERROR(L200*MAX(N200,1)/R200*Q200*IF(ISBLANK(K198),1,K198),0)</f>
        <v/>
      </c>
      <c r="AB200" s="7" t="inlineStr">
        <is>
          <t>^SmallArms</t>
        </is>
      </c>
    </row>
    <row r="201">
      <c r="B201" s="7" t="inlineStr">
        <is>
          <t xml:space="preserve">  ↳ tkm_rifleman_rifle</t>
        </is>
      </c>
      <c r="C201" s="7" t="inlineStr">
        <is>
          <t>Armament@GARRISONED</t>
        </is>
      </c>
      <c r="L201" s="6" t="n">
        <v>6000</v>
      </c>
      <c r="M201" s="6" t="n">
        <v>75</v>
      </c>
      <c r="N201" s="6" t="n">
        <v>1</v>
      </c>
      <c r="O201" s="6" t="n"/>
      <c r="P201" s="6" t="n">
        <v>5500</v>
      </c>
      <c r="Q201" s="6" t="n">
        <v>0.75</v>
      </c>
      <c r="R201">
        <f>M201+IF(N201&gt;1,N(O201)*(N201-1),0)</f>
        <v/>
      </c>
      <c r="S201">
        <f>IFERROR(L201*MAX(N201,1)/R201*Q201*IF(ISBLANK(K198),1,K198),0)</f>
        <v/>
      </c>
      <c r="AB201" s="7" t="inlineStr">
        <is>
          <t>^SmallArms</t>
        </is>
      </c>
    </row>
    <row r="202">
      <c r="A202" t="inlineStr">
        <is>
          <t>shared</t>
        </is>
      </c>
      <c r="B202" t="inlineStr">
        <is>
          <t>light_inf</t>
        </is>
      </c>
      <c r="C202" t="inlineStr">
        <is>
          <t>Light Infantry</t>
        </is>
      </c>
      <c r="D202" s="6" t="inlineStr">
        <is>
          <t>ScoutInfantry</t>
        </is>
      </c>
      <c r="E202" s="6" t="n">
        <v>40000</v>
      </c>
      <c r="F202" s="6" t="n">
        <v>54</v>
      </c>
      <c r="G202" t="inlineStr">
        <is>
          <t>None</t>
        </is>
      </c>
      <c r="H202" s="6" t="n">
        <v>1</v>
      </c>
      <c r="I202" s="6" t="n">
        <v>1</v>
      </c>
      <c r="J202" s="6" t="n">
        <v>1</v>
      </c>
      <c r="K202" s="6" t="n">
        <v>0.91</v>
      </c>
      <c r="P202">
        <f>MAX(P203,P204)</f>
        <v/>
      </c>
      <c r="S202">
        <f>S203+S204</f>
        <v/>
      </c>
      <c r="T202">
        <f>(E202/100000+F202/100+(P202/1000)*J202/5+S202/200)*200*I202*H202</f>
        <v/>
      </c>
      <c r="U202">
        <f>((E202*F202/25000)+((P202/1000)*J202*S202/2.5))*I202*H202</f>
        <v/>
      </c>
      <c r="V202">
        <f>(E202*F202*(P202/1000)*J202*S202*I202*H202)/12500000</f>
        <v/>
      </c>
      <c r="W202">
        <f>(((E202/20000)+(F202/60)+(S202/60)+((P202/5000)*J202))*100/4+(((E202/20000)*(F202/60))+(((P202/5000)*J202)*(S202/60)))*100/2+((E202/20000)*(F202/60)*((P202/5000)*J202)*(S202/60))*100)*H202/3</f>
        <v/>
      </c>
      <c r="X202" s="6" t="n">
        <v>150</v>
      </c>
      <c r="Y202">
        <f>IFERROR(W202-X202,"")</f>
        <v/>
      </c>
      <c r="Z202">
        <f>IFERROR(ABS(Y202)/MAX(X202,1),"")</f>
        <v/>
      </c>
      <c r="AA202">
        <f>IFERROR(ROUND(((3*X202-(((E202/20000)+(F202/60)+(S202/60))*100/4+((E202/20000)*(F202/60))*100/2)*H202)/(100/4+((S202/60))*100/2+((E202/20000)*(F202/60)*(S202/60))*100)*H202*5000)/J202,-1),"")</f>
        <v/>
      </c>
    </row>
    <row r="203">
      <c r="B203" s="7" t="inlineStr">
        <is>
          <t xml:space="preserve">  ↳ light_inf_lmg</t>
        </is>
      </c>
      <c r="C203" s="7" t="inlineStr">
        <is>
          <t>Armament@PRIMARY</t>
        </is>
      </c>
      <c r="L203" s="6" t="n">
        <v>2000</v>
      </c>
      <c r="M203" s="6" t="n">
        <v>20</v>
      </c>
      <c r="N203" s="6" t="n">
        <v>1</v>
      </c>
      <c r="O203" s="6" t="n"/>
      <c r="P203" s="6" t="n">
        <v>4500</v>
      </c>
      <c r="Q203" s="6" t="n">
        <v>0.875</v>
      </c>
      <c r="R203">
        <f>M203+IF(N203&gt;1,N(O203)*(N203-1),0)</f>
        <v/>
      </c>
      <c r="S203">
        <f>IFERROR(L203*MAX(N203,1)/R203*Q203*IF(ISBLANK(K202),1,K202),0)</f>
        <v/>
      </c>
      <c r="AB203" s="7" t="inlineStr">
        <is>
          <t>^Chaingun, ^SmallArms</t>
        </is>
      </c>
    </row>
    <row r="204">
      <c r="B204" s="7" t="inlineStr">
        <is>
          <t xml:space="preserve">  ↳ light_inf_lmg_upgrade</t>
        </is>
      </c>
      <c r="C204" s="7" t="inlineStr">
        <is>
          <t>Armament@Upgrade</t>
        </is>
      </c>
      <c r="L204" s="6" t="n">
        <v>2000</v>
      </c>
      <c r="M204" s="6" t="n">
        <v>20</v>
      </c>
      <c r="N204" s="6" t="n">
        <v>1</v>
      </c>
      <c r="O204" s="6" t="n"/>
      <c r="P204" s="6" t="n">
        <v>4500</v>
      </c>
      <c r="Q204" s="6" t="n">
        <v>1.0625</v>
      </c>
      <c r="R204">
        <f>M204+IF(N204&gt;1,N(O204)*(N204-1),0)</f>
        <v/>
      </c>
      <c r="S204">
        <f>IFERROR(L204*MAX(N204,1)/R204*Q204*IF(ISBLANK(K202),1,K202),0)</f>
        <v/>
      </c>
      <c r="AB204" s="7" t="inlineStr">
        <is>
          <t>^HeavyCannon, ^Chaingun, ^SmallArms, ^HeavyMachineGunProjectile</t>
        </is>
      </c>
    </row>
    <row r="205">
      <c r="B205" s="7" t="inlineStr">
        <is>
          <t xml:space="preserve">  ↳ light_inf_lmg</t>
        </is>
      </c>
      <c r="C205" s="7" t="inlineStr">
        <is>
          <t>Armament@GARRISONED</t>
        </is>
      </c>
      <c r="L205" s="6" t="n">
        <v>2000</v>
      </c>
      <c r="M205" s="6" t="n">
        <v>20</v>
      </c>
      <c r="N205" s="6" t="n">
        <v>1</v>
      </c>
      <c r="O205" s="6" t="n"/>
      <c r="P205" s="6" t="n">
        <v>4500</v>
      </c>
      <c r="Q205" s="6" t="n">
        <v>0.875</v>
      </c>
      <c r="R205">
        <f>M205+IF(N205&gt;1,N(O205)*(N205-1),0)</f>
        <v/>
      </c>
      <c r="S205">
        <f>IFERROR(L205*MAX(N205,1)/R205*Q205*IF(ISBLANK(K202),1,K202),0)</f>
        <v/>
      </c>
      <c r="AB205" s="7" t="inlineStr">
        <is>
          <t>^Chaingun, ^SmallArms</t>
        </is>
      </c>
    </row>
    <row r="206">
      <c r="B206" s="7" t="inlineStr">
        <is>
          <t xml:space="preserve">  ↳ light_inf_lmg_upgrade</t>
        </is>
      </c>
      <c r="C206" s="7" t="inlineStr">
        <is>
          <t>Armament@UpgradeGARRISONED</t>
        </is>
      </c>
      <c r="L206" s="6" t="n">
        <v>2000</v>
      </c>
      <c r="M206" s="6" t="n">
        <v>20</v>
      </c>
      <c r="N206" s="6" t="n">
        <v>1</v>
      </c>
      <c r="O206" s="6" t="n"/>
      <c r="P206" s="6" t="n">
        <v>4500</v>
      </c>
      <c r="Q206" s="6" t="n">
        <v>1.0625</v>
      </c>
      <c r="R206">
        <f>M206+IF(N206&gt;1,N(O206)*(N206-1),0)</f>
        <v/>
      </c>
      <c r="S206">
        <f>IFERROR(L206*MAX(N206,1)/R206*Q206*IF(ISBLANK(K202),1,K202),0)</f>
        <v/>
      </c>
      <c r="AB206" s="7" t="inlineStr">
        <is>
          <t>^HeavyCannon, ^Chaingun, ^SmallArms, ^HeavyMachineGunProjectile</t>
        </is>
      </c>
    </row>
    <row r="207">
      <c r="A207" t="inlineStr">
        <is>
          <t>d2k</t>
        </is>
      </c>
      <c r="B207" t="inlineStr">
        <is>
          <t>ordos_lightinfantry</t>
        </is>
      </c>
      <c r="C207" t="inlineStr">
        <is>
          <t>Ordos Light Infantry</t>
        </is>
      </c>
      <c r="D207" s="6" t="inlineStr">
        <is>
          <t>ScoutInfantry</t>
        </is>
      </c>
      <c r="E207" s="6" t="n">
        <v>28000</v>
      </c>
      <c r="F207" s="6" t="n">
        <v>62</v>
      </c>
      <c r="G207" t="inlineStr">
        <is>
          <t>None</t>
        </is>
      </c>
      <c r="H207" s="6" t="n">
        <v>1</v>
      </c>
      <c r="I207" s="6" t="n">
        <v>1</v>
      </c>
      <c r="J207" s="6" t="n">
        <v>1</v>
      </c>
      <c r="K207" s="6" t="n">
        <v>0.82</v>
      </c>
      <c r="P207">
        <f>MAX(P208,P209)</f>
        <v/>
      </c>
      <c r="S207">
        <f>S208+S209</f>
        <v/>
      </c>
      <c r="T207">
        <f>(E207/100000+F207/100+(P207/1000)*J207/5+S207/200)*200*I207*H207</f>
        <v/>
      </c>
      <c r="U207">
        <f>((E207*F207/25000)+((P207/1000)*J207*S207/2.5))*I207*H207</f>
        <v/>
      </c>
      <c r="V207">
        <f>(E207*F207*(P207/1000)*J207*S207*I207*H207)/12500000</f>
        <v/>
      </c>
      <c r="W207">
        <f>(((E207/20000)+(F207/60)+(S207/60)+((P207/5000)*J207))*100/4+(((E207/20000)*(F207/60))+(((P207/5000)*J207)*(S207/60)))*100/2+((E207/20000)*(F207/60)*((P207/5000)*J207)*(S207/60))*100)*H207/3</f>
        <v/>
      </c>
      <c r="X207" s="6" t="n">
        <v>120</v>
      </c>
      <c r="Y207">
        <f>IFERROR(W207-X207,"")</f>
        <v/>
      </c>
      <c r="Z207">
        <f>IFERROR(ABS(Y207)/MAX(X207,1),"")</f>
        <v/>
      </c>
      <c r="AA207">
        <f>IFERROR(ROUND(((3*X207-(((E207/20000)+(F207/60)+(S207/60))*100/4+((E207/20000)*(F207/60))*100/2)*H207)/(100/4+((S207/60))*100/2+((E207/20000)*(F207/60)*(S207/60))*100)*H207*5000)/J207,-1),"")</f>
        <v/>
      </c>
    </row>
    <row r="208">
      <c r="B208" s="7" t="inlineStr">
        <is>
          <t xml:space="preserve">  ↳ light_inf_lmg</t>
        </is>
      </c>
      <c r="C208" s="7" t="inlineStr">
        <is>
          <t>Armament@PRIMARY</t>
        </is>
      </c>
      <c r="L208" s="6" t="n">
        <v>2000</v>
      </c>
      <c r="M208" s="6" t="n">
        <v>20</v>
      </c>
      <c r="N208" s="6" t="n">
        <v>1</v>
      </c>
      <c r="O208" s="6" t="n"/>
      <c r="P208" s="6" t="n">
        <v>4500</v>
      </c>
      <c r="Q208" s="6" t="n">
        <v>0.875</v>
      </c>
      <c r="R208">
        <f>M208+IF(N208&gt;1,N(O208)*(N208-1),0)</f>
        <v/>
      </c>
      <c r="S208">
        <f>IFERROR(L208*MAX(N208,1)/R208*Q208*IF(ISBLANK(K207),1,K207),0)</f>
        <v/>
      </c>
      <c r="AB208" s="7" t="inlineStr">
        <is>
          <t>^Chaingun, ^SmallArms</t>
        </is>
      </c>
    </row>
    <row r="209">
      <c r="B209" s="7" t="inlineStr">
        <is>
          <t xml:space="preserve">  ↳ light_inf_lmg_ordos_upgrade</t>
        </is>
      </c>
      <c r="C209" s="7" t="inlineStr">
        <is>
          <t>Armament@Upgrade</t>
        </is>
      </c>
      <c r="L209" s="6" t="n">
        <v>2000</v>
      </c>
      <c r="M209" s="6" t="n">
        <v>20</v>
      </c>
      <c r="N209" s="6" t="n">
        <v>1</v>
      </c>
      <c r="O209" s="6" t="n"/>
      <c r="P209" s="6" t="n">
        <v>4500</v>
      </c>
      <c r="Q209" s="6" t="n">
        <v>0.9166666666666666</v>
      </c>
      <c r="R209">
        <f>M209+IF(N209&gt;1,N(O209)*(N209-1),0)</f>
        <v/>
      </c>
      <c r="S209">
        <f>IFERROR(L209*MAX(N209,1)/R209*Q209*IF(ISBLANK(K207),1,K207),0)</f>
        <v/>
      </c>
      <c r="AB209" s="7" t="inlineStr">
        <is>
          <t>^LaserWeapon, ^Chaingun, ^SmallArms</t>
        </is>
      </c>
    </row>
    <row r="210">
      <c r="B210" s="7" t="inlineStr">
        <is>
          <t xml:space="preserve">  ↳ light_inf_lmg</t>
        </is>
      </c>
      <c r="C210" s="7" t="inlineStr">
        <is>
          <t>Armament@GARRISONED</t>
        </is>
      </c>
      <c r="L210" s="6" t="n">
        <v>2000</v>
      </c>
      <c r="M210" s="6" t="n">
        <v>20</v>
      </c>
      <c r="N210" s="6" t="n">
        <v>1</v>
      </c>
      <c r="O210" s="6" t="n"/>
      <c r="P210" s="6" t="n">
        <v>4500</v>
      </c>
      <c r="Q210" s="6" t="n">
        <v>0.875</v>
      </c>
      <c r="R210">
        <f>M210+IF(N210&gt;1,N(O210)*(N210-1),0)</f>
        <v/>
      </c>
      <c r="S210">
        <f>IFERROR(L210*MAX(N210,1)/R210*Q210*IF(ISBLANK(K207),1,K207),0)</f>
        <v/>
      </c>
      <c r="AB210" s="7" t="inlineStr">
        <is>
          <t>^Chaingun, ^SmallArms</t>
        </is>
      </c>
    </row>
    <row r="211">
      <c r="B211" s="7" t="inlineStr">
        <is>
          <t xml:space="preserve">  ↳ light_inf_lmg_ordos_upgrade</t>
        </is>
      </c>
      <c r="C211" s="7" t="inlineStr">
        <is>
          <t>Armament@UpgradeGARRISONED</t>
        </is>
      </c>
      <c r="L211" s="6" t="n">
        <v>2000</v>
      </c>
      <c r="M211" s="6" t="n">
        <v>20</v>
      </c>
      <c r="N211" s="6" t="n">
        <v>1</v>
      </c>
      <c r="O211" s="6" t="n"/>
      <c r="P211" s="6" t="n">
        <v>4500</v>
      </c>
      <c r="Q211" s="6" t="n">
        <v>0.9166666666666666</v>
      </c>
      <c r="R211">
        <f>M211+IF(N211&gt;1,N(O211)*(N211-1),0)</f>
        <v/>
      </c>
      <c r="S211">
        <f>IFERROR(L211*MAX(N211,1)/R211*Q211*IF(ISBLANK(K207),1,K207),0)</f>
        <v/>
      </c>
      <c r="AB211" s="7" t="inlineStr">
        <is>
          <t>^LaserWeapon, ^Chaingun, ^SmallArms</t>
        </is>
      </c>
    </row>
    <row r="212">
      <c r="A212" t="inlineStr">
        <is>
          <t>d2k</t>
        </is>
      </c>
      <c r="B212" t="inlineStr">
        <is>
          <t>ixian_lightinfantry</t>
        </is>
      </c>
      <c r="C212" t="inlineStr">
        <is>
          <t>Ixian Light Infantry</t>
        </is>
      </c>
      <c r="D212" s="6" t="inlineStr">
        <is>
          <t>ScoutInfantry</t>
        </is>
      </c>
      <c r="E212" s="6" t="n">
        <v>32000</v>
      </c>
      <c r="F212" s="6" t="n">
        <v>56</v>
      </c>
      <c r="G212" t="inlineStr">
        <is>
          <t>None</t>
        </is>
      </c>
      <c r="H212" s="6" t="n">
        <v>1</v>
      </c>
      <c r="I212" s="6" t="n">
        <v>1</v>
      </c>
      <c r="J212" s="6" t="n">
        <v>1</v>
      </c>
      <c r="K212" s="6" t="n">
        <v>1.13</v>
      </c>
      <c r="P212">
        <f>MAX(P213,P214)</f>
        <v/>
      </c>
      <c r="S212">
        <f>S213+S214</f>
        <v/>
      </c>
      <c r="T212">
        <f>(E212/100000+F212/100+(P212/1000)*J212/5+S212/200)*200*I212*H212</f>
        <v/>
      </c>
      <c r="U212">
        <f>((E212*F212/25000)+((P212/1000)*J212*S212/2.5))*I212*H212</f>
        <v/>
      </c>
      <c r="V212">
        <f>(E212*F212*(P212/1000)*J212*S212*I212*H212)/12500000</f>
        <v/>
      </c>
      <c r="W212">
        <f>(((E212/20000)+(F212/60)+(S212/60)+((P212/5000)*J212))*100/4+(((E212/20000)*(F212/60))+(((P212/5000)*J212)*(S212/60)))*100/2+((E212/20000)*(F212/60)*((P212/5000)*J212)*(S212/60))*100)*H212/3</f>
        <v/>
      </c>
      <c r="X212" s="6" t="n">
        <v>150</v>
      </c>
      <c r="Y212">
        <f>IFERROR(W212-X212,"")</f>
        <v/>
      </c>
      <c r="Z212">
        <f>IFERROR(ABS(Y212)/MAX(X212,1),"")</f>
        <v/>
      </c>
      <c r="AA212">
        <f>IFERROR(ROUND(((3*X212-(((E212/20000)+(F212/60)+(S212/60))*100/4+((E212/20000)*(F212/60))*100/2)*H212)/(100/4+((S212/60))*100/2+((E212/20000)*(F212/60)*(S212/60))*100)*H212*5000)/J212,-1),"")</f>
        <v/>
      </c>
    </row>
    <row r="213">
      <c r="B213" s="7" t="inlineStr">
        <is>
          <t xml:space="preserve">  ↳ light_inf_lmg</t>
        </is>
      </c>
      <c r="C213" s="7" t="inlineStr">
        <is>
          <t>Armament@PRIMARY</t>
        </is>
      </c>
      <c r="L213" s="6" t="n">
        <v>2000</v>
      </c>
      <c r="M213" s="6" t="n">
        <v>20</v>
      </c>
      <c r="N213" s="6" t="n">
        <v>1</v>
      </c>
      <c r="O213" s="6" t="n"/>
      <c r="P213" s="6" t="n">
        <v>4500</v>
      </c>
      <c r="Q213" s="6" t="n">
        <v>0.875</v>
      </c>
      <c r="R213">
        <f>M213+IF(N213&gt;1,N(O213)*(N213-1),0)</f>
        <v/>
      </c>
      <c r="S213">
        <f>IFERROR(L213*MAX(N213,1)/R213*Q213*IF(ISBLANK(K212),1,K212),0)</f>
        <v/>
      </c>
      <c r="AB213" s="7" t="inlineStr">
        <is>
          <t>^Chaingun, ^SmallArms</t>
        </is>
      </c>
    </row>
    <row r="214">
      <c r="B214" s="7" t="inlineStr">
        <is>
          <t xml:space="preserve">  ↳ light_inf_lmg_upgrade</t>
        </is>
      </c>
      <c r="C214" s="7" t="inlineStr">
        <is>
          <t>Armament@Upgrade</t>
        </is>
      </c>
      <c r="L214" s="6" t="n">
        <v>2000</v>
      </c>
      <c r="M214" s="6" t="n">
        <v>20</v>
      </c>
      <c r="N214" s="6" t="n">
        <v>1</v>
      </c>
      <c r="O214" s="6" t="n"/>
      <c r="P214" s="6" t="n">
        <v>4500</v>
      </c>
      <c r="Q214" s="6" t="n">
        <v>1.0625</v>
      </c>
      <c r="R214">
        <f>M214+IF(N214&gt;1,N(O214)*(N214-1),0)</f>
        <v/>
      </c>
      <c r="S214">
        <f>IFERROR(L214*MAX(N214,1)/R214*Q214*IF(ISBLANK(K212),1,K212),0)</f>
        <v/>
      </c>
      <c r="AB214" s="7" t="inlineStr">
        <is>
          <t>^HeavyCannon, ^Chaingun, ^SmallArms, ^HeavyMachineGunProjectile</t>
        </is>
      </c>
    </row>
    <row r="215">
      <c r="B215" s="7" t="inlineStr">
        <is>
          <t xml:space="preserve">  ↳ light_inf_lmg</t>
        </is>
      </c>
      <c r="C215" s="7" t="inlineStr">
        <is>
          <t>Armament@GARRISONED</t>
        </is>
      </c>
      <c r="L215" s="6" t="n">
        <v>2000</v>
      </c>
      <c r="M215" s="6" t="n">
        <v>20</v>
      </c>
      <c r="N215" s="6" t="n">
        <v>1</v>
      </c>
      <c r="O215" s="6" t="n"/>
      <c r="P215" s="6" t="n">
        <v>4500</v>
      </c>
      <c r="Q215" s="6" t="n">
        <v>0.875</v>
      </c>
      <c r="R215">
        <f>M215+IF(N215&gt;1,N(O215)*(N215-1),0)</f>
        <v/>
      </c>
      <c r="S215">
        <f>IFERROR(L215*MAX(N215,1)/R215*Q215*IF(ISBLANK(K212),1,K212),0)</f>
        <v/>
      </c>
      <c r="AB215" s="7" t="inlineStr">
        <is>
          <t>^Chaingun, ^SmallArms</t>
        </is>
      </c>
    </row>
    <row r="216">
      <c r="B216" s="7" t="inlineStr">
        <is>
          <t xml:space="preserve">  ↳ light_inf_lmg_upgrade</t>
        </is>
      </c>
      <c r="C216" s="7" t="inlineStr">
        <is>
          <t>Armament@UpgradeGARRISONED</t>
        </is>
      </c>
      <c r="L216" s="6" t="n">
        <v>2000</v>
      </c>
      <c r="M216" s="6" t="n">
        <v>20</v>
      </c>
      <c r="N216" s="6" t="n">
        <v>1</v>
      </c>
      <c r="O216" s="6" t="n"/>
      <c r="P216" s="6" t="n">
        <v>4500</v>
      </c>
      <c r="Q216" s="6" t="n">
        <v>1.0625</v>
      </c>
      <c r="R216">
        <f>M216+IF(N216&gt;1,N(O216)*(N216-1),0)</f>
        <v/>
      </c>
      <c r="S216">
        <f>IFERROR(L216*MAX(N216,1)/R216*Q216*IF(ISBLANK(K212),1,K212),0)</f>
        <v/>
      </c>
      <c r="AB216" s="7" t="inlineStr">
        <is>
          <t>^HeavyCannon, ^Chaingun, ^SmallArms, ^HeavyMachineGunProjectile</t>
        </is>
      </c>
    </row>
    <row r="217">
      <c r="A217" t="inlineStr">
        <is>
          <t>starcraft</t>
        </is>
      </c>
      <c r="B217" t="inlineStr">
        <is>
          <t>zerg_defiler</t>
        </is>
      </c>
      <c r="C217" t="inlineStr">
        <is>
          <t>Defiler</t>
        </is>
      </c>
      <c r="D217" s="6" t="inlineStr">
        <is>
          <t>ScoutInfantry</t>
        </is>
      </c>
      <c r="E217" s="6" t="n">
        <v>80000</v>
      </c>
      <c r="F217" s="6" t="n">
        <v>50</v>
      </c>
      <c r="G217" t="inlineStr">
        <is>
          <t>None</t>
        </is>
      </c>
      <c r="H217" s="6" t="n">
        <v>1</v>
      </c>
      <c r="I217" s="6" t="n">
        <v>1</v>
      </c>
      <c r="J217" s="6" t="n">
        <v>1.25</v>
      </c>
      <c r="K217" s="6" t="n"/>
      <c r="P217">
        <f>MAX(P218)</f>
        <v/>
      </c>
      <c r="S217">
        <f>S218</f>
        <v/>
      </c>
      <c r="T217">
        <f>(E217/100000+F217/100+(P217/1000)*J217/5+S217/200)*200*I217*H217</f>
        <v/>
      </c>
      <c r="U217">
        <f>((E217*F217/25000)+((P217/1000)*J217*S217/2.5))*I217*H217</f>
        <v/>
      </c>
      <c r="V217">
        <f>(E217*F217*(P217/1000)*J217*S217*I217*H217)/12500000</f>
        <v/>
      </c>
      <c r="W217">
        <f>(((E217/20000)+(F217/60)+(S217/60)+((P217/5000)*J217))*100/4+(((E217/20000)*(F217/60))+(((P217/5000)*J217)*(S217/60)))*100/2+((E217/20000)*(F217/60)*((P217/5000)*J217)*(S217/60))*100)*H217/3</f>
        <v/>
      </c>
      <c r="X217" s="6" t="n">
        <v>1400</v>
      </c>
      <c r="Y217">
        <f>IFERROR(W217-X217,"")</f>
        <v/>
      </c>
      <c r="Z217">
        <f>IFERROR(ABS(Y217)/MAX(X217,1),"")</f>
        <v/>
      </c>
      <c r="AA217">
        <f>IFERROR(ROUND(((3*X217-(((E217/20000)+(F217/60)+(S217/60))*100/4+((E217/20000)*(F217/60))*100/2)*H217)/(100/4+((S217/60))*100/2+((E217/20000)*(F217/60)*(S217/60))*100)*H217*5000)/J217,-1),"")</f>
        <v/>
      </c>
    </row>
    <row r="218">
      <c r="B218" s="7" t="inlineStr">
        <is>
          <t xml:space="preserve">  ↳ DefilerPlague</t>
        </is>
      </c>
      <c r="C218" s="7" t="inlineStr">
        <is>
          <t>Armament</t>
        </is>
      </c>
      <c r="L218" s="6" t="n">
        <v>30000</v>
      </c>
      <c r="M218" s="6" t="n">
        <v>175</v>
      </c>
      <c r="N218" s="6" t="n">
        <v>1</v>
      </c>
      <c r="O218" s="6" t="n"/>
      <c r="P218" s="6" t="n">
        <v>9000</v>
      </c>
      <c r="Q218" s="6" t="n">
        <v>1.25</v>
      </c>
      <c r="R218">
        <f>M218+IF(N218&gt;1,N(O218)*(N218-1),0)</f>
        <v/>
      </c>
      <c r="S218">
        <f>IFERROR(L218*MAX(N218,1)/R218*Q218*IF(ISBLANK(K217),1,K217),0)</f>
        <v/>
      </c>
      <c r="AB218" s="7" t="inlineStr">
        <is>
          <t>^HeavyChemicalWeapon</t>
        </is>
      </c>
    </row>
    <row r="219">
      <c r="A219" t="inlineStr">
        <is>
          <t>starcraft</t>
        </is>
      </c>
      <c r="B219" t="inlineStr">
        <is>
          <t>zerg_spithid</t>
        </is>
      </c>
      <c r="C219" t="inlineStr">
        <is>
          <t>Spithid</t>
        </is>
      </c>
      <c r="D219" s="6" t="inlineStr">
        <is>
          <t>ScoutInfantry</t>
        </is>
      </c>
      <c r="E219" s="6" t="n">
        <v>40000</v>
      </c>
      <c r="F219" s="6" t="n">
        <v>110</v>
      </c>
      <c r="G219" t="inlineStr">
        <is>
          <t>None</t>
        </is>
      </c>
      <c r="H219" s="6" t="n">
        <v>1</v>
      </c>
      <c r="I219" s="6" t="n">
        <v>1</v>
      </c>
      <c r="J219" s="6" t="n">
        <v>1</v>
      </c>
      <c r="K219" s="6" t="n"/>
      <c r="P219">
        <f>MAX(P220)</f>
        <v/>
      </c>
      <c r="S219">
        <f>S220</f>
        <v/>
      </c>
      <c r="T219">
        <f>(E219/100000+F219/100+(P219/1000)*J219/5+S219/200)*200*I219*H219</f>
        <v/>
      </c>
      <c r="U219">
        <f>((E219*F219/25000)+((P219/1000)*J219*S219/2.5))*I219*H219</f>
        <v/>
      </c>
      <c r="V219">
        <f>(E219*F219*(P219/1000)*J219*S219*I219*H219)/12500000</f>
        <v/>
      </c>
      <c r="W219">
        <f>(((E219/20000)+(F219/60)+(S219/60)+((P219/5000)*J219))*100/4+(((E219/20000)*(F219/60))+(((P219/5000)*J219)*(S219/60)))*100/2+((E219/20000)*(F219/60)*((P219/5000)*J219)*(S219/60))*100)*H219/3</f>
        <v/>
      </c>
      <c r="X219" s="6" t="n">
        <v>300</v>
      </c>
      <c r="Y219">
        <f>IFERROR(W219-X219,"")</f>
        <v/>
      </c>
      <c r="Z219">
        <f>IFERROR(ABS(Y219)/MAX(X219,1),"")</f>
        <v/>
      </c>
      <c r="AA219">
        <f>IFERROR(ROUND(((3*X219-(((E219/20000)+(F219/60)+(S219/60))*100/4+((E219/20000)*(F219/60))*100/2)*H219)/(100/4+((S219/60))*100/2+((E219/20000)*(F219/60)*(S219/60))*100)*H219*5000)/J219,-1),"")</f>
        <v/>
      </c>
    </row>
    <row r="220">
      <c r="B220" s="7" t="inlineStr">
        <is>
          <t xml:space="preserve">  ↳ SpithidSpit</t>
        </is>
      </c>
      <c r="C220" s="7" t="inlineStr">
        <is>
          <t>Armament@PRIMARY</t>
        </is>
      </c>
      <c r="L220" s="6" t="n">
        <v>2000</v>
      </c>
      <c r="M220" s="6" t="n">
        <v>15</v>
      </c>
      <c r="N220" s="6" t="n">
        <v>1</v>
      </c>
      <c r="O220" s="6" t="n"/>
      <c r="P220" s="6" t="n">
        <v>3855</v>
      </c>
      <c r="Q220" s="6" t="n">
        <v>0.75</v>
      </c>
      <c r="R220">
        <f>M220+IF(N220&gt;1,N(O220)*(N220-1),0)</f>
        <v/>
      </c>
      <c r="S220">
        <f>IFERROR(L220*MAX(N220,1)/R220*Q220*IF(ISBLANK(K219),1,K219),0)</f>
        <v/>
      </c>
      <c r="AB220" s="7" t="inlineStr">
        <is>
          <t>^LightMissile, ^SmallArms, ^ArrowWeapon</t>
        </is>
      </c>
    </row>
    <row r="221">
      <c r="B221" s="7" t="inlineStr">
        <is>
          <t xml:space="preserve">  ↳ SpithidSpit</t>
        </is>
      </c>
      <c r="C221" s="7" t="inlineStr">
        <is>
          <t>Armament@GARRISONED</t>
        </is>
      </c>
      <c r="L221" s="6" t="n">
        <v>2000</v>
      </c>
      <c r="M221" s="6" t="n">
        <v>15</v>
      </c>
      <c r="N221" s="6" t="n">
        <v>1</v>
      </c>
      <c r="O221" s="6" t="n"/>
      <c r="P221" s="6" t="n">
        <v>3855</v>
      </c>
      <c r="Q221" s="6" t="n">
        <v>0.75</v>
      </c>
      <c r="R221">
        <f>M221+IF(N221&gt;1,N(O221)*(N221-1),0)</f>
        <v/>
      </c>
      <c r="S221">
        <f>IFERROR(L221*MAX(N221,1)/R221*Q221*IF(ISBLANK(K219),1,K219),0)</f>
        <v/>
      </c>
      <c r="AB221" s="7" t="inlineStr">
        <is>
          <t>^LightMissile, ^SmallArms, ^ArrowWeapon</t>
        </is>
      </c>
    </row>
    <row r="222">
      <c r="A222" s="4" t="inlineStr">
        <is>
          <t>CloseCombatInfantry</t>
        </is>
      </c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</row>
    <row r="223">
      <c r="A223" t="inlineStr">
        <is>
          <t>tiberiandawn</t>
        </is>
      </c>
      <c r="B223" t="inlineStr">
        <is>
          <t>td_gdi_shotgunner</t>
        </is>
      </c>
      <c r="C223" t="inlineStr">
        <is>
          <t>Shotgunner</t>
        </is>
      </c>
      <c r="D223" s="6" t="inlineStr">
        <is>
          <t>CloseCombatInfantry</t>
        </is>
      </c>
      <c r="E223" s="6" t="n">
        <v>50000</v>
      </c>
      <c r="F223" s="6" t="n">
        <v>75</v>
      </c>
      <c r="G223" t="inlineStr">
        <is>
          <t>Plate</t>
        </is>
      </c>
      <c r="H223" s="6" t="n">
        <v>1</v>
      </c>
      <c r="I223" s="6" t="n">
        <v>1</v>
      </c>
      <c r="J223" s="6" t="n">
        <v>1</v>
      </c>
      <c r="K223" s="6" t="n">
        <v>2</v>
      </c>
      <c r="P223">
        <f>MAX(P224)</f>
        <v/>
      </c>
      <c r="S223">
        <f>S224</f>
        <v/>
      </c>
      <c r="T223">
        <f>(E223/100000+F223/100+(P223/1000)*J223/5+S223/200)*200*I223*H223</f>
        <v/>
      </c>
      <c r="U223">
        <f>((E223*F223/25000)+((P223/1000)*J223*S223/2.5))*I223*H223</f>
        <v/>
      </c>
      <c r="V223">
        <f>(E223*F223*(P223/1000)*J223*S223*I223*H223)/12500000</f>
        <v/>
      </c>
      <c r="W223">
        <f>(((E223/50000)+(F223/75)+(S223/233.3333)+((P223/3500)*J223))*200/4+(((E223/50000)*(F223/75))+(((P223/3500)*J223)*(S223/233.3333)))*200/2+((E223/50000)*(F223/75)*((P223/3500)*J223)*(S223/233.3333))*200)*H223/3</f>
        <v/>
      </c>
      <c r="X223" s="6" t="n">
        <v>200</v>
      </c>
      <c r="Y223">
        <f>IFERROR(W223-X223,"")</f>
        <v/>
      </c>
      <c r="Z223">
        <f>IFERROR(ABS(Y223)/MAX(X223,1),"")</f>
        <v/>
      </c>
      <c r="AA223">
        <f>IFERROR(ROUND(((3*X223-(((E223/50000)+(F223/75)+(S223/233.3333))*200/4+((E223/50000)*(F223/75))*200/2)*H223)/(200/4+((S223/233.3333))*200/2+((E223/50000)*(F223/75)*(S223/233.3333))*200)*H223*3500)/J223,-1),"")</f>
        <v/>
      </c>
    </row>
    <row r="224">
      <c r="B224" s="7" t="inlineStr">
        <is>
          <t xml:space="preserve">  ↳ td_gdi_shotgunner_shotgun</t>
        </is>
      </c>
      <c r="C224" s="7" t="inlineStr">
        <is>
          <t>Armament@PRIMARY</t>
        </is>
      </c>
      <c r="L224" s="6" t="n">
        <v>2000</v>
      </c>
      <c r="M224" s="6" t="n">
        <v>75</v>
      </c>
      <c r="N224" s="6" t="n">
        <v>5</v>
      </c>
      <c r="O224" s="6" t="n">
        <v>0</v>
      </c>
      <c r="P224" s="6" t="n">
        <v>3500</v>
      </c>
      <c r="Q224" s="6" t="n">
        <v>0.875</v>
      </c>
      <c r="R224">
        <f>M224+IF(N224&gt;1,N(O224)*(N224-1),0)</f>
        <v/>
      </c>
      <c r="S224">
        <f>IFERROR(L224*MAX(N224,1)/R224*Q224*IF(ISBLANK(K223),1,K223),0)</f>
        <v/>
      </c>
      <c r="AB224" s="7" t="inlineStr">
        <is>
          <t>^SmallArms, ^Chaingun</t>
        </is>
      </c>
    </row>
    <row r="225">
      <c r="B225" s="7" t="inlineStr">
        <is>
          <t xml:space="preserve">  ↳ td_gdi_shotgunner_shotgun</t>
        </is>
      </c>
      <c r="C225" s="7" t="inlineStr">
        <is>
          <t>Armament@GARRISONED</t>
        </is>
      </c>
      <c r="L225" s="6" t="n">
        <v>2000</v>
      </c>
      <c r="M225" s="6" t="n">
        <v>75</v>
      </c>
      <c r="N225" s="6" t="n">
        <v>5</v>
      </c>
      <c r="O225" s="6" t="n">
        <v>0</v>
      </c>
      <c r="P225" s="6" t="n">
        <v>3500</v>
      </c>
      <c r="Q225" s="6" t="n">
        <v>0.875</v>
      </c>
      <c r="R225">
        <f>M225+IF(N225&gt;1,N(O225)*(N225-1),0)</f>
        <v/>
      </c>
      <c r="S225">
        <f>IFERROR(L225*MAX(N225,1)/R225*Q225*IF(ISBLANK(K223),1,K223),0)</f>
        <v/>
      </c>
      <c r="AB225" s="7" t="inlineStr">
        <is>
          <t>^SmallArms, ^Chaingun</t>
        </is>
      </c>
    </row>
    <row r="226">
      <c r="A226" t="inlineStr">
        <is>
          <t>redalert2mod</t>
        </is>
      </c>
      <c r="B226" t="inlineStr">
        <is>
          <t>asianalliance_fanatic</t>
        </is>
      </c>
      <c r="C226" t="inlineStr">
        <is>
          <t>Fanatic</t>
        </is>
      </c>
      <c r="D226" s="6" t="inlineStr">
        <is>
          <t>CloseCombatInfantry</t>
        </is>
      </c>
      <c r="E226" s="6" t="n">
        <v>100000</v>
      </c>
      <c r="F226" s="6" t="n">
        <v>75</v>
      </c>
      <c r="G226" t="inlineStr">
        <is>
          <t>Plate</t>
        </is>
      </c>
      <c r="H226" s="6" t="n">
        <v>1</v>
      </c>
      <c r="I226" s="6" t="n">
        <v>1</v>
      </c>
      <c r="J226" s="6" t="n">
        <v>1</v>
      </c>
      <c r="K226" s="6" t="n"/>
      <c r="P226">
        <f>MAX(P227,P228,P229)</f>
        <v/>
      </c>
      <c r="S226">
        <f>S227+S228+S229</f>
        <v/>
      </c>
      <c r="T226">
        <f>(E226/100000+F226/100+(P226/1000)*J226/5+S226/200)*200*I226*H226</f>
        <v/>
      </c>
      <c r="U226">
        <f>((E226*F226/25000)+((P226/1000)*J226*S226/2.5))*I226*H226</f>
        <v/>
      </c>
      <c r="V226">
        <f>(E226*F226*(P226/1000)*J226*S226*I226*H226)/12500000</f>
        <v/>
      </c>
      <c r="W226">
        <f>(((E226/50000)+(F226/75)+(S226/233.3333)+((P226/3500)*J226))*200/4+(((E226/50000)*(F226/75))+(((P226/3500)*J226)*(S226/233.3333)))*200/2+((E226/50000)*(F226/75)*((P226/3500)*J226)*(S226/233.3333))*200)*H226/3</f>
        <v/>
      </c>
      <c r="X226" s="6" t="n">
        <v>500</v>
      </c>
      <c r="Y226">
        <f>IFERROR(W226-X226,"")</f>
        <v/>
      </c>
      <c r="Z226">
        <f>IFERROR(ABS(Y226)/MAX(X226,1),"")</f>
        <v/>
      </c>
      <c r="AA226">
        <f>IFERROR(ROUND(((3*X226-(((E226/50000)+(F226/75)+(S226/233.3333))*200/4+((E226/50000)*(F226/75))*200/2)*H226)/(200/4+((S226/233.3333))*200/2+((E226/50000)*(F226/75)*(S226/233.3333))*200)*H226*3500)/J226,-1),"")</f>
        <v/>
      </c>
    </row>
    <row r="227">
      <c r="B227" s="7" t="inlineStr">
        <is>
          <t xml:space="preserve">  ↳ asianalliance_fanatic_shotgun</t>
        </is>
      </c>
      <c r="C227" s="7" t="inlineStr">
        <is>
          <t>Armament@PRIMARY</t>
        </is>
      </c>
      <c r="L227" s="6" t="n">
        <v>2000</v>
      </c>
      <c r="M227" s="6" t="n">
        <v>75</v>
      </c>
      <c r="N227" s="6" t="n">
        <v>10</v>
      </c>
      <c r="O227" s="6" t="n">
        <v>0</v>
      </c>
      <c r="P227" s="6" t="n">
        <v>3500</v>
      </c>
      <c r="Q227" s="6" t="n">
        <v>0.875</v>
      </c>
      <c r="R227">
        <f>M227+IF(N227&gt;1,N(O227)*(N227-1),0)</f>
        <v/>
      </c>
      <c r="S227">
        <f>IFERROR(L227*MAX(N227,1)/R227*Q227*IF(ISBLANK(K226),1,K226),0)</f>
        <v/>
      </c>
      <c r="AB227" s="7" t="inlineStr">
        <is>
          <t>^SmallArms, ^Chaingun</t>
        </is>
      </c>
    </row>
    <row r="228">
      <c r="B228" s="7" t="inlineStr">
        <is>
          <t xml:space="preserve">  ↳ asianalliance_fanatic_shotgun_upgrade</t>
        </is>
      </c>
      <c r="C228" s="7" t="inlineStr">
        <is>
          <t>Armament@Upgrade</t>
        </is>
      </c>
      <c r="L228" s="6" t="n">
        <v>2000</v>
      </c>
      <c r="M228" s="6" t="n">
        <v>75</v>
      </c>
      <c r="N228" s="6" t="n">
        <v>13</v>
      </c>
      <c r="O228" s="6" t="n">
        <v>0</v>
      </c>
      <c r="P228" s="6" t="n">
        <v>3500</v>
      </c>
      <c r="Q228" s="6" t="n">
        <v>0.875</v>
      </c>
      <c r="R228">
        <f>M228+IF(N228&gt;1,N(O228)*(N228-1),0)</f>
        <v/>
      </c>
      <c r="S228">
        <f>IFERROR(L228*MAX(N228,1)/R228*Q228*IF(ISBLANK(K226),1,K226),0)</f>
        <v/>
      </c>
      <c r="AB228" s="7" t="inlineStr">
        <is>
          <t>^SmallArms, ^Chaingun</t>
        </is>
      </c>
    </row>
    <row r="229">
      <c r="B229" s="7" t="inlineStr">
        <is>
          <t xml:space="preserve">  ↳ asianalliance_fanatic_shotgun_elite</t>
        </is>
      </c>
      <c r="C229" s="7" t="inlineStr">
        <is>
          <t>Armament@ELITE</t>
        </is>
      </c>
      <c r="L229" s="6" t="n">
        <v>2000</v>
      </c>
      <c r="M229" s="6" t="n">
        <v>75</v>
      </c>
      <c r="N229" s="6" t="n">
        <v>20</v>
      </c>
      <c r="O229" s="6" t="n">
        <v>0</v>
      </c>
      <c r="P229" s="6" t="n">
        <v>3500</v>
      </c>
      <c r="Q229" s="6" t="n">
        <v>0.875</v>
      </c>
      <c r="R229">
        <f>M229+IF(N229&gt;1,N(O229)*(N229-1),0)</f>
        <v/>
      </c>
      <c r="S229">
        <f>IFERROR(L229*MAX(N229,1)/R229*Q229*IF(ISBLANK(K226),1,K226),0)</f>
        <v/>
      </c>
      <c r="AB229" s="7" t="inlineStr">
        <is>
          <t>^SmallArms, ^Chaingun</t>
        </is>
      </c>
    </row>
    <row r="230">
      <c r="B230" s="7" t="inlineStr">
        <is>
          <t xml:space="preserve">  ↳ asianalliance_fanatic_shotgun</t>
        </is>
      </c>
      <c r="C230" s="7" t="inlineStr">
        <is>
          <t>Armament@GARRISONED</t>
        </is>
      </c>
      <c r="L230" s="6" t="n">
        <v>2000</v>
      </c>
      <c r="M230" s="6" t="n">
        <v>75</v>
      </c>
      <c r="N230" s="6" t="n">
        <v>10</v>
      </c>
      <c r="O230" s="6" t="n">
        <v>0</v>
      </c>
      <c r="P230" s="6" t="n">
        <v>3500</v>
      </c>
      <c r="Q230" s="6" t="n">
        <v>0.875</v>
      </c>
      <c r="R230">
        <f>M230+IF(N230&gt;1,N(O230)*(N230-1),0)</f>
        <v/>
      </c>
      <c r="S230">
        <f>IFERROR(L230*MAX(N230,1)/R230*Q230*IF(ISBLANK(K226),1,K226),0)</f>
        <v/>
      </c>
      <c r="AB230" s="7" t="inlineStr">
        <is>
          <t>^SmallArms, ^Chaingun</t>
        </is>
      </c>
    </row>
    <row r="231">
      <c r="B231" s="7" t="inlineStr">
        <is>
          <t xml:space="preserve">  ↳ asianalliance_fanatic_shotgun_upgrade</t>
        </is>
      </c>
      <c r="C231" s="7" t="inlineStr">
        <is>
          <t>Armament@GARRISONEDUpgrade</t>
        </is>
      </c>
      <c r="L231" s="6" t="n">
        <v>2000</v>
      </c>
      <c r="M231" s="6" t="n">
        <v>75</v>
      </c>
      <c r="N231" s="6" t="n">
        <v>13</v>
      </c>
      <c r="O231" s="6" t="n">
        <v>0</v>
      </c>
      <c r="P231" s="6" t="n">
        <v>3500</v>
      </c>
      <c r="Q231" s="6" t="n">
        <v>0.875</v>
      </c>
      <c r="R231">
        <f>M231+IF(N231&gt;1,N(O231)*(N231-1),0)</f>
        <v/>
      </c>
      <c r="S231">
        <f>IFERROR(L231*MAX(N231,1)/R231*Q231*IF(ISBLANK(K226),1,K226),0)</f>
        <v/>
      </c>
      <c r="AB231" s="7" t="inlineStr">
        <is>
          <t>^SmallArms, ^Chaingun</t>
        </is>
      </c>
    </row>
    <row r="232">
      <c r="B232" s="7" t="inlineStr">
        <is>
          <t xml:space="preserve">  ↳ asianalliance_fanatic_shotgun_elite</t>
        </is>
      </c>
      <c r="C232" s="7" t="inlineStr">
        <is>
          <t>Armament@GARRISONEDELITE</t>
        </is>
      </c>
      <c r="L232" s="6" t="n">
        <v>2000</v>
      </c>
      <c r="M232" s="6" t="n">
        <v>75</v>
      </c>
      <c r="N232" s="6" t="n">
        <v>20</v>
      </c>
      <c r="O232" s="6" t="n">
        <v>0</v>
      </c>
      <c r="P232" s="6" t="n">
        <v>3500</v>
      </c>
      <c r="Q232" s="6" t="n">
        <v>0.875</v>
      </c>
      <c r="R232">
        <f>M232+IF(N232&gt;1,N(O232)*(N232-1),0)</f>
        <v/>
      </c>
      <c r="S232">
        <f>IFERROR(L232*MAX(N232,1)/R232*Q232*IF(ISBLANK(K226),1,K226),0)</f>
        <v/>
      </c>
      <c r="AB232" s="7" t="inlineStr">
        <is>
          <t>^SmallArms, ^Chaingun</t>
        </is>
      </c>
    </row>
    <row r="233">
      <c r="A233" t="inlineStr">
        <is>
          <t>redalert2mod</t>
        </is>
      </c>
      <c r="B233" t="inlineStr">
        <is>
          <t>alien.nax</t>
        </is>
      </c>
      <c r="C233" t="inlineStr">
        <is>
          <t>Naxi Alien</t>
        </is>
      </c>
      <c r="D233" s="6" t="inlineStr">
        <is>
          <t>CloseCombatInfantry</t>
        </is>
      </c>
      <c r="E233" s="6" t="n">
        <v>15000</v>
      </c>
      <c r="F233" s="6" t="n">
        <v>40</v>
      </c>
      <c r="G233" t="inlineStr">
        <is>
          <t>Plate</t>
        </is>
      </c>
      <c r="H233" s="6" t="n">
        <v>1</v>
      </c>
      <c r="I233" s="6" t="n">
        <v>1</v>
      </c>
      <c r="J233" s="6" t="n">
        <v>1</v>
      </c>
      <c r="K233" s="6" t="n"/>
      <c r="P233">
        <f>MAX(P234,P235)</f>
        <v/>
      </c>
      <c r="S233">
        <f>S234+S235</f>
        <v/>
      </c>
      <c r="T233">
        <f>(E233/100000+F233/100+(P233/1000)*J233/5+S233/200)*200*I233*H233</f>
        <v/>
      </c>
      <c r="U233">
        <f>((E233*F233/25000)+((P233/1000)*J233*S233/2.5))*I233*H233</f>
        <v/>
      </c>
      <c r="V233">
        <f>(E233*F233*(P233/1000)*J233*S233*I233*H233)/12500000</f>
        <v/>
      </c>
      <c r="W233">
        <f>(((E233/50000)+(F233/75)+(S233/233.3333)+((P233/3500)*J233))*200/4+(((E233/50000)*(F233/75))+(((P233/3500)*J233)*(S233/233.3333)))*200/2+((E233/50000)*(F233/75)*((P233/3500)*J233)*(S233/233.3333))*200)*H233/3</f>
        <v/>
      </c>
      <c r="X233" s="6" t="n">
        <v>110</v>
      </c>
      <c r="Y233">
        <f>IFERROR(W233-X233,"")</f>
        <v/>
      </c>
      <c r="Z233">
        <f>IFERROR(ABS(Y233)/MAX(X233,1),"")</f>
        <v/>
      </c>
      <c r="AA233">
        <f>IFERROR(ROUND(((3*X233-(((E233/50000)+(F233/75)+(S233/233.3333))*200/4+((E233/50000)*(F233/75))*200/2)*H233)/(200/4+((S233/233.3333))*200/2+((E233/50000)*(F233/75)*(S233/233.3333))*200)*H233*3500)/J233,-1),"")</f>
        <v/>
      </c>
    </row>
    <row r="234">
      <c r="B234" s="7" t="inlineStr">
        <is>
          <t xml:space="preserve">  ↳ NaxiAlienPistol</t>
        </is>
      </c>
      <c r="C234" s="7" t="inlineStr">
        <is>
          <t>Armament@PRIMARY</t>
        </is>
      </c>
      <c r="L234" s="6" t="n">
        <v>4000</v>
      </c>
      <c r="M234" s="6" t="n">
        <v>54</v>
      </c>
      <c r="N234" s="6" t="n">
        <v>2</v>
      </c>
      <c r="O234" s="6" t="n">
        <v>3</v>
      </c>
      <c r="P234" s="6" t="n">
        <v>3500</v>
      </c>
      <c r="Q234" s="6" t="n">
        <v>1</v>
      </c>
      <c r="R234">
        <f>M234+IF(N234&gt;1,N(O234)*(N234-1),0)</f>
        <v/>
      </c>
      <c r="S234">
        <f>IFERROR(L234*MAX(N234,1)/R234*Q234*IF(ISBLANK(K233),1,K233),0)</f>
        <v/>
      </c>
      <c r="AB234" s="7" t="inlineStr">
        <is>
          <t>^TeslaWeapon, ^RA2MediumCannon, ^LunarNaxisUpgradedCannons</t>
        </is>
      </c>
    </row>
    <row r="235">
      <c r="B235" s="7" t="inlineStr">
        <is>
          <t xml:space="preserve">  ↳ NaxiAlienPistolE</t>
        </is>
      </c>
      <c r="C235" s="7" t="inlineStr">
        <is>
          <t>Armament@ELITE</t>
        </is>
      </c>
      <c r="L235" s="6" t="n">
        <v>4000</v>
      </c>
      <c r="M235" s="6" t="n">
        <v>54</v>
      </c>
      <c r="N235" s="6" t="n">
        <v>4</v>
      </c>
      <c r="O235" s="6" t="n">
        <v>3</v>
      </c>
      <c r="P235" s="6" t="n">
        <v>3500</v>
      </c>
      <c r="Q235" s="6" t="n">
        <v>1</v>
      </c>
      <c r="R235">
        <f>M235+IF(N235&gt;1,N(O235)*(N235-1),0)</f>
        <v/>
      </c>
      <c r="S235">
        <f>IFERROR(L235*MAX(N235,1)/R235*Q235*IF(ISBLANK(K233),1,K233),0)</f>
        <v/>
      </c>
      <c r="AB235" s="7" t="inlineStr">
        <is>
          <t>^TeslaWeapon, ^RA2MediumCannon, ^LunarNaxisUpgradedCannons</t>
        </is>
      </c>
    </row>
    <row r="236">
      <c r="B236" s="7" t="inlineStr">
        <is>
          <t xml:space="preserve">  ↳ NaxiAlienPistol</t>
        </is>
      </c>
      <c r="C236" s="7" t="inlineStr">
        <is>
          <t>Armament@GARRISONED</t>
        </is>
      </c>
      <c r="L236" s="6" t="n">
        <v>4000</v>
      </c>
      <c r="M236" s="6" t="n">
        <v>54</v>
      </c>
      <c r="N236" s="6" t="n">
        <v>2</v>
      </c>
      <c r="O236" s="6" t="n">
        <v>3</v>
      </c>
      <c r="P236" s="6" t="n">
        <v>3500</v>
      </c>
      <c r="Q236" s="6" t="n">
        <v>1</v>
      </c>
      <c r="R236">
        <f>M236+IF(N236&gt;1,N(O236)*(N236-1),0)</f>
        <v/>
      </c>
      <c r="S236">
        <f>IFERROR(L236*MAX(N236,1)/R236*Q236*IF(ISBLANK(K233),1,K233),0)</f>
        <v/>
      </c>
      <c r="AB236" s="7" t="inlineStr">
        <is>
          <t>^TeslaWeapon, ^RA2MediumCannon, ^LunarNaxisUpgradedCannons</t>
        </is>
      </c>
    </row>
    <row r="237">
      <c r="B237" s="7" t="inlineStr">
        <is>
          <t xml:space="preserve">  ↳ NaxiAlienPistolE</t>
        </is>
      </c>
      <c r="C237" s="7" t="inlineStr">
        <is>
          <t>Armament@GARRISONEDELITE</t>
        </is>
      </c>
      <c r="L237" s="6" t="n">
        <v>4000</v>
      </c>
      <c r="M237" s="6" t="n">
        <v>54</v>
      </c>
      <c r="N237" s="6" t="n">
        <v>4</v>
      </c>
      <c r="O237" s="6" t="n">
        <v>3</v>
      </c>
      <c r="P237" s="6" t="n">
        <v>3500</v>
      </c>
      <c r="Q237" s="6" t="n">
        <v>1</v>
      </c>
      <c r="R237">
        <f>M237+IF(N237&gt;1,N(O237)*(N237-1),0)</f>
        <v/>
      </c>
      <c r="S237">
        <f>IFERROR(L237*MAX(N237,1)/R237*Q237*IF(ISBLANK(K233),1,K233),0)</f>
        <v/>
      </c>
      <c r="AB237" s="7" t="inlineStr">
        <is>
          <t>^TeslaWeapon, ^RA2MediumCannon, ^LunarNaxisUpgradedCannons</t>
        </is>
      </c>
    </row>
    <row r="238">
      <c r="A238" t="inlineStr">
        <is>
          <t>redalert2mod</t>
        </is>
      </c>
      <c r="B238" t="inlineStr">
        <is>
          <t>naxis_sssoldier</t>
        </is>
      </c>
      <c r="C238" t="inlineStr">
        <is>
          <t>SS Soldier</t>
        </is>
      </c>
      <c r="D238" s="6" t="inlineStr">
        <is>
          <t>CloseCombatInfantry</t>
        </is>
      </c>
      <c r="E238" s="6" t="n">
        <v>63000</v>
      </c>
      <c r="F238" s="6" t="n">
        <v>55</v>
      </c>
      <c r="G238" t="inlineStr">
        <is>
          <t>Plate</t>
        </is>
      </c>
      <c r="H238" s="6" t="n">
        <v>0.75</v>
      </c>
      <c r="I238" s="6" t="n">
        <v>1</v>
      </c>
      <c r="J238" s="6" t="n">
        <v>1</v>
      </c>
      <c r="K238" s="6" t="n"/>
      <c r="P238">
        <f>MAX(P239,P240)</f>
        <v/>
      </c>
      <c r="S238">
        <f>S239+S240</f>
        <v/>
      </c>
      <c r="T238">
        <f>(E238/100000+F238/100+(P238/1000)*J238/5+S238/200)*200*I238*H238</f>
        <v/>
      </c>
      <c r="U238">
        <f>((E238*F238/25000)+((P238/1000)*J238*S238/2.5))*I238*H238</f>
        <v/>
      </c>
      <c r="V238">
        <f>(E238*F238*(P238/1000)*J238*S238*I238*H238)/12500000</f>
        <v/>
      </c>
      <c r="W238">
        <f>(((E238/50000)+(F238/75)+(S238/233.3333)+((P238/3500)*J238))*200/4+(((E238/50000)*(F238/75))+(((P238/3500)*J238)*(S238/233.3333)))*200/2+((E238/50000)*(F238/75)*((P238/3500)*J238)*(S238/233.3333))*200)*H238/3</f>
        <v/>
      </c>
      <c r="X238" s="6" t="n">
        <v>240</v>
      </c>
      <c r="Y238">
        <f>IFERROR(W238-X238,"")</f>
        <v/>
      </c>
      <c r="Z238">
        <f>IFERROR(ABS(Y238)/MAX(X238,1),"")</f>
        <v/>
      </c>
      <c r="AA238">
        <f>IFERROR(ROUND(((3*X238-(((E238/50000)+(F238/75)+(S238/233.3333))*200/4+((E238/50000)*(F238/75))*200/2)*H238)/(200/4+((S238/233.3333))*200/2+((E238/50000)*(F238/75)*(S238/233.3333))*200)*H238*3500)/J238,-1),"")</f>
        <v/>
      </c>
    </row>
    <row r="239">
      <c r="B239" s="7" t="inlineStr">
        <is>
          <t xml:space="preserve">  ↳ naxis_sssoldier_smg</t>
        </is>
      </c>
      <c r="C239" s="7" t="inlineStr">
        <is>
          <t>Armament@PRIMARY</t>
        </is>
      </c>
      <c r="L239" s="6" t="n">
        <v>2000</v>
      </c>
      <c r="M239" s="6" t="n">
        <v>75</v>
      </c>
      <c r="N239" s="6" t="n">
        <v>10</v>
      </c>
      <c r="O239" s="6" t="n">
        <v>5</v>
      </c>
      <c r="P239" s="6" t="n">
        <v>4000</v>
      </c>
      <c r="Q239" s="6" t="n">
        <v>0.875</v>
      </c>
      <c r="R239">
        <f>M239+IF(N239&gt;1,N(O239)*(N239-1),0)</f>
        <v/>
      </c>
      <c r="S239">
        <f>IFERROR(L239*MAX(N239,1)/R239*Q239*IF(ISBLANK(K238),1,K238),0)</f>
        <v/>
      </c>
      <c r="AB239" s="7" t="inlineStr">
        <is>
          <t>^SmallArms, ^Chaingun</t>
        </is>
      </c>
    </row>
    <row r="240">
      <c r="B240" s="7" t="inlineStr">
        <is>
          <t xml:space="preserve">  ↳ naxis_sssoldier_smg_elite</t>
        </is>
      </c>
      <c r="C240" s="7" t="inlineStr">
        <is>
          <t>Armament@ELITE</t>
        </is>
      </c>
      <c r="L240" s="6" t="n">
        <v>2000</v>
      </c>
      <c r="M240" s="6" t="n">
        <v>75</v>
      </c>
      <c r="N240" s="6" t="n">
        <v>20</v>
      </c>
      <c r="O240" s="6" t="n">
        <v>4</v>
      </c>
      <c r="P240" s="6" t="n">
        <v>4000</v>
      </c>
      <c r="Q240" s="6" t="n">
        <v>0.875</v>
      </c>
      <c r="R240">
        <f>M240+IF(N240&gt;1,N(O240)*(N240-1),0)</f>
        <v/>
      </c>
      <c r="S240">
        <f>IFERROR(L240*MAX(N240,1)/R240*Q240*IF(ISBLANK(K238),1,K238),0)</f>
        <v/>
      </c>
      <c r="AB240" s="7" t="inlineStr">
        <is>
          <t>^SmallArms, ^Chaingun</t>
        </is>
      </c>
    </row>
    <row r="241">
      <c r="B241" s="7" t="inlineStr">
        <is>
          <t xml:space="preserve">  ↳ naxis_sssoldier_smg</t>
        </is>
      </c>
      <c r="C241" s="7" t="inlineStr">
        <is>
          <t>Armament@GARRISONED</t>
        </is>
      </c>
      <c r="L241" s="6" t="n">
        <v>2000</v>
      </c>
      <c r="M241" s="6" t="n">
        <v>75</v>
      </c>
      <c r="N241" s="6" t="n">
        <v>10</v>
      </c>
      <c r="O241" s="6" t="n">
        <v>5</v>
      </c>
      <c r="P241" s="6" t="n">
        <v>4000</v>
      </c>
      <c r="Q241" s="6" t="n">
        <v>0.875</v>
      </c>
      <c r="R241">
        <f>M241+IF(N241&gt;1,N(O241)*(N241-1),0)</f>
        <v/>
      </c>
      <c r="S241">
        <f>IFERROR(L241*MAX(N241,1)/R241*Q241*IF(ISBLANK(K238),1,K238),0)</f>
        <v/>
      </c>
      <c r="AB241" s="7" t="inlineStr">
        <is>
          <t>^SmallArms, ^Chaingun</t>
        </is>
      </c>
    </row>
    <row r="242">
      <c r="B242" s="7" t="inlineStr">
        <is>
          <t xml:space="preserve">  ↳ naxis_sssoldier_smg_elite</t>
        </is>
      </c>
      <c r="C242" s="7" t="inlineStr">
        <is>
          <t>Armament@GARRISONEDELITE</t>
        </is>
      </c>
      <c r="L242" s="6" t="n">
        <v>2000</v>
      </c>
      <c r="M242" s="6" t="n">
        <v>75</v>
      </c>
      <c r="N242" s="6" t="n">
        <v>20</v>
      </c>
      <c r="O242" s="6" t="n">
        <v>4</v>
      </c>
      <c r="P242" s="6" t="n">
        <v>4000</v>
      </c>
      <c r="Q242" s="6" t="n">
        <v>0.875</v>
      </c>
      <c r="R242">
        <f>M242+IF(N242&gt;1,N(O242)*(N242-1),0)</f>
        <v/>
      </c>
      <c r="S242">
        <f>IFERROR(L242*MAX(N242,1)/R242*Q242*IF(ISBLANK(K238),1,K238),0)</f>
        <v/>
      </c>
      <c r="AB242" s="7" t="inlineStr">
        <is>
          <t>^SmallArms, ^Chaingun</t>
        </is>
      </c>
    </row>
    <row r="243">
      <c r="A243" s="4" t="inlineStr">
        <is>
          <t>GrenadierInfantry</t>
        </is>
      </c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</row>
    <row r="244">
      <c r="A244" t="inlineStr">
        <is>
          <t>tiberiandawn</t>
        </is>
      </c>
      <c r="B244" t="inlineStr">
        <is>
          <t>td_gdi_empgrenadier</t>
        </is>
      </c>
      <c r="C244" t="inlineStr">
        <is>
          <t>EMP Grenadier</t>
        </is>
      </c>
      <c r="D244" s="6" t="inlineStr">
        <is>
          <t>GrenadierInfantry</t>
        </is>
      </c>
      <c r="E244" s="6" t="n">
        <v>32000</v>
      </c>
      <c r="F244" s="6" t="n">
        <v>60</v>
      </c>
      <c r="G244" t="inlineStr">
        <is>
          <t>None</t>
        </is>
      </c>
      <c r="H244" s="6" t="n">
        <v>1</v>
      </c>
      <c r="I244" s="6" t="n">
        <v>0.4</v>
      </c>
      <c r="J244" s="6" t="n">
        <v>1.25</v>
      </c>
      <c r="K244" s="6" t="n">
        <v>1.2</v>
      </c>
      <c r="P244">
        <f>MAX(P245)</f>
        <v/>
      </c>
      <c r="S244">
        <f>S245</f>
        <v/>
      </c>
      <c r="T244">
        <f>(E244/100000+F244/100+(P244/1000)*J244/5+S244/200)*200*I244*H244</f>
        <v/>
      </c>
      <c r="U244">
        <f>((E244*F244/25000)+((P244/1000)*J244*S244/2.5))*I244*H244</f>
        <v/>
      </c>
      <c r="V244">
        <f>(E244*F244*(P244/1000)*J244*S244*I244*H244)/12500000</f>
        <v/>
      </c>
      <c r="W244">
        <f>(T244+U244+V244)/3</f>
        <v/>
      </c>
      <c r="X244" s="6" t="n">
        <v>500</v>
      </c>
      <c r="Y244">
        <f>IFERROR(W244-X244,"")</f>
        <v/>
      </c>
      <c r="Z244">
        <f>IFERROR(ABS(Y244)/MAX(X244,1),"")</f>
        <v/>
      </c>
      <c r="AA244">
        <f>IFERROR((X244-(((E244/100000+F244/100+S244/200)*200*I244*H244)+((E244*F244/25000)*I244*H244))/3)/(((J244/5)*200*I244*H244)+((J244*S244/2.5)*I244*H244)+((E244*F244*J244*S244*I244*H244)/12500000))/3*1000,"")</f>
        <v/>
      </c>
    </row>
    <row r="245">
      <c r="B245" s="7" t="inlineStr">
        <is>
          <t xml:space="preserve">  ↳ EMPGrenade</t>
        </is>
      </c>
      <c r="C245" s="7" t="inlineStr">
        <is>
          <t>Armament</t>
        </is>
      </c>
      <c r="L245" s="6" t="n">
        <v>8000</v>
      </c>
      <c r="M245" s="6" t="n">
        <v>111</v>
      </c>
      <c r="N245" s="6" t="n">
        <v>1</v>
      </c>
      <c r="O245" s="6" t="n"/>
      <c r="P245" s="6" t="n">
        <v>5694</v>
      </c>
      <c r="Q245" s="6" t="n">
        <v>1.0625</v>
      </c>
      <c r="R245">
        <f>M245+IF(N245&gt;1,N(O245)*(N245-1),0)</f>
        <v/>
      </c>
      <c r="S245">
        <f>IFERROR(L245*MAX(N245,1)/R245*Q245*IF(ISBLANK(K244),1,K244),0)</f>
        <v/>
      </c>
      <c r="AB245" s="7" t="inlineStr">
        <is>
          <t>^TeslaChargedWeapon, ^TeslaWeapon, ^MediumFlameWeapon, ^ShrapnelWeapon, ^HeavyCannon, ^MediumCannon, ^MediumMissile, ^HeavyMissile</t>
        </is>
      </c>
    </row>
    <row r="246">
      <c r="B246" s="7" t="inlineStr">
        <is>
          <t xml:space="preserve">  ↳ EMPGrenade</t>
        </is>
      </c>
      <c r="C246" s="7" t="inlineStr">
        <is>
          <t>Armament@GARRISONED</t>
        </is>
      </c>
      <c r="L246" s="6" t="n">
        <v>8000</v>
      </c>
      <c r="M246" s="6" t="n">
        <v>111</v>
      </c>
      <c r="N246" s="6" t="n">
        <v>1</v>
      </c>
      <c r="O246" s="6" t="n"/>
      <c r="P246" s="6" t="n">
        <v>5694</v>
      </c>
      <c r="Q246" s="6" t="n">
        <v>1.0625</v>
      </c>
      <c r="R246">
        <f>M246+IF(N246&gt;1,N(O246)*(N246-1),0)</f>
        <v/>
      </c>
      <c r="S246">
        <f>IFERROR(L246*MAX(N246,1)/R246*Q246*IF(ISBLANK(K244),1,K244),0)</f>
        <v/>
      </c>
      <c r="AB246" s="7" t="inlineStr">
        <is>
          <t>^TeslaChargedWeapon, ^TeslaWeapon, ^MediumFlameWeapon, ^ShrapnelWeapon, ^HeavyCannon, ^MediumCannon, ^MediumMissile, ^HeavyMissile</t>
        </is>
      </c>
    </row>
    <row r="247">
      <c r="A247" t="inlineStr">
        <is>
          <t>tiberiandawn</t>
        </is>
      </c>
      <c r="B247" t="inlineStr">
        <is>
          <t>td_gdi_grenadier</t>
        </is>
      </c>
      <c r="C247" t="inlineStr">
        <is>
          <t>GDI Grenadier</t>
        </is>
      </c>
      <c r="D247" s="6" t="inlineStr">
        <is>
          <t>GrenadierInfantry</t>
        </is>
      </c>
      <c r="E247" s="6" t="n">
        <v>8000</v>
      </c>
      <c r="F247" s="6" t="n">
        <v>75</v>
      </c>
      <c r="G247" t="inlineStr">
        <is>
          <t>None</t>
        </is>
      </c>
      <c r="H247" s="6" t="n">
        <v>1</v>
      </c>
      <c r="I247" s="6" t="n">
        <v>0.4</v>
      </c>
      <c r="J247" s="6" t="n">
        <v>1</v>
      </c>
      <c r="K247" s="6" t="n"/>
      <c r="P247">
        <f>MAX(P248)</f>
        <v/>
      </c>
      <c r="S247">
        <f>S248</f>
        <v/>
      </c>
      <c r="T247">
        <f>(E247/100000+F247/100+(P247/1000)*J247/5+S247/200)*200*I247*H247</f>
        <v/>
      </c>
      <c r="U247">
        <f>((E247*F247/25000)+((P247/1000)*J247*S247/2.5))*I247*H247</f>
        <v/>
      </c>
      <c r="V247">
        <f>(E247*F247*(P247/1000)*J247*S247*I247*H247)/12500000</f>
        <v/>
      </c>
      <c r="W247">
        <f>(T247+U247+V247)/3</f>
        <v/>
      </c>
      <c r="X247" s="6" t="n">
        <v>200</v>
      </c>
      <c r="Y247">
        <f>IFERROR(W247-X247,"")</f>
        <v/>
      </c>
      <c r="Z247">
        <f>IFERROR(ABS(Y247)/MAX(X247,1),"")</f>
        <v/>
      </c>
      <c r="AA247">
        <f>IFERROR((X247-(((E247/100000+F247/100+S247/200)*200*I247*H247)+((E247*F247/25000)*I247*H247))/3)/(((J247/5)*200*I247*H247)+((J247*S247/2.5)*I247*H247)+((E247*F247*J247*S247*I247*H247)/12500000))/3*1000,"")</f>
        <v/>
      </c>
    </row>
    <row r="248">
      <c r="B248" s="7" t="inlineStr">
        <is>
          <t xml:space="preserve">  ↳ Grenade</t>
        </is>
      </c>
      <c r="C248" s="7" t="inlineStr">
        <is>
          <t>Armament</t>
        </is>
      </c>
      <c r="L248" s="6" t="n">
        <v>16000</v>
      </c>
      <c r="M248" s="6" t="n">
        <v>42</v>
      </c>
      <c r="N248" s="6" t="n">
        <v>1</v>
      </c>
      <c r="O248" s="6" t="n"/>
      <c r="P248" s="6" t="n">
        <v>6097</v>
      </c>
      <c r="Q248" s="6" t="n">
        <v>1</v>
      </c>
      <c r="R248">
        <f>M248+IF(N248&gt;1,N(O248)*(N248-1),0)</f>
        <v/>
      </c>
      <c r="S248">
        <f>IFERROR(L248*MAX(N248,1)/R248*Q248*IF(ISBLANK(K247),1,K247),0)</f>
        <v/>
      </c>
      <c r="AB248" s="7" t="inlineStr">
        <is>
          <t>^Grenade</t>
        </is>
      </c>
    </row>
    <row r="249">
      <c r="B249" s="7" t="inlineStr">
        <is>
          <t xml:space="preserve">  ↳ Grenade</t>
        </is>
      </c>
      <c r="C249" s="7" t="inlineStr">
        <is>
          <t>Armament@GARRISONED</t>
        </is>
      </c>
      <c r="L249" s="6" t="n">
        <v>16000</v>
      </c>
      <c r="M249" s="6" t="n">
        <v>42</v>
      </c>
      <c r="N249" s="6" t="n">
        <v>1</v>
      </c>
      <c r="O249" s="6" t="n"/>
      <c r="P249" s="6" t="n">
        <v>6097</v>
      </c>
      <c r="Q249" s="6" t="n">
        <v>1</v>
      </c>
      <c r="R249">
        <f>M249+IF(N249&gt;1,N(O249)*(N249-1),0)</f>
        <v/>
      </c>
      <c r="S249">
        <f>IFERROR(L249*MAX(N249,1)/R249*Q249*IF(ISBLANK(K247),1,K247),0)</f>
        <v/>
      </c>
      <c r="AB249" s="7" t="inlineStr">
        <is>
          <t>^Grenade</t>
        </is>
      </c>
    </row>
    <row r="250">
      <c r="A250" t="inlineStr">
        <is>
          <t>shared</t>
        </is>
      </c>
      <c r="B250" t="inlineStr">
        <is>
          <t>ra1_soviets_molotovconscript</t>
        </is>
      </c>
      <c r="C250" t="inlineStr">
        <is>
          <t>Molotov Conscript</t>
        </is>
      </c>
      <c r="D250" s="6" t="inlineStr">
        <is>
          <t>GrenadierInfantry</t>
        </is>
      </c>
      <c r="E250" s="6" t="n">
        <v>11000</v>
      </c>
      <c r="F250" s="6" t="n">
        <v>67</v>
      </c>
      <c r="G250" t="inlineStr">
        <is>
          <t>None</t>
        </is>
      </c>
      <c r="H250" s="6" t="n">
        <v>1</v>
      </c>
      <c r="I250" s="6" t="n">
        <v>0.4</v>
      </c>
      <c r="J250" s="6" t="n">
        <v>1.25</v>
      </c>
      <c r="K250" s="6" t="n"/>
      <c r="P250">
        <f>MAX(P251)</f>
        <v/>
      </c>
      <c r="S250">
        <f>S251</f>
        <v/>
      </c>
      <c r="T250">
        <f>(E250/100000+F250/100+(P250/1000)*J250/5+S250/200)*200*I250*H250</f>
        <v/>
      </c>
      <c r="U250">
        <f>((E250*F250/25000)+((P250/1000)*J250*S250/2.5))*I250*H250</f>
        <v/>
      </c>
      <c r="V250">
        <f>(E250*F250*(P250/1000)*J250*S250*I250*H250)/12500000</f>
        <v/>
      </c>
      <c r="W250">
        <f>(T250+U250+V250)/3</f>
        <v/>
      </c>
      <c r="X250" s="6" t="n">
        <v>200</v>
      </c>
      <c r="Y250">
        <f>IFERROR(W250-X250,"")</f>
        <v/>
      </c>
      <c r="Z250">
        <f>IFERROR(ABS(Y250)/MAX(X250,1),"")</f>
        <v/>
      </c>
      <c r="AA250">
        <f>IFERROR((X250-(((E250/100000+F250/100+S250/200)*200*I250*H250)+((E250*F250/25000)*I250*H250))/3)/(((J250/5)*200*I250*H250)+((J250*S250/2.5)*I250*H250)+((E250*F250*J250*S250*I250*H250)/12500000))/3*1000,"")</f>
        <v/>
      </c>
    </row>
    <row r="251">
      <c r="B251" s="7" t="inlineStr">
        <is>
          <t xml:space="preserve">  ↳ ConscriptMolotov</t>
        </is>
      </c>
      <c r="C251" s="7" t="inlineStr">
        <is>
          <t>Armament</t>
        </is>
      </c>
      <c r="L251" s="6" t="n">
        <v>8000</v>
      </c>
      <c r="M251" s="6" t="n">
        <v>50</v>
      </c>
      <c r="N251" s="6" t="n">
        <v>1</v>
      </c>
      <c r="O251" s="6" t="n"/>
      <c r="P251" s="6" t="n">
        <v>5725</v>
      </c>
      <c r="Q251" s="6" t="n">
        <v>0.875</v>
      </c>
      <c r="R251">
        <f>M251+IF(N251&gt;1,N(O251)*(N251-1),0)</f>
        <v/>
      </c>
      <c r="S251">
        <f>IFERROR(L251*MAX(N251,1)/R251*Q251*IF(ISBLANK(K250),1,K250),0)</f>
        <v/>
      </c>
      <c r="AB251" s="7" t="inlineStr">
        <is>
          <t>^Grenade, ^LightFlameWeapon</t>
        </is>
      </c>
    </row>
    <row r="252">
      <c r="B252" s="7" t="inlineStr">
        <is>
          <t xml:space="preserve">  ↳ ConscriptMolotov</t>
        </is>
      </c>
      <c r="C252" s="7" t="inlineStr">
        <is>
          <t>Armament@GARRISONED</t>
        </is>
      </c>
      <c r="L252" s="6" t="n">
        <v>8000</v>
      </c>
      <c r="M252" s="6" t="n">
        <v>50</v>
      </c>
      <c r="N252" s="6" t="n">
        <v>1</v>
      </c>
      <c r="O252" s="6" t="n"/>
      <c r="P252" s="6" t="n">
        <v>5725</v>
      </c>
      <c r="Q252" s="6" t="n">
        <v>0.875</v>
      </c>
      <c r="R252">
        <f>M252+IF(N252&gt;1,N(O252)*(N252-1),0)</f>
        <v/>
      </c>
      <c r="S252">
        <f>IFERROR(L252*MAX(N252,1)/R252*Q252*IF(ISBLANK(K250),1,K250),0)</f>
        <v/>
      </c>
      <c r="AB252" s="7" t="inlineStr">
        <is>
          <t>^Grenade, ^LightFlameWeapon</t>
        </is>
      </c>
    </row>
    <row r="253">
      <c r="A253" t="inlineStr">
        <is>
          <t>redalert</t>
        </is>
      </c>
      <c r="B253" t="inlineStr">
        <is>
          <t>ra1_soviets_grenadier</t>
        </is>
      </c>
      <c r="C253" t="inlineStr">
        <is>
          <t>Soviet Grenadier</t>
        </is>
      </c>
      <c r="D253" s="6" t="inlineStr">
        <is>
          <t>GrenadierInfantry</t>
        </is>
      </c>
      <c r="E253" s="6" t="n">
        <v>8000</v>
      </c>
      <c r="F253" s="6" t="n">
        <v>75</v>
      </c>
      <c r="G253" t="inlineStr">
        <is>
          <t>None</t>
        </is>
      </c>
      <c r="H253" s="6" t="n">
        <v>1</v>
      </c>
      <c r="I253" s="6" t="n">
        <v>0.4</v>
      </c>
      <c r="J253" s="6" t="n">
        <v>1</v>
      </c>
      <c r="K253" s="6" t="n"/>
      <c r="P253">
        <f>MAX(P254,P256)</f>
        <v/>
      </c>
      <c r="S253">
        <f>S254+S256</f>
        <v/>
      </c>
      <c r="T253">
        <f>(E253/100000+F253/100+(P253/1000)*J253/5+S253/200)*200*I253*H253</f>
        <v/>
      </c>
      <c r="U253">
        <f>((E253*F253/25000)+((P253/1000)*J253*S253/2.5))*I253*H253</f>
        <v/>
      </c>
      <c r="V253">
        <f>(E253*F253*(P253/1000)*J253*S253*I253*H253)/12500000</f>
        <v/>
      </c>
      <c r="W253">
        <f>(T253+U253+V253)/3</f>
        <v/>
      </c>
      <c r="X253" s="6" t="n">
        <v>200</v>
      </c>
      <c r="Y253">
        <f>IFERROR(W253-X253,"")</f>
        <v/>
      </c>
      <c r="Z253">
        <f>IFERROR(ABS(Y253)/MAX(X253,1),"")</f>
        <v/>
      </c>
      <c r="AA253">
        <f>IFERROR((X253-(((E253/100000+F253/100+S253/200)*200*I253*H253)+((E253*F253/25000)*I253*H253))/3)/(((J253/5)*200*I253*H253)+((J253*S253/2.5)*I253*H253)+((E253*F253*J253*S253*I253*H253)/12500000))/3*1000,"")</f>
        <v/>
      </c>
    </row>
    <row r="254">
      <c r="B254" s="7" t="inlineStr">
        <is>
          <t xml:space="preserve">  ↳ GrenadeRA</t>
        </is>
      </c>
      <c r="C254" s="7" t="inlineStr">
        <is>
          <t>Armament</t>
        </is>
      </c>
      <c r="L254" s="6" t="n">
        <v>8000</v>
      </c>
      <c r="M254" s="6" t="n">
        <v>40</v>
      </c>
      <c r="N254" s="6" t="n">
        <v>1</v>
      </c>
      <c r="O254" s="6" t="n"/>
      <c r="P254" s="6" t="n">
        <v>5791</v>
      </c>
      <c r="Q254" s="6" t="n">
        <v>0.875</v>
      </c>
      <c r="R254">
        <f>M254+IF(N254&gt;1,N(O254)*(N254-1),0)</f>
        <v/>
      </c>
      <c r="S254">
        <f>IFERROR(L254*MAX(N254,1)/R254*Q254*IF(ISBLANK(K253),1,K253),0)</f>
        <v/>
      </c>
      <c r="AB254" s="7" t="inlineStr">
        <is>
          <t>^Grenade, ^LightFlameWeapon</t>
        </is>
      </c>
    </row>
    <row r="255">
      <c r="B255" s="7" t="inlineStr">
        <is>
          <t xml:space="preserve">  ↳ GrenadeRA</t>
        </is>
      </c>
      <c r="C255" s="7" t="inlineStr">
        <is>
          <t>Armament@GARRISONED</t>
        </is>
      </c>
      <c r="L255" s="6" t="n">
        <v>8000</v>
      </c>
      <c r="M255" s="6" t="n">
        <v>40</v>
      </c>
      <c r="N255" s="6" t="n">
        <v>1</v>
      </c>
      <c r="O255" s="6" t="n"/>
      <c r="P255" s="6" t="n">
        <v>5791</v>
      </c>
      <c r="Q255" s="6" t="n">
        <v>0.875</v>
      </c>
      <c r="R255">
        <f>M255+IF(N255&gt;1,N(O255)*(N255-1),0)</f>
        <v/>
      </c>
      <c r="S255">
        <f>IFERROR(L255*MAX(N255,1)/R255*Q255*IF(ISBLANK(K253),1,K253),0)</f>
        <v/>
      </c>
      <c r="AB255" s="7" t="inlineStr">
        <is>
          <t>^Grenade, ^LightFlameWeapon</t>
        </is>
      </c>
    </row>
    <row r="256">
      <c r="B256" s="7" t="inlineStr">
        <is>
          <t xml:space="preserve">  ↳ GrenadeThermobaric</t>
        </is>
      </c>
      <c r="C256" s="7" t="inlineStr">
        <is>
          <t>Armament@Upgrade</t>
        </is>
      </c>
      <c r="L256" s="6" t="n">
        <v>4000</v>
      </c>
      <c r="M256" s="6" t="n">
        <v>40</v>
      </c>
      <c r="N256" s="6" t="n">
        <v>1</v>
      </c>
      <c r="O256" s="6" t="n"/>
      <c r="P256" s="6" t="n">
        <v>5791</v>
      </c>
      <c r="Q256" s="6" t="n">
        <v>0.9375</v>
      </c>
      <c r="R256">
        <f>M256+IF(N256&gt;1,N(O256)*(N256-1),0)</f>
        <v/>
      </c>
      <c r="S256">
        <f>IFERROR(L256*MAX(N256,1)/R256*Q256*IF(ISBLANK(K253),1,K253),0)</f>
        <v/>
      </c>
      <c r="AB256" s="7" t="inlineStr">
        <is>
          <t>^ShrapnelWeapon, ^MediumFlameWeapon, ^Grenade, ^LightFlameWeapon</t>
        </is>
      </c>
    </row>
    <row r="257">
      <c r="B257" s="7" t="inlineStr">
        <is>
          <t xml:space="preserve">  ↳ GrenadeThermobaric</t>
        </is>
      </c>
      <c r="C257" s="7" t="inlineStr">
        <is>
          <t>Armament@UpgradeGARRISONED</t>
        </is>
      </c>
      <c r="L257" s="6" t="n">
        <v>4000</v>
      </c>
      <c r="M257" s="6" t="n">
        <v>40</v>
      </c>
      <c r="N257" s="6" t="n">
        <v>1</v>
      </c>
      <c r="O257" s="6" t="n"/>
      <c r="P257" s="6" t="n">
        <v>5791</v>
      </c>
      <c r="Q257" s="6" t="n">
        <v>0.9375</v>
      </c>
      <c r="R257">
        <f>M257+IF(N257&gt;1,N(O257)*(N257-1),0)</f>
        <v/>
      </c>
      <c r="S257">
        <f>IFERROR(L257*MAX(N257,1)/R257*Q257*IF(ISBLANK(K253),1,K253),0)</f>
        <v/>
      </c>
      <c r="AB257" s="7" t="inlineStr">
        <is>
          <t>^ShrapnelWeapon, ^MediumFlameWeapon, ^Grenade, ^LightFlameWeapon</t>
        </is>
      </c>
    </row>
    <row r="258">
      <c r="A258" t="inlineStr">
        <is>
          <t>tiberiansun</t>
        </is>
      </c>
      <c r="B258" t="inlineStr">
        <is>
          <t>ts_gdi_discthrower</t>
        </is>
      </c>
      <c r="C258" t="inlineStr">
        <is>
          <t>Disc Thrower</t>
        </is>
      </c>
      <c r="D258" s="6" t="inlineStr">
        <is>
          <t>GrenadierInfantry</t>
        </is>
      </c>
      <c r="E258" s="6" t="n">
        <v>12000</v>
      </c>
      <c r="F258" s="6" t="n">
        <v>60</v>
      </c>
      <c r="G258" t="inlineStr">
        <is>
          <t>None</t>
        </is>
      </c>
      <c r="H258" s="6" t="n">
        <v>1</v>
      </c>
      <c r="I258" s="6" t="n">
        <v>1</v>
      </c>
      <c r="J258" s="6" t="n">
        <v>1</v>
      </c>
      <c r="K258" s="6" t="n"/>
      <c r="P258">
        <f>MAX(P259,P260)</f>
        <v/>
      </c>
      <c r="S258">
        <f>S259+S260</f>
        <v/>
      </c>
      <c r="T258">
        <f>(E258/100000+F258/100+(P258/1000)*J258/5+S258/200)*200*I258*H258</f>
        <v/>
      </c>
      <c r="U258">
        <f>((E258*F258/25000)+((P258/1000)*J258*S258/2.5))*I258*H258</f>
        <v/>
      </c>
      <c r="V258">
        <f>(E258*F258*(P258/1000)*J258*S258*I258*H258)/12500000</f>
        <v/>
      </c>
      <c r="W258">
        <f>(T258+U258+V258)/3</f>
        <v/>
      </c>
      <c r="X258" s="6" t="n">
        <v>300</v>
      </c>
      <c r="Y258">
        <f>IFERROR(W258-X258,"")</f>
        <v/>
      </c>
      <c r="Z258">
        <f>IFERROR(ABS(Y258)/MAX(X258,1),"")</f>
        <v/>
      </c>
      <c r="AA258">
        <f>IFERROR((X258-(((E258/100000+F258/100+S258/200)*200*I258*H258)+((E258*F258/25000)*I258*H258))/3)/(((J258/5)*200*I258*H258)+((J258*S258/2.5)*I258*H258)+((E258*F258*J258*S258*I258*H258)/12500000))/3*1000,"")</f>
        <v/>
      </c>
    </row>
    <row r="259">
      <c r="B259" s="7" t="inlineStr">
        <is>
          <t xml:space="preserve">  ↳ TSGrenade</t>
        </is>
      </c>
      <c r="C259" s="7" t="inlineStr">
        <is>
          <t>Armament@PRIMARY</t>
        </is>
      </c>
      <c r="L259" s="6" t="n">
        <v>12000</v>
      </c>
      <c r="M259" s="6" t="n">
        <v>50</v>
      </c>
      <c r="N259" s="6" t="n">
        <v>1</v>
      </c>
      <c r="O259" s="6" t="n"/>
      <c r="P259" s="6" t="n">
        <v>6151</v>
      </c>
      <c r="Q259" s="6" t="n">
        <v>1</v>
      </c>
      <c r="R259">
        <f>M259+IF(N259&gt;1,N(O259)*(N259-1),0)</f>
        <v/>
      </c>
      <c r="S259">
        <f>IFERROR(L259*MAX(N259,1)/R259*Q259*IF(ISBLANK(K258),1,K258),0)</f>
        <v/>
      </c>
      <c r="AB259" s="7" t="inlineStr">
        <is>
          <t>^ShrapnelWeapon, ^MediumCannon</t>
        </is>
      </c>
    </row>
    <row r="260">
      <c r="B260" s="7" t="inlineStr">
        <is>
          <t xml:space="preserve">  ↳ TSGrenadeSonic</t>
        </is>
      </c>
      <c r="C260" s="7" t="inlineStr">
        <is>
          <t>Armament@Upgrade</t>
        </is>
      </c>
      <c r="L260" s="6" t="n">
        <v>12000</v>
      </c>
      <c r="M260" s="6" t="n">
        <v>50</v>
      </c>
      <c r="N260" s="6" t="n">
        <v>1</v>
      </c>
      <c r="O260" s="6" t="n"/>
      <c r="P260" s="6" t="n">
        <v>6151</v>
      </c>
      <c r="Q260" s="6" t="n">
        <v>1</v>
      </c>
      <c r="R260">
        <f>M260+IF(N260&gt;1,N(O260)*(N260-1),0)</f>
        <v/>
      </c>
      <c r="S260">
        <f>IFERROR(L260*MAX(N260,1)/R260*Q260*IF(ISBLANK(K258),1,K258),0)</f>
        <v/>
      </c>
      <c r="AB260" s="7" t="inlineStr">
        <is>
          <t>^ShrapnelWeapon, ^MediumCannon, ^TeslaWeapon, ^MagicWeapon, ^TSSonicGrenade</t>
        </is>
      </c>
    </row>
    <row r="261">
      <c r="B261" s="7" t="inlineStr">
        <is>
          <t xml:space="preserve">  ↳ TSGrenadeG</t>
        </is>
      </c>
      <c r="C261" s="7" t="inlineStr">
        <is>
          <t>Armament@GARRISONED</t>
        </is>
      </c>
      <c r="L261" s="6" t="n">
        <v>12000</v>
      </c>
      <c r="M261" s="6" t="n">
        <v>45</v>
      </c>
      <c r="N261" s="6" t="n">
        <v>1</v>
      </c>
      <c r="O261" s="6" t="n"/>
      <c r="P261" s="6" t="n">
        <v>6656</v>
      </c>
      <c r="Q261" s="6" t="n">
        <v>1</v>
      </c>
      <c r="R261">
        <f>M261+IF(N261&gt;1,N(O261)*(N261-1),0)</f>
        <v/>
      </c>
      <c r="S261">
        <f>IFERROR(L261*MAX(N261,1)/R261*Q261*IF(ISBLANK(K258),1,K258),0)</f>
        <v/>
      </c>
      <c r="AB261" s="7" t="inlineStr">
        <is>
          <t>^ShrapnelWeapon, ^MediumCannon</t>
        </is>
      </c>
    </row>
    <row r="262">
      <c r="B262" s="7" t="inlineStr">
        <is>
          <t xml:space="preserve">  ↳ TSGrenadeSonic</t>
        </is>
      </c>
      <c r="C262" s="7" t="inlineStr">
        <is>
          <t>Armament@UpgradeGARRISONED</t>
        </is>
      </c>
      <c r="L262" s="6" t="n">
        <v>12000</v>
      </c>
      <c r="M262" s="6" t="n">
        <v>50</v>
      </c>
      <c r="N262" s="6" t="n">
        <v>1</v>
      </c>
      <c r="O262" s="6" t="n"/>
      <c r="P262" s="6" t="n">
        <v>6151</v>
      </c>
      <c r="Q262" s="6" t="n">
        <v>1</v>
      </c>
      <c r="R262">
        <f>M262+IF(N262&gt;1,N(O262)*(N262-1),0)</f>
        <v/>
      </c>
      <c r="S262">
        <f>IFERROR(L262*MAX(N262,1)/R262*Q262*IF(ISBLANK(K258),1,K258),0)</f>
        <v/>
      </c>
      <c r="AB262" s="7" t="inlineStr">
        <is>
          <t>^ShrapnelWeapon, ^MediumCannon, ^TeslaWeapon, ^MagicWeapon, ^TSSonicGrenade</t>
        </is>
      </c>
    </row>
    <row r="263">
      <c r="A263" t="inlineStr">
        <is>
          <t>redalert2mod</t>
        </is>
      </c>
      <c r="B263" t="inlineStr">
        <is>
          <t>steelconsortium_hoverboardgrenadier</t>
        </is>
      </c>
      <c r="C263" t="inlineStr">
        <is>
          <t>Hover Board Grenadier</t>
        </is>
      </c>
      <c r="D263" s="6" t="inlineStr">
        <is>
          <t>GrenadierInfantry</t>
        </is>
      </c>
      <c r="E263" s="6" t="n">
        <v>22000</v>
      </c>
      <c r="F263" s="6" t="n">
        <v>130</v>
      </c>
      <c r="G263" t="inlineStr">
        <is>
          <t>None</t>
        </is>
      </c>
      <c r="H263" s="6" t="n">
        <v>1</v>
      </c>
      <c r="I263" s="6" t="n">
        <v>0.4</v>
      </c>
      <c r="J263" s="6" t="n">
        <v>1</v>
      </c>
      <c r="K263" s="6" t="n">
        <v>5.5</v>
      </c>
      <c r="P263">
        <f>MAX(P264,P265,P268,P269)</f>
        <v/>
      </c>
      <c r="S263">
        <f>S264+S265+S268+S269</f>
        <v/>
      </c>
      <c r="T263">
        <f>(E263/100000+F263/100+(P263/1000)*J263/5+S263/200)*200*I263*H263</f>
        <v/>
      </c>
      <c r="U263">
        <f>((E263*F263/25000)+((P263/1000)*J263*S263/2.5))*I263*H263</f>
        <v/>
      </c>
      <c r="V263">
        <f>(E263*F263*(P263/1000)*J263*S263*I263*H263)/12500000</f>
        <v/>
      </c>
      <c r="W263">
        <f>(T263+U263+V263)/3</f>
        <v/>
      </c>
      <c r="X263" s="6" t="n">
        <v>650</v>
      </c>
      <c r="Y263">
        <f>IFERROR(W263-X263,"")</f>
        <v/>
      </c>
      <c r="Z263">
        <f>IFERROR(ABS(Y263)/MAX(X263,1),"")</f>
        <v/>
      </c>
      <c r="AA263">
        <f>IFERROR((X263-(((E263/100000+F263/100+S263/200)*200*I263*H263)+((E263*F263/25000)*I263*H263))/3)/(((J263/5)*200*I263*H263)+((J263*S263/2.5)*I263*H263)+((E263*F263*J263*S263*I263*H263)/12500000))/3*1000,"")</f>
        <v/>
      </c>
    </row>
    <row r="264">
      <c r="B264" s="7" t="inlineStr">
        <is>
          <t xml:space="preserve">  ↳ SteelMakoGun</t>
        </is>
      </c>
      <c r="C264" s="7" t="inlineStr">
        <is>
          <t>Armament@PRIMARY</t>
        </is>
      </c>
      <c r="L264" s="6" t="n">
        <v>2000</v>
      </c>
      <c r="M264" s="6" t="n">
        <v>25</v>
      </c>
      <c r="N264" s="6" t="n">
        <v>1</v>
      </c>
      <c r="O264" s="6" t="n"/>
      <c r="P264" s="6" t="n">
        <v>6050</v>
      </c>
      <c r="Q264" s="6" t="n">
        <v>1.0625</v>
      </c>
      <c r="R264">
        <f>M264+IF(N264&gt;1,N(O264)*(N264-1),0)</f>
        <v/>
      </c>
      <c r="S264">
        <f>IFERROR(L264*MAX(N264,1)/R264*Q264*IF(ISBLANK(K263),1,K263),0)</f>
        <v/>
      </c>
      <c r="AB264" s="7" t="inlineStr">
        <is>
          <t>^MediumFlameWeapon, ^RA2Grenade, ^RA2RailgunWeapon, ^SteelMediumCannon</t>
        </is>
      </c>
    </row>
    <row r="265">
      <c r="B265" s="7" t="inlineStr">
        <is>
          <t xml:space="preserve">  ↳ SteelMakoGunE</t>
        </is>
      </c>
      <c r="C265" s="7" t="inlineStr">
        <is>
          <t>Armament@ELITE</t>
        </is>
      </c>
      <c r="L265" s="6" t="n">
        <v>2000</v>
      </c>
      <c r="M265" s="6" t="n">
        <v>25</v>
      </c>
      <c r="N265" s="6" t="n">
        <v>2</v>
      </c>
      <c r="O265" s="6" t="n">
        <v>3</v>
      </c>
      <c r="P265" s="6" t="n">
        <v>7050</v>
      </c>
      <c r="Q265" s="6" t="n">
        <v>1.0625</v>
      </c>
      <c r="R265">
        <f>M265+IF(N265&gt;1,N(O265)*(N265-1),0)</f>
        <v/>
      </c>
      <c r="S265">
        <f>IFERROR(L265*MAX(N265,1)/R265*Q265*IF(ISBLANK(K263),1,K263),0)</f>
        <v/>
      </c>
      <c r="AB265" s="7" t="inlineStr">
        <is>
          <t>^MediumFlameWeapon, ^RA2Grenade, ^RA2RailgunWeapon, ^SteelMediumCannon</t>
        </is>
      </c>
    </row>
    <row r="266">
      <c r="B266" s="7" t="inlineStr">
        <is>
          <t xml:space="preserve">  ↳ SteelMakoGun</t>
        </is>
      </c>
      <c r="C266" s="7" t="inlineStr">
        <is>
          <t>Armament@GARRISONED</t>
        </is>
      </c>
      <c r="L266" s="6" t="n">
        <v>2000</v>
      </c>
      <c r="M266" s="6" t="n">
        <v>25</v>
      </c>
      <c r="N266" s="6" t="n">
        <v>1</v>
      </c>
      <c r="O266" s="6" t="n"/>
      <c r="P266" s="6" t="n">
        <v>6050</v>
      </c>
      <c r="Q266" s="6" t="n">
        <v>1.0625</v>
      </c>
      <c r="R266">
        <f>M266+IF(N266&gt;1,N(O266)*(N266-1),0)</f>
        <v/>
      </c>
      <c r="S266">
        <f>IFERROR(L266*MAX(N266,1)/R266*Q266*IF(ISBLANK(K263),1,K263),0)</f>
        <v/>
      </c>
      <c r="AB266" s="7" t="inlineStr">
        <is>
          <t>^MediumFlameWeapon, ^RA2Grenade, ^RA2RailgunWeapon, ^SteelMediumCannon</t>
        </is>
      </c>
    </row>
    <row r="267">
      <c r="B267" s="7" t="inlineStr">
        <is>
          <t xml:space="preserve">  ↳ SteelMakoGunE</t>
        </is>
      </c>
      <c r="C267" s="7" t="inlineStr">
        <is>
          <t>Armament@GARRISONEDELITE</t>
        </is>
      </c>
      <c r="L267" s="6" t="n">
        <v>2000</v>
      </c>
      <c r="M267" s="6" t="n">
        <v>25</v>
      </c>
      <c r="N267" s="6" t="n">
        <v>2</v>
      </c>
      <c r="O267" s="6" t="n">
        <v>3</v>
      </c>
      <c r="P267" s="6" t="n">
        <v>7050</v>
      </c>
      <c r="Q267" s="6" t="n">
        <v>1.0625</v>
      </c>
      <c r="R267">
        <f>M267+IF(N267&gt;1,N(O267)*(N267-1),0)</f>
        <v/>
      </c>
      <c r="S267">
        <f>IFERROR(L267*MAX(N267,1)/R267*Q267*IF(ISBLANK(K263),1,K263),0)</f>
        <v/>
      </c>
      <c r="AB267" s="7" t="inlineStr">
        <is>
          <t>^MediumFlameWeapon, ^RA2Grenade, ^RA2RailgunWeapon, ^SteelMediumCannon</t>
        </is>
      </c>
    </row>
    <row r="268">
      <c r="B268" s="7" t="inlineStr">
        <is>
          <t xml:space="preserve">  ↳ SteelMakoGunEMP</t>
        </is>
      </c>
      <c r="C268" s="7" t="inlineStr">
        <is>
          <t>Armament@UpgradePRIMARY</t>
        </is>
      </c>
      <c r="L268" s="6" t="n">
        <v>2000</v>
      </c>
      <c r="M268" s="6" t="n">
        <v>25</v>
      </c>
      <c r="N268" s="6" t="n">
        <v>1</v>
      </c>
      <c r="O268" s="6" t="n"/>
      <c r="P268" s="6" t="n">
        <v>6050</v>
      </c>
      <c r="Q268" s="6" t="n">
        <v>1</v>
      </c>
      <c r="R268">
        <f>M268+IF(N268&gt;1,N(O268)*(N268-1),0)</f>
        <v/>
      </c>
      <c r="S268">
        <f>IFERROR(L268*MAX(N268,1)/R268*Q268*IF(ISBLANK(K263),1,K263),0)</f>
        <v/>
      </c>
      <c r="AB268" s="7" t="inlineStr">
        <is>
          <t>^LightChemicalWeapon, ^TeslaWeapon, ^MediumFlameWeapon, ^RA2Grenade, ^RA2RailgunWeapon, ^SteelMediumCannon</t>
        </is>
      </c>
    </row>
    <row r="269">
      <c r="B269" s="7" t="inlineStr">
        <is>
          <t xml:space="preserve">  ↳ SteelMakoGunEMPE</t>
        </is>
      </c>
      <c r="C269" s="7" t="inlineStr">
        <is>
          <t>Armament@UpgradeELITE</t>
        </is>
      </c>
      <c r="L269" s="6" t="n">
        <v>2000</v>
      </c>
      <c r="M269" s="6" t="n">
        <v>25</v>
      </c>
      <c r="N269" s="6" t="n">
        <v>2</v>
      </c>
      <c r="O269" s="6" t="n">
        <v>3</v>
      </c>
      <c r="P269" s="6" t="n">
        <v>7050</v>
      </c>
      <c r="Q269" s="6" t="n">
        <v>1</v>
      </c>
      <c r="R269">
        <f>M269+IF(N269&gt;1,N(O269)*(N269-1),0)</f>
        <v/>
      </c>
      <c r="S269">
        <f>IFERROR(L269*MAX(N269,1)/R269*Q269*IF(ISBLANK(K263),1,K263),0)</f>
        <v/>
      </c>
      <c r="AB269" s="7" t="inlineStr">
        <is>
          <t>^LightChemicalWeapon, ^TeslaWeapon, ^MediumFlameWeapon, ^RA2Grenade, ^RA2RailgunWeapon, ^SteelMediumCannon</t>
        </is>
      </c>
    </row>
    <row r="270">
      <c r="B270" s="7" t="inlineStr">
        <is>
          <t xml:space="preserve">  ↳ SteelMakoGunEMP</t>
        </is>
      </c>
      <c r="C270" s="7" t="inlineStr">
        <is>
          <t>Armament@UpgradeGARRISONED</t>
        </is>
      </c>
      <c r="L270" s="6" t="n">
        <v>2000</v>
      </c>
      <c r="M270" s="6" t="n">
        <v>25</v>
      </c>
      <c r="N270" s="6" t="n">
        <v>1</v>
      </c>
      <c r="O270" s="6" t="n"/>
      <c r="P270" s="6" t="n">
        <v>6050</v>
      </c>
      <c r="Q270" s="6" t="n">
        <v>1</v>
      </c>
      <c r="R270">
        <f>M270+IF(N270&gt;1,N(O270)*(N270-1),0)</f>
        <v/>
      </c>
      <c r="S270">
        <f>IFERROR(L270*MAX(N270,1)/R270*Q270*IF(ISBLANK(K263),1,K263),0)</f>
        <v/>
      </c>
      <c r="AB270" s="7" t="inlineStr">
        <is>
          <t>^LightChemicalWeapon, ^TeslaWeapon, ^MediumFlameWeapon, ^RA2Grenade, ^RA2RailgunWeapon, ^SteelMediumCannon</t>
        </is>
      </c>
    </row>
    <row r="271">
      <c r="B271" s="7" t="inlineStr">
        <is>
          <t xml:space="preserve">  ↳ SteelMakoGunEMPE</t>
        </is>
      </c>
      <c r="C271" s="7" t="inlineStr">
        <is>
          <t>Armament@UpgradeGARRISONEDELITE</t>
        </is>
      </c>
      <c r="L271" s="6" t="n">
        <v>2000</v>
      </c>
      <c r="M271" s="6" t="n">
        <v>25</v>
      </c>
      <c r="N271" s="6" t="n">
        <v>2</v>
      </c>
      <c r="O271" s="6" t="n">
        <v>3</v>
      </c>
      <c r="P271" s="6" t="n">
        <v>7050</v>
      </c>
      <c r="Q271" s="6" t="n">
        <v>1</v>
      </c>
      <c r="R271">
        <f>M271+IF(N271&gt;1,N(O271)*(N271-1),0)</f>
        <v/>
      </c>
      <c r="S271">
        <f>IFERROR(L271*MAX(N271,1)/R271*Q271*IF(ISBLANK(K263),1,K263),0)</f>
        <v/>
      </c>
      <c r="AB271" s="7" t="inlineStr">
        <is>
          <t>^LightChemicalWeapon, ^TeslaWeapon, ^MediumFlameWeapon, ^RA2Grenade, ^RA2RailgunWeapon, ^SteelMediumCannon</t>
        </is>
      </c>
    </row>
    <row r="272">
      <c r="A272" t="inlineStr">
        <is>
          <t>redalert2mod</t>
        </is>
      </c>
      <c r="B272" t="inlineStr">
        <is>
          <t>latinsyndicate_grenademonkey</t>
        </is>
      </c>
      <c r="C272" t="inlineStr">
        <is>
          <t>Grenade Monkey</t>
        </is>
      </c>
      <c r="D272" s="6" t="inlineStr">
        <is>
          <t>GrenadierInfantry</t>
        </is>
      </c>
      <c r="E272" s="6" t="n">
        <v>30000</v>
      </c>
      <c r="F272" s="6" t="n">
        <v>80</v>
      </c>
      <c r="G272" t="inlineStr">
        <is>
          <t>None</t>
        </is>
      </c>
      <c r="H272" s="6" t="n">
        <v>1</v>
      </c>
      <c r="I272" s="6" t="n">
        <v>0.4</v>
      </c>
      <c r="J272" s="6" t="n">
        <v>1</v>
      </c>
      <c r="K272" s="6" t="n"/>
      <c r="P272">
        <f>MAX(P273,P274,P275)</f>
        <v/>
      </c>
      <c r="S272">
        <f>S273+S274+S275</f>
        <v/>
      </c>
      <c r="T272">
        <f>(E272/100000+F272/100+(P272/1000)*J272/5+S272/200)*200*I272*H272</f>
        <v/>
      </c>
      <c r="U272">
        <f>((E272*F272/25000)+((P272/1000)*J272*S272/2.5))*I272*H272</f>
        <v/>
      </c>
      <c r="V272">
        <f>(E272*F272*(P272/1000)*J272*S272*I272*H272)/12500000</f>
        <v/>
      </c>
      <c r="W272">
        <f>(T272+U272+V272)/3</f>
        <v/>
      </c>
      <c r="X272" s="6" t="n">
        <v>400</v>
      </c>
      <c r="Y272">
        <f>IFERROR(W272-X272,"")</f>
        <v/>
      </c>
      <c r="Z272">
        <f>IFERROR(ABS(Y272)/MAX(X272,1),"")</f>
        <v/>
      </c>
      <c r="AA272">
        <f>IFERROR((X272-(((E272/100000+F272/100+S272/200)*200*I272*H272)+((E272*F272/25000)*I272*H272))/3)/(((J272/5)*200*I272*H272)+((J272*S272/2.5)*I272*H272)+((E272*F272*J272*S272*I272*H272)/12500000))/3*1000,"")</f>
        <v/>
      </c>
    </row>
    <row r="273">
      <c r="B273" s="7" t="inlineStr">
        <is>
          <t xml:space="preserve">  ↳ LatinMonkeyGrenade1</t>
        </is>
      </c>
      <c r="C273" s="7" t="inlineStr">
        <is>
          <t>Armament@PRIMARY</t>
        </is>
      </c>
      <c r="L273" s="6" t="n">
        <v>10000</v>
      </c>
      <c r="M273" s="6" t="n">
        <v>60</v>
      </c>
      <c r="N273" s="6" t="n">
        <v>1</v>
      </c>
      <c r="O273" s="6" t="n"/>
      <c r="P273" s="6" t="n">
        <v>6500</v>
      </c>
      <c r="Q273" s="6" t="n">
        <v>1.083333333333333</v>
      </c>
      <c r="R273">
        <f>M273+IF(N273&gt;1,N(O273)*(N273-1),0)</f>
        <v/>
      </c>
      <c r="S273">
        <f>IFERROR(L273*MAX(N273,1)/R273*Q273*IF(ISBLANK(K272),1,K272),0)</f>
        <v/>
      </c>
      <c r="AB273" s="7" t="inlineStr">
        <is>
          <t>^Grenade, ^ShrapnelWeapon, ^HeavyCannon</t>
        </is>
      </c>
    </row>
    <row r="274">
      <c r="B274" s="7" t="inlineStr">
        <is>
          <t xml:space="preserve">  ↳ LatinMonkeyGrenade2</t>
        </is>
      </c>
      <c r="C274" s="7" t="inlineStr">
        <is>
          <t>Armament@SECONDARY</t>
        </is>
      </c>
      <c r="L274" s="6" t="n">
        <v>10000</v>
      </c>
      <c r="M274" s="6" t="n">
        <v>60</v>
      </c>
      <c r="N274" s="6" t="n">
        <v>2</v>
      </c>
      <c r="O274" s="6" t="n">
        <v>3</v>
      </c>
      <c r="P274" s="6" t="n">
        <v>7000</v>
      </c>
      <c r="Q274" s="6" t="n">
        <v>1.083333333333333</v>
      </c>
      <c r="R274">
        <f>M274+IF(N274&gt;1,N(O274)*(N274-1),0)</f>
        <v/>
      </c>
      <c r="S274">
        <f>IFERROR(L274*MAX(N274,1)/R274*Q274*IF(ISBLANK(K272),1,K272),0)</f>
        <v/>
      </c>
      <c r="AB274" s="7" t="inlineStr">
        <is>
          <t>^Grenade, ^ShrapnelWeapon, ^HeavyCannon</t>
        </is>
      </c>
    </row>
    <row r="275">
      <c r="B275" s="7" t="inlineStr">
        <is>
          <t xml:space="preserve">  ↳ LatinMonkeyGrenade3</t>
        </is>
      </c>
      <c r="C275" s="7" t="inlineStr">
        <is>
          <t>Armament@ELITE</t>
        </is>
      </c>
      <c r="L275" s="6" t="n">
        <v>10000</v>
      </c>
      <c r="M275" s="6" t="n">
        <v>60</v>
      </c>
      <c r="N275" s="6" t="n">
        <v>3</v>
      </c>
      <c r="O275" s="6" t="n">
        <v>3</v>
      </c>
      <c r="P275" s="6" t="n">
        <v>7500</v>
      </c>
      <c r="Q275" s="6" t="n">
        <v>1.083333333333333</v>
      </c>
      <c r="R275">
        <f>M275+IF(N275&gt;1,N(O275)*(N275-1),0)</f>
        <v/>
      </c>
      <c r="S275">
        <f>IFERROR(L275*MAX(N275,1)/R275*Q275*IF(ISBLANK(K272),1,K272),0)</f>
        <v/>
      </c>
      <c r="AB275" s="7" t="inlineStr">
        <is>
          <t>^Grenade, ^ShrapnelWeapon, ^HeavyCannon</t>
        </is>
      </c>
    </row>
    <row r="276">
      <c r="B276" s="7" t="inlineStr">
        <is>
          <t xml:space="preserve">  ↳ LatinMonkeyGrenade1</t>
        </is>
      </c>
      <c r="C276" s="7" t="inlineStr">
        <is>
          <t>Armament@GARRISONED</t>
        </is>
      </c>
      <c r="L276" s="6" t="n">
        <v>10000</v>
      </c>
      <c r="M276" s="6" t="n">
        <v>60</v>
      </c>
      <c r="N276" s="6" t="n">
        <v>1</v>
      </c>
      <c r="O276" s="6" t="n"/>
      <c r="P276" s="6" t="n">
        <v>6500</v>
      </c>
      <c r="Q276" s="6" t="n">
        <v>1.083333333333333</v>
      </c>
      <c r="R276">
        <f>M276+IF(N276&gt;1,N(O276)*(N276-1),0)</f>
        <v/>
      </c>
      <c r="S276">
        <f>IFERROR(L276*MAX(N276,1)/R276*Q276*IF(ISBLANK(K272),1,K272),0)</f>
        <v/>
      </c>
      <c r="AB276" s="7" t="inlineStr">
        <is>
          <t>^Grenade, ^ShrapnelWeapon, ^HeavyCannon</t>
        </is>
      </c>
    </row>
    <row r="277">
      <c r="B277" s="7" t="inlineStr">
        <is>
          <t xml:space="preserve">  ↳ LatinMonkeyGrenade2</t>
        </is>
      </c>
      <c r="C277" s="7" t="inlineStr">
        <is>
          <t>Armament@GARRISONEDSECONDARY</t>
        </is>
      </c>
      <c r="L277" s="6" t="n">
        <v>10000</v>
      </c>
      <c r="M277" s="6" t="n">
        <v>60</v>
      </c>
      <c r="N277" s="6" t="n">
        <v>2</v>
      </c>
      <c r="O277" s="6" t="n">
        <v>3</v>
      </c>
      <c r="P277" s="6" t="n">
        <v>7000</v>
      </c>
      <c r="Q277" s="6" t="n">
        <v>1.083333333333333</v>
      </c>
      <c r="R277">
        <f>M277+IF(N277&gt;1,N(O277)*(N277-1),0)</f>
        <v/>
      </c>
      <c r="S277">
        <f>IFERROR(L277*MAX(N277,1)/R277*Q277*IF(ISBLANK(K272),1,K272),0)</f>
        <v/>
      </c>
      <c r="AB277" s="7" t="inlineStr">
        <is>
          <t>^Grenade, ^ShrapnelWeapon, ^HeavyCannon</t>
        </is>
      </c>
    </row>
    <row r="278">
      <c r="B278" s="7" t="inlineStr">
        <is>
          <t xml:space="preserve">  ↳ LatinMonkeyGrenade3</t>
        </is>
      </c>
      <c r="C278" s="7" t="inlineStr">
        <is>
          <t>Armament@GARRISONEDELITE</t>
        </is>
      </c>
      <c r="L278" s="6" t="n">
        <v>10000</v>
      </c>
      <c r="M278" s="6" t="n">
        <v>60</v>
      </c>
      <c r="N278" s="6" t="n">
        <v>3</v>
      </c>
      <c r="O278" s="6" t="n">
        <v>3</v>
      </c>
      <c r="P278" s="6" t="n">
        <v>7500</v>
      </c>
      <c r="Q278" s="6" t="n">
        <v>1.083333333333333</v>
      </c>
      <c r="R278">
        <f>M278+IF(N278&gt;1,N(O278)*(N278-1),0)</f>
        <v/>
      </c>
      <c r="S278">
        <f>IFERROR(L278*MAX(N278,1)/R278*Q278*IF(ISBLANK(K272),1,K272),0)</f>
        <v/>
      </c>
      <c r="AB278" s="7" t="inlineStr">
        <is>
          <t>^Grenade, ^ShrapnelWeapon, ^HeavyCannon</t>
        </is>
      </c>
    </row>
    <row r="279">
      <c r="A279" s="4" t="inlineStr">
        <is>
          <t>MortarInfantry</t>
        </is>
      </c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</row>
    <row r="280">
      <c r="A280" t="inlineStr">
        <is>
          <t>redalert</t>
        </is>
      </c>
      <c r="B280" t="inlineStr">
        <is>
          <t>ra1_soviets_mortarsoldier</t>
        </is>
      </c>
      <c r="C280" t="inlineStr">
        <is>
          <t>Soviet Mortar Soldier</t>
        </is>
      </c>
      <c r="D280" s="6" t="inlineStr">
        <is>
          <t>MortarInfantry</t>
        </is>
      </c>
      <c r="E280" s="6" t="n">
        <v>16000</v>
      </c>
      <c r="F280" s="6" t="n">
        <v>48</v>
      </c>
      <c r="G280" t="inlineStr">
        <is>
          <t>None</t>
        </is>
      </c>
      <c r="H280" s="6" t="n">
        <v>1</v>
      </c>
      <c r="I280" s="6" t="n">
        <v>0.6</v>
      </c>
      <c r="J280" s="6" t="n">
        <v>1</v>
      </c>
      <c r="K280" s="6" t="n">
        <v>0.75</v>
      </c>
      <c r="P280">
        <f>MAX(P281,P283)</f>
        <v/>
      </c>
      <c r="S280">
        <f>S281+S283</f>
        <v/>
      </c>
      <c r="T280">
        <f>(E280/100000+F280/100+(P280/1000)*J280/5+S280/200)*200*I280*H280</f>
        <v/>
      </c>
      <c r="U280">
        <f>((E280*F280/25000)+((P280/1000)*J280*S280/2.5))*I280*H280</f>
        <v/>
      </c>
      <c r="V280">
        <f>(E280*F280*(P280/1000)*J280*S280*I280*H280)/12500000</f>
        <v/>
      </c>
      <c r="W280">
        <f>(T280+U280+V280)/3</f>
        <v/>
      </c>
      <c r="X280" s="6" t="n">
        <v>500</v>
      </c>
      <c r="Y280">
        <f>IFERROR(W280-X280,"")</f>
        <v/>
      </c>
      <c r="Z280">
        <f>IFERROR(ABS(Y280)/MAX(X280,1),"")</f>
        <v/>
      </c>
      <c r="AA280">
        <f>IFERROR((X280-(((E280/100000+F280/100+S280/200)*200*I280*H280)+((E280*F280/25000)*I280*H280))/3)/(((J280/5)*200*I280*H280)+((J280*S280/2.5)*I280*H280)+((E280*F280*J280*S280*I280*H280)/12500000))/3*1000,"")</f>
        <v/>
      </c>
    </row>
    <row r="281">
      <c r="B281" s="7" t="inlineStr">
        <is>
          <t xml:space="preserve">  ↳ SiegeMortar</t>
        </is>
      </c>
      <c r="C281" s="7" t="inlineStr">
        <is>
          <t>Armament@PRIMARY</t>
        </is>
      </c>
      <c r="L281" s="6" t="n">
        <v>8000</v>
      </c>
      <c r="M281" s="6" t="n">
        <v>88</v>
      </c>
      <c r="N281" s="6" t="n">
        <v>1</v>
      </c>
      <c r="O281" s="6" t="n"/>
      <c r="P281" s="6" t="n">
        <v>10830</v>
      </c>
      <c r="Q281" s="6" t="n">
        <v>0.9375</v>
      </c>
      <c r="R281">
        <f>M281+IF(N281&gt;1,N(O281)*(N281-1),0)</f>
        <v/>
      </c>
      <c r="S281">
        <f>IFERROR(L281*MAX(N281,1)/R281*Q281*IF(ISBLANK(K280),1,K280),0)</f>
        <v/>
      </c>
      <c r="AB281" s="7" t="inlineStr">
        <is>
          <t>^ShrapnelWeapon, ^Grenade, ^MediumFlameWeapon, ^LightFlameWeapon</t>
        </is>
      </c>
    </row>
    <row r="282">
      <c r="B282" s="7" t="inlineStr">
        <is>
          <t xml:space="preserve">  ↳ SiegeMortar</t>
        </is>
      </c>
      <c r="C282" s="7" t="inlineStr">
        <is>
          <t>Armament@GARRISONED</t>
        </is>
      </c>
      <c r="L282" s="6" t="n">
        <v>8000</v>
      </c>
      <c r="M282" s="6" t="n">
        <v>88</v>
      </c>
      <c r="N282" s="6" t="n">
        <v>1</v>
      </c>
      <c r="O282" s="6" t="n"/>
      <c r="P282" s="6" t="n">
        <v>10830</v>
      </c>
      <c r="Q282" s="6" t="n">
        <v>0.9375</v>
      </c>
      <c r="R282">
        <f>M282+IF(N282&gt;1,N(O282)*(N282-1),0)</f>
        <v/>
      </c>
      <c r="S282">
        <f>IFERROR(L282*MAX(N282,1)/R282*Q282*IF(ISBLANK(K280),1,K280),0)</f>
        <v/>
      </c>
      <c r="AB282" s="7" t="inlineStr">
        <is>
          <t>^ShrapnelWeapon, ^Grenade, ^MediumFlameWeapon, ^LightFlameWeapon</t>
        </is>
      </c>
    </row>
    <row r="283">
      <c r="B283" s="7" t="inlineStr">
        <is>
          <t xml:space="preserve">  ↳ SiegeMortarThermobaric</t>
        </is>
      </c>
      <c r="C283" s="7" t="inlineStr">
        <is>
          <t>Armament@Upgrade</t>
        </is>
      </c>
      <c r="L283" s="6" t="n">
        <v>4000</v>
      </c>
      <c r="M283" s="6" t="n">
        <v>88</v>
      </c>
      <c r="N283" s="6" t="n">
        <v>1</v>
      </c>
      <c r="O283" s="6" t="n"/>
      <c r="P283" s="6" t="n">
        <v>10830</v>
      </c>
      <c r="Q283" s="6" t="n">
        <v>1.041666666666667</v>
      </c>
      <c r="R283">
        <f>M283+IF(N283&gt;1,N(O283)*(N283-1),0)</f>
        <v/>
      </c>
      <c r="S283">
        <f>IFERROR(L283*MAX(N283,1)/R283*Q283*IF(ISBLANK(K280),1,K280),0)</f>
        <v/>
      </c>
      <c r="AB283" s="7" t="inlineStr">
        <is>
          <t>^HeavyCannon, ^HeavyFlameWeapon, ^ShrapnelWeapon, ^Grenade, ^MediumFlameWeapon, ^LightFlameWeapon</t>
        </is>
      </c>
    </row>
    <row r="284">
      <c r="B284" s="7" t="inlineStr">
        <is>
          <t xml:space="preserve">  ↳ SiegeMortarThermobaric</t>
        </is>
      </c>
      <c r="C284" s="7" t="inlineStr">
        <is>
          <t>Armament@UpgradeGARRISONED</t>
        </is>
      </c>
      <c r="L284" s="6" t="n">
        <v>4000</v>
      </c>
      <c r="M284" s="6" t="n">
        <v>88</v>
      </c>
      <c r="N284" s="6" t="n">
        <v>1</v>
      </c>
      <c r="O284" s="6" t="n"/>
      <c r="P284" s="6" t="n">
        <v>10830</v>
      </c>
      <c r="Q284" s="6" t="n">
        <v>1.041666666666667</v>
      </c>
      <c r="R284">
        <f>M284+IF(N284&gt;1,N(O284)*(N284-1),0)</f>
        <v/>
      </c>
      <c r="S284">
        <f>IFERROR(L284*MAX(N284,1)/R284*Q284*IF(ISBLANK(K280),1,K280),0)</f>
        <v/>
      </c>
      <c r="AB284" s="7" t="inlineStr">
        <is>
          <t>^HeavyCannon, ^HeavyFlameWeapon, ^ShrapnelWeapon, ^Grenade, ^MediumFlameWeapon, ^LightFlameWeapon</t>
        </is>
      </c>
    </row>
    <row r="285">
      <c r="A285" t="inlineStr">
        <is>
          <t>tiberiansun</t>
        </is>
      </c>
      <c r="B285" t="inlineStr">
        <is>
          <t>forgotten_mutantmortarman</t>
        </is>
      </c>
      <c r="C285" t="inlineStr">
        <is>
          <t>actor_forgotten_mutantmortarman.name</t>
        </is>
      </c>
      <c r="D285" s="6" t="inlineStr">
        <is>
          <t>MortarInfantry</t>
        </is>
      </c>
      <c r="E285" s="6" t="n">
        <v>30000</v>
      </c>
      <c r="F285" s="6" t="n">
        <v>50</v>
      </c>
      <c r="G285" t="inlineStr">
        <is>
          <t>None</t>
        </is>
      </c>
      <c r="H285" s="6" t="n">
        <v>1</v>
      </c>
      <c r="I285" s="6" t="n">
        <v>1</v>
      </c>
      <c r="J285" s="6" t="n">
        <v>1</v>
      </c>
      <c r="K285" s="6" t="n"/>
      <c r="P285">
        <f>MAX(P286,P287)</f>
        <v/>
      </c>
      <c r="S285">
        <f>S286+S287</f>
        <v/>
      </c>
      <c r="T285">
        <f>(E285/100000+F285/100+(P285/1000)*J285/5+S285/200)*200*I285*H285</f>
        <v/>
      </c>
      <c r="U285">
        <f>((E285*F285/25000)+((P285/1000)*J285*S285/2.5))*I285*H285</f>
        <v/>
      </c>
      <c r="V285">
        <f>(E285*F285*(P285/1000)*J285*S285*I285*H285)/12500000</f>
        <v/>
      </c>
      <c r="W285">
        <f>(T285+U285+V285)/3</f>
        <v/>
      </c>
      <c r="X285" s="6" t="n">
        <v>500</v>
      </c>
      <c r="Y285">
        <f>IFERROR(W285-X285,"")</f>
        <v/>
      </c>
      <c r="Z285">
        <f>IFERROR(ABS(Y285)/MAX(X285,1),"")</f>
        <v/>
      </c>
      <c r="AA285">
        <f>IFERROR((X285-(((E285/100000+F285/100+S285/200)*200*I285*H285)+((E285*F285/25000)*I285*H285))/3)/(((J285/5)*200*I285*H285)+((J285*S285/2.5)*I285*H285)+((E285*F285*J285*S285*I285*H285)/12500000))/3*1000,"")</f>
        <v/>
      </c>
    </row>
    <row r="286">
      <c r="B286" s="7" t="inlineStr">
        <is>
          <t xml:space="preserve">  ↳ TSInfantryMortar</t>
        </is>
      </c>
      <c r="C286" s="7" t="inlineStr">
        <is>
          <t>Armament@PRIMARY</t>
        </is>
      </c>
      <c r="L286" s="6" t="n">
        <v>16000</v>
      </c>
      <c r="M286" s="6" t="n">
        <v>88</v>
      </c>
      <c r="N286" s="6" t="n">
        <v>1</v>
      </c>
      <c r="O286" s="6" t="n"/>
      <c r="P286" s="6" t="n">
        <v>10830</v>
      </c>
      <c r="Q286" s="6" t="n">
        <v>1.125</v>
      </c>
      <c r="R286">
        <f>M286+IF(N286&gt;1,N(O286)*(N286-1),0)</f>
        <v/>
      </c>
      <c r="S286">
        <f>IFERROR(L286*MAX(N286,1)/R286*Q286*IF(ISBLANK(K285),1,K285),0)</f>
        <v/>
      </c>
      <c r="AB286" s="7" t="inlineStr">
        <is>
          <t>^ShrapnelWeapon, ^HeavyBomb, ^TSCannonEffect</t>
        </is>
      </c>
    </row>
    <row r="287">
      <c r="B287" s="7" t="inlineStr">
        <is>
          <t xml:space="preserve">  ↳ TSInfantryMortarChem</t>
        </is>
      </c>
      <c r="C287" s="7" t="inlineStr">
        <is>
          <t>Armament@UPGRADE</t>
        </is>
      </c>
      <c r="L287" s="6" t="n">
        <v>16000</v>
      </c>
      <c r="M287" s="6" t="n">
        <v>88</v>
      </c>
      <c r="N287" s="6" t="n">
        <v>1</v>
      </c>
      <c r="O287" s="6" t="n"/>
      <c r="P287" s="6" t="n">
        <v>10830</v>
      </c>
      <c r="Q287" s="6" t="n">
        <v>1.125</v>
      </c>
      <c r="R287">
        <f>M287+IF(N287&gt;1,N(O287)*(N287-1),0)</f>
        <v/>
      </c>
      <c r="S287">
        <f>IFERROR(L287*MAX(N287,1)/R287*Q287*IF(ISBLANK(K285),1,K285),0)</f>
        <v/>
      </c>
      <c r="AB287" s="7" t="inlineStr">
        <is>
          <t>^ShrapnelWeapon, ^HeavyBomb, ^TSCannonEffect, ^MediumChemicalWeapon, ^HeavyChemicalWeapon</t>
        </is>
      </c>
    </row>
    <row r="288">
      <c r="B288" s="7" t="inlineStr">
        <is>
          <t xml:space="preserve">  ↳ TSInfantryMortar</t>
        </is>
      </c>
      <c r="C288" s="7" t="inlineStr">
        <is>
          <t>Armament@GARRISONED</t>
        </is>
      </c>
      <c r="L288" s="6" t="n">
        <v>16000</v>
      </c>
      <c r="M288" s="6" t="n">
        <v>88</v>
      </c>
      <c r="N288" s="6" t="n">
        <v>1</v>
      </c>
      <c r="O288" s="6" t="n"/>
      <c r="P288" s="6" t="n">
        <v>10830</v>
      </c>
      <c r="Q288" s="6" t="n">
        <v>1.125</v>
      </c>
      <c r="R288">
        <f>M288+IF(N288&gt;1,N(O288)*(N288-1),0)</f>
        <v/>
      </c>
      <c r="S288">
        <f>IFERROR(L288*MAX(N288,1)/R288*Q288*IF(ISBLANK(K285),1,K285),0)</f>
        <v/>
      </c>
      <c r="AB288" s="7" t="inlineStr">
        <is>
          <t>^ShrapnelWeapon, ^HeavyBomb, ^TSCannonEffect</t>
        </is>
      </c>
    </row>
    <row r="289">
      <c r="B289" s="7" t="inlineStr">
        <is>
          <t xml:space="preserve">  ↳ TSInfantryMortarChem</t>
        </is>
      </c>
      <c r="C289" s="7" t="inlineStr">
        <is>
          <t>Armament@GARRISONEDUPGRADE</t>
        </is>
      </c>
      <c r="L289" s="6" t="n">
        <v>16000</v>
      </c>
      <c r="M289" s="6" t="n">
        <v>88</v>
      </c>
      <c r="N289" s="6" t="n">
        <v>1</v>
      </c>
      <c r="O289" s="6" t="n"/>
      <c r="P289" s="6" t="n">
        <v>10830</v>
      </c>
      <c r="Q289" s="6" t="n">
        <v>1.125</v>
      </c>
      <c r="R289">
        <f>M289+IF(N289&gt;1,N(O289)*(N289-1),0)</f>
        <v/>
      </c>
      <c r="S289">
        <f>IFERROR(L289*MAX(N289,1)/R289*Q289*IF(ISBLANK(K285),1,K285),0)</f>
        <v/>
      </c>
      <c r="AB289" s="7" t="inlineStr">
        <is>
          <t>^ShrapnelWeapon, ^HeavyBomb, ^TSCannonEffect, ^MediumChemicalWeapon, ^HeavyChemicalWeapon</t>
        </is>
      </c>
    </row>
    <row r="290">
      <c r="A290" t="inlineStr">
        <is>
          <t>redalert2mod</t>
        </is>
      </c>
      <c r="B290" t="inlineStr">
        <is>
          <t>latinsyndicate_mortarbike</t>
        </is>
      </c>
      <c r="C290" t="inlineStr">
        <is>
          <t>Mortar Bike</t>
        </is>
      </c>
      <c r="D290" s="6" t="inlineStr">
        <is>
          <t>MortarInfantry</t>
        </is>
      </c>
      <c r="E290" s="6" t="n">
        <v>28000</v>
      </c>
      <c r="F290" s="6" t="n">
        <v>140</v>
      </c>
      <c r="G290" t="inlineStr">
        <is>
          <t>None</t>
        </is>
      </c>
      <c r="H290" s="6" t="n">
        <v>1</v>
      </c>
      <c r="I290" s="6" t="n">
        <v>0.6</v>
      </c>
      <c r="J290" s="6" t="n">
        <v>1</v>
      </c>
      <c r="K290" s="6" t="n">
        <v>0.5</v>
      </c>
      <c r="P290">
        <f>MAX(P291,P292)</f>
        <v/>
      </c>
      <c r="S290">
        <f>S291+S292</f>
        <v/>
      </c>
      <c r="T290">
        <f>(E290/100000+F290/100+(P290/1000)*J290/5+S290/200)*200*I290*H290</f>
        <v/>
      </c>
      <c r="U290">
        <f>((E290*F290/25000)+((P290/1000)*J290*S290/2.5))*I290*H290</f>
        <v/>
      </c>
      <c r="V290">
        <f>(E290*F290*(P290/1000)*J290*S290*I290*H290)/12500000</f>
        <v/>
      </c>
      <c r="W290">
        <f>(T290+U290+V290)/3</f>
        <v/>
      </c>
      <c r="X290" s="6" t="n">
        <v>500</v>
      </c>
      <c r="Y290">
        <f>IFERROR(W290-X290,"")</f>
        <v/>
      </c>
      <c r="Z290">
        <f>IFERROR(ABS(Y290)/MAX(X290,1),"")</f>
        <v/>
      </c>
      <c r="AA290">
        <f>IFERROR((X290-(((E290/100000+F290/100+S290/200)*200*I290*H290)+((E290*F290/25000)*I290*H290))/3)/(((J290/5)*200*I290*H290)+((J290*S290/2.5)*I290*H290)+((E290*F290*J290*S290*I290*H290)/12500000))/3*1000,"")</f>
        <v/>
      </c>
    </row>
    <row r="291">
      <c r="B291" s="7" t="inlineStr">
        <is>
          <t xml:space="preserve">  ↳ RA2MortarBike</t>
        </is>
      </c>
      <c r="C291" s="7" t="inlineStr">
        <is>
          <t>Armament</t>
        </is>
      </c>
      <c r="L291" s="6" t="n">
        <v>6000</v>
      </c>
      <c r="M291" s="6" t="n">
        <v>67</v>
      </c>
      <c r="N291" s="6" t="n">
        <v>1</v>
      </c>
      <c r="O291" s="6" t="n"/>
      <c r="P291" s="6" t="n">
        <v>7500</v>
      </c>
      <c r="Q291" s="6" t="n">
        <v>1.041666666666667</v>
      </c>
      <c r="R291">
        <f>M291+IF(N291&gt;1,N(O291)*(N291-1),0)</f>
        <v/>
      </c>
      <c r="S291">
        <f>IFERROR(L291*MAX(N291,1)/R291*Q291*IF(ISBLANK(K290),1,K290),0)</f>
        <v/>
      </c>
      <c r="AB291" s="7" t="inlineStr">
        <is>
          <t>^Grenade, ^ShrapnelWeapon, ^HeavyBomb, ^LightFlameWeapon, ^MediumChemicalWeapon, ^HeavyCannon</t>
        </is>
      </c>
    </row>
    <row r="292">
      <c r="B292" s="7" t="inlineStr">
        <is>
          <t xml:space="preserve">  ↳ RA2MortarBikeE</t>
        </is>
      </c>
      <c r="C292" s="7" t="inlineStr">
        <is>
          <t>Armament@ELITE</t>
        </is>
      </c>
      <c r="L292" s="6" t="n">
        <v>6000</v>
      </c>
      <c r="M292" s="6" t="n">
        <v>67</v>
      </c>
      <c r="N292" s="6" t="n">
        <v>2</v>
      </c>
      <c r="O292" s="6" t="n">
        <v>3</v>
      </c>
      <c r="P292" s="6" t="n">
        <v>8500</v>
      </c>
      <c r="Q292" s="6" t="n">
        <v>1.041666666666667</v>
      </c>
      <c r="R292">
        <f>M292+IF(N292&gt;1,N(O292)*(N292-1),0)</f>
        <v/>
      </c>
      <c r="S292">
        <f>IFERROR(L292*MAX(N292,1)/R292*Q292*IF(ISBLANK(K290),1,K290),0)</f>
        <v/>
      </c>
      <c r="AB292" s="7" t="inlineStr">
        <is>
          <t>^Grenade, ^ShrapnelWeapon, ^HeavyBomb, ^LightFlameWeapon, ^MediumChemicalWeapon, ^HeavyCannon</t>
        </is>
      </c>
    </row>
    <row r="293">
      <c r="A293" t="inlineStr">
        <is>
          <t>d2k</t>
        </is>
      </c>
      <c r="B293" t="inlineStr">
        <is>
          <t>ordos_mortartrooper</t>
        </is>
      </c>
      <c r="C293" t="inlineStr">
        <is>
          <t>Ordos Mortar Trooper</t>
        </is>
      </c>
      <c r="D293" s="6" t="inlineStr">
        <is>
          <t>MortarInfantry</t>
        </is>
      </c>
      <c r="E293" s="6" t="n">
        <v>20000</v>
      </c>
      <c r="F293" s="6" t="n">
        <v>40</v>
      </c>
      <c r="G293" t="inlineStr">
        <is>
          <t>None</t>
        </is>
      </c>
      <c r="H293" s="6" t="n">
        <v>1</v>
      </c>
      <c r="I293" s="6" t="n">
        <v>0.6</v>
      </c>
      <c r="J293" s="6" t="n">
        <v>1</v>
      </c>
      <c r="K293" s="6" t="n"/>
      <c r="P293">
        <f>MAX(P294)</f>
        <v/>
      </c>
      <c r="S293">
        <f>S294</f>
        <v/>
      </c>
      <c r="T293">
        <f>(E293/100000+F293/100+(P293/1000)*J293/5+S293/200)*200*I293*H293</f>
        <v/>
      </c>
      <c r="U293">
        <f>((E293*F293/25000)+((P293/1000)*J293*S293/2.5))*I293*H293</f>
        <v/>
      </c>
      <c r="V293">
        <f>(E293*F293*(P293/1000)*J293*S293*I293*H293)/12500000</f>
        <v/>
      </c>
      <c r="W293">
        <f>(T293+U293+V293)/3</f>
        <v/>
      </c>
      <c r="X293" s="6" t="n">
        <v>600</v>
      </c>
      <c r="Y293">
        <f>IFERROR(W293-X293,"")</f>
        <v/>
      </c>
      <c r="Z293">
        <f>IFERROR(ABS(Y293)/MAX(X293,1),"")</f>
        <v/>
      </c>
      <c r="AA293">
        <f>IFERROR((X293-(((E293/100000+F293/100+S293/200)*200*I293*H293)+((E293*F293/25000)*I293*H293))/3)/(((J293/5)*200*I293*H293)+((J293*S293/2.5)*I293*H293)+((E293*F293*J293*S293*I293*H293)/12500000))/3*1000,"")</f>
        <v/>
      </c>
    </row>
    <row r="294">
      <c r="B294" s="7" t="inlineStr">
        <is>
          <t xml:space="preserve">  ↳ Dune_SiegeMortar</t>
        </is>
      </c>
      <c r="C294" s="7" t="inlineStr">
        <is>
          <t>Armament</t>
        </is>
      </c>
      <c r="L294" s="6" t="n">
        <v>10000</v>
      </c>
      <c r="M294" s="6" t="n">
        <v>80</v>
      </c>
      <c r="N294" s="6" t="n">
        <v>1</v>
      </c>
      <c r="O294" s="6" t="n"/>
      <c r="P294" s="6" t="n">
        <v>9920</v>
      </c>
      <c r="Q294" s="6" t="n">
        <v>1</v>
      </c>
      <c r="R294">
        <f>M294+IF(N294&gt;1,N(O294)*(N294-1),0)</f>
        <v/>
      </c>
      <c r="S294">
        <f>IFERROR(L294*MAX(N294,1)/R294*Q294*IF(ISBLANK(K293),1,K293),0)</f>
        <v/>
      </c>
      <c r="AB294" s="7" t="inlineStr">
        <is>
          <t>^ShrapnelWeapon, ^Grenade, ^D2K_Cannon, ^TankDestroyerCannon</t>
        </is>
      </c>
    </row>
    <row r="295">
      <c r="B295" s="7" t="inlineStr">
        <is>
          <t xml:space="preserve">  ↳ Dune_SiegeMortar</t>
        </is>
      </c>
      <c r="C295" s="7" t="inlineStr">
        <is>
          <t>Armament@garrisoned</t>
        </is>
      </c>
      <c r="L295" s="6" t="n">
        <v>10000</v>
      </c>
      <c r="M295" s="6" t="n">
        <v>80</v>
      </c>
      <c r="N295" s="6" t="n">
        <v>1</v>
      </c>
      <c r="O295" s="6" t="n"/>
      <c r="P295" s="6" t="n">
        <v>9920</v>
      </c>
      <c r="Q295" s="6" t="n">
        <v>1</v>
      </c>
      <c r="R295">
        <f>M295+IF(N295&gt;1,N(O295)*(N295-1),0)</f>
        <v/>
      </c>
      <c r="S295">
        <f>IFERROR(L295*MAX(N295,1)/R295*Q295*IF(ISBLANK(K293),1,K293),0)</f>
        <v/>
      </c>
      <c r="AB295" s="7" t="inlineStr">
        <is>
          <t>^ShrapnelWeapon, ^Grenade, ^D2K_Cannon, ^TankDestroyerCannon</t>
        </is>
      </c>
    </row>
    <row r="296">
      <c r="A296" t="inlineStr">
        <is>
          <t>warcraft2</t>
        </is>
      </c>
      <c r="B296" t="inlineStr">
        <is>
          <t>wc2_humans_mortarteam</t>
        </is>
      </c>
      <c r="C296" t="inlineStr">
        <is>
          <t>Mortar Team</t>
        </is>
      </c>
      <c r="D296" s="6" t="inlineStr">
        <is>
          <t>MortarInfantry</t>
        </is>
      </c>
      <c r="E296" s="6" t="n">
        <v>40000</v>
      </c>
      <c r="F296" s="6" t="n">
        <v>80</v>
      </c>
      <c r="G296" t="inlineStr">
        <is>
          <t>None</t>
        </is>
      </c>
      <c r="H296" s="6" t="n">
        <v>1</v>
      </c>
      <c r="I296" s="6" t="n">
        <v>0.6</v>
      </c>
      <c r="J296" s="6" t="n">
        <v>1</v>
      </c>
      <c r="K296" s="6" t="n"/>
      <c r="P296">
        <f>MAX(P297)</f>
        <v/>
      </c>
      <c r="S296">
        <f>S297</f>
        <v/>
      </c>
      <c r="T296">
        <f>(E296/100000+F296/100+(P296/1000)*J296/5+S296/200)*200*I296*H296</f>
        <v/>
      </c>
      <c r="U296">
        <f>((E296*F296/25000)+((P296/1000)*J296*S296/2.5))*I296*H296</f>
        <v/>
      </c>
      <c r="V296">
        <f>(E296*F296*(P296/1000)*J296*S296*I296*H296)/12500000</f>
        <v/>
      </c>
      <c r="W296">
        <f>(T296+U296+V296)/3</f>
        <v/>
      </c>
      <c r="X296" s="6" t="n">
        <v>800</v>
      </c>
      <c r="Y296">
        <f>IFERROR(W296-X296,"")</f>
        <v/>
      </c>
      <c r="Z296">
        <f>IFERROR(ABS(Y296)/MAX(X296,1),"")</f>
        <v/>
      </c>
      <c r="AA296">
        <f>IFERROR((X296-(((E296/100000+F296/100+S296/200)*200*I296*H296)+((E296*F296/25000)*I296*H296))/3)/(((J296/5)*200*I296*H296)+((J296*S296/2.5)*I296*H296)+((E296*F296*J296*S296*I296*H296)/12500000))/3*1000,"")</f>
        <v/>
      </c>
    </row>
    <row r="297">
      <c r="B297" s="7" t="inlineStr">
        <is>
          <t xml:space="preserve">  ↳ MortarTeamArtilleryShell</t>
        </is>
      </c>
      <c r="C297" s="7" t="inlineStr">
        <is>
          <t>Armament</t>
        </is>
      </c>
      <c r="L297" s="6" t="n">
        <v>20000</v>
      </c>
      <c r="M297" s="6" t="n">
        <v>200</v>
      </c>
      <c r="N297" s="6" t="n">
        <v>1</v>
      </c>
      <c r="O297" s="6" t="n"/>
      <c r="P297" s="6" t="n">
        <v>12000</v>
      </c>
      <c r="Q297" s="6" t="n">
        <v>1</v>
      </c>
      <c r="R297">
        <f>M297+IF(N297&gt;1,N(O297)*(N297-1),0)</f>
        <v/>
      </c>
      <c r="S297">
        <f>IFERROR(L297*MAX(N297,1)/R297*Q297*IF(ISBLANK(K296),1,K296),0)</f>
        <v/>
      </c>
      <c r="AB297" s="7" t="inlineStr">
        <is>
          <t>^MediumCannon, ^MediumChemicalWeapon, ^MediumFlameWeapon, ^ShrapnelWeapon</t>
        </is>
      </c>
    </row>
    <row r="298">
      <c r="B298" s="7" t="inlineStr">
        <is>
          <t xml:space="preserve">  ↳ MortarTeamArtilleryShell</t>
        </is>
      </c>
      <c r="C298" s="7" t="inlineStr">
        <is>
          <t>Armament@GARRISONED</t>
        </is>
      </c>
      <c r="L298" s="6" t="n">
        <v>20000</v>
      </c>
      <c r="M298" s="6" t="n">
        <v>200</v>
      </c>
      <c r="N298" s="6" t="n">
        <v>1</v>
      </c>
      <c r="O298" s="6" t="n"/>
      <c r="P298" s="6" t="n">
        <v>12000</v>
      </c>
      <c r="Q298" s="6" t="n">
        <v>1</v>
      </c>
      <c r="R298">
        <f>M298+IF(N298&gt;1,N(O298)*(N298-1),0)</f>
        <v/>
      </c>
      <c r="S298">
        <f>IFERROR(L298*MAX(N298,1)/R298*Q298*IF(ISBLANK(K296),1,K296),0)</f>
        <v/>
      </c>
      <c r="AB298" s="7" t="inlineStr">
        <is>
          <t>^MediumCannon, ^MediumChemicalWeapon, ^MediumFlameWeapon, ^ShrapnelWeapon</t>
        </is>
      </c>
    </row>
    <row r="299">
      <c r="A299" s="4" t="inlineStr">
        <is>
          <t>AntiTankAntiAirInfantry</t>
        </is>
      </c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</row>
    <row r="300">
      <c r="A300" t="inlineStr">
        <is>
          <t>tiberiandawn</t>
        </is>
      </c>
      <c r="B300" t="inlineStr">
        <is>
          <t>E3</t>
        </is>
      </c>
      <c r="C300" t="inlineStr">
        <is>
          <t>GDI Rocket Soldier</t>
        </is>
      </c>
      <c r="D300" s="6" t="inlineStr">
        <is>
          <t>AntiTankAntiAirInfantry</t>
        </is>
      </c>
      <c r="E300" s="6" t="n">
        <v>9000</v>
      </c>
      <c r="F300" s="6" t="n">
        <v>50</v>
      </c>
      <c r="G300" t="inlineStr">
        <is>
          <t>Flak</t>
        </is>
      </c>
      <c r="H300" s="6" t="n">
        <v>1</v>
      </c>
      <c r="I300" s="6" t="n">
        <v>1</v>
      </c>
      <c r="J300" s="6" t="n">
        <v>1</v>
      </c>
      <c r="K300" s="6" t="n"/>
      <c r="P300">
        <f>MAX(P301,P303)</f>
        <v/>
      </c>
      <c r="S300">
        <f>S301+S303</f>
        <v/>
      </c>
      <c r="T300">
        <f>(E300/100000+F300/100+(P300/1000)*J300/5+S300/200)*200*I300*H300</f>
        <v/>
      </c>
      <c r="U300">
        <f>((E300*F300/25000)+((P300/1000)*J300*S300/2.5))*I300*H300</f>
        <v/>
      </c>
      <c r="V300">
        <f>(E300*F300*(P300/1000)*J300*S300*I300*H300)/12500000</f>
        <v/>
      </c>
      <c r="W300">
        <f>(T300+U300+V300)/3</f>
        <v/>
      </c>
      <c r="X300" s="6" t="n">
        <v>200</v>
      </c>
      <c r="Y300">
        <f>IFERROR(W300-X300,"")</f>
        <v/>
      </c>
      <c r="Z300">
        <f>IFERROR(ABS(Y300)/MAX(X300,1),"")</f>
        <v/>
      </c>
      <c r="AA300">
        <f>IFERROR((X300-(((E300/100000+F300/100+S300/200)*200*I300*H300)+((E300*F300/25000)*I300*H300))/3)/(((J300/5)*200*I300*H300)+((J300*S300/2.5)*I300*H300)+((E300*F300*J300*S300*I300*H300)/12500000))/3*1000,"")</f>
        <v/>
      </c>
    </row>
    <row r="301">
      <c r="B301" s="7" t="inlineStr">
        <is>
          <t xml:space="preserve">  ↳ Rockets</t>
        </is>
      </c>
      <c r="C301" s="7" t="inlineStr">
        <is>
          <t>Armament@PRIMARY</t>
        </is>
      </c>
      <c r="L301" s="6" t="n">
        <v>18000</v>
      </c>
      <c r="M301" s="6" t="n">
        <v>63</v>
      </c>
      <c r="N301" s="6" t="n">
        <v>1</v>
      </c>
      <c r="O301" s="6" t="n"/>
      <c r="P301" s="6" t="n">
        <v>6368</v>
      </c>
      <c r="Q301" s="6" t="n">
        <v>0.75</v>
      </c>
      <c r="R301">
        <f>M301+IF(N301&gt;1,N(O301)*(N301-1),0)</f>
        <v/>
      </c>
      <c r="S301">
        <f>IFERROR(L301*MAX(N301,1)/R301*Q301*IF(ISBLANK(K300),1,K300),0)</f>
        <v/>
      </c>
      <c r="AB301" s="7" t="inlineStr">
        <is>
          <t>^LightMissile</t>
        </is>
      </c>
    </row>
    <row r="302">
      <c r="B302" s="7" t="inlineStr">
        <is>
          <t xml:space="preserve">  ↳ Rockets</t>
        </is>
      </c>
      <c r="C302" s="7" t="inlineStr">
        <is>
          <t>Armament@GARRISONED</t>
        </is>
      </c>
      <c r="L302" s="6" t="n">
        <v>18000</v>
      </c>
      <c r="M302" s="6" t="n">
        <v>63</v>
      </c>
      <c r="N302" s="6" t="n">
        <v>1</v>
      </c>
      <c r="O302" s="6" t="n"/>
      <c r="P302" s="6" t="n">
        <v>6368</v>
      </c>
      <c r="Q302" s="6" t="n">
        <v>0.75</v>
      </c>
      <c r="R302">
        <f>M302+IF(N302&gt;1,N(O302)*(N302-1),0)</f>
        <v/>
      </c>
      <c r="S302">
        <f>IFERROR(L302*MAX(N302,1)/R302*Q302*IF(ISBLANK(K300),1,K300),0)</f>
        <v/>
      </c>
      <c r="AB302" s="7" t="inlineStr">
        <is>
          <t>^LightMissile</t>
        </is>
      </c>
    </row>
    <row r="303">
      <c r="B303" s="7" t="inlineStr">
        <is>
          <t xml:space="preserve">  ↳ RocketsAMT</t>
        </is>
      </c>
      <c r="C303" s="7" t="inlineStr">
        <is>
          <t>Armament@AdvancedMissileTargeting</t>
        </is>
      </c>
      <c r="L303" s="6" t="n">
        <v>18000</v>
      </c>
      <c r="M303" s="6" t="n">
        <v>63</v>
      </c>
      <c r="N303" s="6" t="n">
        <v>1</v>
      </c>
      <c r="O303" s="6" t="n"/>
      <c r="P303" s="6" t="n">
        <v>6368</v>
      </c>
      <c r="Q303" s="6" t="n">
        <v>0.75</v>
      </c>
      <c r="R303">
        <f>M303+IF(N303&gt;1,N(O303)*(N303-1),0)</f>
        <v/>
      </c>
      <c r="S303">
        <f>IFERROR(L303*MAX(N303,1)/R303*Q303*IF(ISBLANK(K300),1,K300),0)</f>
        <v/>
      </c>
      <c r="AB303" s="7" t="inlineStr">
        <is>
          <t>^LightMissile, ^AMTProjectile</t>
        </is>
      </c>
    </row>
    <row r="304">
      <c r="B304" s="7" t="inlineStr">
        <is>
          <t xml:space="preserve">  ↳ RocketsAMT</t>
        </is>
      </c>
      <c r="C304" s="7" t="inlineStr">
        <is>
          <t>Armament@AdvancedMissileTargetingGARRISONED</t>
        </is>
      </c>
      <c r="L304" s="6" t="n">
        <v>18000</v>
      </c>
      <c r="M304" s="6" t="n">
        <v>63</v>
      </c>
      <c r="N304" s="6" t="n">
        <v>1</v>
      </c>
      <c r="O304" s="6" t="n"/>
      <c r="P304" s="6" t="n">
        <v>6368</v>
      </c>
      <c r="Q304" s="6" t="n">
        <v>0.75</v>
      </c>
      <c r="R304">
        <f>M304+IF(N304&gt;1,N(O304)*(N304-1),0)</f>
        <v/>
      </c>
      <c r="S304">
        <f>IFERROR(L304*MAX(N304,1)/R304*Q304*IF(ISBLANK(K300),1,K300),0)</f>
        <v/>
      </c>
      <c r="AB304" s="7" t="inlineStr">
        <is>
          <t>^LightMissile, ^AMTProjectile</t>
        </is>
      </c>
    </row>
    <row r="305">
      <c r="A305" t="inlineStr">
        <is>
          <t>tiberiandawn</t>
        </is>
      </c>
      <c r="B305" t="inlineStr">
        <is>
          <t>td_gdi_rocketsoldier</t>
        </is>
      </c>
      <c r="C305" t="inlineStr">
        <is>
          <t>GDI Rocket Soldier</t>
        </is>
      </c>
      <c r="D305" s="6" t="inlineStr">
        <is>
          <t>AntiTankAntiAirInfantry</t>
        </is>
      </c>
      <c r="E305" s="6" t="n">
        <v>9000</v>
      </c>
      <c r="F305" s="6" t="n">
        <v>50</v>
      </c>
      <c r="G305" t="inlineStr">
        <is>
          <t>Flak</t>
        </is>
      </c>
      <c r="H305" s="6" t="n">
        <v>1</v>
      </c>
      <c r="I305" s="6" t="n">
        <v>1</v>
      </c>
      <c r="J305" s="6" t="n">
        <v>1</v>
      </c>
      <c r="K305" s="6" t="n"/>
      <c r="P305">
        <f>MAX(P306,P308)</f>
        <v/>
      </c>
      <c r="S305">
        <f>S306+S308</f>
        <v/>
      </c>
      <c r="T305">
        <f>(E305/100000+F305/100+(P305/1000)*J305/5+S305/200)*200*I305*H305</f>
        <v/>
      </c>
      <c r="U305">
        <f>((E305*F305/25000)+((P305/1000)*J305*S305/2.5))*I305*H305</f>
        <v/>
      </c>
      <c r="V305">
        <f>(E305*F305*(P305/1000)*J305*S305*I305*H305)/12500000</f>
        <v/>
      </c>
      <c r="W305">
        <f>(T305+U305+V305)/3</f>
        <v/>
      </c>
      <c r="X305" s="6" t="n">
        <v>200</v>
      </c>
      <c r="Y305">
        <f>IFERROR(W305-X305,"")</f>
        <v/>
      </c>
      <c r="Z305">
        <f>IFERROR(ABS(Y305)/MAX(X305,1),"")</f>
        <v/>
      </c>
      <c r="AA305">
        <f>IFERROR((X305-(((E305/100000+F305/100+S305/200)*200*I305*H305)+((E305*F305/25000)*I305*H305))/3)/(((J305/5)*200*I305*H305)+((J305*S305/2.5)*I305*H305)+((E305*F305*J305*S305*I305*H305)/12500000))/3*1000,"")</f>
        <v/>
      </c>
    </row>
    <row r="306">
      <c r="B306" s="7" t="inlineStr">
        <is>
          <t xml:space="preserve">  ↳ Rockets</t>
        </is>
      </c>
      <c r="C306" s="7" t="inlineStr">
        <is>
          <t>Armament@PRIMARY</t>
        </is>
      </c>
      <c r="L306" s="6" t="n">
        <v>18000</v>
      </c>
      <c r="M306" s="6" t="n">
        <v>63</v>
      </c>
      <c r="N306" s="6" t="n">
        <v>1</v>
      </c>
      <c r="O306" s="6" t="n"/>
      <c r="P306" s="6" t="n">
        <v>6368</v>
      </c>
      <c r="Q306" s="6" t="n">
        <v>0.75</v>
      </c>
      <c r="R306">
        <f>M306+IF(N306&gt;1,N(O306)*(N306-1),0)</f>
        <v/>
      </c>
      <c r="S306">
        <f>IFERROR(L306*MAX(N306,1)/R306*Q306*IF(ISBLANK(K305),1,K305),0)</f>
        <v/>
      </c>
      <c r="AB306" s="7" t="inlineStr">
        <is>
          <t>^LightMissile</t>
        </is>
      </c>
    </row>
    <row r="307">
      <c r="B307" s="7" t="inlineStr">
        <is>
          <t xml:space="preserve">  ↳ Rockets</t>
        </is>
      </c>
      <c r="C307" s="7" t="inlineStr">
        <is>
          <t>Armament@GARRISONED</t>
        </is>
      </c>
      <c r="L307" s="6" t="n">
        <v>18000</v>
      </c>
      <c r="M307" s="6" t="n">
        <v>63</v>
      </c>
      <c r="N307" s="6" t="n">
        <v>1</v>
      </c>
      <c r="O307" s="6" t="n"/>
      <c r="P307" s="6" t="n">
        <v>6368</v>
      </c>
      <c r="Q307" s="6" t="n">
        <v>0.75</v>
      </c>
      <c r="R307">
        <f>M307+IF(N307&gt;1,N(O307)*(N307-1),0)</f>
        <v/>
      </c>
      <c r="S307">
        <f>IFERROR(L307*MAX(N307,1)/R307*Q307*IF(ISBLANK(K305),1,K305),0)</f>
        <v/>
      </c>
      <c r="AB307" s="7" t="inlineStr">
        <is>
          <t>^LightMissile</t>
        </is>
      </c>
    </row>
    <row r="308">
      <c r="B308" s="7" t="inlineStr">
        <is>
          <t xml:space="preserve">  ↳ RocketsAMT</t>
        </is>
      </c>
      <c r="C308" s="7" t="inlineStr">
        <is>
          <t>Armament@AdvancedMissileTargeting</t>
        </is>
      </c>
      <c r="L308" s="6" t="n">
        <v>18000</v>
      </c>
      <c r="M308" s="6" t="n">
        <v>63</v>
      </c>
      <c r="N308" s="6" t="n">
        <v>1</v>
      </c>
      <c r="O308" s="6" t="n"/>
      <c r="P308" s="6" t="n">
        <v>6368</v>
      </c>
      <c r="Q308" s="6" t="n">
        <v>0.75</v>
      </c>
      <c r="R308">
        <f>M308+IF(N308&gt;1,N(O308)*(N308-1),0)</f>
        <v/>
      </c>
      <c r="S308">
        <f>IFERROR(L308*MAX(N308,1)/R308*Q308*IF(ISBLANK(K305),1,K305),0)</f>
        <v/>
      </c>
      <c r="AB308" s="7" t="inlineStr">
        <is>
          <t>^LightMissile, ^AMTProjectile</t>
        </is>
      </c>
    </row>
    <row r="309">
      <c r="B309" s="7" t="inlineStr">
        <is>
          <t xml:space="preserve">  ↳ RocketsAMT</t>
        </is>
      </c>
      <c r="C309" s="7" t="inlineStr">
        <is>
          <t>Armament@AdvancedMissileTargetingGARRISONED</t>
        </is>
      </c>
      <c r="L309" s="6" t="n">
        <v>18000</v>
      </c>
      <c r="M309" s="6" t="n">
        <v>63</v>
      </c>
      <c r="N309" s="6" t="n">
        <v>1</v>
      </c>
      <c r="O309" s="6" t="n"/>
      <c r="P309" s="6" t="n">
        <v>6368</v>
      </c>
      <c r="Q309" s="6" t="n">
        <v>0.75</v>
      </c>
      <c r="R309">
        <f>M309+IF(N309&gt;1,N(O309)*(N309-1),0)</f>
        <v/>
      </c>
      <c r="S309">
        <f>IFERROR(L309*MAX(N309,1)/R309*Q309*IF(ISBLANK(K305),1,K305),0)</f>
        <v/>
      </c>
      <c r="AB309" s="7" t="inlineStr">
        <is>
          <t>^LightMissile, ^AMTProjectile</t>
        </is>
      </c>
    </row>
    <row r="310">
      <c r="A310" t="inlineStr">
        <is>
          <t>tiberiandawn</t>
        </is>
      </c>
      <c r="B310" t="inlineStr">
        <is>
          <t>td_nod_chemicalrocketsoldier</t>
        </is>
      </c>
      <c r="C310" t="inlineStr">
        <is>
          <t>Chemical Rocket Soldier</t>
        </is>
      </c>
      <c r="D310" s="6" t="inlineStr">
        <is>
          <t>AntiTankAntiAirInfantry</t>
        </is>
      </c>
      <c r="E310" s="6" t="n">
        <v>18000</v>
      </c>
      <c r="F310" s="6" t="n">
        <v>60</v>
      </c>
      <c r="G310" t="inlineStr">
        <is>
          <t>Flak</t>
        </is>
      </c>
      <c r="H310" s="6" t="n">
        <v>1</v>
      </c>
      <c r="I310" s="6" t="n">
        <v>0.5</v>
      </c>
      <c r="J310" s="6" t="n">
        <v>1</v>
      </c>
      <c r="K310" s="6" t="n"/>
      <c r="P310">
        <f>MAX(P311)</f>
        <v/>
      </c>
      <c r="S310">
        <f>S311</f>
        <v/>
      </c>
      <c r="T310">
        <f>(E310/100000+F310/100+(P310/1000)*J310/5+S310/200)*200*I310*H310</f>
        <v/>
      </c>
      <c r="U310">
        <f>((E310*F310/25000)+((P310/1000)*J310*S310/2.5))*I310*H310</f>
        <v/>
      </c>
      <c r="V310">
        <f>(E310*F310*(P310/1000)*J310*S310*I310*H310)/12500000</f>
        <v/>
      </c>
      <c r="W310">
        <f>(T310+U310+V310)/3</f>
        <v/>
      </c>
      <c r="X310" s="6" t="n">
        <v>400</v>
      </c>
      <c r="Y310">
        <f>IFERROR(W310-X310,"")</f>
        <v/>
      </c>
      <c r="Z310">
        <f>IFERROR(ABS(Y310)/MAX(X310,1),"")</f>
        <v/>
      </c>
      <c r="AA310">
        <f>IFERROR((X310-(((E310/100000+F310/100+S310/200)*200*I310*H310)+((E310*F310/25000)*I310*H310))/3)/(((J310/5)*200*I310*H310)+((J310*S310/2.5)*I310*H310)+((E310*F310*J310*S310*I310*H310)/12500000))/3*1000,"")</f>
        <v/>
      </c>
    </row>
    <row r="311">
      <c r="B311" s="7" t="inlineStr">
        <is>
          <t xml:space="preserve">  ↳ ChemRockets</t>
        </is>
      </c>
      <c r="C311" s="7" t="inlineStr">
        <is>
          <t>Armament@PRIMARY</t>
        </is>
      </c>
      <c r="L311" s="6" t="n">
        <v>12000</v>
      </c>
      <c r="M311" s="6" t="n">
        <v>54</v>
      </c>
      <c r="N311" s="6" t="n">
        <v>1</v>
      </c>
      <c r="O311" s="6" t="n"/>
      <c r="P311" s="6" t="n">
        <v>6006</v>
      </c>
      <c r="Q311" s="6" t="n">
        <v>0.8333333333333334</v>
      </c>
      <c r="R311">
        <f>M311+IF(N311&gt;1,N(O311)*(N311-1),0)</f>
        <v/>
      </c>
      <c r="S311">
        <f>IFERROR(L311*MAX(N311,1)/R311*Q311*IF(ISBLANK(K310),1,K310),0)</f>
        <v/>
      </c>
      <c r="AB311" s="7" t="inlineStr">
        <is>
          <t>^Grenade, ^LightChemicalWeapon, ^LightMissile</t>
        </is>
      </c>
    </row>
    <row r="312">
      <c r="B312" s="7" t="inlineStr">
        <is>
          <t xml:space="preserve">  ↳ ChemRockets</t>
        </is>
      </c>
      <c r="C312" s="7" t="inlineStr">
        <is>
          <t>Armament@GARRISONED</t>
        </is>
      </c>
      <c r="L312" s="6" t="n">
        <v>12000</v>
      </c>
      <c r="M312" s="6" t="n">
        <v>54</v>
      </c>
      <c r="N312" s="6" t="n">
        <v>1</v>
      </c>
      <c r="O312" s="6" t="n"/>
      <c r="P312" s="6" t="n">
        <v>6006</v>
      </c>
      <c r="Q312" s="6" t="n">
        <v>0.8333333333333334</v>
      </c>
      <c r="R312">
        <f>M312+IF(N312&gt;1,N(O312)*(N312-1),0)</f>
        <v/>
      </c>
      <c r="S312">
        <f>IFERROR(L312*MAX(N312,1)/R312*Q312*IF(ISBLANK(K310),1,K310),0)</f>
        <v/>
      </c>
      <c r="AB312" s="7" t="inlineStr">
        <is>
          <t>^Grenade, ^LightChemicalWeapon, ^LightMissile</t>
        </is>
      </c>
    </row>
    <row r="313">
      <c r="A313" t="inlineStr">
        <is>
          <t>tiberiandawn</t>
        </is>
      </c>
      <c r="B313" t="inlineStr">
        <is>
          <t>td_nod_rocketsoldier</t>
        </is>
      </c>
      <c r="C313" t="inlineStr">
        <is>
          <t>Nod Rocket Soldier</t>
        </is>
      </c>
      <c r="D313" s="6" t="inlineStr">
        <is>
          <t>AntiTankAntiAirInfantry</t>
        </is>
      </c>
      <c r="E313" s="6" t="n">
        <v>9000</v>
      </c>
      <c r="F313" s="6" t="n">
        <v>50</v>
      </c>
      <c r="G313" t="inlineStr">
        <is>
          <t>Flak</t>
        </is>
      </c>
      <c r="H313" s="6" t="n">
        <v>1</v>
      </c>
      <c r="I313" s="6" t="n">
        <v>1</v>
      </c>
      <c r="J313" s="6" t="n">
        <v>1</v>
      </c>
      <c r="K313" s="6" t="n"/>
      <c r="P313">
        <f>MAX(P314)</f>
        <v/>
      </c>
      <c r="S313">
        <f>S314</f>
        <v/>
      </c>
      <c r="T313">
        <f>(E313/100000+F313/100+(P313/1000)*J313/5+S313/200)*200*I313*H313</f>
        <v/>
      </c>
      <c r="U313">
        <f>((E313*F313/25000)+((P313/1000)*J313*S313/2.5))*I313*H313</f>
        <v/>
      </c>
      <c r="V313">
        <f>(E313*F313*(P313/1000)*J313*S313*I313*H313)/12500000</f>
        <v/>
      </c>
      <c r="W313">
        <f>(T313+U313+V313)/3</f>
        <v/>
      </c>
      <c r="X313" s="6" t="n">
        <v>200</v>
      </c>
      <c r="Y313">
        <f>IFERROR(W313-X313,"")</f>
        <v/>
      </c>
      <c r="Z313">
        <f>IFERROR(ABS(Y313)/MAX(X313,1),"")</f>
        <v/>
      </c>
      <c r="AA313">
        <f>IFERROR((X313-(((E313/100000+F313/100+S313/200)*200*I313*H313)+((E313*F313/25000)*I313*H313))/3)/(((J313/5)*200*I313*H313)+((J313*S313/2.5)*I313*H313)+((E313*F313*J313*S313*I313*H313)/12500000))/3*1000,"")</f>
        <v/>
      </c>
    </row>
    <row r="314">
      <c r="B314" s="7" t="inlineStr">
        <is>
          <t xml:space="preserve">  ↳ Rockets</t>
        </is>
      </c>
      <c r="C314" s="7" t="inlineStr">
        <is>
          <t>Armament@PRIMARY</t>
        </is>
      </c>
      <c r="L314" s="6" t="n">
        <v>18000</v>
      </c>
      <c r="M314" s="6" t="n">
        <v>63</v>
      </c>
      <c r="N314" s="6" t="n">
        <v>1</v>
      </c>
      <c r="O314" s="6" t="n"/>
      <c r="P314" s="6" t="n">
        <v>6368</v>
      </c>
      <c r="Q314" s="6" t="n">
        <v>0.75</v>
      </c>
      <c r="R314">
        <f>M314+IF(N314&gt;1,N(O314)*(N314-1),0)</f>
        <v/>
      </c>
      <c r="S314">
        <f>IFERROR(L314*MAX(N314,1)/R314*Q314*IF(ISBLANK(K313),1,K313),0)</f>
        <v/>
      </c>
      <c r="AB314" s="7" t="inlineStr">
        <is>
          <t>^LightMissile</t>
        </is>
      </c>
    </row>
    <row r="315">
      <c r="B315" s="7" t="inlineStr">
        <is>
          <t xml:space="preserve">  ↳ Rockets</t>
        </is>
      </c>
      <c r="C315" s="7" t="inlineStr">
        <is>
          <t>Armament@GARRISONED</t>
        </is>
      </c>
      <c r="L315" s="6" t="n">
        <v>18000</v>
      </c>
      <c r="M315" s="6" t="n">
        <v>63</v>
      </c>
      <c r="N315" s="6" t="n">
        <v>1</v>
      </c>
      <c r="O315" s="6" t="n"/>
      <c r="P315" s="6" t="n">
        <v>6368</v>
      </c>
      <c r="Q315" s="6" t="n">
        <v>0.75</v>
      </c>
      <c r="R315">
        <f>M315+IF(N315&gt;1,N(O315)*(N315-1),0)</f>
        <v/>
      </c>
      <c r="S315">
        <f>IFERROR(L315*MAX(N315,1)/R315*Q315*IF(ISBLANK(K313),1,K313),0)</f>
        <v/>
      </c>
      <c r="AB315" s="7" t="inlineStr">
        <is>
          <t>^LightMissile</t>
        </is>
      </c>
    </row>
    <row r="316">
      <c r="A316" t="inlineStr">
        <is>
          <t>shared</t>
        </is>
      </c>
      <c r="B316" t="inlineStr">
        <is>
          <t>ra1_allies_alliedrocketsoldier</t>
        </is>
      </c>
      <c r="C316" t="inlineStr">
        <is>
          <t>Allied Rocket Soldier</t>
        </is>
      </c>
      <c r="D316" s="6" t="inlineStr">
        <is>
          <t>AntiTankAntiAirInfantry</t>
        </is>
      </c>
      <c r="E316" s="6" t="n">
        <v>10000</v>
      </c>
      <c r="F316" s="6" t="n">
        <v>55</v>
      </c>
      <c r="G316" t="inlineStr">
        <is>
          <t>Flak</t>
        </is>
      </c>
      <c r="H316" s="6" t="n">
        <v>1</v>
      </c>
      <c r="I316" s="6" t="n">
        <v>1</v>
      </c>
      <c r="J316" s="6" t="n">
        <v>1</v>
      </c>
      <c r="K316" s="6" t="n"/>
      <c r="P316">
        <f>MAX(P317,P319)</f>
        <v/>
      </c>
      <c r="S316">
        <f>S317+S319</f>
        <v/>
      </c>
      <c r="T316">
        <f>(E316/100000+F316/100+(P316/1000)*J316/5+S316/200)*200*I316*H316</f>
        <v/>
      </c>
      <c r="U316">
        <f>((E316*F316/25000)+((P316/1000)*J316*S316/2.5))*I316*H316</f>
        <v/>
      </c>
      <c r="V316">
        <f>(E316*F316*(P316/1000)*J316*S316*I316*H316)/12500000</f>
        <v/>
      </c>
      <c r="W316">
        <f>(T316+U316+V316)/3</f>
        <v/>
      </c>
      <c r="X316" s="6" t="n">
        <v>300</v>
      </c>
      <c r="Y316">
        <f>IFERROR(W316-X316,"")</f>
        <v/>
      </c>
      <c r="Z316">
        <f>IFERROR(ABS(Y316)/MAX(X316,1),"")</f>
        <v/>
      </c>
      <c r="AA316">
        <f>IFERROR((X316-(((E316/100000+F316/100+S316/200)*200*I316*H316)+((E316*F316/25000)*I316*H316))/3)/(((J316/5)*200*I316*H316)+((J316*S316/2.5)*I316*H316)+((E316*F316*J316*S316*I316*H316)/12500000))/3*1000,"")</f>
        <v/>
      </c>
    </row>
    <row r="317">
      <c r="B317" s="7" t="inlineStr">
        <is>
          <t xml:space="preserve">  ↳ RocketsRA</t>
        </is>
      </c>
      <c r="C317" s="7" t="inlineStr">
        <is>
          <t>Armament@PRIMARY</t>
        </is>
      </c>
      <c r="L317" s="6" t="n">
        <v>10000</v>
      </c>
      <c r="M317" s="6" t="n">
        <v>50</v>
      </c>
      <c r="N317" s="6" t="n">
        <v>1</v>
      </c>
      <c r="O317" s="6" t="n"/>
      <c r="P317" s="6" t="n">
        <v>6643</v>
      </c>
      <c r="Q317" s="6" t="n">
        <v>0.875</v>
      </c>
      <c r="R317">
        <f>M317+IF(N317&gt;1,N(O317)*(N317-1),0)</f>
        <v/>
      </c>
      <c r="S317">
        <f>IFERROR(L317*MAX(N317,1)/R317*Q317*IF(ISBLANK(K316),1,K316),0)</f>
        <v/>
      </c>
      <c r="AB317" s="7" t="inlineStr">
        <is>
          <t>^MediumMissile, ^LightMissile</t>
        </is>
      </c>
    </row>
    <row r="318">
      <c r="B318" s="7" t="inlineStr">
        <is>
          <t xml:space="preserve">  ↳ RocketsRA</t>
        </is>
      </c>
      <c r="C318" s="7" t="inlineStr">
        <is>
          <t>Armament@GARRISONED</t>
        </is>
      </c>
      <c r="L318" s="6" t="n">
        <v>10000</v>
      </c>
      <c r="M318" s="6" t="n">
        <v>50</v>
      </c>
      <c r="N318" s="6" t="n">
        <v>1</v>
      </c>
      <c r="O318" s="6" t="n"/>
      <c r="P318" s="6" t="n">
        <v>6643</v>
      </c>
      <c r="Q318" s="6" t="n">
        <v>0.875</v>
      </c>
      <c r="R318">
        <f>M318+IF(N318&gt;1,N(O318)*(N318-1),0)</f>
        <v/>
      </c>
      <c r="S318">
        <f>IFERROR(L318*MAX(N318,1)/R318*Q318*IF(ISBLANK(K316),1,K316),0)</f>
        <v/>
      </c>
      <c r="AB318" s="7" t="inlineStr">
        <is>
          <t>^MediumMissile, ^LightMissile</t>
        </is>
      </c>
    </row>
    <row r="319">
      <c r="B319" s="7" t="inlineStr">
        <is>
          <t xml:space="preserve">  ↳ RocketsRACryo</t>
        </is>
      </c>
      <c r="C319" s="7" t="inlineStr">
        <is>
          <t>Armament@Upgrade</t>
        </is>
      </c>
      <c r="L319" s="6" t="n">
        <v>10000</v>
      </c>
      <c r="M319" s="6" t="n">
        <v>50</v>
      </c>
      <c r="N319" s="6" t="n">
        <v>1</v>
      </c>
      <c r="O319" s="6" t="n"/>
      <c r="P319" s="6" t="n">
        <v>6643</v>
      </c>
      <c r="Q319" s="6" t="n">
        <v>0.875</v>
      </c>
      <c r="R319">
        <f>M319+IF(N319&gt;1,N(O319)*(N319-1),0)</f>
        <v/>
      </c>
      <c r="S319">
        <f>IFERROR(L319*MAX(N319,1)/R319*Q319*IF(ISBLANK(K316),1,K316),0)</f>
        <v/>
      </c>
      <c r="AB319" s="7" t="inlineStr">
        <is>
          <t>^MediumMissile, ^LightMissile, ^CryoMissileProjectile</t>
        </is>
      </c>
    </row>
    <row r="320">
      <c r="B320" s="7" t="inlineStr">
        <is>
          <t xml:space="preserve">  ↳ RocketsRACryo</t>
        </is>
      </c>
      <c r="C320" s="7" t="inlineStr">
        <is>
          <t>Armament@UpgradeGARRISONED</t>
        </is>
      </c>
      <c r="L320" s="6" t="n">
        <v>10000</v>
      </c>
      <c r="M320" s="6" t="n">
        <v>50</v>
      </c>
      <c r="N320" s="6" t="n">
        <v>1</v>
      </c>
      <c r="O320" s="6" t="n"/>
      <c r="P320" s="6" t="n">
        <v>6643</v>
      </c>
      <c r="Q320" s="6" t="n">
        <v>0.875</v>
      </c>
      <c r="R320">
        <f>M320+IF(N320&gt;1,N(O320)*(N320-1),0)</f>
        <v/>
      </c>
      <c r="S320">
        <f>IFERROR(L320*MAX(N320,1)/R320*Q320*IF(ISBLANK(K316),1,K316),0)</f>
        <v/>
      </c>
      <c r="AB320" s="7" t="inlineStr">
        <is>
          <t>^MediumMissile, ^LightMissile, ^CryoMissileProjectile</t>
        </is>
      </c>
    </row>
    <row r="321">
      <c r="A321" t="inlineStr">
        <is>
          <t>redalert</t>
        </is>
      </c>
      <c r="B321" t="inlineStr">
        <is>
          <t>ra1_soviets_dragunovantimaterialsniper</t>
        </is>
      </c>
      <c r="C321" t="inlineStr">
        <is>
          <t>Dragunov Anti Material Sniper</t>
        </is>
      </c>
      <c r="D321" s="6" t="inlineStr">
        <is>
          <t>AntiTankAntiAirInfantry</t>
        </is>
      </c>
      <c r="E321" s="6" t="n">
        <v>20000</v>
      </c>
      <c r="F321" s="6" t="n">
        <v>40</v>
      </c>
      <c r="G321" t="inlineStr">
        <is>
          <t>Flak</t>
        </is>
      </c>
      <c r="H321" s="6" t="n">
        <v>1</v>
      </c>
      <c r="I321" s="6" t="n">
        <v>1</v>
      </c>
      <c r="J321" s="6" t="n">
        <v>1</v>
      </c>
      <c r="K321" s="6" t="n"/>
      <c r="P321">
        <f>MAX(P322)</f>
        <v/>
      </c>
      <c r="S321">
        <f>S322</f>
        <v/>
      </c>
      <c r="T321">
        <f>(E321/100000+F321/100+(P321/1000)*J321/5+S321/200)*200*I321*H321</f>
        <v/>
      </c>
      <c r="U321">
        <f>((E321*F321/25000)+((P321/1000)*J321*S321/2.5))*I321*H321</f>
        <v/>
      </c>
      <c r="V321">
        <f>(E321*F321*(P321/1000)*J321*S321*I321*H321)/12500000</f>
        <v/>
      </c>
      <c r="W321">
        <f>(T321+U321+V321)/3</f>
        <v/>
      </c>
      <c r="X321" s="6" t="n">
        <v>400</v>
      </c>
      <c r="Y321">
        <f>IFERROR(W321-X321,"")</f>
        <v/>
      </c>
      <c r="Z321">
        <f>IFERROR(ABS(Y321)/MAX(X321,1),"")</f>
        <v/>
      </c>
      <c r="AA321">
        <f>IFERROR((X321-(((E321/100000+F321/100+S321/200)*200*I321*H321)+((E321*F321/25000)*I321*H321))/3)/(((J321/5)*200*I321*H321)+((J321*S321/2.5)*I321*H321)+((E321*F321*J321*S321*I321*H321)/12500000))/3*1000,"")</f>
        <v/>
      </c>
    </row>
    <row r="322">
      <c r="B322" s="7" t="inlineStr">
        <is>
          <t xml:space="preserve">  ↳ DragunovSniper</t>
        </is>
      </c>
      <c r="C322" s="7" t="inlineStr">
        <is>
          <t>Armament</t>
        </is>
      </c>
      <c r="L322" s="6" t="n">
        <v>8000</v>
      </c>
      <c r="M322" s="6" t="n">
        <v>85</v>
      </c>
      <c r="N322" s="6" t="n">
        <v>1</v>
      </c>
      <c r="O322" s="6" t="n"/>
      <c r="P322" s="6" t="n">
        <v>6880</v>
      </c>
      <c r="Q322" s="6" t="n">
        <v>1.0625</v>
      </c>
      <c r="R322">
        <f>M322+IF(N322&gt;1,N(O322)*(N322-1),0)</f>
        <v/>
      </c>
      <c r="S322">
        <f>IFERROR(L322*MAX(N322,1)/R322*Q322*IF(ISBLANK(K321),1,K321),0)</f>
        <v/>
      </c>
      <c r="AB322" s="7" t="inlineStr">
        <is>
          <t>^TankDestroyerCannon, ^RailgunWeapon, ^LightMissile, ^HeavyCannon, ^FlakWeapon</t>
        </is>
      </c>
    </row>
    <row r="323">
      <c r="B323" s="7" t="inlineStr">
        <is>
          <t xml:space="preserve">  ↳ DragunovSniper</t>
        </is>
      </c>
      <c r="C323" s="7" t="inlineStr">
        <is>
          <t>Armament@GARRISONED</t>
        </is>
      </c>
      <c r="L323" s="6" t="n">
        <v>8000</v>
      </c>
      <c r="M323" s="6" t="n">
        <v>85</v>
      </c>
      <c r="N323" s="6" t="n">
        <v>1</v>
      </c>
      <c r="O323" s="6" t="n"/>
      <c r="P323" s="6" t="n">
        <v>6880</v>
      </c>
      <c r="Q323" s="6" t="n">
        <v>1.0625</v>
      </c>
      <c r="R323">
        <f>M323+IF(N323&gt;1,N(O323)*(N323-1),0)</f>
        <v/>
      </c>
      <c r="S323">
        <f>IFERROR(L323*MAX(N323,1)/R323*Q323*IF(ISBLANK(K321),1,K321),0)</f>
        <v/>
      </c>
      <c r="AB323" s="7" t="inlineStr">
        <is>
          <t>^TankDestroyerCannon, ^RailgunWeapon, ^LightMissile, ^HeavyCannon, ^FlakWeapon</t>
        </is>
      </c>
    </row>
    <row r="324">
      <c r="A324" t="inlineStr">
        <is>
          <t>redalert</t>
        </is>
      </c>
      <c r="B324" t="inlineStr">
        <is>
          <t>ra1_soviets_firerocketsoldier</t>
        </is>
      </c>
      <c r="C324" t="inlineStr">
        <is>
          <t>Fire Rocket Soldier</t>
        </is>
      </c>
      <c r="D324" s="6" t="inlineStr">
        <is>
          <t>AntiTankAntiAirInfantry</t>
        </is>
      </c>
      <c r="E324" s="6" t="n">
        <v>16000</v>
      </c>
      <c r="F324" s="6" t="n">
        <v>48</v>
      </c>
      <c r="G324" t="inlineStr">
        <is>
          <t>Flak</t>
        </is>
      </c>
      <c r="H324" s="6" t="n">
        <v>1</v>
      </c>
      <c r="I324" s="6" t="n">
        <v>0.5</v>
      </c>
      <c r="J324" s="6" t="n">
        <v>1</v>
      </c>
      <c r="K324" s="6" t="n"/>
      <c r="P324">
        <f>MAX(P325,P327)</f>
        <v/>
      </c>
      <c r="S324">
        <f>S325+S327</f>
        <v/>
      </c>
      <c r="T324">
        <f>(E324/100000+F324/100+(P324/1000)*J324/5+S324/200)*200*I324*H324</f>
        <v/>
      </c>
      <c r="U324">
        <f>((E324*F324/25000)+((P324/1000)*J324*S324/2.5))*I324*H324</f>
        <v/>
      </c>
      <c r="V324">
        <f>(E324*F324*(P324/1000)*J324*S324*I324*H324)/12500000</f>
        <v/>
      </c>
      <c r="W324">
        <f>(T324+U324+V324)/3</f>
        <v/>
      </c>
      <c r="X324" s="6" t="n">
        <v>400</v>
      </c>
      <c r="Y324">
        <f>IFERROR(W324-X324,"")</f>
        <v/>
      </c>
      <c r="Z324">
        <f>IFERROR(ABS(Y324)/MAX(X324,1),"")</f>
        <v/>
      </c>
      <c r="AA324">
        <f>IFERROR((X324-(((E324/100000+F324/100+S324/200)*200*I324*H324)+((E324*F324/25000)*I324*H324))/3)/(((J324/5)*200*I324*H324)+((J324*S324/2.5)*I324*H324)+((E324*F324*J324*S324*I324*H324)/12500000))/3*1000,"")</f>
        <v/>
      </c>
    </row>
    <row r="325">
      <c r="B325" s="7" t="inlineStr">
        <is>
          <t xml:space="preserve">  ↳ FireRockets</t>
        </is>
      </c>
      <c r="C325" s="7" t="inlineStr">
        <is>
          <t>Armament@PRIMARY</t>
        </is>
      </c>
      <c r="L325" s="6" t="n">
        <v>8000</v>
      </c>
      <c r="M325" s="6" t="n">
        <v>53</v>
      </c>
      <c r="N325" s="6" t="n">
        <v>1</v>
      </c>
      <c r="O325" s="6" t="n"/>
      <c r="P325" s="6" t="n">
        <v>6036</v>
      </c>
      <c r="Q325" s="6" t="n">
        <v>0.875</v>
      </c>
      <c r="R325">
        <f>M325+IF(N325&gt;1,N(O325)*(N325-1),0)</f>
        <v/>
      </c>
      <c r="S325">
        <f>IFERROR(L325*MAX(N325,1)/R325*Q325*IF(ISBLANK(K324),1,K324),0)</f>
        <v/>
      </c>
      <c r="AB325" s="7" t="inlineStr">
        <is>
          <t>^FlakWeapon, ^MediumMissile, ^LightFlameWeapon, ^LightMissile</t>
        </is>
      </c>
    </row>
    <row r="326">
      <c r="B326" s="7" t="inlineStr">
        <is>
          <t xml:space="preserve">  ↳ FireRockets</t>
        </is>
      </c>
      <c r="C326" s="7" t="inlineStr">
        <is>
          <t>Armament@GARRISONED</t>
        </is>
      </c>
      <c r="L326" s="6" t="n">
        <v>8000</v>
      </c>
      <c r="M326" s="6" t="n">
        <v>53</v>
      </c>
      <c r="N326" s="6" t="n">
        <v>1</v>
      </c>
      <c r="O326" s="6" t="n"/>
      <c r="P326" s="6" t="n">
        <v>6036</v>
      </c>
      <c r="Q326" s="6" t="n">
        <v>0.875</v>
      </c>
      <c r="R326">
        <f>M326+IF(N326&gt;1,N(O326)*(N326-1),0)</f>
        <v/>
      </c>
      <c r="S326">
        <f>IFERROR(L326*MAX(N326,1)/R326*Q326*IF(ISBLANK(K324),1,K324),0)</f>
        <v/>
      </c>
      <c r="AB326" s="7" t="inlineStr">
        <is>
          <t>^FlakWeapon, ^MediumMissile, ^LightFlameWeapon, ^LightMissile</t>
        </is>
      </c>
    </row>
    <row r="327">
      <c r="B327" s="7" t="inlineStr">
        <is>
          <t xml:space="preserve">  ↳ FireRocketsThermobaric</t>
        </is>
      </c>
      <c r="C327" s="7" t="inlineStr">
        <is>
          <t>Armament@Upgrade</t>
        </is>
      </c>
      <c r="L327" s="6" t="n">
        <v>4000</v>
      </c>
      <c r="M327" s="6" t="n">
        <v>58</v>
      </c>
      <c r="N327" s="6" t="n">
        <v>1</v>
      </c>
      <c r="O327" s="6" t="n"/>
      <c r="P327" s="6" t="n">
        <v>6692</v>
      </c>
      <c r="Q327" s="6" t="n">
        <v>1</v>
      </c>
      <c r="R327">
        <f>M327+IF(N327&gt;1,N(O327)*(N327-1),0)</f>
        <v/>
      </c>
      <c r="S327">
        <f>IFERROR(L327*MAX(N327,1)/R327*Q327*IF(ISBLANK(K324),1,K324),0)</f>
        <v/>
      </c>
      <c r="AB327" s="7" t="inlineStr">
        <is>
          <t>^HeavyFlameWeapon, ^HeavyMissile, ^MediumFlameWeapon, ^ShrapnelWeapon, ^FlakWeapon, ^MediumMissile, ^LightFlameWeapon, ^LightMissile</t>
        </is>
      </c>
    </row>
    <row r="328">
      <c r="B328" s="7" t="inlineStr">
        <is>
          <t xml:space="preserve">  ↳ FireRocketsThermobaric</t>
        </is>
      </c>
      <c r="C328" s="7" t="inlineStr">
        <is>
          <t>Armament@UpgradeGARRISONED</t>
        </is>
      </c>
      <c r="L328" s="6" t="n">
        <v>4000</v>
      </c>
      <c r="M328" s="6" t="n">
        <v>58</v>
      </c>
      <c r="N328" s="6" t="n">
        <v>1</v>
      </c>
      <c r="O328" s="6" t="n"/>
      <c r="P328" s="6" t="n">
        <v>6692</v>
      </c>
      <c r="Q328" s="6" t="n">
        <v>1</v>
      </c>
      <c r="R328">
        <f>M328+IF(N328&gt;1,N(O328)*(N328-1),0)</f>
        <v/>
      </c>
      <c r="S328">
        <f>IFERROR(L328*MAX(N328,1)/R328*Q328*IF(ISBLANK(K324),1,K324),0)</f>
        <v/>
      </c>
      <c r="AB328" s="7" t="inlineStr">
        <is>
          <t>^HeavyFlameWeapon, ^HeavyMissile, ^MediumFlameWeapon, ^ShrapnelWeapon, ^FlakWeapon, ^MediumMissile, ^LightFlameWeapon, ^LightMissile</t>
        </is>
      </c>
    </row>
    <row r="329">
      <c r="A329" t="inlineStr">
        <is>
          <t>redalert</t>
        </is>
      </c>
      <c r="B329" t="inlineStr">
        <is>
          <t>ra1_soviets_rocketsoldier</t>
        </is>
      </c>
      <c r="C329" t="inlineStr">
        <is>
          <t>Soviet Rocket Soldier</t>
        </is>
      </c>
      <c r="D329" s="6" t="inlineStr">
        <is>
          <t>AntiTankAntiAirInfantry</t>
        </is>
      </c>
      <c r="E329" s="6" t="n">
        <v>10000</v>
      </c>
      <c r="F329" s="6" t="n">
        <v>55</v>
      </c>
      <c r="G329" t="inlineStr">
        <is>
          <t>Flak</t>
        </is>
      </c>
      <c r="H329" s="6" t="n">
        <v>1</v>
      </c>
      <c r="I329" s="6" t="n">
        <v>1</v>
      </c>
      <c r="J329" s="6" t="n">
        <v>1</v>
      </c>
      <c r="K329" s="6" t="n"/>
      <c r="P329">
        <f>MAX(P330)</f>
        <v/>
      </c>
      <c r="S329">
        <f>S330</f>
        <v/>
      </c>
      <c r="T329">
        <f>(E329/100000+F329/100+(P329/1000)*J329/5+S329/200)*200*I329*H329</f>
        <v/>
      </c>
      <c r="U329">
        <f>((E329*F329/25000)+((P329/1000)*J329*S329/2.5))*I329*H329</f>
        <v/>
      </c>
      <c r="V329">
        <f>(E329*F329*(P329/1000)*J329*S329*I329*H329)/12500000</f>
        <v/>
      </c>
      <c r="W329">
        <f>(T329+U329+V329)/3</f>
        <v/>
      </c>
      <c r="X329" s="6" t="n">
        <v>300</v>
      </c>
      <c r="Y329">
        <f>IFERROR(W329-X329,"")</f>
        <v/>
      </c>
      <c r="Z329">
        <f>IFERROR(ABS(Y329)/MAX(X329,1),"")</f>
        <v/>
      </c>
      <c r="AA329">
        <f>IFERROR((X329-(((E329/100000+F329/100+S329/200)*200*I329*H329)+((E329*F329/25000)*I329*H329))/3)/(((J329/5)*200*I329*H329)+((J329*S329/2.5)*I329*H329)+((E329*F329*J329*S329*I329*H329)/12500000))/3*1000,"")</f>
        <v/>
      </c>
    </row>
    <row r="330">
      <c r="B330" s="7" t="inlineStr">
        <is>
          <t xml:space="preserve">  ↳ RocketsRA</t>
        </is>
      </c>
      <c r="C330" s="7" t="inlineStr">
        <is>
          <t>Armament@PRIMARY</t>
        </is>
      </c>
      <c r="L330" s="6" t="n">
        <v>10000</v>
      </c>
      <c r="M330" s="6" t="n">
        <v>50</v>
      </c>
      <c r="N330" s="6" t="n">
        <v>1</v>
      </c>
      <c r="O330" s="6" t="n"/>
      <c r="P330" s="6" t="n">
        <v>6643</v>
      </c>
      <c r="Q330" s="6" t="n">
        <v>0.875</v>
      </c>
      <c r="R330">
        <f>M330+IF(N330&gt;1,N(O330)*(N330-1),0)</f>
        <v/>
      </c>
      <c r="S330">
        <f>IFERROR(L330*MAX(N330,1)/R330*Q330*IF(ISBLANK(K329),1,K329),0)</f>
        <v/>
      </c>
      <c r="AB330" s="7" t="inlineStr">
        <is>
          <t>^MediumMissile, ^LightMissile</t>
        </is>
      </c>
    </row>
    <row r="331">
      <c r="B331" s="7" t="inlineStr">
        <is>
          <t xml:space="preserve">  ↳ RocketsRA</t>
        </is>
      </c>
      <c r="C331" s="7" t="inlineStr">
        <is>
          <t>Armament@GARRISONED</t>
        </is>
      </c>
      <c r="L331" s="6" t="n">
        <v>10000</v>
      </c>
      <c r="M331" s="6" t="n">
        <v>50</v>
      </c>
      <c r="N331" s="6" t="n">
        <v>1</v>
      </c>
      <c r="O331" s="6" t="n"/>
      <c r="P331" s="6" t="n">
        <v>6643</v>
      </c>
      <c r="Q331" s="6" t="n">
        <v>0.875</v>
      </c>
      <c r="R331">
        <f>M331+IF(N331&gt;1,N(O331)*(N331-1),0)</f>
        <v/>
      </c>
      <c r="S331">
        <f>IFERROR(L331*MAX(N331,1)/R331*Q331*IF(ISBLANK(K329),1,K329),0)</f>
        <v/>
      </c>
      <c r="AB331" s="7" t="inlineStr">
        <is>
          <t>^MediumMissile, ^LightMissile</t>
        </is>
      </c>
    </row>
    <row r="332">
      <c r="A332" t="inlineStr">
        <is>
          <t>tiberiansun</t>
        </is>
      </c>
      <c r="B332" t="inlineStr">
        <is>
          <t>cabal_ascended</t>
        </is>
      </c>
      <c r="C332" t="inlineStr">
        <is>
          <t>Ascended</t>
        </is>
      </c>
      <c r="D332" s="6" t="inlineStr">
        <is>
          <t>AntiTankAntiAirInfantry</t>
        </is>
      </c>
      <c r="E332" s="6" t="n">
        <v>70000</v>
      </c>
      <c r="F332" s="6" t="n">
        <v>40</v>
      </c>
      <c r="G332" t="inlineStr">
        <is>
          <t>Flak</t>
        </is>
      </c>
      <c r="H332" s="6" t="n">
        <v>1</v>
      </c>
      <c r="I332" s="6" t="n">
        <v>0.5</v>
      </c>
      <c r="J332" s="6" t="n">
        <v>1.25</v>
      </c>
      <c r="K332" s="6" t="n"/>
      <c r="P332">
        <f>MAX(P333)</f>
        <v/>
      </c>
      <c r="S332">
        <f>S333</f>
        <v/>
      </c>
      <c r="T332">
        <f>(E332/100000+F332/100+(P332/1000)*J332/5+S332/200)*200*I332*H332</f>
        <v/>
      </c>
      <c r="U332">
        <f>((E332*F332/25000)+((P332/1000)*J332*S332/2.5))*I332*H332</f>
        <v/>
      </c>
      <c r="V332">
        <f>(E332*F332*(P332/1000)*J332*S332*I332*H332)/12500000</f>
        <v/>
      </c>
      <c r="W332">
        <f>(T332+U332+V332)/3</f>
        <v/>
      </c>
      <c r="X332" s="6" t="n">
        <v>900</v>
      </c>
      <c r="Y332">
        <f>IFERROR(W332-X332,"")</f>
        <v/>
      </c>
      <c r="Z332">
        <f>IFERROR(ABS(Y332)/MAX(X332,1),"")</f>
        <v/>
      </c>
      <c r="AA332">
        <f>IFERROR((X332-(((E332/100000+F332/100+S332/200)*200*I332*H332)+((E332*F332/25000)*I332*H332))/3)/(((J332/5)*200*I332*H332)+((J332*S332/2.5)*I332*H332)+((E332*F332*J332*S332*I332*H332)/12500000))/3*1000,"")</f>
        <v/>
      </c>
    </row>
    <row r="333">
      <c r="B333" s="7" t="inlineStr">
        <is>
          <t xml:space="preserve">  ↳ CabalAscendedRockets</t>
        </is>
      </c>
      <c r="C333" s="7" t="inlineStr">
        <is>
          <t>Armament@PRIMARY</t>
        </is>
      </c>
      <c r="L333" s="6" t="n">
        <v>6000</v>
      </c>
      <c r="M333" s="6" t="n">
        <v>60</v>
      </c>
      <c r="N333" s="6" t="n">
        <v>2</v>
      </c>
      <c r="O333" s="6" t="n">
        <v>8</v>
      </c>
      <c r="P333" s="6" t="n">
        <v>9000</v>
      </c>
      <c r="Q333" s="6" t="n">
        <v>1.05</v>
      </c>
      <c r="R333">
        <f>M333+IF(N333&gt;1,N(O333)*(N333-1),0)</f>
        <v/>
      </c>
      <c r="S333">
        <f>IFERROR(L333*MAX(N333,1)/R333*Q333*IF(ISBLANK(K332),1,K332),0)</f>
        <v/>
      </c>
      <c r="AB333" s="7" t="inlineStr">
        <is>
          <t>^LightMissile, ^MediumMissile, ^HeavyMissile, ^TankDestroyerCannon, ^FlakWeapon, ^HeavyAAWeapon, ^CabalMissile</t>
        </is>
      </c>
    </row>
    <row r="334">
      <c r="B334" s="7" t="inlineStr">
        <is>
          <t xml:space="preserve">  ↳ CabalAscendedRockets</t>
        </is>
      </c>
      <c r="C334" s="7" t="inlineStr">
        <is>
          <t>Armament@GARRISONED</t>
        </is>
      </c>
      <c r="L334" s="6" t="n">
        <v>6000</v>
      </c>
      <c r="M334" s="6" t="n">
        <v>60</v>
      </c>
      <c r="N334" s="6" t="n">
        <v>2</v>
      </c>
      <c r="O334" s="6" t="n">
        <v>8</v>
      </c>
      <c r="P334" s="6" t="n">
        <v>9000</v>
      </c>
      <c r="Q334" s="6" t="n">
        <v>1.05</v>
      </c>
      <c r="R334">
        <f>M334+IF(N334&gt;1,N(O334)*(N334-1),0)</f>
        <v/>
      </c>
      <c r="S334">
        <f>IFERROR(L334*MAX(N334,1)/R334*Q334*IF(ISBLANK(K332),1,K332),0)</f>
        <v/>
      </c>
      <c r="AB334" s="7" t="inlineStr">
        <is>
          <t>^LightMissile, ^MediumMissile, ^HeavyMissile, ^TankDestroyerCannon, ^FlakWeapon, ^HeavyAAWeapon, ^CabalMissile</t>
        </is>
      </c>
    </row>
    <row r="335">
      <c r="A335" t="inlineStr">
        <is>
          <t>tiberiansun</t>
        </is>
      </c>
      <c r="B335" t="inlineStr">
        <is>
          <t>cabal_rocketcyborg</t>
        </is>
      </c>
      <c r="C335" t="inlineStr">
        <is>
          <t>Rocket Cyborg</t>
        </is>
      </c>
      <c r="D335" s="6" t="inlineStr">
        <is>
          <t>AntiTankAntiAirInfantry</t>
        </is>
      </c>
      <c r="E335" s="6" t="n">
        <v>45000</v>
      </c>
      <c r="F335" s="6" t="n">
        <v>40</v>
      </c>
      <c r="G335" t="inlineStr">
        <is>
          <t>Flak</t>
        </is>
      </c>
      <c r="H335" s="6" t="n">
        <v>1</v>
      </c>
      <c r="I335" s="6" t="n">
        <v>0.5</v>
      </c>
      <c r="J335" s="6" t="n">
        <v>1.25</v>
      </c>
      <c r="K335" s="6" t="n"/>
      <c r="P335">
        <f>MAX(P336,P337)</f>
        <v/>
      </c>
      <c r="S335">
        <f>S336+S337</f>
        <v/>
      </c>
      <c r="T335">
        <f>(E335/100000+F335/100+(P335/1000)*J335/5+S335/200)*200*I335*H335</f>
        <v/>
      </c>
      <c r="U335">
        <f>((E335*F335/25000)+((P335/1000)*J335*S335/2.5))*I335*H335</f>
        <v/>
      </c>
      <c r="V335">
        <f>(E335*F335*(P335/1000)*J335*S335*I335*H335)/12500000</f>
        <v/>
      </c>
      <c r="W335">
        <f>(T335+U335+V335)/3</f>
        <v/>
      </c>
      <c r="X335" s="6" t="n">
        <v>650</v>
      </c>
      <c r="Y335">
        <f>IFERROR(W335-X335,"")</f>
        <v/>
      </c>
      <c r="Z335">
        <f>IFERROR(ABS(Y335)/MAX(X335,1),"")</f>
        <v/>
      </c>
      <c r="AA335">
        <f>IFERROR((X335-(((E335/100000+F335/100+S335/200)*200*I335*H335)+((E335*F335/25000)*I335*H335))/3)/(((J335/5)*200*I335*H335)+((J335*S335/2.5)*I335*H335)+((E335*F335*J335*S335*I335*H335)/12500000))/3*1000,"")</f>
        <v/>
      </c>
    </row>
    <row r="336">
      <c r="B336" s="7" t="inlineStr">
        <is>
          <t xml:space="preserve">  ↳ CabalRocketCyborgRockets</t>
        </is>
      </c>
      <c r="C336" s="7" t="inlineStr">
        <is>
          <t>Armament@PRIMARY</t>
        </is>
      </c>
      <c r="L336" s="6" t="n">
        <v>6000</v>
      </c>
      <c r="M336" s="6" t="n">
        <v>52</v>
      </c>
      <c r="N336" s="6" t="n">
        <v>3</v>
      </c>
      <c r="O336" s="6" t="n">
        <v>8</v>
      </c>
      <c r="P336" s="6" t="n">
        <v>8753</v>
      </c>
      <c r="Q336" s="6" t="n">
        <v>0.875</v>
      </c>
      <c r="R336">
        <f>M336+IF(N336&gt;1,N(O336)*(N336-1),0)</f>
        <v/>
      </c>
      <c r="S336">
        <f>IFERROR(L336*MAX(N336,1)/R336*Q336*IF(ISBLANK(K335),1,K335),0)</f>
        <v/>
      </c>
      <c r="AB336" s="7" t="inlineStr">
        <is>
          <t>^LightMissile, ^MediumMissile, ^CabalMissile</t>
        </is>
      </c>
    </row>
    <row r="337">
      <c r="B337" s="7" t="inlineStr">
        <is>
          <t xml:space="preserve">  ↳ CabalRocketCyborgRocketsUpgraded</t>
        </is>
      </c>
      <c r="C337" s="7" t="inlineStr">
        <is>
          <t>Armament@Upgraded</t>
        </is>
      </c>
      <c r="L337" s="6" t="n">
        <v>6000</v>
      </c>
      <c r="M337" s="6" t="n">
        <v>52</v>
      </c>
      <c r="N337" s="6" t="n">
        <v>4</v>
      </c>
      <c r="O337" s="6" t="n">
        <v>8</v>
      </c>
      <c r="P337" s="6" t="n">
        <v>8753</v>
      </c>
      <c r="Q337" s="6" t="n">
        <v>0.875</v>
      </c>
      <c r="R337">
        <f>M337+IF(N337&gt;1,N(O337)*(N337-1),0)</f>
        <v/>
      </c>
      <c r="S337">
        <f>IFERROR(L337*MAX(N337,1)/R337*Q337*IF(ISBLANK(K335),1,K335),0)</f>
        <v/>
      </c>
      <c r="AB337" s="7" t="inlineStr">
        <is>
          <t>^LightMissile, ^MediumMissile, ^CabalMissile</t>
        </is>
      </c>
    </row>
    <row r="338">
      <c r="B338" s="7" t="inlineStr">
        <is>
          <t xml:space="preserve">  ↳ CabalRocketCyborgRockets</t>
        </is>
      </c>
      <c r="C338" s="7" t="inlineStr">
        <is>
          <t>Armament@GARRISONED</t>
        </is>
      </c>
      <c r="L338" s="6" t="n">
        <v>6000</v>
      </c>
      <c r="M338" s="6" t="n">
        <v>52</v>
      </c>
      <c r="N338" s="6" t="n">
        <v>3</v>
      </c>
      <c r="O338" s="6" t="n">
        <v>8</v>
      </c>
      <c r="P338" s="6" t="n">
        <v>8753</v>
      </c>
      <c r="Q338" s="6" t="n">
        <v>0.875</v>
      </c>
      <c r="R338">
        <f>M338+IF(N338&gt;1,N(O338)*(N338-1),0)</f>
        <v/>
      </c>
      <c r="S338">
        <f>IFERROR(L338*MAX(N338,1)/R338*Q338*IF(ISBLANK(K335),1,K335),0)</f>
        <v/>
      </c>
      <c r="AB338" s="7" t="inlineStr">
        <is>
          <t>^LightMissile, ^MediumMissile, ^CabalMissile</t>
        </is>
      </c>
    </row>
    <row r="339">
      <c r="A339" t="inlineStr">
        <is>
          <t>tiberiansun</t>
        </is>
      </c>
      <c r="B339" t="inlineStr">
        <is>
          <t>ts_nod_elitecadre</t>
        </is>
      </c>
      <c r="C339" t="inlineStr">
        <is>
          <t>Elite Cadre</t>
        </is>
      </c>
      <c r="D339" s="6" t="inlineStr">
        <is>
          <t>AntiTankAntiAirInfantry</t>
        </is>
      </c>
      <c r="E339" s="6" t="n">
        <v>20000</v>
      </c>
      <c r="F339" s="6" t="n">
        <v>55</v>
      </c>
      <c r="G339" t="inlineStr">
        <is>
          <t>Flak</t>
        </is>
      </c>
      <c r="H339" s="6" t="n">
        <v>1</v>
      </c>
      <c r="I339" s="6" t="n">
        <v>1</v>
      </c>
      <c r="J339" s="6" t="n">
        <v>1</v>
      </c>
      <c r="K339" s="6" t="n"/>
      <c r="P339">
        <f>MAX(P340,P341,P344)</f>
        <v/>
      </c>
      <c r="S339">
        <f>S340+S341+S344</f>
        <v/>
      </c>
      <c r="T339">
        <f>(E339/100000+F339/100+(P339/1000)*J339/5+S339/200)*200*I339*H339</f>
        <v/>
      </c>
      <c r="U339">
        <f>((E339*F339/25000)+((P339/1000)*J339*S339/2.5))*I339*H339</f>
        <v/>
      </c>
      <c r="V339">
        <f>(E339*F339*(P339/1000)*J339*S339*I339*H339)/12500000</f>
        <v/>
      </c>
      <c r="W339">
        <f>(T339+U339+V339)/3</f>
        <v/>
      </c>
      <c r="X339" s="6" t="n">
        <v>450</v>
      </c>
      <c r="Y339">
        <f>IFERROR(W339-X339,"")</f>
        <v/>
      </c>
      <c r="Z339">
        <f>IFERROR(ABS(Y339)/MAX(X339,1),"")</f>
        <v/>
      </c>
      <c r="AA339">
        <f>IFERROR((X339-(((E339/100000+F339/100+S339/200)*200*I339*H339)+((E339*F339/25000)*I339*H339))/3)/(((J339/5)*200*I339*H339)+((J339*S339/2.5)*I339*H339)+((E339*F339*J339*S339*I339*H339)/12500000))/3*1000,"")</f>
        <v/>
      </c>
    </row>
    <row r="340">
      <c r="B340" s="7" t="inlineStr">
        <is>
          <t xml:space="preserve">  ↳ elitecadregun</t>
        </is>
      </c>
      <c r="C340" s="7" t="inlineStr">
        <is>
          <t>Armament@PRIMARY</t>
        </is>
      </c>
      <c r="L340" s="6" t="n">
        <v>2000</v>
      </c>
      <c r="M340" s="6" t="n">
        <v>52</v>
      </c>
      <c r="N340" s="6" t="n">
        <v>5</v>
      </c>
      <c r="O340" s="6" t="n">
        <v>2</v>
      </c>
      <c r="P340" s="6" t="n">
        <v>6591</v>
      </c>
      <c r="Q340" s="6" t="n">
        <v>0.875</v>
      </c>
      <c r="R340">
        <f>M340+IF(N340&gt;1,N(O340)*(N340-1),0)</f>
        <v/>
      </c>
      <c r="S340">
        <f>IFERROR(L340*MAX(N340,1)/R340*Q340*IF(ISBLANK(K339),1,K339),0)</f>
        <v/>
      </c>
      <c r="AB340" s="7" t="inlineStr">
        <is>
          <t>^SmallArms, ^Chaingun</t>
        </is>
      </c>
    </row>
    <row r="341">
      <c r="B341" s="7" t="inlineStr">
        <is>
          <t xml:space="preserve">  ↳ laserelitecadregun</t>
        </is>
      </c>
      <c r="C341" s="7" t="inlineStr">
        <is>
          <t>Armament@UPGRADE</t>
        </is>
      </c>
      <c r="L341" s="6" t="n">
        <v>2000</v>
      </c>
      <c r="M341" s="6" t="n">
        <v>50</v>
      </c>
      <c r="N341" s="6" t="n">
        <v>5</v>
      </c>
      <c r="O341" s="6" t="n">
        <v>2</v>
      </c>
      <c r="P341" s="6" t="n">
        <v>6677</v>
      </c>
      <c r="Q341" s="6" t="n">
        <v>0.9166666666666666</v>
      </c>
      <c r="R341">
        <f>M341+IF(N341&gt;1,N(O341)*(N341-1),0)</f>
        <v/>
      </c>
      <c r="S341">
        <f>IFERROR(L341*MAX(N341,1)/R341*Q341*IF(ISBLANK(K339),1,K339),0)</f>
        <v/>
      </c>
      <c r="AB341" s="7" t="inlineStr">
        <is>
          <t>^SmallArms, ^Chaingun, ^LaserWeapon, ^TSLaserEffect</t>
        </is>
      </c>
    </row>
    <row r="342">
      <c r="B342" s="7" t="inlineStr">
        <is>
          <t xml:space="preserve">  ↳ elitecadregun</t>
        </is>
      </c>
      <c r="C342" s="7" t="inlineStr">
        <is>
          <t>Armament@GARRISONED</t>
        </is>
      </c>
      <c r="L342" s="6" t="n">
        <v>2000</v>
      </c>
      <c r="M342" s="6" t="n">
        <v>52</v>
      </c>
      <c r="N342" s="6" t="n">
        <v>5</v>
      </c>
      <c r="O342" s="6" t="n">
        <v>2</v>
      </c>
      <c r="P342" s="6" t="n">
        <v>6591</v>
      </c>
      <c r="Q342" s="6" t="n">
        <v>0.875</v>
      </c>
      <c r="R342">
        <f>M342+IF(N342&gt;1,N(O342)*(N342-1),0)</f>
        <v/>
      </c>
      <c r="S342">
        <f>IFERROR(L342*MAX(N342,1)/R342*Q342*IF(ISBLANK(K339),1,K339),0)</f>
        <v/>
      </c>
      <c r="AB342" s="7" t="inlineStr">
        <is>
          <t>^SmallArms, ^Chaingun</t>
        </is>
      </c>
    </row>
    <row r="343">
      <c r="B343" s="7" t="inlineStr">
        <is>
          <t xml:space="preserve">  ↳ laserelitecadregun</t>
        </is>
      </c>
      <c r="C343" s="7" t="inlineStr">
        <is>
          <t>Armament@GARRISONEDUPGRADE</t>
        </is>
      </c>
      <c r="L343" s="6" t="n">
        <v>2000</v>
      </c>
      <c r="M343" s="6" t="n">
        <v>50</v>
      </c>
      <c r="N343" s="6" t="n">
        <v>5</v>
      </c>
      <c r="O343" s="6" t="n">
        <v>2</v>
      </c>
      <c r="P343" s="6" t="n">
        <v>6677</v>
      </c>
      <c r="Q343" s="6" t="n">
        <v>0.9166666666666666</v>
      </c>
      <c r="R343">
        <f>M343+IF(N343&gt;1,N(O343)*(N343-1),0)</f>
        <v/>
      </c>
      <c r="S343">
        <f>IFERROR(L343*MAX(N343,1)/R343*Q343*IF(ISBLANK(K339),1,K339),0)</f>
        <v/>
      </c>
      <c r="AB343" s="7" t="inlineStr">
        <is>
          <t>^SmallArms, ^Chaingun, ^LaserWeapon, ^TSLaserEffect</t>
        </is>
      </c>
    </row>
    <row r="344">
      <c r="B344" s="7" t="inlineStr">
        <is>
          <t xml:space="preserve">  ↳ TSCadreGrenade</t>
        </is>
      </c>
      <c r="C344" s="7" t="inlineStr">
        <is>
          <t>Armament@SECONDARY</t>
        </is>
      </c>
      <c r="L344" s="6" t="n">
        <v>36000</v>
      </c>
      <c r="M344" s="6" t="n">
        <v>124</v>
      </c>
      <c r="N344" s="6" t="n">
        <v>1</v>
      </c>
      <c r="O344" s="6" t="n"/>
      <c r="P344" s="6" t="n">
        <v>6623</v>
      </c>
      <c r="Q344" s="6" t="n">
        <v>1</v>
      </c>
      <c r="R344">
        <f>M344+IF(N344&gt;1,N(O344)*(N344-1),0)</f>
        <v/>
      </c>
      <c r="S344">
        <f>IFERROR(L344*MAX(N344,1)/R344*Q344*IF(ISBLANK(K339),1,K339),0)</f>
        <v/>
      </c>
      <c r="AB344" s="7" t="inlineStr">
        <is>
          <t>^Grenade</t>
        </is>
      </c>
    </row>
    <row r="345">
      <c r="B345" s="7" t="inlineStr">
        <is>
          <t xml:space="preserve">  ↳ TSCadreGrenade</t>
        </is>
      </c>
      <c r="C345" s="7" t="inlineStr">
        <is>
          <t>Armament@GARRISONEDSECONDARY</t>
        </is>
      </c>
      <c r="L345" s="6" t="n">
        <v>36000</v>
      </c>
      <c r="M345" s="6" t="n">
        <v>124</v>
      </c>
      <c r="N345" s="6" t="n">
        <v>1</v>
      </c>
      <c r="O345" s="6" t="n"/>
      <c r="P345" s="6" t="n">
        <v>6623</v>
      </c>
      <c r="Q345" s="6" t="n">
        <v>1</v>
      </c>
      <c r="R345">
        <f>M345+IF(N345&gt;1,N(O345)*(N345-1),0)</f>
        <v/>
      </c>
      <c r="S345">
        <f>IFERROR(L345*MAX(N345,1)/R345*Q345*IF(ISBLANK(K339),1,K339),0)</f>
        <v/>
      </c>
      <c r="AB345" s="7" t="inlineStr">
        <is>
          <t>^Grenade</t>
        </is>
      </c>
    </row>
    <row r="346">
      <c r="A346" t="inlineStr">
        <is>
          <t>tiberiansun</t>
        </is>
      </c>
      <c r="B346" t="inlineStr">
        <is>
          <t>ts_nod_rocketinfantry</t>
        </is>
      </c>
      <c r="C346" t="inlineStr">
        <is>
          <t>Rocket Infantry</t>
        </is>
      </c>
      <c r="D346" s="6" t="inlineStr">
        <is>
          <t>AntiTankAntiAirInfantry</t>
        </is>
      </c>
      <c r="E346" s="6" t="n">
        <v>12000</v>
      </c>
      <c r="F346" s="6" t="n">
        <v>50</v>
      </c>
      <c r="G346" t="inlineStr">
        <is>
          <t>Flak</t>
        </is>
      </c>
      <c r="H346" s="6" t="n">
        <v>1</v>
      </c>
      <c r="I346" s="6" t="n">
        <v>1</v>
      </c>
      <c r="J346" s="6" t="n">
        <v>1</v>
      </c>
      <c r="K346" s="6" t="n"/>
      <c r="P346">
        <f>MAX(P347,P349)</f>
        <v/>
      </c>
      <c r="S346">
        <f>S347+S349</f>
        <v/>
      </c>
      <c r="T346">
        <f>(E346/100000+F346/100+(P346/1000)*J346/5+S346/200)*200*I346*H346</f>
        <v/>
      </c>
      <c r="U346">
        <f>((E346*F346/25000)+((P346/1000)*J346*S346/2.5))*I346*H346</f>
        <v/>
      </c>
      <c r="V346">
        <f>(E346*F346*(P346/1000)*J346*S346*I346*H346)/12500000</f>
        <v/>
      </c>
      <c r="W346">
        <f>(T346+U346+V346)/3</f>
        <v/>
      </c>
      <c r="X346" s="6" t="n">
        <v>300</v>
      </c>
      <c r="Y346">
        <f>IFERROR(W346-X346,"")</f>
        <v/>
      </c>
      <c r="Z346">
        <f>IFERROR(ABS(Y346)/MAX(X346,1),"")</f>
        <v/>
      </c>
      <c r="AA346">
        <f>IFERROR((X346-(((E346/100000+F346/100+S346/200)*200*I346*H346)+((E346*F346/25000)*I346*H346))/3)/(((J346/5)*200*I346*H346)+((J346*S346/2.5)*I346*H346)+((E346*F346*J346*S346*I346*H346)/12500000))/3*1000,"")</f>
        <v/>
      </c>
    </row>
    <row r="347">
      <c r="B347" s="7" t="inlineStr">
        <is>
          <t xml:space="preserve">  ↳ TSBazooka</t>
        </is>
      </c>
      <c r="C347" s="7" t="inlineStr">
        <is>
          <t>Armament@PRIMARY</t>
        </is>
      </c>
      <c r="L347" s="6" t="n">
        <v>24000</v>
      </c>
      <c r="M347" s="6" t="n">
        <v>52</v>
      </c>
      <c r="N347" s="6" t="n">
        <v>1</v>
      </c>
      <c r="O347" s="6" t="n"/>
      <c r="P347" s="6" t="n">
        <v>6694</v>
      </c>
      <c r="Q347" s="6" t="n">
        <v>0.75</v>
      </c>
      <c r="R347">
        <f>M347+IF(N347&gt;1,N(O347)*(N347-1),0)</f>
        <v/>
      </c>
      <c r="S347">
        <f>IFERROR(L347*MAX(N347,1)/R347*Q347*IF(ISBLANK(K346),1,K346),0)</f>
        <v/>
      </c>
      <c r="AB347" s="7" t="inlineStr">
        <is>
          <t>^LightMissile</t>
        </is>
      </c>
    </row>
    <row r="348">
      <c r="B348" s="7" t="inlineStr">
        <is>
          <t xml:space="preserve">  ↳ TSBazooka</t>
        </is>
      </c>
      <c r="C348" s="7" t="inlineStr">
        <is>
          <t>Armament@GARRISONED</t>
        </is>
      </c>
      <c r="L348" s="6" t="n">
        <v>24000</v>
      </c>
      <c r="M348" s="6" t="n">
        <v>52</v>
      </c>
      <c r="N348" s="6" t="n">
        <v>1</v>
      </c>
      <c r="O348" s="6" t="n"/>
      <c r="P348" s="6" t="n">
        <v>6694</v>
      </c>
      <c r="Q348" s="6" t="n">
        <v>0.75</v>
      </c>
      <c r="R348">
        <f>M348+IF(N348&gt;1,N(O348)*(N348-1),0)</f>
        <v/>
      </c>
      <c r="S348">
        <f>IFERROR(L348*MAX(N348,1)/R348*Q348*IF(ISBLANK(K346),1,K346),0)</f>
        <v/>
      </c>
      <c r="AB348" s="7" t="inlineStr">
        <is>
          <t>^LightMissile</t>
        </is>
      </c>
    </row>
    <row r="349">
      <c r="B349" s="7" t="inlineStr">
        <is>
          <t xml:space="preserve">  ↳ TSTibBazooka</t>
        </is>
      </c>
      <c r="C349" s="7" t="inlineStr">
        <is>
          <t>Armament@UPGRADE</t>
        </is>
      </c>
      <c r="L349" s="6" t="n">
        <v>24000</v>
      </c>
      <c r="M349" s="6" t="n">
        <v>52</v>
      </c>
      <c r="N349" s="6" t="n">
        <v>1</v>
      </c>
      <c r="O349" s="6" t="n"/>
      <c r="P349" s="6" t="n">
        <v>6694</v>
      </c>
      <c r="Q349" s="6" t="n">
        <v>0.75</v>
      </c>
      <c r="R349">
        <f>M349+IF(N349&gt;1,N(O349)*(N349-1),0)</f>
        <v/>
      </c>
      <c r="S349">
        <f>IFERROR(L349*MAX(N349,1)/R349*Q349*IF(ISBLANK(K346),1,K346),0)</f>
        <v/>
      </c>
      <c r="AB349" s="7" t="inlineStr">
        <is>
          <t>^LightChemicalWeapon, ^LightMissile</t>
        </is>
      </c>
    </row>
    <row r="350">
      <c r="B350" s="7" t="inlineStr">
        <is>
          <t xml:space="preserve">  ↳ TSTibBazooka</t>
        </is>
      </c>
      <c r="C350" s="7" t="inlineStr">
        <is>
          <t>Armament@GARRISONEDUPGRADE</t>
        </is>
      </c>
      <c r="L350" s="6" t="n">
        <v>24000</v>
      </c>
      <c r="M350" s="6" t="n">
        <v>52</v>
      </c>
      <c r="N350" s="6" t="n">
        <v>1</v>
      </c>
      <c r="O350" s="6" t="n"/>
      <c r="P350" s="6" t="n">
        <v>6694</v>
      </c>
      <c r="Q350" s="6" t="n">
        <v>0.75</v>
      </c>
      <c r="R350">
        <f>M350+IF(N350&gt;1,N(O350)*(N350-1),0)</f>
        <v/>
      </c>
      <c r="S350">
        <f>IFERROR(L350*MAX(N350,1)/R350*Q350*IF(ISBLANK(K346),1,K346),0)</f>
        <v/>
      </c>
      <c r="AB350" s="7" t="inlineStr">
        <is>
          <t>^LightChemicalWeapon, ^LightMissile</t>
        </is>
      </c>
    </row>
    <row r="351">
      <c r="A351" t="inlineStr">
        <is>
          <t>tiberiansun</t>
        </is>
      </c>
      <c r="B351" t="inlineStr">
        <is>
          <t>ts_gdi_falconenforcer</t>
        </is>
      </c>
      <c r="C351" t="inlineStr">
        <is>
          <t>Falcon Enforcer</t>
        </is>
      </c>
      <c r="D351" s="6" t="inlineStr">
        <is>
          <t>AntiTankAntiAirInfantry</t>
        </is>
      </c>
      <c r="E351" s="6" t="n">
        <v>45000</v>
      </c>
      <c r="F351" s="6" t="n">
        <v>60</v>
      </c>
      <c r="G351" t="inlineStr">
        <is>
          <t>Flak</t>
        </is>
      </c>
      <c r="H351" s="6" t="n">
        <v>1</v>
      </c>
      <c r="I351" s="6" t="n">
        <v>1</v>
      </c>
      <c r="J351" s="6" t="n">
        <v>1</v>
      </c>
      <c r="K351" s="6" t="n"/>
      <c r="P351">
        <f>MAX(P352,P354)</f>
        <v/>
      </c>
      <c r="S351">
        <f>S352+S354</f>
        <v/>
      </c>
      <c r="T351">
        <f>(E351/100000+F351/100+(P351/1000)*J351/5+S351/200)*200*I351*H351</f>
        <v/>
      </c>
      <c r="U351">
        <f>((E351*F351/25000)+((P351/1000)*J351*S351/2.5))*I351*H351</f>
        <v/>
      </c>
      <c r="V351">
        <f>(E351*F351*(P351/1000)*J351*S351*I351*H351)/12500000</f>
        <v/>
      </c>
      <c r="W351">
        <f>(T351+U351+V351)/3</f>
        <v/>
      </c>
      <c r="X351" s="6" t="n">
        <v>400</v>
      </c>
      <c r="Y351">
        <f>IFERROR(W351-X351,"")</f>
        <v/>
      </c>
      <c r="Z351">
        <f>IFERROR(ABS(Y351)/MAX(X351,1),"")</f>
        <v/>
      </c>
      <c r="AA351">
        <f>IFERROR((X351-(((E351/100000+F351/100+S351/200)*200*I351*H351)+((E351*F351/25000)*I351*H351))/3)/(((J351/5)*200*I351*H351)+((J351*S351/2.5)*I351*H351)+((E351*F351*J351*S351*I351*H351)/12500000))/3*1000,"")</f>
        <v/>
      </c>
    </row>
    <row r="352">
      <c r="B352" s="7" t="inlineStr">
        <is>
          <t xml:space="preserve">  ↳ TS30mm</t>
        </is>
      </c>
      <c r="C352" s="7" t="inlineStr">
        <is>
          <t>Armament@PRIMARY</t>
        </is>
      </c>
      <c r="L352" s="6" t="n">
        <v>2000</v>
      </c>
      <c r="M352" s="6" t="n">
        <v>26</v>
      </c>
      <c r="N352" s="6" t="n">
        <v>3</v>
      </c>
      <c r="O352" s="6" t="n">
        <v>2</v>
      </c>
      <c r="P352" s="6" t="n">
        <v>5873</v>
      </c>
      <c r="Q352" s="6" t="n">
        <v>1</v>
      </c>
      <c r="R352">
        <f>M352+IF(N352&gt;1,N(O352)*(N352-1),0)</f>
        <v/>
      </c>
      <c r="S352">
        <f>IFERROR(L352*MAX(N352,1)/R352*Q352*IF(ISBLANK(K351),1,K351),0)</f>
        <v/>
      </c>
      <c r="AB352" s="7" t="inlineStr">
        <is>
          <t>^MediumMissile, ^FlakWeapon</t>
        </is>
      </c>
    </row>
    <row r="353">
      <c r="B353" s="7" t="inlineStr">
        <is>
          <t xml:space="preserve">  ↳ TS30mm</t>
        </is>
      </c>
      <c r="C353" s="7" t="inlineStr">
        <is>
          <t>Armament@GARRISONED</t>
        </is>
      </c>
      <c r="L353" s="6" t="n">
        <v>2000</v>
      </c>
      <c r="M353" s="6" t="n">
        <v>26</v>
      </c>
      <c r="N353" s="6" t="n">
        <v>3</v>
      </c>
      <c r="O353" s="6" t="n">
        <v>2</v>
      </c>
      <c r="P353" s="6" t="n">
        <v>5873</v>
      </c>
      <c r="Q353" s="6" t="n">
        <v>1</v>
      </c>
      <c r="R353">
        <f>M353+IF(N353&gt;1,N(O353)*(N353-1),0)</f>
        <v/>
      </c>
      <c r="S353">
        <f>IFERROR(L353*MAX(N353,1)/R353*Q353*IF(ISBLANK(K351),1,K351),0)</f>
        <v/>
      </c>
      <c r="AB353" s="7" t="inlineStr">
        <is>
          <t>^MediumMissile, ^FlakWeapon</t>
        </is>
      </c>
    </row>
    <row r="354">
      <c r="B354" s="7" t="inlineStr">
        <is>
          <t xml:space="preserve">  ↳ TS30mmRail</t>
        </is>
      </c>
      <c r="C354" s="7" t="inlineStr">
        <is>
          <t>Armament@Upgrade</t>
        </is>
      </c>
      <c r="L354" s="6" t="n">
        <v>2000</v>
      </c>
      <c r="M354" s="6" t="n">
        <v>26</v>
      </c>
      <c r="N354" s="6" t="n">
        <v>3</v>
      </c>
      <c r="O354" s="6" t="n">
        <v>2</v>
      </c>
      <c r="P354" s="6" t="n">
        <v>5873</v>
      </c>
      <c r="Q354" s="6" t="n">
        <v>1.083333333333333</v>
      </c>
      <c r="R354">
        <f>M354+IF(N354&gt;1,N(O354)*(N354-1),0)</f>
        <v/>
      </c>
      <c r="S354">
        <f>IFERROR(L354*MAX(N354,1)/R354*Q354*IF(ISBLANK(K351),1,K351),0)</f>
        <v/>
      </c>
      <c r="AB354" s="7" t="inlineStr">
        <is>
          <t>^MediumMissile, ^FlakWeapon, ^RailgunWeapon</t>
        </is>
      </c>
    </row>
    <row r="355">
      <c r="B355" s="7" t="inlineStr">
        <is>
          <t xml:space="preserve">  ↳ TS30mmRail</t>
        </is>
      </c>
      <c r="C355" s="7" t="inlineStr">
        <is>
          <t>Armament@UpgradeGARRISONED</t>
        </is>
      </c>
      <c r="L355" s="6" t="n">
        <v>2000</v>
      </c>
      <c r="M355" s="6" t="n">
        <v>26</v>
      </c>
      <c r="N355" s="6" t="n">
        <v>3</v>
      </c>
      <c r="O355" s="6" t="n">
        <v>2</v>
      </c>
      <c r="P355" s="6" t="n">
        <v>5873</v>
      </c>
      <c r="Q355" s="6" t="n">
        <v>1.083333333333333</v>
      </c>
      <c r="R355">
        <f>M355+IF(N355&gt;1,N(O355)*(N355-1),0)</f>
        <v/>
      </c>
      <c r="S355">
        <f>IFERROR(L355*MAX(N355,1)/R355*Q355*IF(ISBLANK(K351),1,K351),0)</f>
        <v/>
      </c>
      <c r="AB355" s="7" t="inlineStr">
        <is>
          <t>^MediumMissile, ^FlakWeapon, ^RailgunWeapon</t>
        </is>
      </c>
    </row>
    <row r="356">
      <c r="A356" t="inlineStr">
        <is>
          <t>tiberiansun</t>
        </is>
      </c>
      <c r="B356" t="inlineStr">
        <is>
          <t>forgotten_rocketinfantry</t>
        </is>
      </c>
      <c r="C356" t="inlineStr">
        <is>
          <t>actor_forgotten_rocketinfantry.name</t>
        </is>
      </c>
      <c r="D356" s="6" t="inlineStr">
        <is>
          <t>AntiTankAntiAirInfantry</t>
        </is>
      </c>
      <c r="E356" s="6" t="n">
        <v>12000</v>
      </c>
      <c r="F356" s="6" t="n">
        <v>50</v>
      </c>
      <c r="G356" t="inlineStr">
        <is>
          <t>Flak</t>
        </is>
      </c>
      <c r="H356" s="6" t="n">
        <v>1</v>
      </c>
      <c r="I356" s="6" t="n">
        <v>1</v>
      </c>
      <c r="J356" s="6" t="n">
        <v>1</v>
      </c>
      <c r="K356" s="6" t="n"/>
      <c r="P356">
        <f>MAX(P357,P359)</f>
        <v/>
      </c>
      <c r="S356">
        <f>S357+S359</f>
        <v/>
      </c>
      <c r="T356">
        <f>(E356/100000+F356/100+(P356/1000)*J356/5+S356/200)*200*I356*H356</f>
        <v/>
      </c>
      <c r="U356">
        <f>((E356*F356/25000)+((P356/1000)*J356*S356/2.5))*I356*H356</f>
        <v/>
      </c>
      <c r="V356">
        <f>(E356*F356*(P356/1000)*J356*S356*I356*H356)/12500000</f>
        <v/>
      </c>
      <c r="W356">
        <f>(T356+U356+V356)/3</f>
        <v/>
      </c>
      <c r="X356" s="6" t="n">
        <v>300</v>
      </c>
      <c r="Y356">
        <f>IFERROR(W356-X356,"")</f>
        <v/>
      </c>
      <c r="Z356">
        <f>IFERROR(ABS(Y356)/MAX(X356,1),"")</f>
        <v/>
      </c>
      <c r="AA356">
        <f>IFERROR((X356-(((E356/100000+F356/100+S356/200)*200*I356*H356)+((E356*F356/25000)*I356*H356))/3)/(((J356/5)*200*I356*H356)+((J356*S356/2.5)*I356*H356)+((E356*F356*J356*S356*I356*H356)/12500000))/3*1000,"")</f>
        <v/>
      </c>
    </row>
    <row r="357">
      <c r="B357" s="7" t="inlineStr">
        <is>
          <t xml:space="preserve">  ↳ TSBazooka</t>
        </is>
      </c>
      <c r="C357" s="7" t="inlineStr">
        <is>
          <t>Armament@PRIMARY</t>
        </is>
      </c>
      <c r="L357" s="6" t="n">
        <v>24000</v>
      </c>
      <c r="M357" s="6" t="n">
        <v>52</v>
      </c>
      <c r="N357" s="6" t="n">
        <v>1</v>
      </c>
      <c r="O357" s="6" t="n"/>
      <c r="P357" s="6" t="n">
        <v>6694</v>
      </c>
      <c r="Q357" s="6" t="n">
        <v>0.75</v>
      </c>
      <c r="R357">
        <f>M357+IF(N357&gt;1,N(O357)*(N357-1),0)</f>
        <v/>
      </c>
      <c r="S357">
        <f>IFERROR(L357*MAX(N357,1)/R357*Q357*IF(ISBLANK(K356),1,K356),0)</f>
        <v/>
      </c>
      <c r="AB357" s="7" t="inlineStr">
        <is>
          <t>^LightMissile</t>
        </is>
      </c>
    </row>
    <row r="358">
      <c r="B358" s="7" t="inlineStr">
        <is>
          <t xml:space="preserve">  ↳ TSBazooka</t>
        </is>
      </c>
      <c r="C358" s="7" t="inlineStr">
        <is>
          <t>Armament@GARRISONED</t>
        </is>
      </c>
      <c r="L358" s="6" t="n">
        <v>24000</v>
      </c>
      <c r="M358" s="6" t="n">
        <v>52</v>
      </c>
      <c r="N358" s="6" t="n">
        <v>1</v>
      </c>
      <c r="O358" s="6" t="n"/>
      <c r="P358" s="6" t="n">
        <v>6694</v>
      </c>
      <c r="Q358" s="6" t="n">
        <v>0.75</v>
      </c>
      <c r="R358">
        <f>M358+IF(N358&gt;1,N(O358)*(N358-1),0)</f>
        <v/>
      </c>
      <c r="S358">
        <f>IFERROR(L358*MAX(N358,1)/R358*Q358*IF(ISBLANK(K356),1,K356),0)</f>
        <v/>
      </c>
      <c r="AB358" s="7" t="inlineStr">
        <is>
          <t>^LightMissile</t>
        </is>
      </c>
    </row>
    <row r="359">
      <c r="B359" s="7" t="inlineStr">
        <is>
          <t xml:space="preserve">  ↳ TSChemBazooka</t>
        </is>
      </c>
      <c r="C359" s="7" t="inlineStr">
        <is>
          <t>Armament@UPGRADE</t>
        </is>
      </c>
      <c r="L359" s="6" t="n">
        <v>24000</v>
      </c>
      <c r="M359" s="6" t="n">
        <v>52</v>
      </c>
      <c r="N359" s="6" t="n">
        <v>1</v>
      </c>
      <c r="O359" s="6" t="n"/>
      <c r="P359" s="6" t="n">
        <v>6694</v>
      </c>
      <c r="Q359" s="6" t="n">
        <v>0.75</v>
      </c>
      <c r="R359">
        <f>M359+IF(N359&gt;1,N(O359)*(N359-1),0)</f>
        <v/>
      </c>
      <c r="S359">
        <f>IFERROR(L359*MAX(N359,1)/R359*Q359*IF(ISBLANK(K356),1,K356),0)</f>
        <v/>
      </c>
      <c r="AB359" s="7" t="inlineStr">
        <is>
          <t>^LightChemicalWeapon, ^LightMissile</t>
        </is>
      </c>
    </row>
    <row r="360">
      <c r="B360" s="7" t="inlineStr">
        <is>
          <t xml:space="preserve">  ↳ TSChemBazooka</t>
        </is>
      </c>
      <c r="C360" s="7" t="inlineStr">
        <is>
          <t>Armament@GARRISONEDUPGRADE</t>
        </is>
      </c>
      <c r="L360" s="6" t="n">
        <v>24000</v>
      </c>
      <c r="M360" s="6" t="n">
        <v>52</v>
      </c>
      <c r="N360" s="6" t="n">
        <v>1</v>
      </c>
      <c r="O360" s="6" t="n"/>
      <c r="P360" s="6" t="n">
        <v>6694</v>
      </c>
      <c r="Q360" s="6" t="n">
        <v>0.75</v>
      </c>
      <c r="R360">
        <f>M360+IF(N360&gt;1,N(O360)*(N360-1),0)</f>
        <v/>
      </c>
      <c r="S360">
        <f>IFERROR(L360*MAX(N360,1)/R360*Q360*IF(ISBLANK(K356),1,K356),0)</f>
        <v/>
      </c>
      <c r="AB360" s="7" t="inlineStr">
        <is>
          <t>^LightChemicalWeapon, ^LightMissile</t>
        </is>
      </c>
    </row>
    <row r="361">
      <c r="A361" t="inlineStr">
        <is>
          <t>shared</t>
        </is>
      </c>
      <c r="B361" t="inlineStr">
        <is>
          <t>ra2sidewind</t>
        </is>
      </c>
      <c r="C361" t="inlineStr">
        <is>
          <t>Sidewinder</t>
        </is>
      </c>
      <c r="D361" s="6" t="inlineStr">
        <is>
          <t>AntiTankAntiAirInfantry</t>
        </is>
      </c>
      <c r="E361" s="6" t="n">
        <v>15000</v>
      </c>
      <c r="F361" s="6" t="n">
        <v>45</v>
      </c>
      <c r="G361" t="inlineStr">
        <is>
          <t>Flak</t>
        </is>
      </c>
      <c r="H361" s="6" t="n">
        <v>1</v>
      </c>
      <c r="I361" s="6" t="n">
        <v>1</v>
      </c>
      <c r="J361" s="6" t="n">
        <v>1</v>
      </c>
      <c r="K361" s="6" t="n"/>
      <c r="P361">
        <f>MAX(P362,P364)</f>
        <v/>
      </c>
      <c r="S361">
        <f>S362+S364</f>
        <v/>
      </c>
      <c r="T361">
        <f>(E361/100000+F361/100+(P361/1000)*J361/5+S361/200)*200*I361*H361</f>
        <v/>
      </c>
      <c r="U361">
        <f>((E361*F361/25000)+((P361/1000)*J361*S361/2.5))*I361*H361</f>
        <v/>
      </c>
      <c r="V361">
        <f>(E361*F361*(P361/1000)*J361*S361*I361*H361)/12500000</f>
        <v/>
      </c>
      <c r="W361">
        <f>(T361+U361+V361)/3</f>
        <v/>
      </c>
      <c r="X361" s="6" t="n">
        <v>300</v>
      </c>
      <c r="Y361">
        <f>IFERROR(W361-X361,"")</f>
        <v/>
      </c>
      <c r="Z361">
        <f>IFERROR(ABS(Y361)/MAX(X361,1),"")</f>
        <v/>
      </c>
      <c r="AA361">
        <f>IFERROR((X361-(((E361/100000+F361/100+S361/200)*200*I361*H361)+((E361*F361/25000)*I361*H361))/3)/(((J361/5)*200*I361*H361)+((J361*S361/2.5)*I361*H361)+((E361*F361*J361*S361*I361*H361)/12500000))/3*1000,"")</f>
        <v/>
      </c>
    </row>
    <row r="362">
      <c r="B362" s="7" t="inlineStr">
        <is>
          <t xml:space="preserve">  ↳ RA2GIRocketsG</t>
        </is>
      </c>
      <c r="C362" s="7" t="inlineStr">
        <is>
          <t>Armament@PRIMARY</t>
        </is>
      </c>
      <c r="L362" s="6" t="n">
        <v>24000</v>
      </c>
      <c r="M362" s="6" t="n">
        <v>45</v>
      </c>
      <c r="N362" s="6" t="n">
        <v>1</v>
      </c>
      <c r="O362" s="6" t="n"/>
      <c r="P362" s="6" t="n">
        <v>6567</v>
      </c>
      <c r="Q362" s="6" t="n">
        <v>0.75</v>
      </c>
      <c r="R362">
        <f>M362+IF(N362&gt;1,N(O362)*(N362-1),0)</f>
        <v/>
      </c>
      <c r="S362">
        <f>IFERROR(L362*MAX(N362,1)/R362*Q362*IF(ISBLANK(K361),1,K361),0)</f>
        <v/>
      </c>
      <c r="AB362" s="7" t="inlineStr">
        <is>
          <t>^RA2LightMissile</t>
        </is>
      </c>
    </row>
    <row r="363">
      <c r="B363" s="7" t="inlineStr">
        <is>
          <t xml:space="preserve">  ↳ RA2GIRocketsG</t>
        </is>
      </c>
      <c r="C363" s="7" t="inlineStr">
        <is>
          <t>Armament@GARRISONED</t>
        </is>
      </c>
      <c r="L363" s="6" t="n">
        <v>24000</v>
      </c>
      <c r="M363" s="6" t="n">
        <v>45</v>
      </c>
      <c r="N363" s="6" t="n">
        <v>1</v>
      </c>
      <c r="O363" s="6" t="n"/>
      <c r="P363" s="6" t="n">
        <v>6567</v>
      </c>
      <c r="Q363" s="6" t="n">
        <v>0.75</v>
      </c>
      <c r="R363">
        <f>M363+IF(N363&gt;1,N(O363)*(N363-1),0)</f>
        <v/>
      </c>
      <c r="S363">
        <f>IFERROR(L363*MAX(N363,1)/R363*Q363*IF(ISBLANK(K361),1,K361),0)</f>
        <v/>
      </c>
      <c r="AB363" s="7" t="inlineStr">
        <is>
          <t>^RA2LightMissile</t>
        </is>
      </c>
    </row>
    <row r="364">
      <c r="B364" s="7" t="inlineStr">
        <is>
          <t xml:space="preserve">  ↳ RA2GIRocketsG_elite</t>
        </is>
      </c>
      <c r="C364" s="7" t="inlineStr">
        <is>
          <t>Armament@PRIMARYE</t>
        </is>
      </c>
      <c r="L364" s="6" t="n">
        <v>48000</v>
      </c>
      <c r="M364" s="6" t="n">
        <v>45</v>
      </c>
      <c r="N364" s="6" t="n">
        <v>1</v>
      </c>
      <c r="O364" s="6" t="n"/>
      <c r="P364" s="6" t="n">
        <v>7567</v>
      </c>
      <c r="Q364" s="6" t="n">
        <v>0.75</v>
      </c>
      <c r="R364">
        <f>M364+IF(N364&gt;1,N(O364)*(N364-1),0)</f>
        <v/>
      </c>
      <c r="S364">
        <f>IFERROR(L364*MAX(N364,1)/R364*Q364*IF(ISBLANK(K361),1,K361),0)</f>
        <v/>
      </c>
      <c r="AB364" s="7" t="inlineStr">
        <is>
          <t>^RA2LightMissile</t>
        </is>
      </c>
    </row>
    <row r="365">
      <c r="B365" s="7" t="inlineStr">
        <is>
          <t xml:space="preserve">  ↳ RA2GIRocketsG_elite</t>
        </is>
      </c>
      <c r="C365" s="7" t="inlineStr">
        <is>
          <t>Armament@GARRISONEDE</t>
        </is>
      </c>
      <c r="L365" s="6" t="n">
        <v>48000</v>
      </c>
      <c r="M365" s="6" t="n">
        <v>45</v>
      </c>
      <c r="N365" s="6" t="n">
        <v>1</v>
      </c>
      <c r="O365" s="6" t="n"/>
      <c r="P365" s="6" t="n">
        <v>7567</v>
      </c>
      <c r="Q365" s="6" t="n">
        <v>0.75</v>
      </c>
      <c r="R365">
        <f>M365+IF(N365&gt;1,N(O365)*(N365-1),0)</f>
        <v/>
      </c>
      <c r="S365">
        <f>IFERROR(L365*MAX(N365,1)/R365*Q365*IF(ISBLANK(K361),1,K361),0)</f>
        <v/>
      </c>
      <c r="AB365" s="7" t="inlineStr">
        <is>
          <t>^RA2LightMissile</t>
        </is>
      </c>
    </row>
    <row r="366">
      <c r="A366" t="inlineStr">
        <is>
          <t>redalert2</t>
        </is>
      </c>
      <c r="B366" t="inlineStr">
        <is>
          <t>ra2_allies_guardiangi</t>
        </is>
      </c>
      <c r="C366" t="inlineStr">
        <is>
          <t>Guardian G.I.</t>
        </is>
      </c>
      <c r="D366" s="6" t="inlineStr">
        <is>
          <t>AntiTankAntiAirInfantry</t>
        </is>
      </c>
      <c r="E366" s="6" t="n">
        <v>45000</v>
      </c>
      <c r="F366" s="6" t="n">
        <v>45</v>
      </c>
      <c r="G366" t="inlineStr">
        <is>
          <t>Flak</t>
        </is>
      </c>
      <c r="H366" s="6" t="n">
        <v>1</v>
      </c>
      <c r="I366" s="6" t="n">
        <v>0.5</v>
      </c>
      <c r="J366" s="6" t="n">
        <v>1.25</v>
      </c>
      <c r="K366" s="6" t="n"/>
      <c r="P366">
        <f>MAX(P367,P368,P369,P370,P371,P372,P374)</f>
        <v/>
      </c>
      <c r="S366">
        <f>S367+S368+S369+S370+S371+S372+S374</f>
        <v/>
      </c>
      <c r="T366">
        <f>(E366/100000+F366/100+(P366/1000)*J366/5+S366/200)*200*I366*H366</f>
        <v/>
      </c>
      <c r="U366">
        <f>((E366*F366/25000)+((P366/1000)*J366*S366/2.5))*I366*H366</f>
        <v/>
      </c>
      <c r="V366">
        <f>(E366*F366*(P366/1000)*J366*S366*I366*H366)/12500000</f>
        <v/>
      </c>
      <c r="W366">
        <f>(T366+U366+V366)/3</f>
        <v/>
      </c>
      <c r="X366" s="6" t="n">
        <v>400</v>
      </c>
      <c r="Y366">
        <f>IFERROR(W366-X366,"")</f>
        <v/>
      </c>
      <c r="Z366">
        <f>IFERROR(ABS(Y366)/MAX(X366,1),"")</f>
        <v/>
      </c>
      <c r="AA366">
        <f>IFERROR((X366-(((E366/100000+F366/100+S366/200)*200*I366*H366)+((E366*F366/25000)*I366*H366))/3)/(((J366/5)*200*I366*H366)+((J366*S366/2.5)*I366*H366)+((E366*F366*J366*S366*I366*H366)/12500000))/3*1000,"")</f>
        <v/>
      </c>
    </row>
    <row r="367">
      <c r="B367" s="7" t="inlineStr">
        <is>
          <t xml:space="preserve">  ↳ GuardianGIMG</t>
        </is>
      </c>
      <c r="C367" s="7" t="inlineStr">
        <is>
          <t>Armament@PRIMARY</t>
        </is>
      </c>
      <c r="L367" s="6" t="n">
        <v>2000</v>
      </c>
      <c r="M367" s="6" t="n">
        <v>20</v>
      </c>
      <c r="N367" s="6" t="n">
        <v>3</v>
      </c>
      <c r="O367" s="6" t="n">
        <v>2</v>
      </c>
      <c r="P367" s="6" t="n">
        <v>4762</v>
      </c>
      <c r="Q367" s="6" t="n">
        <v>0.875</v>
      </c>
      <c r="R367">
        <f>M367+IF(N367&gt;1,N(O367)*(N367-1),0)</f>
        <v/>
      </c>
      <c r="S367">
        <f>IFERROR(L367*MAX(N367,1)/R367*Q367*IF(ISBLANK(K366),1,K366),0)</f>
        <v/>
      </c>
      <c r="AB367" s="7" t="inlineStr">
        <is>
          <t>^RA2SmallArms, ^RA2Chaingun</t>
        </is>
      </c>
    </row>
    <row r="368">
      <c r="B368" s="7" t="inlineStr">
        <is>
          <t xml:space="preserve">  ↳ GuardianGIMG2</t>
        </is>
      </c>
      <c r="C368" s="7" t="inlineStr">
        <is>
          <t>Armament@PRIMARY2</t>
        </is>
      </c>
      <c r="L368" s="6" t="n">
        <v>4000</v>
      </c>
      <c r="M368" s="6" t="n">
        <v>19</v>
      </c>
      <c r="N368" s="6" t="n">
        <v>3</v>
      </c>
      <c r="O368" s="6" t="n">
        <v>3</v>
      </c>
      <c r="P368" s="6" t="n">
        <v>4750</v>
      </c>
      <c r="Q368" s="6" t="n">
        <v>1</v>
      </c>
      <c r="R368">
        <f>M368+IF(N368&gt;1,N(O368)*(N368-1),0)</f>
        <v/>
      </c>
      <c r="S368">
        <f>IFERROR(L368*MAX(N368,1)/R368*Q368*IF(ISBLANK(K366),1,K366),0)</f>
        <v/>
      </c>
      <c r="AB368" s="7" t="inlineStr">
        <is>
          <t>^RA2Chaingun</t>
        </is>
      </c>
    </row>
    <row r="369">
      <c r="B369" s="7" t="inlineStr">
        <is>
          <t xml:space="preserve">  ↳ GuardianGIMGE</t>
        </is>
      </c>
      <c r="C369" s="7" t="inlineStr">
        <is>
          <t>Armament@ELITE</t>
        </is>
      </c>
      <c r="L369" s="6" t="n">
        <v>2000</v>
      </c>
      <c r="M369" s="6" t="n">
        <v>20</v>
      </c>
      <c r="N369" s="6" t="n">
        <v>6</v>
      </c>
      <c r="O369" s="6" t="n">
        <v>2</v>
      </c>
      <c r="P369" s="6" t="n">
        <v>5762</v>
      </c>
      <c r="Q369" s="6" t="n">
        <v>0.875</v>
      </c>
      <c r="R369">
        <f>M369+IF(N369&gt;1,N(O369)*(N369-1),0)</f>
        <v/>
      </c>
      <c r="S369">
        <f>IFERROR(L369*MAX(N369,1)/R369*Q369*IF(ISBLANK(K366),1,K366),0)</f>
        <v/>
      </c>
      <c r="AB369" s="7" t="inlineStr">
        <is>
          <t>^RA2SmallArms, ^RA2Chaingun</t>
        </is>
      </c>
    </row>
    <row r="370">
      <c r="B370" s="7" t="inlineStr">
        <is>
          <t xml:space="preserve">  ↳ GuardianGIMG2E</t>
        </is>
      </c>
      <c r="C370" s="7" t="inlineStr">
        <is>
          <t>Armament@ELITE2</t>
        </is>
      </c>
      <c r="L370" s="6" t="n">
        <v>4000</v>
      </c>
      <c r="M370" s="6" t="n">
        <v>19</v>
      </c>
      <c r="N370" s="6" t="n">
        <v>6</v>
      </c>
      <c r="O370" s="6" t="n">
        <v>3</v>
      </c>
      <c r="P370" s="6" t="n">
        <v>5750</v>
      </c>
      <c r="Q370" s="6" t="n">
        <v>1</v>
      </c>
      <c r="R370">
        <f>M370+IF(N370&gt;1,N(O370)*(N370-1),0)</f>
        <v/>
      </c>
      <c r="S370">
        <f>IFERROR(L370*MAX(N370,1)/R370*Q370*IF(ISBLANK(K366),1,K366),0)</f>
        <v/>
      </c>
      <c r="AB370" s="7" t="inlineStr">
        <is>
          <t>^RA2Chaingun</t>
        </is>
      </c>
    </row>
    <row r="371">
      <c r="B371" s="7" t="inlineStr">
        <is>
          <t xml:space="preserve">  ↳ aadeploytargeting.8c0</t>
        </is>
      </c>
      <c r="C371" s="7" t="inlineStr">
        <is>
          <t>Armament@BOTAA</t>
        </is>
      </c>
      <c r="L371" s="6" t="n"/>
      <c r="M371" s="6" t="n">
        <v>50</v>
      </c>
      <c r="N371" s="6" t="n">
        <v>1</v>
      </c>
      <c r="O371" s="6" t="n"/>
      <c r="P371" s="6" t="n">
        <v>8000</v>
      </c>
      <c r="Q371" s="6" t="n">
        <v>1</v>
      </c>
      <c r="R371">
        <f>M371+IF(N371&gt;1,N(O371)*(N371-1),0)</f>
        <v/>
      </c>
      <c r="S371">
        <f>IFERROR(L371*MAX(N371,1)/R371*Q371*IF(ISBLANK(K366),1,K366),0)</f>
        <v/>
      </c>
      <c r="AB371" s="7" t="inlineStr">
        <is>
          <t>^aadeploytargeting</t>
        </is>
      </c>
    </row>
    <row r="372">
      <c r="B372" s="7" t="inlineStr">
        <is>
          <t xml:space="preserve">  ↳ RA2GIRocketsG</t>
        </is>
      </c>
      <c r="C372" s="7" t="inlineStr">
        <is>
          <t>Armament@DEPLOYED</t>
        </is>
      </c>
      <c r="L372" s="6" t="n">
        <v>24000</v>
      </c>
      <c r="M372" s="6" t="n">
        <v>45</v>
      </c>
      <c r="N372" s="6" t="n">
        <v>1</v>
      </c>
      <c r="O372" s="6" t="n"/>
      <c r="P372" s="6" t="n">
        <v>6567</v>
      </c>
      <c r="Q372" s="6" t="n">
        <v>0.75</v>
      </c>
      <c r="R372">
        <f>M372+IF(N372&gt;1,N(O372)*(N372-1),0)</f>
        <v/>
      </c>
      <c r="S372">
        <f>IFERROR(L372*MAX(N372,1)/R372*Q372*IF(ISBLANK(K366),1,K366),0)</f>
        <v/>
      </c>
      <c r="AB372" s="7" t="inlineStr">
        <is>
          <t>^RA2LightMissile</t>
        </is>
      </c>
    </row>
    <row r="373">
      <c r="B373" s="7" t="inlineStr">
        <is>
          <t xml:space="preserve">  ↳ RA2GIRocketsG</t>
        </is>
      </c>
      <c r="C373" s="7" t="inlineStr">
        <is>
          <t>Armament@GARRISONED</t>
        </is>
      </c>
      <c r="L373" s="6" t="n">
        <v>24000</v>
      </c>
      <c r="M373" s="6" t="n">
        <v>45</v>
      </c>
      <c r="N373" s="6" t="n">
        <v>1</v>
      </c>
      <c r="O373" s="6" t="n"/>
      <c r="P373" s="6" t="n">
        <v>6567</v>
      </c>
      <c r="Q373" s="6" t="n">
        <v>0.75</v>
      </c>
      <c r="R373">
        <f>M373+IF(N373&gt;1,N(O373)*(N373-1),0)</f>
        <v/>
      </c>
      <c r="S373">
        <f>IFERROR(L373*MAX(N373,1)/R373*Q373*IF(ISBLANK(K366),1,K366),0)</f>
        <v/>
      </c>
      <c r="AB373" s="7" t="inlineStr">
        <is>
          <t>^RA2LightMissile</t>
        </is>
      </c>
    </row>
    <row r="374">
      <c r="B374" s="7" t="inlineStr">
        <is>
          <t xml:space="preserve">  ↳ RA2GIRocketsG_elite</t>
        </is>
      </c>
      <c r="C374" s="7" t="inlineStr">
        <is>
          <t>Armament@DEPLOYEDELITE</t>
        </is>
      </c>
      <c r="L374" s="6" t="n">
        <v>48000</v>
      </c>
      <c r="M374" s="6" t="n">
        <v>45</v>
      </c>
      <c r="N374" s="6" t="n">
        <v>1</v>
      </c>
      <c r="O374" s="6" t="n"/>
      <c r="P374" s="6" t="n">
        <v>7567</v>
      </c>
      <c r="Q374" s="6" t="n">
        <v>0.75</v>
      </c>
      <c r="R374">
        <f>M374+IF(N374&gt;1,N(O374)*(N374-1),0)</f>
        <v/>
      </c>
      <c r="S374">
        <f>IFERROR(L374*MAX(N374,1)/R374*Q374*IF(ISBLANK(K366),1,K366),0)</f>
        <v/>
      </c>
      <c r="AB374" s="7" t="inlineStr">
        <is>
          <t>^RA2LightMissile</t>
        </is>
      </c>
    </row>
    <row r="375">
      <c r="B375" s="7" t="inlineStr">
        <is>
          <t xml:space="preserve">  ↳ RA2GIRocketsG_elite</t>
        </is>
      </c>
      <c r="C375" s="7" t="inlineStr">
        <is>
          <t>Armament@GARRISONEDELITE</t>
        </is>
      </c>
      <c r="L375" s="6" t="n">
        <v>48000</v>
      </c>
      <c r="M375" s="6" t="n">
        <v>45</v>
      </c>
      <c r="N375" s="6" t="n">
        <v>1</v>
      </c>
      <c r="O375" s="6" t="n"/>
      <c r="P375" s="6" t="n">
        <v>7567</v>
      </c>
      <c r="Q375" s="6" t="n">
        <v>0.75</v>
      </c>
      <c r="R375">
        <f>M375+IF(N375&gt;1,N(O375)*(N375-1),0)</f>
        <v/>
      </c>
      <c r="S375">
        <f>IFERROR(L375*MAX(N375,1)/R375*Q375*IF(ISBLANK(K366),1,K366),0)</f>
        <v/>
      </c>
      <c r="AB375" s="7" t="inlineStr">
        <is>
          <t>^RA2LightMissile</t>
        </is>
      </c>
    </row>
    <row r="376">
      <c r="A376" t="inlineStr">
        <is>
          <t>redalert2</t>
        </is>
      </c>
      <c r="B376" t="inlineStr">
        <is>
          <t>ra2_soviets_flaktrooper</t>
        </is>
      </c>
      <c r="C376" t="inlineStr">
        <is>
          <t>Flak Trooper</t>
        </is>
      </c>
      <c r="D376" s="6" t="inlineStr">
        <is>
          <t>AntiTankAntiAirInfantry</t>
        </is>
      </c>
      <c r="E376" s="6" t="n">
        <v>10000</v>
      </c>
      <c r="F376" s="6" t="n">
        <v>45</v>
      </c>
      <c r="G376" t="inlineStr">
        <is>
          <t>Flak</t>
        </is>
      </c>
      <c r="H376" s="6" t="n">
        <v>1</v>
      </c>
      <c r="I376" s="6" t="n">
        <v>0.5</v>
      </c>
      <c r="J376" s="6" t="n">
        <v>1</v>
      </c>
      <c r="K376" s="6" t="n"/>
      <c r="P376">
        <f>MAX(P377,P378,P381,P382)</f>
        <v/>
      </c>
      <c r="S376">
        <f>S377+S378+S381+S382</f>
        <v/>
      </c>
      <c r="T376">
        <f>(E376/100000+F376/100+(P376/1000)*J376/5+S376/200)*200*I376*H376</f>
        <v/>
      </c>
      <c r="U376">
        <f>((E376*F376/25000)+((P376/1000)*J376*S376/2.5))*I376*H376</f>
        <v/>
      </c>
      <c r="V376">
        <f>(E376*F376*(P376/1000)*J376*S376*I376*H376)/12500000</f>
        <v/>
      </c>
      <c r="W376">
        <f>(T376+U376+V376)/3</f>
        <v/>
      </c>
      <c r="X376" s="6" t="n">
        <v>300</v>
      </c>
      <c r="Y376">
        <f>IFERROR(W376-X376,"")</f>
        <v/>
      </c>
      <c r="Z376">
        <f>IFERROR(ABS(Y376)/MAX(X376,1),"")</f>
        <v/>
      </c>
      <c r="AA376">
        <f>IFERROR((X376-(((E376/100000+F376/100+S376/200)*200*I376*H376)+((E376*F376/25000)*I376*H376))/3)/(((J376/5)*200*I376*H376)+((J376*S376/2.5)*I376*H376)+((E376*F376*J376*S376*I376*H376)/12500000))/3*1000,"")</f>
        <v/>
      </c>
    </row>
    <row r="377">
      <c r="B377" s="7" t="inlineStr">
        <is>
          <t xml:space="preserve">  ↳ RA2CRFlakGuyGun</t>
        </is>
      </c>
      <c r="C377" s="7" t="inlineStr">
        <is>
          <t>Armament@PRIMARY</t>
        </is>
      </c>
      <c r="L377" s="6" t="n">
        <v>8000</v>
      </c>
      <c r="M377" s="6" t="n">
        <v>17</v>
      </c>
      <c r="N377" s="6" t="n">
        <v>1</v>
      </c>
      <c r="O377" s="6" t="n"/>
      <c r="P377" s="6" t="n">
        <v>4900</v>
      </c>
      <c r="Q377" s="6" t="n">
        <v>1</v>
      </c>
      <c r="R377">
        <f>M377+IF(N377&gt;1,N(O377)*(N377-1),0)</f>
        <v/>
      </c>
      <c r="S377">
        <f>IFERROR(L377*MAX(N377,1)/R377*Q377*IF(ISBLANK(K376),1,K376),0)</f>
        <v/>
      </c>
      <c r="AB377" s="7" t="inlineStr">
        <is>
          <t>^RA2FlakWeapon</t>
        </is>
      </c>
    </row>
    <row r="378">
      <c r="B378" s="7" t="inlineStr">
        <is>
          <t xml:space="preserve">  ↳ RA2FLAKAA</t>
        </is>
      </c>
      <c r="C378" s="7" t="inlineStr">
        <is>
          <t>Armament@PRIMARYAA</t>
        </is>
      </c>
      <c r="L378" s="6" t="n">
        <v>8000</v>
      </c>
      <c r="M378" s="6" t="n">
        <v>26</v>
      </c>
      <c r="N378" s="6" t="n">
        <v>1</v>
      </c>
      <c r="O378" s="6" t="n"/>
      <c r="P378" s="6" t="n">
        <v>7834</v>
      </c>
      <c r="Q378" s="6" t="n">
        <v>1</v>
      </c>
      <c r="R378">
        <f>M378+IF(N378&gt;1,N(O378)*(N378-1),0)</f>
        <v/>
      </c>
      <c r="S378">
        <f>IFERROR(L378*MAX(N378,1)/R378*Q378*IF(ISBLANK(K376),1,K376),0)</f>
        <v/>
      </c>
      <c r="AB378" s="7" t="inlineStr">
        <is>
          <t>^RA2FlakWeapon</t>
        </is>
      </c>
    </row>
    <row r="379">
      <c r="B379" s="7" t="inlineStr">
        <is>
          <t xml:space="preserve">  ↳ RA2CRFlakGuyGun</t>
        </is>
      </c>
      <c r="C379" s="7" t="inlineStr">
        <is>
          <t>Armament@GARRISONED</t>
        </is>
      </c>
      <c r="L379" s="6" t="n">
        <v>8000</v>
      </c>
      <c r="M379" s="6" t="n">
        <v>17</v>
      </c>
      <c r="N379" s="6" t="n">
        <v>1</v>
      </c>
      <c r="O379" s="6" t="n"/>
      <c r="P379" s="6" t="n">
        <v>4900</v>
      </c>
      <c r="Q379" s="6" t="n">
        <v>1</v>
      </c>
      <c r="R379">
        <f>M379+IF(N379&gt;1,N(O379)*(N379-1),0)</f>
        <v/>
      </c>
      <c r="S379">
        <f>IFERROR(L379*MAX(N379,1)/R379*Q379*IF(ISBLANK(K376),1,K376),0)</f>
        <v/>
      </c>
      <c r="AB379" s="7" t="inlineStr">
        <is>
          <t>^RA2FlakWeapon</t>
        </is>
      </c>
    </row>
    <row r="380">
      <c r="B380" s="7" t="inlineStr">
        <is>
          <t xml:space="preserve">  ↳ RA2FLAKAA</t>
        </is>
      </c>
      <c r="C380" s="7" t="inlineStr">
        <is>
          <t>Armament@GARRISONEDAA</t>
        </is>
      </c>
      <c r="L380" s="6" t="n">
        <v>8000</v>
      </c>
      <c r="M380" s="6" t="n">
        <v>26</v>
      </c>
      <c r="N380" s="6" t="n">
        <v>1</v>
      </c>
      <c r="O380" s="6" t="n"/>
      <c r="P380" s="6" t="n">
        <v>7834</v>
      </c>
      <c r="Q380" s="6" t="n">
        <v>1</v>
      </c>
      <c r="R380">
        <f>M380+IF(N380&gt;1,N(O380)*(N380-1),0)</f>
        <v/>
      </c>
      <c r="S380">
        <f>IFERROR(L380*MAX(N380,1)/R380*Q380*IF(ISBLANK(K376),1,K376),0)</f>
        <v/>
      </c>
      <c r="AB380" s="7" t="inlineStr">
        <is>
          <t>^RA2FlakWeapon</t>
        </is>
      </c>
    </row>
    <row r="381">
      <c r="B381" s="7" t="inlineStr">
        <is>
          <t xml:space="preserve">  ↳ RA2CRFlakGuyGun_elite</t>
        </is>
      </c>
      <c r="C381" s="7" t="inlineStr">
        <is>
          <t>Armament@PRIMARYE</t>
        </is>
      </c>
      <c r="L381" s="6" t="n">
        <v>8000</v>
      </c>
      <c r="M381" s="6" t="n">
        <v>17</v>
      </c>
      <c r="N381" s="6" t="n">
        <v>2</v>
      </c>
      <c r="O381" s="6" t="n">
        <v>3</v>
      </c>
      <c r="P381" s="6" t="n">
        <v>5900</v>
      </c>
      <c r="Q381" s="6" t="n">
        <v>1</v>
      </c>
      <c r="R381">
        <f>M381+IF(N381&gt;1,N(O381)*(N381-1),0)</f>
        <v/>
      </c>
      <c r="S381">
        <f>IFERROR(L381*MAX(N381,1)/R381*Q381*IF(ISBLANK(K376),1,K376),0)</f>
        <v/>
      </c>
      <c r="AB381" s="7" t="inlineStr">
        <is>
          <t>^RA2FlakWeapon</t>
        </is>
      </c>
    </row>
    <row r="382">
      <c r="B382" s="7" t="inlineStr">
        <is>
          <t xml:space="preserve">  ↳ RA2FLAKAA_elite</t>
        </is>
      </c>
      <c r="C382" s="7" t="inlineStr">
        <is>
          <t>Armament@PRIMARYAAE</t>
        </is>
      </c>
      <c r="L382" s="6" t="n">
        <v>8000</v>
      </c>
      <c r="M382" s="6" t="n">
        <v>26</v>
      </c>
      <c r="N382" s="6" t="n">
        <v>2</v>
      </c>
      <c r="O382" s="6" t="n">
        <v>3</v>
      </c>
      <c r="P382" s="6" t="n">
        <v>8834</v>
      </c>
      <c r="Q382" s="6" t="n">
        <v>1</v>
      </c>
      <c r="R382">
        <f>M382+IF(N382&gt;1,N(O382)*(N382-1),0)</f>
        <v/>
      </c>
      <c r="S382">
        <f>IFERROR(L382*MAX(N382,1)/R382*Q382*IF(ISBLANK(K376),1,K376),0)</f>
        <v/>
      </c>
      <c r="AB382" s="7" t="inlineStr">
        <is>
          <t>^RA2FlakWeapon</t>
        </is>
      </c>
    </row>
    <row r="383">
      <c r="B383" s="7" t="inlineStr">
        <is>
          <t xml:space="preserve">  ↳ RA2CRFlakGuyGun_elite</t>
        </is>
      </c>
      <c r="C383" s="7" t="inlineStr">
        <is>
          <t>Armament@GARRISONEDE</t>
        </is>
      </c>
      <c r="L383" s="6" t="n">
        <v>8000</v>
      </c>
      <c r="M383" s="6" t="n">
        <v>17</v>
      </c>
      <c r="N383" s="6" t="n">
        <v>2</v>
      </c>
      <c r="O383" s="6" t="n">
        <v>3</v>
      </c>
      <c r="P383" s="6" t="n">
        <v>5900</v>
      </c>
      <c r="Q383" s="6" t="n">
        <v>1</v>
      </c>
      <c r="R383">
        <f>M383+IF(N383&gt;1,N(O383)*(N383-1),0)</f>
        <v/>
      </c>
      <c r="S383">
        <f>IFERROR(L383*MAX(N383,1)/R383*Q383*IF(ISBLANK(K376),1,K376),0)</f>
        <v/>
      </c>
      <c r="AB383" s="7" t="inlineStr">
        <is>
          <t>^RA2FlakWeapon</t>
        </is>
      </c>
    </row>
    <row r="384">
      <c r="B384" s="7" t="inlineStr">
        <is>
          <t xml:space="preserve">  ↳ RA2FLAKAA_elite</t>
        </is>
      </c>
      <c r="C384" s="7" t="inlineStr">
        <is>
          <t>Armament@GARRISONEDAAE</t>
        </is>
      </c>
      <c r="L384" s="6" t="n">
        <v>8000</v>
      </c>
      <c r="M384" s="6" t="n">
        <v>26</v>
      </c>
      <c r="N384" s="6" t="n">
        <v>2</v>
      </c>
      <c r="O384" s="6" t="n">
        <v>3</v>
      </c>
      <c r="P384" s="6" t="n">
        <v>8834</v>
      </c>
      <c r="Q384" s="6" t="n">
        <v>1</v>
      </c>
      <c r="R384">
        <f>M384+IF(N384&gt;1,N(O384)*(N384-1),0)</f>
        <v/>
      </c>
      <c r="S384">
        <f>IFERROR(L384*MAX(N384,1)/R384*Q384*IF(ISBLANK(K376),1,K376),0)</f>
        <v/>
      </c>
      <c r="AB384" s="7" t="inlineStr">
        <is>
          <t>^RA2FlakWeapon</t>
        </is>
      </c>
    </row>
    <row r="385">
      <c r="A385" t="inlineStr">
        <is>
          <t>redalert2</t>
        </is>
      </c>
      <c r="B385" t="inlineStr">
        <is>
          <t>yuri_gatlingtrooper</t>
        </is>
      </c>
      <c r="C385" t="inlineStr">
        <is>
          <t>Gatling Trooper</t>
        </is>
      </c>
      <c r="D385" s="6" t="inlineStr">
        <is>
          <t>AntiTankAntiAirInfantry</t>
        </is>
      </c>
      <c r="E385" s="6" t="n">
        <v>36000</v>
      </c>
      <c r="F385" s="6" t="n">
        <v>45</v>
      </c>
      <c r="G385" t="inlineStr">
        <is>
          <t>Flak</t>
        </is>
      </c>
      <c r="H385" s="6" t="n">
        <v>0.75</v>
      </c>
      <c r="I385" s="6" t="n">
        <v>0.8</v>
      </c>
      <c r="J385" s="6" t="n">
        <v>1.25</v>
      </c>
      <c r="K385" s="6" t="n"/>
      <c r="P385">
        <f>MAX(P386)</f>
        <v/>
      </c>
      <c r="S385">
        <f>S386</f>
        <v/>
      </c>
      <c r="T385">
        <f>(E385/100000+F385/100+(P385/1000)*J385/5+S385/200)*200*I385*H385</f>
        <v/>
      </c>
      <c r="U385">
        <f>((E385*F385/25000)+((P385/1000)*J385*S385/2.5))*I385*H385</f>
        <v/>
      </c>
      <c r="V385">
        <f>(E385*F385*(P385/1000)*J385*S385*I385*H385)/12500000</f>
        <v/>
      </c>
      <c r="W385">
        <f>(T385+U385+V385)/3</f>
        <v/>
      </c>
      <c r="X385" s="6" t="n">
        <v>300</v>
      </c>
      <c r="Y385">
        <f>IFERROR(W385-X385,"")</f>
        <v/>
      </c>
      <c r="Z385">
        <f>IFERROR(ABS(Y385)/MAX(X385,1),"")</f>
        <v/>
      </c>
      <c r="AA385">
        <f>IFERROR((X385-(((E385/100000+F385/100+S385/200)*200*I385*H385)+((E385*F385/25000)*I385*H385))/3)/(((J385/5)*200*I385*H385)+((J385*S385/2.5)*I385*H385)+((E385*F385*J385*S385*I385*H385)/12500000))/3*1000,"")</f>
        <v/>
      </c>
    </row>
    <row r="386">
      <c r="B386" s="7" t="inlineStr">
        <is>
          <t xml:space="preserve">  ↳ RA2GattlingInf</t>
        </is>
      </c>
      <c r="C386" s="7" t="inlineStr">
        <is>
          <t>Armament@PRIMARY</t>
        </is>
      </c>
      <c r="L386" s="6" t="n">
        <v>2000</v>
      </c>
      <c r="M386" s="6" t="n">
        <v>15</v>
      </c>
      <c r="N386" s="6" t="n">
        <v>1</v>
      </c>
      <c r="O386" s="6" t="n"/>
      <c r="P386" s="6" t="n">
        <v>5086</v>
      </c>
      <c r="Q386" s="6" t="n">
        <v>0.875</v>
      </c>
      <c r="R386">
        <f>M386+IF(N386&gt;1,N(O386)*(N386-1),0)</f>
        <v/>
      </c>
      <c r="S386">
        <f>IFERROR(L386*MAX(N386,1)/R386*Q386*IF(ISBLANK(K385),1,K385),0)</f>
        <v/>
      </c>
      <c r="AB386" s="7" t="inlineStr">
        <is>
          <t>^RA2SmallArms, ^RA2Chaingun</t>
        </is>
      </c>
    </row>
    <row r="387">
      <c r="B387" s="7" t="inlineStr">
        <is>
          <t xml:space="preserve">  ↳ RA2GattlingInf</t>
        </is>
      </c>
      <c r="C387" s="7" t="inlineStr">
        <is>
          <t>Armament@GARRISONED</t>
        </is>
      </c>
      <c r="L387" s="6" t="n">
        <v>2000</v>
      </c>
      <c r="M387" s="6" t="n">
        <v>15</v>
      </c>
      <c r="N387" s="6" t="n">
        <v>1</v>
      </c>
      <c r="O387" s="6" t="n"/>
      <c r="P387" s="6" t="n">
        <v>5086</v>
      </c>
      <c r="Q387" s="6" t="n">
        <v>0.875</v>
      </c>
      <c r="R387">
        <f>M387+IF(N387&gt;1,N(O387)*(N387-1),0)</f>
        <v/>
      </c>
      <c r="S387">
        <f>IFERROR(L387*MAX(N387,1)/R387*Q387*IF(ISBLANK(K385),1,K385),0)</f>
        <v/>
      </c>
      <c r="AB387" s="7" t="inlineStr">
        <is>
          <t>^RA2SmallArms, ^RA2Chaingun</t>
        </is>
      </c>
    </row>
    <row r="388">
      <c r="A388" t="inlineStr">
        <is>
          <t>redalert2</t>
        </is>
      </c>
      <c r="B388" t="inlineStr">
        <is>
          <t>yuri_initiate</t>
        </is>
      </c>
      <c r="C388" t="inlineStr">
        <is>
          <t>Yuri Initiate</t>
        </is>
      </c>
      <c r="D388" s="6" t="inlineStr">
        <is>
          <t>AntiTankAntiAirInfantry</t>
        </is>
      </c>
      <c r="E388" s="6" t="n">
        <v>24000</v>
      </c>
      <c r="F388" s="6" t="n">
        <v>66</v>
      </c>
      <c r="G388" t="inlineStr">
        <is>
          <t>Flak</t>
        </is>
      </c>
      <c r="H388" s="6" t="n">
        <v>1</v>
      </c>
      <c r="I388" s="6" t="n">
        <v>0.5</v>
      </c>
      <c r="J388" s="6" t="n">
        <v>1</v>
      </c>
      <c r="K388" s="6" t="n">
        <v>0.5</v>
      </c>
      <c r="P388">
        <f>MAX(P389,P391)</f>
        <v/>
      </c>
      <c r="S388">
        <f>S389+S391</f>
        <v/>
      </c>
      <c r="T388">
        <f>(E388/100000+F388/100+(P388/1000)*J388/5+S388/200)*200*I388*H388</f>
        <v/>
      </c>
      <c r="U388">
        <f>((E388*F388/25000)+((P388/1000)*J388*S388/2.5))*I388*H388</f>
        <v/>
      </c>
      <c r="V388">
        <f>(E388*F388*(P388/1000)*J388*S388*I388*H388)/12500000</f>
        <v/>
      </c>
      <c r="W388">
        <f>(T388+U388+V388)/3</f>
        <v/>
      </c>
      <c r="X388" s="6" t="n">
        <v>200</v>
      </c>
      <c r="Y388">
        <f>IFERROR(W388-X388,"")</f>
        <v/>
      </c>
      <c r="Z388">
        <f>IFERROR(ABS(Y388)/MAX(X388,1),"")</f>
        <v/>
      </c>
      <c r="AA388">
        <f>IFERROR((X388-(((E388/100000+F388/100+S388/200)*200*I388*H388)+((E388*F388/25000)*I388*H388))/3)/(((J388/5)*200*I388*H388)+((J388*S388/2.5)*I388*H388)+((E388*F388*J388*S388*I388*H388)/12500000))/3*1000,"")</f>
        <v/>
      </c>
    </row>
    <row r="389">
      <c r="B389" s="7" t="inlineStr">
        <is>
          <t xml:space="preserve">  ↳ RA2PsychicJab</t>
        </is>
      </c>
      <c r="C389" s="7" t="inlineStr">
        <is>
          <t>Armament@PRIMARY</t>
        </is>
      </c>
      <c r="L389" s="6" t="n">
        <v>2000</v>
      </c>
      <c r="M389" s="6" t="n">
        <v>15</v>
      </c>
      <c r="N389" s="6" t="n">
        <v>1</v>
      </c>
      <c r="O389" s="6" t="n"/>
      <c r="P389" s="6" t="n">
        <v>4440</v>
      </c>
      <c r="Q389" s="6" t="n">
        <v>0.9166666666666666</v>
      </c>
      <c r="R389">
        <f>M389+IF(N389&gt;1,N(O389)*(N389-1),0)</f>
        <v/>
      </c>
      <c r="S389">
        <f>IFERROR(L389*MAX(N389,1)/R389*Q389*IF(ISBLANK(K388),1,K388),0)</f>
        <v/>
      </c>
      <c r="AB389" s="7" t="inlineStr">
        <is>
          <t>^TankDestroyerCannon, ^MediumCannon, ^LightFlameWeapon, ^FlakWeapon</t>
        </is>
      </c>
    </row>
    <row r="390">
      <c r="B390" s="7" t="inlineStr">
        <is>
          <t xml:space="preserve">  ↳ RA2PsychicJab</t>
        </is>
      </c>
      <c r="C390" s="7" t="inlineStr">
        <is>
          <t>Armament@GARRISONED</t>
        </is>
      </c>
      <c r="L390" s="6" t="n">
        <v>2000</v>
      </c>
      <c r="M390" s="6" t="n">
        <v>15</v>
      </c>
      <c r="N390" s="6" t="n">
        <v>1</v>
      </c>
      <c r="O390" s="6" t="n"/>
      <c r="P390" s="6" t="n">
        <v>4440</v>
      </c>
      <c r="Q390" s="6" t="n">
        <v>0.9166666666666666</v>
      </c>
      <c r="R390">
        <f>M390+IF(N390&gt;1,N(O390)*(N390-1),0)</f>
        <v/>
      </c>
      <c r="S390">
        <f>IFERROR(L390*MAX(N390,1)/R390*Q390*IF(ISBLANK(K388),1,K388),0)</f>
        <v/>
      </c>
      <c r="AB390" s="7" t="inlineStr">
        <is>
          <t>^TankDestroyerCannon, ^MediumCannon, ^LightFlameWeapon, ^FlakWeapon</t>
        </is>
      </c>
    </row>
    <row r="391">
      <c r="B391" s="7" t="inlineStr">
        <is>
          <t xml:space="preserve">  ↳ RA2PsychicJab_elite</t>
        </is>
      </c>
      <c r="C391" s="7" t="inlineStr">
        <is>
          <t>Armament@PRIMARYELITE</t>
        </is>
      </c>
      <c r="L391" s="6" t="n">
        <v>2000</v>
      </c>
      <c r="M391" s="6" t="n">
        <v>15</v>
      </c>
      <c r="N391" s="6" t="n">
        <v>2</v>
      </c>
      <c r="O391" s="6" t="n">
        <v>3</v>
      </c>
      <c r="P391" s="6" t="n">
        <v>5440</v>
      </c>
      <c r="Q391" s="6" t="n">
        <v>0.9166666666666666</v>
      </c>
      <c r="R391">
        <f>M391+IF(N391&gt;1,N(O391)*(N391-1),0)</f>
        <v/>
      </c>
      <c r="S391">
        <f>IFERROR(L391*MAX(N391,1)/R391*Q391*IF(ISBLANK(K388),1,K388),0)</f>
        <v/>
      </c>
      <c r="AB391" s="7" t="inlineStr">
        <is>
          <t>^TankDestroyerCannon, ^MediumCannon, ^LightFlameWeapon, ^FlakWeapon</t>
        </is>
      </c>
    </row>
    <row r="392">
      <c r="B392" s="7" t="inlineStr">
        <is>
          <t xml:space="preserve">  ↳ RA2PsychicJab_elite</t>
        </is>
      </c>
      <c r="C392" s="7" t="inlineStr">
        <is>
          <t>Armament@GARRISONEDELITE</t>
        </is>
      </c>
      <c r="L392" s="6" t="n">
        <v>2000</v>
      </c>
      <c r="M392" s="6" t="n">
        <v>15</v>
      </c>
      <c r="N392" s="6" t="n">
        <v>2</v>
      </c>
      <c r="O392" s="6" t="n">
        <v>3</v>
      </c>
      <c r="P392" s="6" t="n">
        <v>5440</v>
      </c>
      <c r="Q392" s="6" t="n">
        <v>0.9166666666666666</v>
      </c>
      <c r="R392">
        <f>M392+IF(N392&gt;1,N(O392)*(N392-1),0)</f>
        <v/>
      </c>
      <c r="S392">
        <f>IFERROR(L392*MAX(N392,1)/R392*Q392*IF(ISBLANK(K388),1,K388),0)</f>
        <v/>
      </c>
      <c r="AB392" s="7" t="inlineStr">
        <is>
          <t>^TankDestroyerCannon, ^MediumCannon, ^LightFlameWeapon, ^FlakWeapon</t>
        </is>
      </c>
    </row>
    <row r="393">
      <c r="A393" t="inlineStr">
        <is>
          <t>redalert2mod</t>
        </is>
      </c>
      <c r="B393" t="inlineStr">
        <is>
          <t>asianalliance_asiantankkiller</t>
        </is>
      </c>
      <c r="C393" t="inlineStr">
        <is>
          <t>Asian Tank Killer</t>
        </is>
      </c>
      <c r="D393" s="6" t="inlineStr">
        <is>
          <t>AntiTankAntiAirInfantry</t>
        </is>
      </c>
      <c r="E393" s="6" t="n">
        <v>17000</v>
      </c>
      <c r="F393" s="6" t="n">
        <v>51</v>
      </c>
      <c r="G393" t="inlineStr">
        <is>
          <t>Flak</t>
        </is>
      </c>
      <c r="H393" s="6" t="n">
        <v>1</v>
      </c>
      <c r="I393" s="6" t="n">
        <v>0.5</v>
      </c>
      <c r="J393" s="6" t="n">
        <v>1</v>
      </c>
      <c r="K393" s="6" t="n"/>
      <c r="P393">
        <f>MAX(P394,P395,P396,P397)</f>
        <v/>
      </c>
      <c r="S393">
        <f>S394+S395+S396+S397</f>
        <v/>
      </c>
      <c r="T393">
        <f>(E393/100000+F393/100+(P393/1000)*J393/5+S393/200)*200*I393*H393</f>
        <v/>
      </c>
      <c r="U393">
        <f>((E393*F393/25000)+((P393/1000)*J393*S393/2.5))*I393*H393</f>
        <v/>
      </c>
      <c r="V393">
        <f>(E393*F393*(P393/1000)*J393*S393*I393*H393)/12500000</f>
        <v/>
      </c>
      <c r="W393">
        <f>(T393+U393+V393)/3</f>
        <v/>
      </c>
      <c r="X393" s="6" t="n">
        <v>300</v>
      </c>
      <c r="Y393">
        <f>IFERROR(W393-X393,"")</f>
        <v/>
      </c>
      <c r="Z393">
        <f>IFERROR(ABS(Y393)/MAX(X393,1),"")</f>
        <v/>
      </c>
      <c r="AA393">
        <f>IFERROR((X393-(((E393/100000+F393/100+S393/200)*200*I393*H393)+((E393*F393/25000)*I393*H393))/3)/(((J393/5)*200*I393*H393)+((J393*S393/2.5)*I393*H393)+((E393*F393*J393*S393*I393*H393)/12500000))/3*1000,"")</f>
        <v/>
      </c>
    </row>
    <row r="394">
      <c r="B394" s="7" t="inlineStr">
        <is>
          <t xml:space="preserve">  ↳ AsianTankKillerRocket</t>
        </is>
      </c>
      <c r="C394" s="7" t="inlineStr">
        <is>
          <t>Armament@PRIMARY</t>
        </is>
      </c>
      <c r="L394" s="6" t="n">
        <v>34000</v>
      </c>
      <c r="M394" s="6" t="n">
        <v>75</v>
      </c>
      <c r="N394" s="6" t="n">
        <v>1</v>
      </c>
      <c r="O394" s="6" t="n"/>
      <c r="P394" s="6" t="n">
        <v>6460</v>
      </c>
      <c r="Q394" s="6" t="n">
        <v>0.75</v>
      </c>
      <c r="R394">
        <f>M394+IF(N394&gt;1,N(O394)*(N394-1),0)</f>
        <v/>
      </c>
      <c r="S394">
        <f>IFERROR(L394*MAX(N394,1)/R394*Q394*IF(ISBLANK(K393),1,K393),0)</f>
        <v/>
      </c>
      <c r="AB394" s="7" t="inlineStr">
        <is>
          <t>^RA2LightMissile</t>
        </is>
      </c>
    </row>
    <row r="395">
      <c r="B395" s="7" t="inlineStr">
        <is>
          <t xml:space="preserve">  ↳ AsianTankKillerRocket_upgrade</t>
        </is>
      </c>
      <c r="C395" s="7" t="inlineStr">
        <is>
          <t>Armament@Upgrade</t>
        </is>
      </c>
      <c r="L395" s="6" t="n">
        <v>34000</v>
      </c>
      <c r="M395" s="6" t="n">
        <v>75</v>
      </c>
      <c r="N395" s="6" t="n">
        <v>1</v>
      </c>
      <c r="O395" s="6" t="n"/>
      <c r="P395" s="6" t="n">
        <v>6460</v>
      </c>
      <c r="Q395" s="6" t="n">
        <v>0.75</v>
      </c>
      <c r="R395">
        <f>M395+IF(N395&gt;1,N(O395)*(N395-1),0)</f>
        <v/>
      </c>
      <c r="S395">
        <f>IFERROR(L395*MAX(N395,1)/R395*Q395*IF(ISBLANK(K393),1,K393),0)</f>
        <v/>
      </c>
      <c r="AB395" s="7" t="inlineStr">
        <is>
          <t>^RA2LightMissile</t>
        </is>
      </c>
    </row>
    <row r="396">
      <c r="B396" s="7" t="inlineStr">
        <is>
          <t xml:space="preserve">  ↳ AsianTankKillerRocket_elite</t>
        </is>
      </c>
      <c r="C396" s="7" t="inlineStr">
        <is>
          <t>Armament@PRIMARYELITE</t>
        </is>
      </c>
      <c r="L396" s="6" t="n">
        <v>68000</v>
      </c>
      <c r="M396" s="6" t="n">
        <v>75</v>
      </c>
      <c r="N396" s="6" t="n">
        <v>1</v>
      </c>
      <c r="O396" s="6" t="n"/>
      <c r="P396" s="6" t="n">
        <v>7460</v>
      </c>
      <c r="Q396" s="6" t="n">
        <v>0.75</v>
      </c>
      <c r="R396">
        <f>M396+IF(N396&gt;1,N(O396)*(N396-1),0)</f>
        <v/>
      </c>
      <c r="S396">
        <f>IFERROR(L396*MAX(N396,1)/R396*Q396*IF(ISBLANK(K393),1,K393),0)</f>
        <v/>
      </c>
      <c r="AB396" s="7" t="inlineStr">
        <is>
          <t>^RA2LightMissile</t>
        </is>
      </c>
    </row>
    <row r="397">
      <c r="B397" s="7" t="inlineStr">
        <is>
          <t xml:space="preserve">  ↳ AsianTankKillerRocket_elite_upgrade</t>
        </is>
      </c>
      <c r="C397" s="7" t="inlineStr">
        <is>
          <t>Armament@PRIMARYELITEUpgrade</t>
        </is>
      </c>
      <c r="L397" s="6" t="n">
        <v>68000</v>
      </c>
      <c r="M397" s="6" t="n">
        <v>75</v>
      </c>
      <c r="N397" s="6" t="n">
        <v>1</v>
      </c>
      <c r="O397" s="6" t="n"/>
      <c r="P397" s="6" t="n">
        <v>7460</v>
      </c>
      <c r="Q397" s="6" t="n">
        <v>0.75</v>
      </c>
      <c r="R397">
        <f>M397+IF(N397&gt;1,N(O397)*(N397-1),0)</f>
        <v/>
      </c>
      <c r="S397">
        <f>IFERROR(L397*MAX(N397,1)/R397*Q397*IF(ISBLANK(K393),1,K393),0)</f>
        <v/>
      </c>
      <c r="AB397" s="7" t="inlineStr">
        <is>
          <t>^RA2LightMissile</t>
        </is>
      </c>
    </row>
    <row r="398">
      <c r="B398" s="7" t="inlineStr">
        <is>
          <t xml:space="preserve">  ↳ AsianTankKillerRocket</t>
        </is>
      </c>
      <c r="C398" s="7" t="inlineStr">
        <is>
          <t>Armament@GARRISONED</t>
        </is>
      </c>
      <c r="L398" s="6" t="n">
        <v>34000</v>
      </c>
      <c r="M398" s="6" t="n">
        <v>75</v>
      </c>
      <c r="N398" s="6" t="n">
        <v>1</v>
      </c>
      <c r="O398" s="6" t="n"/>
      <c r="P398" s="6" t="n">
        <v>6460</v>
      </c>
      <c r="Q398" s="6" t="n">
        <v>0.75</v>
      </c>
      <c r="R398">
        <f>M398+IF(N398&gt;1,N(O398)*(N398-1),0)</f>
        <v/>
      </c>
      <c r="S398">
        <f>IFERROR(L398*MAX(N398,1)/R398*Q398*IF(ISBLANK(K393),1,K393),0)</f>
        <v/>
      </c>
      <c r="AB398" s="7" t="inlineStr">
        <is>
          <t>^RA2LightMissile</t>
        </is>
      </c>
    </row>
    <row r="399">
      <c r="B399" s="7" t="inlineStr">
        <is>
          <t xml:space="preserve">  ↳ AsianTankKillerRocket_upgrade</t>
        </is>
      </c>
      <c r="C399" s="7" t="inlineStr">
        <is>
          <t>Armament@GARRISONEDUpgrade</t>
        </is>
      </c>
      <c r="L399" s="6" t="n">
        <v>34000</v>
      </c>
      <c r="M399" s="6" t="n">
        <v>75</v>
      </c>
      <c r="N399" s="6" t="n">
        <v>1</v>
      </c>
      <c r="O399" s="6" t="n"/>
      <c r="P399" s="6" t="n">
        <v>6460</v>
      </c>
      <c r="Q399" s="6" t="n">
        <v>0.75</v>
      </c>
      <c r="R399">
        <f>M399+IF(N399&gt;1,N(O399)*(N399-1),0)</f>
        <v/>
      </c>
      <c r="S399">
        <f>IFERROR(L399*MAX(N399,1)/R399*Q399*IF(ISBLANK(K393),1,K393),0)</f>
        <v/>
      </c>
      <c r="AB399" s="7" t="inlineStr">
        <is>
          <t>^RA2LightMissile</t>
        </is>
      </c>
    </row>
    <row r="400">
      <c r="B400" s="7" t="inlineStr">
        <is>
          <t xml:space="preserve">  ↳ AsianTankKillerRocket_elite</t>
        </is>
      </c>
      <c r="C400" s="7" t="inlineStr">
        <is>
          <t>Armament@GARRISONEDELITE</t>
        </is>
      </c>
      <c r="L400" s="6" t="n">
        <v>68000</v>
      </c>
      <c r="M400" s="6" t="n">
        <v>75</v>
      </c>
      <c r="N400" s="6" t="n">
        <v>1</v>
      </c>
      <c r="O400" s="6" t="n"/>
      <c r="P400" s="6" t="n">
        <v>7460</v>
      </c>
      <c r="Q400" s="6" t="n">
        <v>0.75</v>
      </c>
      <c r="R400">
        <f>M400+IF(N400&gt;1,N(O400)*(N400-1),0)</f>
        <v/>
      </c>
      <c r="S400">
        <f>IFERROR(L400*MAX(N400,1)/R400*Q400*IF(ISBLANK(K393),1,K393),0)</f>
        <v/>
      </c>
      <c r="AB400" s="7" t="inlineStr">
        <is>
          <t>^RA2LightMissile</t>
        </is>
      </c>
    </row>
    <row r="401">
      <c r="B401" s="7" t="inlineStr">
        <is>
          <t xml:space="preserve">  ↳ AsianTankKillerRocket_elite_upgrade</t>
        </is>
      </c>
      <c r="C401" s="7" t="inlineStr">
        <is>
          <t>Armament@GARRISONEDELITEUpgrade</t>
        </is>
      </c>
      <c r="L401" s="6" t="n">
        <v>68000</v>
      </c>
      <c r="M401" s="6" t="n">
        <v>75</v>
      </c>
      <c r="N401" s="6" t="n">
        <v>1</v>
      </c>
      <c r="O401" s="6" t="n"/>
      <c r="P401" s="6" t="n">
        <v>7460</v>
      </c>
      <c r="Q401" s="6" t="n">
        <v>0.75</v>
      </c>
      <c r="R401">
        <f>M401+IF(N401&gt;1,N(O401)*(N401-1),0)</f>
        <v/>
      </c>
      <c r="S401">
        <f>IFERROR(L401*MAX(N401,1)/R401*Q401*IF(ISBLANK(K393),1,K393),0)</f>
        <v/>
      </c>
      <c r="AB401" s="7" t="inlineStr">
        <is>
          <t>^RA2LightMissile</t>
        </is>
      </c>
    </row>
    <row r="402">
      <c r="A402" t="inlineStr">
        <is>
          <t>redalert2mod</t>
        </is>
      </c>
      <c r="B402" t="inlineStr">
        <is>
          <t>asianalliance_veteranarcher</t>
        </is>
      </c>
      <c r="C402" t="inlineStr">
        <is>
          <t>Veteran Archer</t>
        </is>
      </c>
      <c r="D402" s="6" t="inlineStr">
        <is>
          <t>AntiTankAntiAirInfantry</t>
        </is>
      </c>
      <c r="E402" s="6" t="n">
        <v>14000</v>
      </c>
      <c r="F402" s="6" t="n">
        <v>68</v>
      </c>
      <c r="G402" t="inlineStr">
        <is>
          <t>Flak</t>
        </is>
      </c>
      <c r="H402" s="6" t="n">
        <v>1</v>
      </c>
      <c r="I402" s="6" t="n">
        <v>0.5</v>
      </c>
      <c r="J402" s="6" t="n">
        <v>1</v>
      </c>
      <c r="K402" s="6" t="n"/>
      <c r="P402">
        <f>MAX(P403,P404)</f>
        <v/>
      </c>
      <c r="S402">
        <f>S403+S404</f>
        <v/>
      </c>
      <c r="T402">
        <f>(E402/100000+F402/100+(P402/1000)*J402/5+S402/200)*200*I402*H402</f>
        <v/>
      </c>
      <c r="U402">
        <f>((E402*F402/25000)+((P402/1000)*J402*S402/2.5))*I402*H402</f>
        <v/>
      </c>
      <c r="V402">
        <f>(E402*F402*(P402/1000)*J402*S402*I402*H402)/12500000</f>
        <v/>
      </c>
      <c r="W402">
        <f>(T402+U402+V402)/3</f>
        <v/>
      </c>
      <c r="X402" s="6" t="n">
        <v>450</v>
      </c>
      <c r="Y402">
        <f>IFERROR(W402-X402,"")</f>
        <v/>
      </c>
      <c r="Z402">
        <f>IFERROR(ABS(Y402)/MAX(X402,1),"")</f>
        <v/>
      </c>
      <c r="AA402">
        <f>IFERROR((X402-(((E402/100000+F402/100+S402/200)*200*I402*H402)+((E402*F402/25000)*I402*H402))/3)/(((J402/5)*200*I402*H402)+((J402*S402/2.5)*I402*H402)+((E402*F402*J402*S402*I402*H402)/12500000))/3*1000,"")</f>
        <v/>
      </c>
    </row>
    <row r="403">
      <c r="B403" s="7" t="inlineStr">
        <is>
          <t xml:space="preserve">  ↳ AsianMaidenBow</t>
        </is>
      </c>
      <c r="C403" s="7" t="inlineStr">
        <is>
          <t>Armament@PRIMARY</t>
        </is>
      </c>
      <c r="L403" s="6" t="n">
        <v>2000</v>
      </c>
      <c r="M403" s="6" t="n">
        <v>68</v>
      </c>
      <c r="N403" s="6" t="n">
        <v>3</v>
      </c>
      <c r="O403" s="6" t="n">
        <v>0</v>
      </c>
      <c r="P403" s="6" t="n">
        <v>6740</v>
      </c>
      <c r="Q403" s="6" t="n">
        <v>1</v>
      </c>
      <c r="R403">
        <f>M403+IF(N403&gt;1,N(O403)*(N403-1),0)</f>
        <v/>
      </c>
      <c r="S403">
        <f>IFERROR(L403*MAX(N403,1)/R403*Q403*IF(ISBLANK(K402),1,K402),0)</f>
        <v/>
      </c>
      <c r="AB403" s="7" t="inlineStr">
        <is>
          <t>^MediumMissile, ^FlakWeapon, ^TeslaWeapon, ^MagicWeapon, ^Grenade, ^ArrowWeapon</t>
        </is>
      </c>
    </row>
    <row r="404">
      <c r="B404" s="7" t="inlineStr">
        <is>
          <t xml:space="preserve">  ↳ AsianMaidenBowE</t>
        </is>
      </c>
      <c r="C404" s="7" t="inlineStr">
        <is>
          <t>Armament@ELITE</t>
        </is>
      </c>
      <c r="L404" s="6" t="n">
        <v>2000</v>
      </c>
      <c r="M404" s="6" t="n">
        <v>68</v>
      </c>
      <c r="N404" s="6" t="n">
        <v>6</v>
      </c>
      <c r="O404" s="6" t="n">
        <v>0</v>
      </c>
      <c r="P404" s="6" t="n">
        <v>7740</v>
      </c>
      <c r="Q404" s="6" t="n">
        <v>1</v>
      </c>
      <c r="R404">
        <f>M404+IF(N404&gt;1,N(O404)*(N404-1),0)</f>
        <v/>
      </c>
      <c r="S404">
        <f>IFERROR(L404*MAX(N404,1)/R404*Q404*IF(ISBLANK(K402),1,K402),0)</f>
        <v/>
      </c>
      <c r="AB404" s="7" t="inlineStr">
        <is>
          <t>^MediumMissile, ^FlakWeapon, ^TeslaWeapon, ^MagicWeapon, ^Grenade, ^ArrowWeapon</t>
        </is>
      </c>
    </row>
    <row r="405">
      <c r="B405" s="7" t="inlineStr">
        <is>
          <t xml:space="preserve">  ↳ AsianMaidenBow</t>
        </is>
      </c>
      <c r="C405" s="7" t="inlineStr">
        <is>
          <t>Armament@GARRISONED</t>
        </is>
      </c>
      <c r="L405" s="6" t="n">
        <v>2000</v>
      </c>
      <c r="M405" s="6" t="n">
        <v>68</v>
      </c>
      <c r="N405" s="6" t="n">
        <v>3</v>
      </c>
      <c r="O405" s="6" t="n">
        <v>0</v>
      </c>
      <c r="P405" s="6" t="n">
        <v>6740</v>
      </c>
      <c r="Q405" s="6" t="n">
        <v>1</v>
      </c>
      <c r="R405">
        <f>M405+IF(N405&gt;1,N(O405)*(N405-1),0)</f>
        <v/>
      </c>
      <c r="S405">
        <f>IFERROR(L405*MAX(N405,1)/R405*Q405*IF(ISBLANK(K402),1,K402),0)</f>
        <v/>
      </c>
      <c r="AB405" s="7" t="inlineStr">
        <is>
          <t>^MediumMissile, ^FlakWeapon, ^TeslaWeapon, ^MagicWeapon, ^Grenade, ^ArrowWeapon</t>
        </is>
      </c>
    </row>
    <row r="406">
      <c r="B406" s="7" t="inlineStr">
        <is>
          <t xml:space="preserve">  ↳ AsianMaidenBowE</t>
        </is>
      </c>
      <c r="C406" s="7" t="inlineStr">
        <is>
          <t>Armament@GARRISONEDELITE</t>
        </is>
      </c>
      <c r="L406" s="6" t="n">
        <v>2000</v>
      </c>
      <c r="M406" s="6" t="n">
        <v>68</v>
      </c>
      <c r="N406" s="6" t="n">
        <v>6</v>
      </c>
      <c r="O406" s="6" t="n">
        <v>0</v>
      </c>
      <c r="P406" s="6" t="n">
        <v>7740</v>
      </c>
      <c r="Q406" s="6" t="n">
        <v>1</v>
      </c>
      <c r="R406">
        <f>M406+IF(N406&gt;1,N(O406)*(N406-1),0)</f>
        <v/>
      </c>
      <c r="S406">
        <f>IFERROR(L406*MAX(N406,1)/R406*Q406*IF(ISBLANK(K402),1,K402),0)</f>
        <v/>
      </c>
      <c r="AB406" s="7" t="inlineStr">
        <is>
          <t>^MediumMissile, ^FlakWeapon, ^TeslaWeapon, ^MagicWeapon, ^Grenade, ^ArrowWeapon</t>
        </is>
      </c>
    </row>
    <row r="407">
      <c r="A407" t="inlineStr">
        <is>
          <t>redalert2mod</t>
        </is>
      </c>
      <c r="B407" t="inlineStr">
        <is>
          <t>steelconsortium_clonetrooper</t>
        </is>
      </c>
      <c r="C407" t="inlineStr">
        <is>
          <t>Clone Trooper</t>
        </is>
      </c>
      <c r="D407" s="6" t="inlineStr">
        <is>
          <t>AntiTankAntiAirInfantry</t>
        </is>
      </c>
      <c r="E407" s="6" t="n">
        <v>17000</v>
      </c>
      <c r="F407" s="6" t="n">
        <v>57</v>
      </c>
      <c r="G407" t="inlineStr">
        <is>
          <t>Flak</t>
        </is>
      </c>
      <c r="H407" s="6" t="n">
        <v>1</v>
      </c>
      <c r="I407" s="6" t="n">
        <v>1</v>
      </c>
      <c r="J407" s="6" t="n">
        <v>1</v>
      </c>
      <c r="K407" s="6" t="n">
        <v>1.6</v>
      </c>
      <c r="P407">
        <f>MAX(P408,P409,P412,P413)</f>
        <v/>
      </c>
      <c r="S407">
        <f>S408+S409+S412+S413</f>
        <v/>
      </c>
      <c r="T407">
        <f>(E407/100000+F407/100+(P407/1000)*J407/5+S407/200)*200*I407*H407</f>
        <v/>
      </c>
      <c r="U407">
        <f>((E407*F407/25000)+((P407/1000)*J407*S407/2.5))*I407*H407</f>
        <v/>
      </c>
      <c r="V407">
        <f>(E407*F407*(P407/1000)*J407*S407*I407*H407)/12500000</f>
        <v/>
      </c>
      <c r="W407">
        <f>(T407+U407+V407)/3</f>
        <v/>
      </c>
      <c r="X407" s="6" t="n">
        <v>200</v>
      </c>
      <c r="Y407">
        <f>IFERROR(W407-X407,"")</f>
        <v/>
      </c>
      <c r="Z407">
        <f>IFERROR(ABS(Y407)/MAX(X407,1),"")</f>
        <v/>
      </c>
      <c r="AA407">
        <f>IFERROR((X407-(((E407/100000+F407/100+S407/200)*200*I407*H407)+((E407*F407/25000)*I407*H407))/3)/(((J407/5)*200*I407*H407)+((J407*S407/2.5)*I407*H407)+((E407*F407*J407*S407*I407*H407)/12500000))/3*1000,"")</f>
        <v/>
      </c>
    </row>
    <row r="408">
      <c r="B408" s="7" t="inlineStr">
        <is>
          <t xml:space="preserve">  ↳ SteelCloneGun</t>
        </is>
      </c>
      <c r="C408" s="7" t="inlineStr">
        <is>
          <t>Armament@PRIMARY</t>
        </is>
      </c>
      <c r="L408" s="6" t="n">
        <v>2000</v>
      </c>
      <c r="M408" s="6" t="n">
        <v>25</v>
      </c>
      <c r="N408" s="6" t="n">
        <v>1</v>
      </c>
      <c r="O408" s="6" t="n"/>
      <c r="P408" s="6" t="n">
        <v>5000</v>
      </c>
      <c r="Q408" s="6" t="n">
        <v>1</v>
      </c>
      <c r="R408">
        <f>M408+IF(N408&gt;1,N(O408)*(N408-1),0)</f>
        <v/>
      </c>
      <c r="S408">
        <f>IFERROR(L408*MAX(N408,1)/R408*Q408*IF(ISBLANK(K407),1,K407),0)</f>
        <v/>
      </c>
      <c r="AB408" s="7" t="inlineStr">
        <is>
          <t>^SteelHeavyCannon, ^SteelMediumMissile, ^SteelSmallArms</t>
        </is>
      </c>
    </row>
    <row r="409">
      <c r="B409" s="7" t="inlineStr">
        <is>
          <t xml:space="preserve">  ↳ SteelCloneGunE</t>
        </is>
      </c>
      <c r="C409" s="7" t="inlineStr">
        <is>
          <t>Armament@ELITE</t>
        </is>
      </c>
      <c r="L409" s="6" t="n">
        <v>2000</v>
      </c>
      <c r="M409" s="6" t="n">
        <v>25</v>
      </c>
      <c r="N409" s="6" t="n">
        <v>2</v>
      </c>
      <c r="O409" s="6" t="n">
        <v>3</v>
      </c>
      <c r="P409" s="6" t="n">
        <v>6000</v>
      </c>
      <c r="Q409" s="6" t="n">
        <v>1</v>
      </c>
      <c r="R409">
        <f>M409+IF(N409&gt;1,N(O409)*(N409-1),0)</f>
        <v/>
      </c>
      <c r="S409">
        <f>IFERROR(L409*MAX(N409,1)/R409*Q409*IF(ISBLANK(K407),1,K407),0)</f>
        <v/>
      </c>
      <c r="AB409" s="7" t="inlineStr">
        <is>
          <t>^SteelHeavyCannon, ^SteelMediumMissile, ^SteelSmallArms</t>
        </is>
      </c>
    </row>
    <row r="410">
      <c r="B410" s="7" t="inlineStr">
        <is>
          <t xml:space="preserve">  ↳ SteelCloneGun</t>
        </is>
      </c>
      <c r="C410" s="7" t="inlineStr">
        <is>
          <t>Armament@GARRISONED</t>
        </is>
      </c>
      <c r="L410" s="6" t="n">
        <v>2000</v>
      </c>
      <c r="M410" s="6" t="n">
        <v>25</v>
      </c>
      <c r="N410" s="6" t="n">
        <v>1</v>
      </c>
      <c r="O410" s="6" t="n"/>
      <c r="P410" s="6" t="n">
        <v>5000</v>
      </c>
      <c r="Q410" s="6" t="n">
        <v>1</v>
      </c>
      <c r="R410">
        <f>M410+IF(N410&gt;1,N(O410)*(N410-1),0)</f>
        <v/>
      </c>
      <c r="S410">
        <f>IFERROR(L410*MAX(N410,1)/R410*Q410*IF(ISBLANK(K407),1,K407),0)</f>
        <v/>
      </c>
      <c r="AB410" s="7" t="inlineStr">
        <is>
          <t>^SteelHeavyCannon, ^SteelMediumMissile, ^SteelSmallArms</t>
        </is>
      </c>
    </row>
    <row r="411">
      <c r="B411" s="7" t="inlineStr">
        <is>
          <t xml:space="preserve">  ↳ SteelCloneGunE</t>
        </is>
      </c>
      <c r="C411" s="7" t="inlineStr">
        <is>
          <t>Armament@GARRISONEDELITE</t>
        </is>
      </c>
      <c r="L411" s="6" t="n">
        <v>2000</v>
      </c>
      <c r="M411" s="6" t="n">
        <v>25</v>
      </c>
      <c r="N411" s="6" t="n">
        <v>2</v>
      </c>
      <c r="O411" s="6" t="n">
        <v>3</v>
      </c>
      <c r="P411" s="6" t="n">
        <v>6000</v>
      </c>
      <c r="Q411" s="6" t="n">
        <v>1</v>
      </c>
      <c r="R411">
        <f>M411+IF(N411&gt;1,N(O411)*(N411-1),0)</f>
        <v/>
      </c>
      <c r="S411">
        <f>IFERROR(L411*MAX(N411,1)/R411*Q411*IF(ISBLANK(K407),1,K407),0)</f>
        <v/>
      </c>
      <c r="AB411" s="7" t="inlineStr">
        <is>
          <t>^SteelHeavyCannon, ^SteelMediumMissile, ^SteelSmallArms</t>
        </is>
      </c>
    </row>
    <row r="412">
      <c r="B412" s="7" t="inlineStr">
        <is>
          <t xml:space="preserve">  ↳ SteelCloneGunResonance</t>
        </is>
      </c>
      <c r="C412" s="7" t="inlineStr">
        <is>
          <t>Armament@UpgradePRIMARY</t>
        </is>
      </c>
      <c r="L412" s="6" t="n">
        <v>2000</v>
      </c>
      <c r="M412" s="6" t="n">
        <v>25</v>
      </c>
      <c r="N412" s="6" t="n">
        <v>1</v>
      </c>
      <c r="O412" s="6" t="n"/>
      <c r="P412" s="6" t="n">
        <v>5000</v>
      </c>
      <c r="Q412" s="6" t="n">
        <v>1</v>
      </c>
      <c r="R412">
        <f>M412+IF(N412&gt;1,N(O412)*(N412-1),0)</f>
        <v/>
      </c>
      <c r="S412">
        <f>IFERROR(L412*MAX(N412,1)/R412*Q412*IF(ISBLANK(K407),1,K407),0)</f>
        <v/>
      </c>
      <c r="AB412" s="7" t="inlineStr">
        <is>
          <t>^SteelHeavyCannon, ^SteelMediumMissile, ^SteelSmallArms</t>
        </is>
      </c>
    </row>
    <row r="413">
      <c r="B413" s="7" t="inlineStr">
        <is>
          <t xml:space="preserve">  ↳ SteelCloneGunEResonance</t>
        </is>
      </c>
      <c r="C413" s="7" t="inlineStr">
        <is>
          <t>Armament@UpgradeELITE</t>
        </is>
      </c>
      <c r="L413" s="6" t="n">
        <v>2000</v>
      </c>
      <c r="M413" s="6" t="n">
        <v>25</v>
      </c>
      <c r="N413" s="6" t="n">
        <v>2</v>
      </c>
      <c r="O413" s="6" t="n">
        <v>3</v>
      </c>
      <c r="P413" s="6" t="n">
        <v>6000</v>
      </c>
      <c r="Q413" s="6" t="n">
        <v>1</v>
      </c>
      <c r="R413">
        <f>M413+IF(N413&gt;1,N(O413)*(N413-1),0)</f>
        <v/>
      </c>
      <c r="S413">
        <f>IFERROR(L413*MAX(N413,1)/R413*Q413*IF(ISBLANK(K407),1,K407),0)</f>
        <v/>
      </c>
      <c r="AB413" s="7" t="inlineStr">
        <is>
          <t>^SteelHeavyCannon, ^SteelMediumMissile, ^SteelSmallArms</t>
        </is>
      </c>
    </row>
    <row r="414">
      <c r="B414" s="7" t="inlineStr">
        <is>
          <t xml:space="preserve">  ↳ SteelCloneGunResonance</t>
        </is>
      </c>
      <c r="C414" s="7" t="inlineStr">
        <is>
          <t>Armament@UpgradeGARRISONED</t>
        </is>
      </c>
      <c r="L414" s="6" t="n">
        <v>2000</v>
      </c>
      <c r="M414" s="6" t="n">
        <v>25</v>
      </c>
      <c r="N414" s="6" t="n">
        <v>1</v>
      </c>
      <c r="O414" s="6" t="n"/>
      <c r="P414" s="6" t="n">
        <v>5000</v>
      </c>
      <c r="Q414" s="6" t="n">
        <v>1</v>
      </c>
      <c r="R414">
        <f>M414+IF(N414&gt;1,N(O414)*(N414-1),0)</f>
        <v/>
      </c>
      <c r="S414">
        <f>IFERROR(L414*MAX(N414,1)/R414*Q414*IF(ISBLANK(K407),1,K407),0)</f>
        <v/>
      </c>
      <c r="AB414" s="7" t="inlineStr">
        <is>
          <t>^SteelHeavyCannon, ^SteelMediumMissile, ^SteelSmallArms</t>
        </is>
      </c>
    </row>
    <row r="415">
      <c r="B415" s="7" t="inlineStr">
        <is>
          <t xml:space="preserve">  ↳ SteelCloneGunEResonance</t>
        </is>
      </c>
      <c r="C415" s="7" t="inlineStr">
        <is>
          <t>Armament@UpgradeGARRISONEDELITE</t>
        </is>
      </c>
      <c r="L415" s="6" t="n">
        <v>2000</v>
      </c>
      <c r="M415" s="6" t="n">
        <v>25</v>
      </c>
      <c r="N415" s="6" t="n">
        <v>2</v>
      </c>
      <c r="O415" s="6" t="n">
        <v>3</v>
      </c>
      <c r="P415" s="6" t="n">
        <v>6000</v>
      </c>
      <c r="Q415" s="6" t="n">
        <v>1</v>
      </c>
      <c r="R415">
        <f>M415+IF(N415&gt;1,N(O415)*(N415-1),0)</f>
        <v/>
      </c>
      <c r="S415">
        <f>IFERROR(L415*MAX(N415,1)/R415*Q415*IF(ISBLANK(K407),1,K407),0)</f>
        <v/>
      </c>
      <c r="AB415" s="7" t="inlineStr">
        <is>
          <t>^SteelHeavyCannon, ^SteelMediumMissile, ^SteelSmallArms</t>
        </is>
      </c>
    </row>
    <row r="416">
      <c r="A416" t="inlineStr">
        <is>
          <t>redalert2mod</t>
        </is>
      </c>
      <c r="B416" t="inlineStr">
        <is>
          <t>latinsyndicate_latintankkiller</t>
        </is>
      </c>
      <c r="C416" t="inlineStr">
        <is>
          <t>Latin Tank Killer</t>
        </is>
      </c>
      <c r="D416" s="6" t="inlineStr">
        <is>
          <t>AntiTankAntiAirInfantry</t>
        </is>
      </c>
      <c r="E416" s="6" t="n">
        <v>13000</v>
      </c>
      <c r="F416" s="6" t="n">
        <v>53</v>
      </c>
      <c r="G416" t="inlineStr">
        <is>
          <t>Flak</t>
        </is>
      </c>
      <c r="H416" s="6" t="n">
        <v>1</v>
      </c>
      <c r="I416" s="6" t="n">
        <v>0.5</v>
      </c>
      <c r="J416" s="6" t="n">
        <v>1</v>
      </c>
      <c r="K416" s="6" t="n"/>
      <c r="P416">
        <f>MAX(P417,P419)</f>
        <v/>
      </c>
      <c r="S416">
        <f>S417+S419</f>
        <v/>
      </c>
      <c r="T416">
        <f>(E416/100000+F416/100+(P416/1000)*J416/5+S416/200)*200*I416*H416</f>
        <v/>
      </c>
      <c r="U416">
        <f>((E416*F416/25000)+((P416/1000)*J416*S416/2.5))*I416*H416</f>
        <v/>
      </c>
      <c r="V416">
        <f>(E416*F416*(P416/1000)*J416*S416*I416*H416)/12500000</f>
        <v/>
      </c>
      <c r="W416">
        <f>(T416+U416+V416)/3</f>
        <v/>
      </c>
      <c r="X416" s="6" t="n">
        <v>270</v>
      </c>
      <c r="Y416">
        <f>IFERROR(W416-X416,"")</f>
        <v/>
      </c>
      <c r="Z416">
        <f>IFERROR(ABS(Y416)/MAX(X416,1),"")</f>
        <v/>
      </c>
      <c r="AA416">
        <f>IFERROR((X416-(((E416/100000+F416/100+S416/200)*200*I416*H416)+((E416*F416/25000)*I416*H416))/3)/(((J416/5)*200*I416*H416)+((J416*S416/2.5)*I416*H416)+((E416*F416*J416*S416*I416*H416)/12500000))/3*1000,"")</f>
        <v/>
      </c>
    </row>
    <row r="417">
      <c r="B417" s="7" t="inlineStr">
        <is>
          <t xml:space="preserve">  ↳ LatinTankKillerRocket</t>
        </is>
      </c>
      <c r="C417" s="7" t="inlineStr">
        <is>
          <t>Armament@PRIMARY</t>
        </is>
      </c>
      <c r="L417" s="6" t="n">
        <v>26000</v>
      </c>
      <c r="M417" s="6" t="n">
        <v>66</v>
      </c>
      <c r="N417" s="6" t="n">
        <v>1</v>
      </c>
      <c r="O417" s="6" t="n"/>
      <c r="P417" s="6" t="n">
        <v>6666</v>
      </c>
      <c r="Q417" s="6" t="n">
        <v>0.75</v>
      </c>
      <c r="R417">
        <f>M417+IF(N417&gt;1,N(O417)*(N417-1),0)</f>
        <v/>
      </c>
      <c r="S417">
        <f>IFERROR(L417*MAX(N417,1)/R417*Q417*IF(ISBLANK(K416),1,K416),0)</f>
        <v/>
      </c>
      <c r="AB417" s="7" t="inlineStr">
        <is>
          <t>^RA2LightMissile</t>
        </is>
      </c>
    </row>
    <row r="418">
      <c r="B418" s="7" t="inlineStr">
        <is>
          <t xml:space="preserve">  ↳ LatinTankKillerRocket</t>
        </is>
      </c>
      <c r="C418" s="7" t="inlineStr">
        <is>
          <t>Armament@GARRISONED</t>
        </is>
      </c>
      <c r="L418" s="6" t="n">
        <v>26000</v>
      </c>
      <c r="M418" s="6" t="n">
        <v>66</v>
      </c>
      <c r="N418" s="6" t="n">
        <v>1</v>
      </c>
      <c r="O418" s="6" t="n"/>
      <c r="P418" s="6" t="n">
        <v>6666</v>
      </c>
      <c r="Q418" s="6" t="n">
        <v>0.75</v>
      </c>
      <c r="R418">
        <f>M418+IF(N418&gt;1,N(O418)*(N418-1),0)</f>
        <v/>
      </c>
      <c r="S418">
        <f>IFERROR(L418*MAX(N418,1)/R418*Q418*IF(ISBLANK(K416),1,K416),0)</f>
        <v/>
      </c>
      <c r="AB418" s="7" t="inlineStr">
        <is>
          <t>^RA2LightMissile</t>
        </is>
      </c>
    </row>
    <row r="419">
      <c r="B419" s="7" t="inlineStr">
        <is>
          <t xml:space="preserve">  ↳ LatinTankKillerRocket_elite</t>
        </is>
      </c>
      <c r="C419" s="7" t="inlineStr">
        <is>
          <t>Armament@PRIMARYE</t>
        </is>
      </c>
      <c r="L419" s="6" t="n">
        <v>52000</v>
      </c>
      <c r="M419" s="6" t="n">
        <v>66</v>
      </c>
      <c r="N419" s="6" t="n">
        <v>1</v>
      </c>
      <c r="O419" s="6" t="n"/>
      <c r="P419" s="6" t="n">
        <v>7777</v>
      </c>
      <c r="Q419" s="6" t="n">
        <v>0.75</v>
      </c>
      <c r="R419">
        <f>M419+IF(N419&gt;1,N(O419)*(N419-1),0)</f>
        <v/>
      </c>
      <c r="S419">
        <f>IFERROR(L419*MAX(N419,1)/R419*Q419*IF(ISBLANK(K416),1,K416),0)</f>
        <v/>
      </c>
      <c r="AB419" s="7" t="inlineStr">
        <is>
          <t>^RA2LightMissile</t>
        </is>
      </c>
    </row>
    <row r="420">
      <c r="B420" s="7" t="inlineStr">
        <is>
          <t xml:space="preserve">  ↳ LatinTankKillerRocket_elite</t>
        </is>
      </c>
      <c r="C420" s="7" t="inlineStr">
        <is>
          <t>Armament@GARRISONEDE</t>
        </is>
      </c>
      <c r="L420" s="6" t="n">
        <v>52000</v>
      </c>
      <c r="M420" s="6" t="n">
        <v>66</v>
      </c>
      <c r="N420" s="6" t="n">
        <v>1</v>
      </c>
      <c r="O420" s="6" t="n"/>
      <c r="P420" s="6" t="n">
        <v>7777</v>
      </c>
      <c r="Q420" s="6" t="n">
        <v>0.75</v>
      </c>
      <c r="R420">
        <f>M420+IF(N420&gt;1,N(O420)*(N420-1),0)</f>
        <v/>
      </c>
      <c r="S420">
        <f>IFERROR(L420*MAX(N420,1)/R420*Q420*IF(ISBLANK(K416),1,K416),0)</f>
        <v/>
      </c>
      <c r="AB420" s="7" t="inlineStr">
        <is>
          <t>^RA2LightMissile</t>
        </is>
      </c>
    </row>
    <row r="421">
      <c r="A421" t="inlineStr">
        <is>
          <t>redalert2mod</t>
        </is>
      </c>
      <c r="B421" t="inlineStr">
        <is>
          <t>naxis_portableflak</t>
        </is>
      </c>
      <c r="C421" t="inlineStr">
        <is>
          <t>Portable Flak</t>
        </is>
      </c>
      <c r="D421" s="6" t="inlineStr">
        <is>
          <t>AntiTankAntiAirInfantry</t>
        </is>
      </c>
      <c r="E421" s="6" t="n">
        <v>12000</v>
      </c>
      <c r="F421" s="6" t="n">
        <v>55</v>
      </c>
      <c r="G421" t="inlineStr">
        <is>
          <t>Flak</t>
        </is>
      </c>
      <c r="H421" s="6" t="n">
        <v>1</v>
      </c>
      <c r="I421" s="6" t="n">
        <v>0.5</v>
      </c>
      <c r="J421" s="6" t="n">
        <v>1</v>
      </c>
      <c r="K421" s="6" t="n"/>
      <c r="P421">
        <f>MAX(P422,P423,P424)</f>
        <v/>
      </c>
      <c r="S421">
        <f>S422+S423+S424</f>
        <v/>
      </c>
      <c r="T421">
        <f>(E421/100000+F421/100+(P421/1000)*J421/5+S421/200)*200*I421*H421</f>
        <v/>
      </c>
      <c r="U421">
        <f>((E421*F421/25000)+((P421/1000)*J421*S421/2.5))*I421*H421</f>
        <v/>
      </c>
      <c r="V421">
        <f>(E421*F421*(P421/1000)*J421*S421*I421*H421)/12500000</f>
        <v/>
      </c>
      <c r="W421">
        <f>(T421+U421+V421)/3</f>
        <v/>
      </c>
      <c r="X421" s="6" t="n">
        <v>400</v>
      </c>
      <c r="Y421">
        <f>IFERROR(W421-X421,"")</f>
        <v/>
      </c>
      <c r="Z421">
        <f>IFERROR(ABS(Y421)/MAX(X421,1),"")</f>
        <v/>
      </c>
      <c r="AA421">
        <f>IFERROR((X421-(((E421/100000+F421/100+S421/200)*200*I421*H421)+((E421*F421/25000)*I421*H421))/3)/(((J421/5)*200*I421*H421)+((J421*S421/2.5)*I421*H421)+((E421*F421*J421*S421*I421*H421)/12500000))/3*1000,"")</f>
        <v/>
      </c>
    </row>
    <row r="422">
      <c r="B422" s="7" t="inlineStr">
        <is>
          <t xml:space="preserve">  ↳ NaxQuadCannonTargeting</t>
        </is>
      </c>
      <c r="C422" s="7" t="inlineStr">
        <is>
          <t>Armament@Dummy</t>
        </is>
      </c>
      <c r="L422" s="6" t="n"/>
      <c r="M422" s="6" t="n">
        <v>50</v>
      </c>
      <c r="N422" s="6" t="n">
        <v>1</v>
      </c>
      <c r="O422" s="6" t="n"/>
      <c r="P422" s="6" t="n">
        <v>8888</v>
      </c>
      <c r="Q422" s="6" t="n">
        <v>1</v>
      </c>
      <c r="R422">
        <f>M422+IF(N422&gt;1,N(O422)*(N422-1),0)</f>
        <v/>
      </c>
      <c r="S422">
        <f>IFERROR(L422*MAX(N422,1)/R422*Q422*IF(ISBLANK(K421),1,K421),0)</f>
        <v/>
      </c>
      <c r="AB422" s="7" t="inlineStr">
        <is>
          <t>^aadeploytargeting</t>
        </is>
      </c>
    </row>
    <row r="423">
      <c r="B423" s="7" t="inlineStr">
        <is>
          <t xml:space="preserve">  ↳ PortableFlak</t>
        </is>
      </c>
      <c r="C423" s="7" t="inlineStr">
        <is>
          <t>Armament@Deployed</t>
        </is>
      </c>
      <c r="L423" s="6" t="n">
        <v>2000</v>
      </c>
      <c r="M423" s="6" t="n">
        <v>47</v>
      </c>
      <c r="N423" s="6" t="n">
        <v>6</v>
      </c>
      <c r="O423" s="6" t="n">
        <v>4</v>
      </c>
      <c r="P423" s="6" t="n">
        <v>8888</v>
      </c>
      <c r="Q423" s="6" t="n">
        <v>1.0625</v>
      </c>
      <c r="R423">
        <f>M423+IF(N423&gt;1,N(O423)*(N423-1),0)</f>
        <v/>
      </c>
      <c r="S423">
        <f>IFERROR(L423*MAX(N423,1)/R423*Q423*IF(ISBLANK(K421),1,K421),0)</f>
        <v/>
      </c>
      <c r="AB423" s="7" t="inlineStr">
        <is>
          <t>^Grenade, ^HeavyMissile, ^Chaingun, ^RA2FlakWeapon</t>
        </is>
      </c>
    </row>
    <row r="424">
      <c r="B424" s="7" t="inlineStr">
        <is>
          <t xml:space="preserve">  ↳ PortableFlakE</t>
        </is>
      </c>
      <c r="C424" s="7" t="inlineStr">
        <is>
          <t>Armament@DEPLOYEDELITE</t>
        </is>
      </c>
      <c r="L424" s="6" t="n">
        <v>2000</v>
      </c>
      <c r="M424" s="6" t="n">
        <v>47</v>
      </c>
      <c r="N424" s="6" t="n">
        <v>8</v>
      </c>
      <c r="O424" s="6" t="n">
        <v>3</v>
      </c>
      <c r="P424" s="6" t="n">
        <v>9999</v>
      </c>
      <c r="Q424" s="6" t="n">
        <v>1.0625</v>
      </c>
      <c r="R424">
        <f>M424+IF(N424&gt;1,N(O424)*(N424-1),0)</f>
        <v/>
      </c>
      <c r="S424">
        <f>IFERROR(L424*MAX(N424,1)/R424*Q424*IF(ISBLANK(K421),1,K421),0)</f>
        <v/>
      </c>
      <c r="AB424" s="7" t="inlineStr">
        <is>
          <t>^Grenade, ^HeavyMissile, ^Chaingun, ^RA2FlakWeapon</t>
        </is>
      </c>
    </row>
    <row r="425">
      <c r="B425" s="7" t="inlineStr">
        <is>
          <t xml:space="preserve">  ↳ PortableFlak</t>
        </is>
      </c>
      <c r="C425" s="7" t="inlineStr">
        <is>
          <t>Armament@GARRISONED</t>
        </is>
      </c>
      <c r="L425" s="6" t="n">
        <v>2000</v>
      </c>
      <c r="M425" s="6" t="n">
        <v>47</v>
      </c>
      <c r="N425" s="6" t="n">
        <v>6</v>
      </c>
      <c r="O425" s="6" t="n">
        <v>4</v>
      </c>
      <c r="P425" s="6" t="n">
        <v>8888</v>
      </c>
      <c r="Q425" s="6" t="n">
        <v>1.0625</v>
      </c>
      <c r="R425">
        <f>M425+IF(N425&gt;1,N(O425)*(N425-1),0)</f>
        <v/>
      </c>
      <c r="S425">
        <f>IFERROR(L425*MAX(N425,1)/R425*Q425*IF(ISBLANK(K421),1,K421),0)</f>
        <v/>
      </c>
      <c r="AB425" s="7" t="inlineStr">
        <is>
          <t>^Grenade, ^HeavyMissile, ^Chaingun, ^RA2FlakWeapon</t>
        </is>
      </c>
    </row>
    <row r="426">
      <c r="B426" s="7" t="inlineStr">
        <is>
          <t xml:space="preserve">  ↳ PortableFlakE</t>
        </is>
      </c>
      <c r="C426" s="7" t="inlineStr">
        <is>
          <t>Armament@GARRISONEDELITE</t>
        </is>
      </c>
      <c r="L426" s="6" t="n">
        <v>2000</v>
      </c>
      <c r="M426" s="6" t="n">
        <v>47</v>
      </c>
      <c r="N426" s="6" t="n">
        <v>8</v>
      </c>
      <c r="O426" s="6" t="n">
        <v>3</v>
      </c>
      <c r="P426" s="6" t="n">
        <v>9999</v>
      </c>
      <c r="Q426" s="6" t="n">
        <v>1.0625</v>
      </c>
      <c r="R426">
        <f>M426+IF(N426&gt;1,N(O426)*(N426-1),0)</f>
        <v/>
      </c>
      <c r="S426">
        <f>IFERROR(L426*MAX(N426,1)/R426*Q426*IF(ISBLANK(K421),1,K421),0)</f>
        <v/>
      </c>
      <c r="AB426" s="7" t="inlineStr">
        <is>
          <t>^Grenade, ^HeavyMissile, ^Chaingun, ^RA2FlakWeapon</t>
        </is>
      </c>
    </row>
    <row r="427">
      <c r="A427" t="inlineStr">
        <is>
          <t>redalert2mod</t>
        </is>
      </c>
      <c r="B427" t="inlineStr">
        <is>
          <t>schwarzermond_lunarrocket</t>
        </is>
      </c>
      <c r="C427" t="inlineStr">
        <is>
          <t>Lunar Rocket</t>
        </is>
      </c>
      <c r="D427" s="6" t="inlineStr">
        <is>
          <t>AntiTankAntiAirInfantry</t>
        </is>
      </c>
      <c r="E427" s="6" t="n">
        <v>18000</v>
      </c>
      <c r="F427" s="6" t="n">
        <v>60</v>
      </c>
      <c r="G427" t="inlineStr">
        <is>
          <t>Flak</t>
        </is>
      </c>
      <c r="H427" s="6" t="n">
        <v>1</v>
      </c>
      <c r="I427" s="6" t="n">
        <v>0.5</v>
      </c>
      <c r="J427" s="6" t="n">
        <v>1.75</v>
      </c>
      <c r="K427" s="6" t="n"/>
      <c r="P427">
        <f>MAX(P428,P429)</f>
        <v/>
      </c>
      <c r="S427">
        <f>S428+S429</f>
        <v/>
      </c>
      <c r="T427">
        <f>(E427/100000+F427/100+(P427/1000)*J427/5+S427/200)*200*I427*H427</f>
        <v/>
      </c>
      <c r="U427">
        <f>((E427*F427/25000)+((P427/1000)*J427*S427/2.5))*I427*H427</f>
        <v/>
      </c>
      <c r="V427">
        <f>(E427*F427*(P427/1000)*J427*S427*I427*H427)/12500000</f>
        <v/>
      </c>
      <c r="W427">
        <f>(T427+U427+V427)/3</f>
        <v/>
      </c>
      <c r="X427" s="6" t="n">
        <v>350</v>
      </c>
      <c r="Y427">
        <f>IFERROR(W427-X427,"")</f>
        <v/>
      </c>
      <c r="Z427">
        <f>IFERROR(ABS(Y427)/MAX(X427,1),"")</f>
        <v/>
      </c>
      <c r="AA427">
        <f>IFERROR((X427-(((E427/100000+F427/100+S427/200)*200*I427*H427)+((E427*F427/25000)*I427*H427))/3)/(((J427/5)*200*I427*H427)+((J427*S427/2.5)*I427*H427)+((E427*F427*J427*S427*I427*H427)/12500000))/3*1000,"")</f>
        <v/>
      </c>
    </row>
    <row r="428">
      <c r="B428" s="7" t="inlineStr">
        <is>
          <t xml:space="preserve">  ↳ NaxCorrosionRocketTrooperE</t>
        </is>
      </c>
      <c r="C428" s="7" t="inlineStr">
        <is>
          <t>Armament@PRIMARY</t>
        </is>
      </c>
      <c r="L428" s="6" t="n">
        <v>4000</v>
      </c>
      <c r="M428" s="6" t="n">
        <v>50</v>
      </c>
      <c r="N428" s="6" t="n">
        <v>1</v>
      </c>
      <c r="O428" s="6" t="n">
        <v>2</v>
      </c>
      <c r="P428" s="6" t="n">
        <v>6055</v>
      </c>
      <c r="Q428" s="6" t="n">
        <v>1.083333333333333</v>
      </c>
      <c r="R428">
        <f>M428+IF(N428&gt;1,N(O428)*(N428-1),0)</f>
        <v/>
      </c>
      <c r="S428">
        <f>IFERROR(L428*MAX(N428,1)/R428*Q428*IF(ISBLANK(K427),1,K427),0)</f>
        <v/>
      </c>
      <c r="AB428" s="7" t="inlineStr">
        <is>
          <t>^Grenade, ^HeavyMissile, ^RA2MediumMissile</t>
        </is>
      </c>
    </row>
    <row r="429">
      <c r="B429" s="7" t="inlineStr">
        <is>
          <t xml:space="preserve">  ↳ NaxCorrosionRocketTrooperE</t>
        </is>
      </c>
      <c r="C429" s="7" t="inlineStr">
        <is>
          <t>Armament@ELITE</t>
        </is>
      </c>
      <c r="L429" s="6" t="n">
        <v>4000</v>
      </c>
      <c r="M429" s="6" t="n">
        <v>50</v>
      </c>
      <c r="N429" s="6" t="n">
        <v>1</v>
      </c>
      <c r="O429" s="6" t="n">
        <v>2</v>
      </c>
      <c r="P429" s="6" t="n">
        <v>6055</v>
      </c>
      <c r="Q429" s="6" t="n">
        <v>1.083333333333333</v>
      </c>
      <c r="R429">
        <f>M429+IF(N429&gt;1,N(O429)*(N429-1),0)</f>
        <v/>
      </c>
      <c r="S429">
        <f>IFERROR(L429*MAX(N429,1)/R429*Q429*IF(ISBLANK(K427),1,K427),0)</f>
        <v/>
      </c>
      <c r="AB429" s="7" t="inlineStr">
        <is>
          <t>^Grenade, ^HeavyMissile, ^RA2MediumMissile</t>
        </is>
      </c>
    </row>
    <row r="430">
      <c r="B430" s="7" t="inlineStr">
        <is>
          <t xml:space="preserve">  ↳ NaxCorrosionRocketTrooperE</t>
        </is>
      </c>
      <c r="C430" s="7" t="inlineStr">
        <is>
          <t>Armament@GARRISONED</t>
        </is>
      </c>
      <c r="L430" s="6" t="n">
        <v>4000</v>
      </c>
      <c r="M430" s="6" t="n">
        <v>50</v>
      </c>
      <c r="N430" s="6" t="n">
        <v>1</v>
      </c>
      <c r="O430" s="6" t="n">
        <v>2</v>
      </c>
      <c r="P430" s="6" t="n">
        <v>6055</v>
      </c>
      <c r="Q430" s="6" t="n">
        <v>1.083333333333333</v>
      </c>
      <c r="R430">
        <f>M430+IF(N430&gt;1,N(O430)*(N430-1),0)</f>
        <v/>
      </c>
      <c r="S430">
        <f>IFERROR(L430*MAX(N430,1)/R430*Q430*IF(ISBLANK(K427),1,K427),0)</f>
        <v/>
      </c>
      <c r="AB430" s="7" t="inlineStr">
        <is>
          <t>^Grenade, ^HeavyMissile, ^RA2MediumMissile</t>
        </is>
      </c>
    </row>
    <row r="431">
      <c r="B431" s="7" t="inlineStr">
        <is>
          <t xml:space="preserve">  ↳ NaxCorrosionRocketTrooperE</t>
        </is>
      </c>
      <c r="C431" s="7" t="inlineStr">
        <is>
          <t>Armament@GARRISONEDELITE</t>
        </is>
      </c>
      <c r="L431" s="6" t="n">
        <v>4000</v>
      </c>
      <c r="M431" s="6" t="n">
        <v>50</v>
      </c>
      <c r="N431" s="6" t="n">
        <v>1</v>
      </c>
      <c r="O431" s="6" t="n">
        <v>2</v>
      </c>
      <c r="P431" s="6" t="n">
        <v>6055</v>
      </c>
      <c r="Q431" s="6" t="n">
        <v>1.083333333333333</v>
      </c>
      <c r="R431">
        <f>M431+IF(N431&gt;1,N(O431)*(N431-1),0)</f>
        <v/>
      </c>
      <c r="S431">
        <f>IFERROR(L431*MAX(N431,1)/R431*Q431*IF(ISBLANK(K427),1,K427),0)</f>
        <v/>
      </c>
      <c r="AB431" s="7" t="inlineStr">
        <is>
          <t>^Grenade, ^HeavyMissile, ^RA2MediumMissile</t>
        </is>
      </c>
    </row>
    <row r="432">
      <c r="A432" t="inlineStr">
        <is>
          <t>redalert2mod</t>
        </is>
      </c>
      <c r="B432" t="inlineStr">
        <is>
          <t>futuretech_javelinsoldier</t>
        </is>
      </c>
      <c r="C432" t="inlineStr">
        <is>
          <t>Javelin Soldier</t>
        </is>
      </c>
      <c r="D432" s="6" t="inlineStr">
        <is>
          <t>AntiTankAntiAirInfantry</t>
        </is>
      </c>
      <c r="E432" s="6" t="n">
        <v>25000</v>
      </c>
      <c r="F432" s="6" t="n">
        <v>50</v>
      </c>
      <c r="G432" t="inlineStr">
        <is>
          <t>Flak</t>
        </is>
      </c>
      <c r="H432" s="6" t="n">
        <v>1</v>
      </c>
      <c r="I432" s="6" t="n">
        <v>0.5</v>
      </c>
      <c r="J432" s="6" t="n">
        <v>1.25</v>
      </c>
      <c r="K432" s="6" t="n"/>
      <c r="P432">
        <f>MAX(P433,P434,P436,P437,P439)</f>
        <v/>
      </c>
      <c r="S432">
        <f>S433+S434+S436+S437+S439</f>
        <v/>
      </c>
      <c r="T432">
        <f>(E432/100000+F432/100+(P432/1000)*J432/5+S432/200)*200*I432*H432</f>
        <v/>
      </c>
      <c r="U432">
        <f>((E432*F432/25000)+((P432/1000)*J432*S432/2.5))*I432*H432</f>
        <v/>
      </c>
      <c r="V432">
        <f>(E432*F432*(P432/1000)*J432*S432*I432*H432)/12500000</f>
        <v/>
      </c>
      <c r="W432">
        <f>(T432+U432+V432)/3</f>
        <v/>
      </c>
      <c r="X432" s="6" t="n">
        <v>400</v>
      </c>
      <c r="Y432">
        <f>IFERROR(W432-X432,"")</f>
        <v/>
      </c>
      <c r="Z432">
        <f>IFERROR(ABS(Y432)/MAX(X432,1),"")</f>
        <v/>
      </c>
      <c r="AA432">
        <f>IFERROR((X432-(((E432/100000+F432/100+S432/200)*200*I432*H432)+((E432*F432/25000)*I432*H432))/3)/(((J432/5)*200*I432*H432)+((J432*S432/2.5)*I432*H432)+((E432*F432*J432*S432*I432*H432)/12500000))/3*1000,"")</f>
        <v/>
      </c>
    </row>
    <row r="433">
      <c r="B433" s="7" t="inlineStr">
        <is>
          <t xml:space="preserve">  ↳ FutureJavelinRockets</t>
        </is>
      </c>
      <c r="C433" s="7" t="inlineStr">
        <is>
          <t>Armament@PRIMARY</t>
        </is>
      </c>
      <c r="L433" s="6" t="n">
        <v>2000</v>
      </c>
      <c r="M433" s="6" t="n">
        <v>25</v>
      </c>
      <c r="N433" s="6" t="n">
        <v>1</v>
      </c>
      <c r="O433" s="6" t="n"/>
      <c r="P433" s="6" t="n">
        <v>6000</v>
      </c>
      <c r="Q433" s="6" t="n">
        <v>0.9375</v>
      </c>
      <c r="R433">
        <f>M433+IF(N433&gt;1,N(O433)*(N433-1),0)</f>
        <v/>
      </c>
      <c r="S433">
        <f>IFERROR(L433*MAX(N433,1)/R433*Q433*IF(ISBLANK(K432),1,K432),0)</f>
        <v/>
      </c>
      <c r="AB433" s="7" t="inlineStr">
        <is>
          <t>^LightMissile, ^FlakWeapon, ^MediumMissile, ^ShrapnelWeapon, ^D2KRocket</t>
        </is>
      </c>
    </row>
    <row r="434">
      <c r="B434" s="7" t="inlineStr">
        <is>
          <t xml:space="preserve">  ↳ FutureJavelinRocketsDeployed</t>
        </is>
      </c>
      <c r="C434" s="7" t="inlineStr">
        <is>
          <t>Armament@PRIMARY2</t>
        </is>
      </c>
      <c r="L434" s="6" t="n">
        <v>2000</v>
      </c>
      <c r="M434" s="6" t="n">
        <v>25</v>
      </c>
      <c r="N434" s="6" t="n">
        <v>1</v>
      </c>
      <c r="O434" s="6" t="n"/>
      <c r="P434" s="6" t="n">
        <v>7500</v>
      </c>
      <c r="Q434" s="6" t="n">
        <v>0.9375</v>
      </c>
      <c r="R434">
        <f>M434+IF(N434&gt;1,N(O434)*(N434-1),0)</f>
        <v/>
      </c>
      <c r="S434">
        <f>IFERROR(L434*MAX(N434,1)/R434*Q434*IF(ISBLANK(K432),1,K432),0)</f>
        <v/>
      </c>
      <c r="AB434" s="7" t="inlineStr">
        <is>
          <t>^LightMissile, ^FlakWeapon, ^MediumMissile, ^ShrapnelWeapon, ^D2KRocket</t>
        </is>
      </c>
    </row>
    <row r="435">
      <c r="B435" s="7" t="inlineStr">
        <is>
          <t xml:space="preserve">  ↳ FutureJavelinRocketsDeployed</t>
        </is>
      </c>
      <c r="C435" s="7" t="inlineStr">
        <is>
          <t>Armament@GARRISONED</t>
        </is>
      </c>
      <c r="L435" s="6" t="n">
        <v>2000</v>
      </c>
      <c r="M435" s="6" t="n">
        <v>25</v>
      </c>
      <c r="N435" s="6" t="n">
        <v>1</v>
      </c>
      <c r="O435" s="6" t="n"/>
      <c r="P435" s="6" t="n">
        <v>7500</v>
      </c>
      <c r="Q435" s="6" t="n">
        <v>0.9375</v>
      </c>
      <c r="R435">
        <f>M435+IF(N435&gt;1,N(O435)*(N435-1),0)</f>
        <v/>
      </c>
      <c r="S435">
        <f>IFERROR(L435*MAX(N435,1)/R435*Q435*IF(ISBLANK(K432),1,K432),0)</f>
        <v/>
      </c>
      <c r="AB435" s="7" t="inlineStr">
        <is>
          <t>^LightMissile, ^FlakWeapon, ^MediumMissile, ^ShrapnelWeapon, ^D2KRocket</t>
        </is>
      </c>
    </row>
    <row r="436">
      <c r="B436" s="7" t="inlineStr">
        <is>
          <t xml:space="preserve">  ↳ FutureJavelinRocketsE</t>
        </is>
      </c>
      <c r="C436" s="7" t="inlineStr">
        <is>
          <t>Armament@ELITE</t>
        </is>
      </c>
      <c r="L436" s="6" t="n">
        <v>2000</v>
      </c>
      <c r="M436" s="6" t="n">
        <v>25</v>
      </c>
      <c r="N436" s="6" t="n">
        <v>2</v>
      </c>
      <c r="O436" s="6" t="n">
        <v>3</v>
      </c>
      <c r="P436" s="6" t="n">
        <v>7000</v>
      </c>
      <c r="Q436" s="6" t="n">
        <v>0.9375</v>
      </c>
      <c r="R436">
        <f>M436+IF(N436&gt;1,N(O436)*(N436-1),0)</f>
        <v/>
      </c>
      <c r="S436">
        <f>IFERROR(L436*MAX(N436,1)/R436*Q436*IF(ISBLANK(K432),1,K432),0)</f>
        <v/>
      </c>
      <c r="AB436" s="7" t="inlineStr">
        <is>
          <t>^LightMissile, ^FlakWeapon, ^MediumMissile, ^ShrapnelWeapon, ^D2KRocket</t>
        </is>
      </c>
    </row>
    <row r="437">
      <c r="B437" s="7" t="inlineStr">
        <is>
          <t xml:space="preserve">  ↳ FutureJavelinRocketsDeployedE</t>
        </is>
      </c>
      <c r="C437" s="7" t="inlineStr">
        <is>
          <t>Armament@ELITE2</t>
        </is>
      </c>
      <c r="L437" s="6" t="n">
        <v>2000</v>
      </c>
      <c r="M437" s="6" t="n">
        <v>25</v>
      </c>
      <c r="N437" s="6" t="n">
        <v>2</v>
      </c>
      <c r="O437" s="6" t="n">
        <v>3</v>
      </c>
      <c r="P437" s="6" t="n">
        <v>8500</v>
      </c>
      <c r="Q437" s="6" t="n">
        <v>0.9375</v>
      </c>
      <c r="R437">
        <f>M437+IF(N437&gt;1,N(O437)*(N437-1),0)</f>
        <v/>
      </c>
      <c r="S437">
        <f>IFERROR(L437*MAX(N437,1)/R437*Q437*IF(ISBLANK(K432),1,K432),0)</f>
        <v/>
      </c>
      <c r="AB437" s="7" t="inlineStr">
        <is>
          <t>^LightMissile, ^FlakWeapon, ^MediumMissile, ^ShrapnelWeapon, ^D2KRocket</t>
        </is>
      </c>
    </row>
    <row r="438">
      <c r="B438" s="7" t="inlineStr">
        <is>
          <t xml:space="preserve">  ↳ FutureJavelinRocketsDeployedE</t>
        </is>
      </c>
      <c r="C438" s="7" t="inlineStr">
        <is>
          <t>Armament@GARRISONEDELITE</t>
        </is>
      </c>
      <c r="L438" s="6" t="n">
        <v>2000</v>
      </c>
      <c r="M438" s="6" t="n">
        <v>25</v>
      </c>
      <c r="N438" s="6" t="n">
        <v>2</v>
      </c>
      <c r="O438" s="6" t="n">
        <v>3</v>
      </c>
      <c r="P438" s="6" t="n">
        <v>8500</v>
      </c>
      <c r="Q438" s="6" t="n">
        <v>0.9375</v>
      </c>
      <c r="R438">
        <f>M438+IF(N438&gt;1,N(O438)*(N438-1),0)</f>
        <v/>
      </c>
      <c r="S438">
        <f>IFERROR(L438*MAX(N438,1)/R438*Q438*IF(ISBLANK(K432),1,K432),0)</f>
        <v/>
      </c>
      <c r="AB438" s="7" t="inlineStr">
        <is>
          <t>^LightMissile, ^FlakWeapon, ^MediumMissile, ^ShrapnelWeapon, ^D2KRocket</t>
        </is>
      </c>
    </row>
    <row r="439">
      <c r="B439" s="7" t="inlineStr">
        <is>
          <t xml:space="preserve">  ↳ aadeploytargeting.8c0</t>
        </is>
      </c>
      <c r="C439" s="7" t="inlineStr">
        <is>
          <t>Armament@BOTAA</t>
        </is>
      </c>
      <c r="L439" s="6" t="n"/>
      <c r="M439" s="6" t="n">
        <v>50</v>
      </c>
      <c r="N439" s="6" t="n">
        <v>1</v>
      </c>
      <c r="O439" s="6" t="n"/>
      <c r="P439" s="6" t="n">
        <v>8000</v>
      </c>
      <c r="Q439" s="6" t="n">
        <v>1</v>
      </c>
      <c r="R439">
        <f>M439+IF(N439&gt;1,N(O439)*(N439-1),0)</f>
        <v/>
      </c>
      <c r="S439">
        <f>IFERROR(L439*MAX(N439,1)/R439*Q439*IF(ISBLANK(K432),1,K432),0)</f>
        <v/>
      </c>
      <c r="AB439" s="7" t="inlineStr">
        <is>
          <t>^aadeploytargeting</t>
        </is>
      </c>
    </row>
    <row r="440">
      <c r="A440" t="inlineStr">
        <is>
          <t>redalert2mod</t>
        </is>
      </c>
      <c r="B440" t="inlineStr">
        <is>
          <t>tkm_rocketeer</t>
        </is>
      </c>
      <c r="C440" t="inlineStr">
        <is>
          <t>Rocketeer</t>
        </is>
      </c>
      <c r="D440" s="6" t="inlineStr">
        <is>
          <t>AntiTankAntiAirInfantry</t>
        </is>
      </c>
      <c r="E440" s="6" t="n">
        <v>9000</v>
      </c>
      <c r="F440" s="6" t="n">
        <v>60</v>
      </c>
      <c r="G440" t="inlineStr">
        <is>
          <t>Flak</t>
        </is>
      </c>
      <c r="H440" s="6" t="n">
        <v>1</v>
      </c>
      <c r="I440" s="6" t="n">
        <v>1</v>
      </c>
      <c r="J440" s="6" t="n">
        <v>1</v>
      </c>
      <c r="K440" s="6" t="n"/>
      <c r="P440">
        <f>MAX(P441,P442,P443,P444)</f>
        <v/>
      </c>
      <c r="S440">
        <f>S441+S442+S443+S444</f>
        <v/>
      </c>
      <c r="T440">
        <f>(E440/100000+F440/100+(P440/1000)*J440/5+S440/200)*200*I440*H440</f>
        <v/>
      </c>
      <c r="U440">
        <f>((E440*F440/25000)+((P440/1000)*J440*S440/2.5))*I440*H440</f>
        <v/>
      </c>
      <c r="V440">
        <f>(E440*F440*(P440/1000)*J440*S440*I440*H440)/12500000</f>
        <v/>
      </c>
      <c r="W440">
        <f>(T440+U440+V440)/3</f>
        <v/>
      </c>
      <c r="X440" s="6" t="n">
        <v>200</v>
      </c>
      <c r="Y440">
        <f>IFERROR(W440-X440,"")</f>
        <v/>
      </c>
      <c r="Z440">
        <f>IFERROR(ABS(Y440)/MAX(X440,1),"")</f>
        <v/>
      </c>
      <c r="AA440">
        <f>IFERROR((X440-(((E440/100000+F440/100+S440/200)*200*I440*H440)+((E440*F440/25000)*I440*H440))/3)/(((J440/5)*200*I440*H440)+((J440*S440/2.5)*I440*H440)+((E440*F440*J440*S440*I440*H440)/12500000))/3*1000,"")</f>
        <v/>
      </c>
    </row>
    <row r="441">
      <c r="B441" s="7" t="inlineStr">
        <is>
          <t xml:space="preserve">  ↳ tkmrockets</t>
        </is>
      </c>
      <c r="C441" s="7" t="inlineStr">
        <is>
          <t>Armament@PRIMARY</t>
        </is>
      </c>
      <c r="L441" s="6" t="n">
        <v>18000</v>
      </c>
      <c r="M441" s="6" t="n">
        <v>64</v>
      </c>
      <c r="N441" s="6" t="n">
        <v>1</v>
      </c>
      <c r="O441" s="6" t="n"/>
      <c r="P441" s="6" t="n">
        <v>6214</v>
      </c>
      <c r="Q441" s="6" t="n">
        <v>0.75</v>
      </c>
      <c r="R441">
        <f>M441+IF(N441&gt;1,N(O441)*(N441-1),0)</f>
        <v/>
      </c>
      <c r="S441">
        <f>IFERROR(L441*MAX(N441,1)/R441*Q441*IF(ISBLANK(K440),1,K440),0)</f>
        <v/>
      </c>
      <c r="AB441" s="7" t="inlineStr">
        <is>
          <t>^LightMissile</t>
        </is>
      </c>
    </row>
    <row r="442">
      <c r="B442" s="7" t="inlineStr">
        <is>
          <t xml:space="preserve">  ↳ tkmcryorockets</t>
        </is>
      </c>
      <c r="C442" s="7" t="inlineStr">
        <is>
          <t>Armament@PRIMARYNATO</t>
        </is>
      </c>
      <c r="L442" s="6" t="n">
        <v>18000</v>
      </c>
      <c r="M442" s="6" t="n">
        <v>64</v>
      </c>
      <c r="N442" s="6" t="n">
        <v>1</v>
      </c>
      <c r="O442" s="6" t="n"/>
      <c r="P442" s="6" t="n">
        <v>6214</v>
      </c>
      <c r="Q442" s="6" t="n">
        <v>0.75</v>
      </c>
      <c r="R442">
        <f>M442+IF(N442&gt;1,N(O442)*(N442-1),0)</f>
        <v/>
      </c>
      <c r="S442">
        <f>IFERROR(L442*MAX(N442,1)/R442*Q442*IF(ISBLANK(K440),1,K440),0)</f>
        <v/>
      </c>
      <c r="AB442" s="7" t="inlineStr">
        <is>
          <t>^LightMissile</t>
        </is>
      </c>
    </row>
    <row r="443">
      <c r="B443" s="7" t="inlineStr">
        <is>
          <t xml:space="preserve">  ↳ tkmtwinrockets</t>
        </is>
      </c>
      <c r="C443" s="7" t="inlineStr">
        <is>
          <t>Armament@PRIMARYBEREZKA</t>
        </is>
      </c>
      <c r="L443" s="6" t="n">
        <v>18000</v>
      </c>
      <c r="M443" s="6" t="n">
        <v>64</v>
      </c>
      <c r="N443" s="6" t="n">
        <v>2</v>
      </c>
      <c r="O443" s="6" t="n"/>
      <c r="P443" s="6" t="n">
        <v>7214</v>
      </c>
      <c r="Q443" s="6" t="n">
        <v>0.75</v>
      </c>
      <c r="R443">
        <f>M443+IF(N443&gt;1,N(O443)*(N443-1),0)</f>
        <v/>
      </c>
      <c r="S443">
        <f>IFERROR(L443*MAX(N443,1)/R443*Q443*IF(ISBLANK(K440),1,K440),0)</f>
        <v/>
      </c>
      <c r="AB443" s="7" t="inlineStr">
        <is>
          <t>^LightMissile</t>
        </is>
      </c>
    </row>
    <row r="444">
      <c r="B444" s="7" t="inlineStr">
        <is>
          <t xml:space="preserve">  ↳ tkmfirerockets</t>
        </is>
      </c>
      <c r="C444" s="7" t="inlineStr">
        <is>
          <t>Armament@PRIMARYTITAN</t>
        </is>
      </c>
      <c r="L444" s="6" t="n">
        <v>18000</v>
      </c>
      <c r="M444" s="6" t="n">
        <v>64</v>
      </c>
      <c r="N444" s="6" t="n">
        <v>1</v>
      </c>
      <c r="O444" s="6" t="n"/>
      <c r="P444" s="6" t="n">
        <v>6214</v>
      </c>
      <c r="Q444" s="6" t="n">
        <v>0.75</v>
      </c>
      <c r="R444">
        <f>M444+IF(N444&gt;1,N(O444)*(N444-1),0)</f>
        <v/>
      </c>
      <c r="S444">
        <f>IFERROR(L444*MAX(N444,1)/R444*Q444*IF(ISBLANK(K440),1,K440),0)</f>
        <v/>
      </c>
      <c r="AB444" s="7" t="inlineStr">
        <is>
          <t>^LightFlameWeapon, ^LightMissile</t>
        </is>
      </c>
    </row>
    <row r="445">
      <c r="B445" s="7" t="inlineStr">
        <is>
          <t xml:space="preserve">  ↳ Rockets</t>
        </is>
      </c>
      <c r="C445" s="7" t="inlineStr">
        <is>
          <t>Armament@GARRISONED</t>
        </is>
      </c>
      <c r="L445" s="6" t="n">
        <v>18000</v>
      </c>
      <c r="M445" s="6" t="n">
        <v>63</v>
      </c>
      <c r="N445" s="6" t="n">
        <v>1</v>
      </c>
      <c r="O445" s="6" t="n"/>
      <c r="P445" s="6" t="n">
        <v>6368</v>
      </c>
      <c r="Q445" s="6" t="n">
        <v>0.75</v>
      </c>
      <c r="R445">
        <f>M445+IF(N445&gt;1,N(O445)*(N445-1),0)</f>
        <v/>
      </c>
      <c r="S445">
        <f>IFERROR(L445*MAX(N445,1)/R445*Q445*IF(ISBLANK(K440),1,K440),0)</f>
        <v/>
      </c>
      <c r="AB445" s="7" t="inlineStr">
        <is>
          <t>^LightMissile</t>
        </is>
      </c>
    </row>
    <row r="446">
      <c r="B446" s="7" t="inlineStr">
        <is>
          <t xml:space="preserve">  ↳ tkmcryorockets</t>
        </is>
      </c>
      <c r="C446" s="7" t="inlineStr">
        <is>
          <t>Armament@GARRISONEDTITAN</t>
        </is>
      </c>
      <c r="L446" s="6" t="n">
        <v>18000</v>
      </c>
      <c r="M446" s="6" t="n">
        <v>64</v>
      </c>
      <c r="N446" s="6" t="n">
        <v>1</v>
      </c>
      <c r="O446" s="6" t="n"/>
      <c r="P446" s="6" t="n">
        <v>6214</v>
      </c>
      <c r="Q446" s="6" t="n">
        <v>0.75</v>
      </c>
      <c r="R446">
        <f>M446+IF(N446&gt;1,N(O446)*(N446-1),0)</f>
        <v/>
      </c>
      <c r="S446">
        <f>IFERROR(L446*MAX(N446,1)/R446*Q446*IF(ISBLANK(K440),1,K440),0)</f>
        <v/>
      </c>
      <c r="AB446" s="7" t="inlineStr">
        <is>
          <t>^LightMissile</t>
        </is>
      </c>
    </row>
    <row r="447">
      <c r="B447" s="7" t="inlineStr">
        <is>
          <t xml:space="preserve">  ↳ tkmtwinrockets</t>
        </is>
      </c>
      <c r="C447" s="7" t="inlineStr">
        <is>
          <t>Armament@GARRISONEDBEREZKA</t>
        </is>
      </c>
      <c r="L447" s="6" t="n">
        <v>18000</v>
      </c>
      <c r="M447" s="6" t="n">
        <v>64</v>
      </c>
      <c r="N447" s="6" t="n">
        <v>2</v>
      </c>
      <c r="O447" s="6" t="n"/>
      <c r="P447" s="6" t="n">
        <v>7214</v>
      </c>
      <c r="Q447" s="6" t="n">
        <v>0.75</v>
      </c>
      <c r="R447">
        <f>M447+IF(N447&gt;1,N(O447)*(N447-1),0)</f>
        <v/>
      </c>
      <c r="S447">
        <f>IFERROR(L447*MAX(N447,1)/R447*Q447*IF(ISBLANK(K440),1,K440),0)</f>
        <v/>
      </c>
      <c r="AB447" s="7" t="inlineStr">
        <is>
          <t>^LightMissile</t>
        </is>
      </c>
    </row>
    <row r="448">
      <c r="B448" s="7" t="inlineStr">
        <is>
          <t xml:space="preserve">  ↳ tkmfirerockets</t>
        </is>
      </c>
      <c r="C448" s="7" t="inlineStr">
        <is>
          <t>Armament@GARRISONEDNATO</t>
        </is>
      </c>
      <c r="L448" s="6" t="n">
        <v>18000</v>
      </c>
      <c r="M448" s="6" t="n">
        <v>64</v>
      </c>
      <c r="N448" s="6" t="n">
        <v>1</v>
      </c>
      <c r="O448" s="6" t="n"/>
      <c r="P448" s="6" t="n">
        <v>6214</v>
      </c>
      <c r="Q448" s="6" t="n">
        <v>0.75</v>
      </c>
      <c r="R448">
        <f>M448+IF(N448&gt;1,N(O448)*(N448-1),0)</f>
        <v/>
      </c>
      <c r="S448">
        <f>IFERROR(L448*MAX(N448,1)/R448*Q448*IF(ISBLANK(K440),1,K440),0)</f>
        <v/>
      </c>
      <c r="AB448" s="7" t="inlineStr">
        <is>
          <t>^LightFlameWeapon, ^LightMissile</t>
        </is>
      </c>
    </row>
    <row r="449">
      <c r="A449" t="inlineStr">
        <is>
          <t>shared</t>
        </is>
      </c>
      <c r="B449" t="inlineStr">
        <is>
          <t>trooper</t>
        </is>
      </c>
      <c r="C449" t="inlineStr">
        <is>
          <t>Rocket Trooper</t>
        </is>
      </c>
      <c r="D449" s="6" t="inlineStr">
        <is>
          <t>AntiTankAntiAirInfantry</t>
        </is>
      </c>
      <c r="E449" s="6" t="n">
        <v>12000</v>
      </c>
      <c r="F449" s="6" t="n">
        <v>48</v>
      </c>
      <c r="G449" t="inlineStr">
        <is>
          <t>Flak</t>
        </is>
      </c>
      <c r="H449" s="6" t="n">
        <v>1</v>
      </c>
      <c r="I449" s="6" t="n">
        <v>1</v>
      </c>
      <c r="J449" s="6" t="n">
        <v>1</v>
      </c>
      <c r="K449" s="6" t="n"/>
      <c r="P449">
        <f>MAX(P450)</f>
        <v/>
      </c>
      <c r="S449">
        <f>S450</f>
        <v/>
      </c>
      <c r="T449">
        <f>(E449/100000+F449/100+(P449/1000)*J449/5+S449/200)*200*I449*H449</f>
        <v/>
      </c>
      <c r="U449">
        <f>((E449*F449/25000)+((P449/1000)*J449*S449/2.5))*I449*H449</f>
        <v/>
      </c>
      <c r="V449">
        <f>(E449*F449*(P449/1000)*J449*S449*I449*H449)/12500000</f>
        <v/>
      </c>
      <c r="W449">
        <f>(T449+U449+V449)/3</f>
        <v/>
      </c>
      <c r="X449" s="6" t="n">
        <v>300</v>
      </c>
      <c r="Y449">
        <f>IFERROR(W449-X449,"")</f>
        <v/>
      </c>
      <c r="Z449">
        <f>IFERROR(ABS(Y449)/MAX(X449,1),"")</f>
        <v/>
      </c>
      <c r="AA449">
        <f>IFERROR((X449-(((E449/100000+F449/100+S449/200)*200*I449*H449)+((E449*F449/25000)*I449*H449))/3)/(((J449/5)*200*I449*H449)+((J449*S449/2.5)*I449*H449)+((E449*F449*J449*S449*I449*H449)/12500000))/3*1000,"")</f>
        <v/>
      </c>
    </row>
    <row r="450">
      <c r="B450" s="7" t="inlineStr">
        <is>
          <t xml:space="preserve">  ↳ D2K_Rocket_Trooper</t>
        </is>
      </c>
      <c r="C450" s="7" t="inlineStr">
        <is>
          <t>Armament</t>
        </is>
      </c>
      <c r="L450" s="6" t="n">
        <v>8000</v>
      </c>
      <c r="M450" s="6" t="n">
        <v>64</v>
      </c>
      <c r="N450" s="6" t="n">
        <v>1</v>
      </c>
      <c r="O450" s="6" t="n"/>
      <c r="P450" s="6" t="n">
        <v>6185</v>
      </c>
      <c r="Q450" s="6" t="n">
        <v>0.875</v>
      </c>
      <c r="R450">
        <f>M450+IF(N450&gt;1,N(O450)*(N450-1),0)</f>
        <v/>
      </c>
      <c r="S450">
        <f>IFERROR(L450*MAX(N450,1)/R450*Q450*IF(ISBLANK(K449),1,K449),0)</f>
        <v/>
      </c>
      <c r="AB450" s="7" t="inlineStr">
        <is>
          <t>^LightMissile, ^MediumMissile, ^D2KRocket</t>
        </is>
      </c>
    </row>
    <row r="451">
      <c r="B451" s="7" t="inlineStr">
        <is>
          <t xml:space="preserve">  ↳ D2K_Rocket_Trooper</t>
        </is>
      </c>
      <c r="C451" s="7" t="inlineStr">
        <is>
          <t>Armament@garrisoned</t>
        </is>
      </c>
      <c r="L451" s="6" t="n">
        <v>8000</v>
      </c>
      <c r="M451" s="6" t="n">
        <v>64</v>
      </c>
      <c r="N451" s="6" t="n">
        <v>1</v>
      </c>
      <c r="O451" s="6" t="n"/>
      <c r="P451" s="6" t="n">
        <v>6185</v>
      </c>
      <c r="Q451" s="6" t="n">
        <v>0.875</v>
      </c>
      <c r="R451">
        <f>M451+IF(N451&gt;1,N(O451)*(N451-1),0)</f>
        <v/>
      </c>
      <c r="S451">
        <f>IFERROR(L451*MAX(N451,1)/R451*Q451*IF(ISBLANK(K449),1,K449),0)</f>
        <v/>
      </c>
      <c r="AB451" s="7" t="inlineStr">
        <is>
          <t>^LightMissile, ^MediumMissile, ^D2KRocket</t>
        </is>
      </c>
    </row>
    <row r="452">
      <c r="A452" t="inlineStr">
        <is>
          <t>d2k</t>
        </is>
      </c>
      <c r="B452" t="inlineStr">
        <is>
          <t>ordos_antiairtrooper</t>
        </is>
      </c>
      <c r="C452" t="inlineStr">
        <is>
          <t>Anti Air Trooper</t>
        </is>
      </c>
      <c r="D452" s="6" t="inlineStr">
        <is>
          <t>AntiTankAntiAirInfantry</t>
        </is>
      </c>
      <c r="E452" s="6" t="n">
        <v>15000</v>
      </c>
      <c r="F452" s="6" t="n">
        <v>45</v>
      </c>
      <c r="G452" t="inlineStr">
        <is>
          <t>Flak</t>
        </is>
      </c>
      <c r="H452" s="6" t="n">
        <v>1</v>
      </c>
      <c r="I452" s="6" t="n">
        <v>1</v>
      </c>
      <c r="J452" s="6" t="n">
        <v>1</v>
      </c>
      <c r="K452" s="6" t="n"/>
      <c r="P452">
        <f>MAX(P453,P454)</f>
        <v/>
      </c>
      <c r="S452">
        <f>S453+S454</f>
        <v/>
      </c>
      <c r="T452">
        <f>(E452/100000+F452/100+(P452/1000)*J452/5+S452/200)*200*I452*H452</f>
        <v/>
      </c>
      <c r="U452">
        <f>((E452*F452/25000)+((P452/1000)*J452*S452/2.5))*I452*H452</f>
        <v/>
      </c>
      <c r="V452">
        <f>(E452*F452*(P452/1000)*J452*S452*I452*H452)/12500000</f>
        <v/>
      </c>
      <c r="W452">
        <f>(T452+U452+V452)/3</f>
        <v/>
      </c>
      <c r="X452" s="6" t="n">
        <v>450</v>
      </c>
      <c r="Y452">
        <f>IFERROR(W452-X452,"")</f>
        <v/>
      </c>
      <c r="Z452">
        <f>IFERROR(ABS(Y452)/MAX(X452,1),"")</f>
        <v/>
      </c>
      <c r="AA452">
        <f>IFERROR((X452-(((E452/100000+F452/100+S452/200)*200*I452*H452)+((E452*F452/25000)*I452*H452))/3)/(((J452/5)*200*I452*H452)+((J452*S452/2.5)*I452*H452)+((E452*F452*J452*S452*I452*H452)/12500000))/3*1000,"")</f>
        <v/>
      </c>
    </row>
    <row r="453">
      <c r="B453" s="7" t="inlineStr">
        <is>
          <t xml:space="preserve">  ↳ D2K_Rocket_Trooper_AAPowered</t>
        </is>
      </c>
      <c r="C453" s="7" t="inlineStr">
        <is>
          <t>Armament</t>
        </is>
      </c>
      <c r="L453" s="6" t="n">
        <v>10000</v>
      </c>
      <c r="M453" s="6" t="n">
        <v>75</v>
      </c>
      <c r="N453" s="6" t="n">
        <v>1</v>
      </c>
      <c r="O453" s="6" t="n"/>
      <c r="P453" s="6" t="n">
        <v>9716</v>
      </c>
      <c r="Q453" s="6" t="n">
        <v>0.875</v>
      </c>
      <c r="R453">
        <f>M453+IF(N453&gt;1,N(O453)*(N453-1),0)</f>
        <v/>
      </c>
      <c r="S453">
        <f>IFERROR(L453*MAX(N453,1)/R453*Q453*IF(ISBLANK(K452),1,K452),0)</f>
        <v/>
      </c>
      <c r="AB453" s="7" t="inlineStr">
        <is>
          <t>^LightMissile, ^FlakWeapon, ^D2KRocket</t>
        </is>
      </c>
    </row>
    <row r="454">
      <c r="B454" s="7" t="inlineStr">
        <is>
          <t xml:space="preserve">  ↳ D2K_Rocket_Trooper_AGOnly</t>
        </is>
      </c>
      <c r="C454" s="7" t="inlineStr">
        <is>
          <t>Armament@SECONDARY</t>
        </is>
      </c>
      <c r="L454" s="6" t="n">
        <v>10000</v>
      </c>
      <c r="M454" s="6" t="n">
        <v>50</v>
      </c>
      <c r="N454" s="6" t="n">
        <v>1</v>
      </c>
      <c r="O454" s="6" t="n"/>
      <c r="P454" s="6" t="n">
        <v>6252</v>
      </c>
      <c r="Q454" s="6" t="n">
        <v>1.125</v>
      </c>
      <c r="R454">
        <f>M454+IF(N454&gt;1,N(O454)*(N454-1),0)</f>
        <v/>
      </c>
      <c r="S454">
        <f>IFERROR(L454*MAX(N454,1)/R454*Q454*IF(ISBLANK(K452),1,K452),0)</f>
        <v/>
      </c>
      <c r="AB454" s="7" t="inlineStr">
        <is>
          <t>^Grenade, ^RailgunWeapon, ^D2K_Cannon</t>
        </is>
      </c>
    </row>
    <row r="455">
      <c r="B455" s="7" t="inlineStr">
        <is>
          <t xml:space="preserve">  ↳ D2K_Rocket_Trooper_AAPowered</t>
        </is>
      </c>
      <c r="C455" s="7" t="inlineStr">
        <is>
          <t>Armament@garrisoned</t>
        </is>
      </c>
      <c r="L455" s="6" t="n">
        <v>10000</v>
      </c>
      <c r="M455" s="6" t="n">
        <v>75</v>
      </c>
      <c r="N455" s="6" t="n">
        <v>1</v>
      </c>
      <c r="O455" s="6" t="n"/>
      <c r="P455" s="6" t="n">
        <v>9716</v>
      </c>
      <c r="Q455" s="6" t="n">
        <v>0.875</v>
      </c>
      <c r="R455">
        <f>M455+IF(N455&gt;1,N(O455)*(N455-1),0)</f>
        <v/>
      </c>
      <c r="S455">
        <f>IFERROR(L455*MAX(N455,1)/R455*Q455*IF(ISBLANK(K452),1,K452),0)</f>
        <v/>
      </c>
      <c r="AB455" s="7" t="inlineStr">
        <is>
          <t>^LightMissile, ^FlakWeapon, ^D2KRocket</t>
        </is>
      </c>
    </row>
    <row r="456">
      <c r="B456" s="7" t="inlineStr">
        <is>
          <t xml:space="preserve">  ↳ D2K_Rocket_Trooper_AGOnly</t>
        </is>
      </c>
      <c r="C456" s="7" t="inlineStr">
        <is>
          <t>Armament@SECONDARYgarrisoned</t>
        </is>
      </c>
      <c r="L456" s="6" t="n">
        <v>10000</v>
      </c>
      <c r="M456" s="6" t="n">
        <v>50</v>
      </c>
      <c r="N456" s="6" t="n">
        <v>1</v>
      </c>
      <c r="O456" s="6" t="n"/>
      <c r="P456" s="6" t="n">
        <v>6252</v>
      </c>
      <c r="Q456" s="6" t="n">
        <v>1.125</v>
      </c>
      <c r="R456">
        <f>M456+IF(N456&gt;1,N(O456)*(N456-1),0)</f>
        <v/>
      </c>
      <c r="S456">
        <f>IFERROR(L456*MAX(N456,1)/R456*Q456*IF(ISBLANK(K452),1,K452),0)</f>
        <v/>
      </c>
      <c r="AB456" s="7" t="inlineStr">
        <is>
          <t>^Grenade, ^RailgunWeapon, ^D2K_Cannon</t>
        </is>
      </c>
    </row>
    <row r="457">
      <c r="A457" t="inlineStr">
        <is>
          <t>d2k</t>
        </is>
      </c>
      <c r="B457" t="inlineStr">
        <is>
          <t>ordos_rockettrooper</t>
        </is>
      </c>
      <c r="C457" t="inlineStr">
        <is>
          <t>Ordos Rocket Trooper</t>
        </is>
      </c>
      <c r="D457" s="6" t="inlineStr">
        <is>
          <t>AntiTankAntiAirInfantry</t>
        </is>
      </c>
      <c r="E457" s="6" t="n">
        <v>12000</v>
      </c>
      <c r="F457" s="6" t="n">
        <v>48</v>
      </c>
      <c r="G457" t="inlineStr">
        <is>
          <t>Flak</t>
        </is>
      </c>
      <c r="H457" s="6" t="n">
        <v>1</v>
      </c>
      <c r="I457" s="6" t="n">
        <v>1</v>
      </c>
      <c r="J457" s="6" t="n">
        <v>1</v>
      </c>
      <c r="K457" s="6" t="n"/>
      <c r="P457">
        <f>MAX(P458)</f>
        <v/>
      </c>
      <c r="S457">
        <f>S458</f>
        <v/>
      </c>
      <c r="T457">
        <f>(E457/100000+F457/100+(P457/1000)*J457/5+S457/200)*200*I457*H457</f>
        <v/>
      </c>
      <c r="U457">
        <f>((E457*F457/25000)+((P457/1000)*J457*S457/2.5))*I457*H457</f>
        <v/>
      </c>
      <c r="V457">
        <f>(E457*F457*(P457/1000)*J457*S457*I457*H457)/12500000</f>
        <v/>
      </c>
      <c r="W457">
        <f>(T457+U457+V457)/3</f>
        <v/>
      </c>
      <c r="X457" s="6" t="n">
        <v>300</v>
      </c>
      <c r="Y457">
        <f>IFERROR(W457-X457,"")</f>
        <v/>
      </c>
      <c r="Z457">
        <f>IFERROR(ABS(Y457)/MAX(X457,1),"")</f>
        <v/>
      </c>
      <c r="AA457">
        <f>IFERROR((X457-(((E457/100000+F457/100+S457/200)*200*I457*H457)+((E457*F457/25000)*I457*H457))/3)/(((J457/5)*200*I457*H457)+((J457*S457/2.5)*I457*H457)+((E457*F457*J457*S457*I457*H457)/12500000))/3*1000,"")</f>
        <v/>
      </c>
    </row>
    <row r="458">
      <c r="B458" s="7" t="inlineStr">
        <is>
          <t xml:space="preserve">  ↳ D2K_Rocket_Trooper</t>
        </is>
      </c>
      <c r="C458" s="7" t="inlineStr">
        <is>
          <t>Armament</t>
        </is>
      </c>
      <c r="L458" s="6" t="n">
        <v>8000</v>
      </c>
      <c r="M458" s="6" t="n">
        <v>64</v>
      </c>
      <c r="N458" s="6" t="n">
        <v>1</v>
      </c>
      <c r="O458" s="6" t="n"/>
      <c r="P458" s="6" t="n">
        <v>6185</v>
      </c>
      <c r="Q458" s="6" t="n">
        <v>0.875</v>
      </c>
      <c r="R458">
        <f>M458+IF(N458&gt;1,N(O458)*(N458-1),0)</f>
        <v/>
      </c>
      <c r="S458">
        <f>IFERROR(L458*MAX(N458,1)/R458*Q458*IF(ISBLANK(K457),1,K457),0)</f>
        <v/>
      </c>
      <c r="AB458" s="7" t="inlineStr">
        <is>
          <t>^LightMissile, ^MediumMissile, ^D2KRocket</t>
        </is>
      </c>
    </row>
    <row r="459">
      <c r="B459" s="7" t="inlineStr">
        <is>
          <t xml:space="preserve">  ↳ D2K_Rocket_Trooper</t>
        </is>
      </c>
      <c r="C459" s="7" t="inlineStr">
        <is>
          <t>Armament@garrisoned</t>
        </is>
      </c>
      <c r="L459" s="6" t="n">
        <v>8000</v>
      </c>
      <c r="M459" s="6" t="n">
        <v>64</v>
      </c>
      <c r="N459" s="6" t="n">
        <v>1</v>
      </c>
      <c r="O459" s="6" t="n"/>
      <c r="P459" s="6" t="n">
        <v>6185</v>
      </c>
      <c r="Q459" s="6" t="n">
        <v>0.875</v>
      </c>
      <c r="R459">
        <f>M459+IF(N459&gt;1,N(O459)*(N459-1),0)</f>
        <v/>
      </c>
      <c r="S459">
        <f>IFERROR(L459*MAX(N459,1)/R459*Q459*IF(ISBLANK(K457),1,K457),0)</f>
        <v/>
      </c>
      <c r="AB459" s="7" t="inlineStr">
        <is>
          <t>^LightMissile, ^MediumMissile, ^D2KRocket</t>
        </is>
      </c>
    </row>
    <row r="460">
      <c r="A460" t="inlineStr">
        <is>
          <t>d2k</t>
        </is>
      </c>
      <c r="B460" t="inlineStr">
        <is>
          <t>ixian_rockettrooper</t>
        </is>
      </c>
      <c r="C460" t="inlineStr">
        <is>
          <t>Ixian Rocket Trooper</t>
        </is>
      </c>
      <c r="D460" s="6" t="inlineStr">
        <is>
          <t>AntiTankAntiAirInfantry</t>
        </is>
      </c>
      <c r="E460" s="6" t="n">
        <v>12000</v>
      </c>
      <c r="F460" s="6" t="n">
        <v>48</v>
      </c>
      <c r="G460" t="inlineStr">
        <is>
          <t>Flak</t>
        </is>
      </c>
      <c r="H460" s="6" t="n">
        <v>1</v>
      </c>
      <c r="I460" s="6" t="n">
        <v>1</v>
      </c>
      <c r="J460" s="6" t="n">
        <v>1</v>
      </c>
      <c r="K460" s="6" t="n"/>
      <c r="P460">
        <f>MAX(P461)</f>
        <v/>
      </c>
      <c r="S460">
        <f>S461</f>
        <v/>
      </c>
      <c r="T460">
        <f>(E460/100000+F460/100+(P460/1000)*J460/5+S460/200)*200*I460*H460</f>
        <v/>
      </c>
      <c r="U460">
        <f>((E460*F460/25000)+((P460/1000)*J460*S460/2.5))*I460*H460</f>
        <v/>
      </c>
      <c r="V460">
        <f>(E460*F460*(P460/1000)*J460*S460*I460*H460)/12500000</f>
        <v/>
      </c>
      <c r="W460">
        <f>(T460+U460+V460)/3</f>
        <v/>
      </c>
      <c r="X460" s="6" t="n">
        <v>300</v>
      </c>
      <c r="Y460">
        <f>IFERROR(W460-X460,"")</f>
        <v/>
      </c>
      <c r="Z460">
        <f>IFERROR(ABS(Y460)/MAX(X460,1),"")</f>
        <v/>
      </c>
      <c r="AA460">
        <f>IFERROR((X460-(((E460/100000+F460/100+S460/200)*200*I460*H460)+((E460*F460/25000)*I460*H460))/3)/(((J460/5)*200*I460*H460)+((J460*S460/2.5)*I460*H460)+((E460*F460*J460*S460*I460*H460)/12500000))/3*1000,"")</f>
        <v/>
      </c>
    </row>
    <row r="461">
      <c r="B461" s="7" t="inlineStr">
        <is>
          <t xml:space="preserve">  ↳ D2K_Rocket_Trooper</t>
        </is>
      </c>
      <c r="C461" s="7" t="inlineStr">
        <is>
          <t>Armament</t>
        </is>
      </c>
      <c r="L461" s="6" t="n">
        <v>8000</v>
      </c>
      <c r="M461" s="6" t="n">
        <v>64</v>
      </c>
      <c r="N461" s="6" t="n">
        <v>1</v>
      </c>
      <c r="O461" s="6" t="n"/>
      <c r="P461" s="6" t="n">
        <v>6185</v>
      </c>
      <c r="Q461" s="6" t="n">
        <v>0.875</v>
      </c>
      <c r="R461">
        <f>M461+IF(N461&gt;1,N(O461)*(N461-1),0)</f>
        <v/>
      </c>
      <c r="S461">
        <f>IFERROR(L461*MAX(N461,1)/R461*Q461*IF(ISBLANK(K460),1,K460),0)</f>
        <v/>
      </c>
      <c r="AB461" s="7" t="inlineStr">
        <is>
          <t>^LightMissile, ^MediumMissile, ^D2KRocket</t>
        </is>
      </c>
    </row>
    <row r="462">
      <c r="B462" s="7" t="inlineStr">
        <is>
          <t xml:space="preserve">  ↳ D2K_Rocket_Trooper</t>
        </is>
      </c>
      <c r="C462" s="7" t="inlineStr">
        <is>
          <t>Armament@garrisoned</t>
        </is>
      </c>
      <c r="L462" s="6" t="n">
        <v>8000</v>
      </c>
      <c r="M462" s="6" t="n">
        <v>64</v>
      </c>
      <c r="N462" s="6" t="n">
        <v>1</v>
      </c>
      <c r="O462" s="6" t="n"/>
      <c r="P462" s="6" t="n">
        <v>6185</v>
      </c>
      <c r="Q462" s="6" t="n">
        <v>0.875</v>
      </c>
      <c r="R462">
        <f>M462+IF(N462&gt;1,N(O462)*(N462-1),0)</f>
        <v/>
      </c>
      <c r="S462">
        <f>IFERROR(L462*MAX(N462,1)/R462*Q462*IF(ISBLANK(K460),1,K460),0)</f>
        <v/>
      </c>
      <c r="AB462" s="7" t="inlineStr">
        <is>
          <t>^LightMissile, ^MediumMissile, ^D2KRocket</t>
        </is>
      </c>
    </row>
    <row r="463">
      <c r="A463" t="inlineStr">
        <is>
          <t>d2k</t>
        </is>
      </c>
      <c r="B463" t="inlineStr">
        <is>
          <t>ixian_twinrockettrooper</t>
        </is>
      </c>
      <c r="C463" t="inlineStr">
        <is>
          <t>Twin Rocket Trooper</t>
        </is>
      </c>
      <c r="D463" s="6" t="inlineStr">
        <is>
          <t>AntiTankAntiAirInfantry</t>
        </is>
      </c>
      <c r="E463" s="6" t="n">
        <v>24000</v>
      </c>
      <c r="F463" s="6" t="n">
        <v>48</v>
      </c>
      <c r="G463" t="inlineStr">
        <is>
          <t>Flak</t>
        </is>
      </c>
      <c r="H463" s="6" t="n">
        <v>1</v>
      </c>
      <c r="I463" s="6" t="n">
        <v>0.5</v>
      </c>
      <c r="J463" s="6" t="n">
        <v>1</v>
      </c>
      <c r="K463" s="6" t="n"/>
      <c r="P463">
        <f>MAX(P464,P465)</f>
        <v/>
      </c>
      <c r="S463">
        <f>S464+S465</f>
        <v/>
      </c>
      <c r="T463">
        <f>(E463/100000+F463/100+(P463/1000)*J463/5+S463/200)*200*I463*H463</f>
        <v/>
      </c>
      <c r="U463">
        <f>((E463*F463/25000)+((P463/1000)*J463*S463/2.5))*I463*H463</f>
        <v/>
      </c>
      <c r="V463">
        <f>(E463*F463*(P463/1000)*J463*S463*I463*H463)/12500000</f>
        <v/>
      </c>
      <c r="W463">
        <f>(T463+U463+V463)/3</f>
        <v/>
      </c>
      <c r="X463" s="6" t="n">
        <v>600</v>
      </c>
      <c r="Y463">
        <f>IFERROR(W463-X463,"")</f>
        <v/>
      </c>
      <c r="Z463">
        <f>IFERROR(ABS(Y463)/MAX(X463,1),"")</f>
        <v/>
      </c>
      <c r="AA463">
        <f>IFERROR((X463-(((E463/100000+F463/100+S463/200)*200*I463*H463)+((E463*F463/25000)*I463*H463))/3)/(((J463/5)*200*I463*H463)+((J463*S463/2.5)*I463*H463)+((E463*F463*J463*S463*I463*H463)/12500000))/3*1000,"")</f>
        <v/>
      </c>
    </row>
    <row r="464">
      <c r="B464" s="7" t="inlineStr">
        <is>
          <t xml:space="preserve">  ↳ D2K_Rocket_Trooper1</t>
        </is>
      </c>
      <c r="C464" s="7" t="inlineStr">
        <is>
          <t>Armament</t>
        </is>
      </c>
      <c r="L464" s="6" t="n">
        <v>8000</v>
      </c>
      <c r="M464" s="6" t="n">
        <v>64</v>
      </c>
      <c r="N464" s="6" t="n">
        <v>1</v>
      </c>
      <c r="O464" s="6" t="n"/>
      <c r="P464" s="6" t="n">
        <v>6502</v>
      </c>
      <c r="Q464" s="6" t="n">
        <v>0.875</v>
      </c>
      <c r="R464">
        <f>M464+IF(N464&gt;1,N(O464)*(N464-1),0)</f>
        <v/>
      </c>
      <c r="S464">
        <f>IFERROR(L464*MAX(N464,1)/R464*Q464*IF(ISBLANK(K463),1,K463),0)</f>
        <v/>
      </c>
      <c r="AB464" s="7" t="inlineStr">
        <is>
          <t>^LightMissile, ^FlakWeapon, ^D2KRocket</t>
        </is>
      </c>
    </row>
    <row r="465">
      <c r="B465" s="7" t="inlineStr">
        <is>
          <t xml:space="preserve">  ↳ D2K_Rocket_Trooper2</t>
        </is>
      </c>
      <c r="C465" s="7" t="inlineStr">
        <is>
          <t>Armament@SECONDARY</t>
        </is>
      </c>
      <c r="L465" s="6" t="n">
        <v>8000</v>
      </c>
      <c r="M465" s="6" t="n">
        <v>64</v>
      </c>
      <c r="N465" s="6" t="n">
        <v>1</v>
      </c>
      <c r="O465" s="6" t="n"/>
      <c r="P465" s="6" t="n">
        <v>6502</v>
      </c>
      <c r="Q465" s="6" t="n">
        <v>1.125</v>
      </c>
      <c r="R465">
        <f>M465+IF(N465&gt;1,N(O465)*(N465-1),0)</f>
        <v/>
      </c>
      <c r="S465">
        <f>IFERROR(L465*MAX(N465,1)/R465*Q465*IF(ISBLANK(K463),1,K463),0)</f>
        <v/>
      </c>
      <c r="AB465" s="7" t="inlineStr">
        <is>
          <t>^Grenade, ^RailgunWeapon, ^D2K_Cannon</t>
        </is>
      </c>
    </row>
    <row r="466">
      <c r="B466" s="7" t="inlineStr">
        <is>
          <t xml:space="preserve">  ↳ D2K_Rocket_Trooper1</t>
        </is>
      </c>
      <c r="C466" s="7" t="inlineStr">
        <is>
          <t>Armament@garrisoned</t>
        </is>
      </c>
      <c r="L466" s="6" t="n">
        <v>8000</v>
      </c>
      <c r="M466" s="6" t="n">
        <v>64</v>
      </c>
      <c r="N466" s="6" t="n">
        <v>1</v>
      </c>
      <c r="O466" s="6" t="n"/>
      <c r="P466" s="6" t="n">
        <v>6502</v>
      </c>
      <c r="Q466" s="6" t="n">
        <v>0.875</v>
      </c>
      <c r="R466">
        <f>M466+IF(N466&gt;1,N(O466)*(N466-1),0)</f>
        <v/>
      </c>
      <c r="S466">
        <f>IFERROR(L466*MAX(N466,1)/R466*Q466*IF(ISBLANK(K463),1,K463),0)</f>
        <v/>
      </c>
      <c r="AB466" s="7" t="inlineStr">
        <is>
          <t>^LightMissile, ^FlakWeapon, ^D2KRocket</t>
        </is>
      </c>
    </row>
    <row r="467">
      <c r="B467" s="7" t="inlineStr">
        <is>
          <t xml:space="preserve">  ↳ D2K_Rocket_Trooper2</t>
        </is>
      </c>
      <c r="C467" s="7" t="inlineStr">
        <is>
          <t>Armament@SECONDARYgarrisoned</t>
        </is>
      </c>
      <c r="L467" s="6" t="n">
        <v>8000</v>
      </c>
      <c r="M467" s="6" t="n">
        <v>64</v>
      </c>
      <c r="N467" s="6" t="n">
        <v>1</v>
      </c>
      <c r="O467" s="6" t="n"/>
      <c r="P467" s="6" t="n">
        <v>6502</v>
      </c>
      <c r="Q467" s="6" t="n">
        <v>1.125</v>
      </c>
      <c r="R467">
        <f>M467+IF(N467&gt;1,N(O467)*(N467-1),0)</f>
        <v/>
      </c>
      <c r="S467">
        <f>IFERROR(L467*MAX(N467,1)/R467*Q467*IF(ISBLANK(K463),1,K463),0)</f>
        <v/>
      </c>
      <c r="AB467" s="7" t="inlineStr">
        <is>
          <t>^Grenade, ^RailgunWeapon, ^D2K_Cannon</t>
        </is>
      </c>
    </row>
    <row r="468">
      <c r="A468" t="inlineStr">
        <is>
          <t>starcraft</t>
        </is>
      </c>
      <c r="B468" t="inlineStr">
        <is>
          <t>protoss_hightemplar</t>
        </is>
      </c>
      <c r="C468" t="inlineStr">
        <is>
          <t>High Templar</t>
        </is>
      </c>
      <c r="D468" s="6" t="inlineStr">
        <is>
          <t>AntiTankAntiAirInfantry</t>
        </is>
      </c>
      <c r="E468" s="6" t="n">
        <v>35000</v>
      </c>
      <c r="F468" s="6" t="n">
        <v>70</v>
      </c>
      <c r="G468" t="inlineStr">
        <is>
          <t>Flak</t>
        </is>
      </c>
      <c r="H468" s="6" t="n">
        <v>0.75</v>
      </c>
      <c r="I468" s="6" t="n">
        <v>0.5</v>
      </c>
      <c r="J468" s="6" t="n">
        <v>1.25</v>
      </c>
      <c r="K468" s="6" t="n"/>
      <c r="P468">
        <f>MAX(P469,P470,P471,P472,P473,P474,P475,P476,P477)</f>
        <v/>
      </c>
      <c r="S468">
        <f>S469+S470+S471+S472+S473+S474+S475+S476+S477</f>
        <v/>
      </c>
      <c r="T468">
        <f>(E468/100000+F468/100+(P468/1000)*J468/5+S468/200)*200*I468*H468</f>
        <v/>
      </c>
      <c r="U468">
        <f>((E468*F468/25000)+((P468/1000)*J468*S468/2.5))*I468*H468</f>
        <v/>
      </c>
      <c r="V468">
        <f>(E468*F468*(P468/1000)*J468*S468*I468*H468)/12500000</f>
        <v/>
      </c>
      <c r="W468">
        <f>(T468+U468+V468)/3</f>
        <v/>
      </c>
      <c r="X468" s="6" t="n">
        <v>800</v>
      </c>
      <c r="Y468">
        <f>IFERROR(W468-X468,"")</f>
        <v/>
      </c>
      <c r="Z468">
        <f>IFERROR(ABS(Y468)/MAX(X468,1),"")</f>
        <v/>
      </c>
      <c r="AA468">
        <f>IFERROR((X468-(((E468/100000+F468/100+S468/200)*200*I468*H468)+((E468*F468/25000)*I468*H468))/3)/(((J468/5)*200*I468*H468)+((J468*S468/2.5)*I468*H468)+((E468*F468*J468*S468*I468*H468)/12500000))/3*1000,"")</f>
        <v/>
      </c>
    </row>
    <row r="469">
      <c r="B469" s="7" t="inlineStr">
        <is>
          <t xml:space="preserve">  ↳ PsiStormCosmetic</t>
        </is>
      </c>
      <c r="C469" s="7" t="inlineStr">
        <is>
          <t>Armament@Effect</t>
        </is>
      </c>
      <c r="L469" s="6" t="n"/>
      <c r="M469" s="6" t="n">
        <v>64</v>
      </c>
      <c r="N469" s="6" t="n">
        <v>1</v>
      </c>
      <c r="O469" s="6" t="n"/>
      <c r="P469" s="6" t="n">
        <v>6400</v>
      </c>
      <c r="Q469" s="6" t="n">
        <v>1</v>
      </c>
      <c r="R469">
        <f>M469+IF(N469&gt;1,N(O469)*(N469-1),0)</f>
        <v/>
      </c>
      <c r="S469">
        <f>IFERROR(L469*MAX(N469,1)/R469*Q469*IF(ISBLANK(K468),1,K468),0)</f>
        <v/>
      </c>
      <c r="AB469" s="7" t="inlineStr"/>
    </row>
    <row r="470">
      <c r="B470" s="7" t="inlineStr">
        <is>
          <t xml:space="preserve">  ↳ PsiStorm</t>
        </is>
      </c>
      <c r="C470" s="7" t="inlineStr">
        <is>
          <t>Armament@1</t>
        </is>
      </c>
      <c r="L470" s="6" t="n">
        <v>8000</v>
      </c>
      <c r="M470" s="6" t="n">
        <v>64</v>
      </c>
      <c r="N470" s="6" t="n">
        <v>1</v>
      </c>
      <c r="O470" s="6" t="n"/>
      <c r="P470" s="6" t="n">
        <v>6400</v>
      </c>
      <c r="Q470" s="6" t="n">
        <v>1</v>
      </c>
      <c r="R470">
        <f>M470+IF(N470&gt;1,N(O470)*(N470-1),0)</f>
        <v/>
      </c>
      <c r="S470">
        <f>IFERROR(L470*MAX(N470,1)/R470*Q470*IF(ISBLANK(K468),1,K468),0)</f>
        <v/>
      </c>
      <c r="AB470" s="7" t="inlineStr">
        <is>
          <t>^TeslaWeapon</t>
        </is>
      </c>
    </row>
    <row r="471">
      <c r="B471" s="7" t="inlineStr">
        <is>
          <t xml:space="preserve">  ↳ PsiStorm</t>
        </is>
      </c>
      <c r="C471" s="7" t="inlineStr">
        <is>
          <t>Armament@2</t>
        </is>
      </c>
      <c r="L471" s="6" t="n">
        <v>8000</v>
      </c>
      <c r="M471" s="6" t="n">
        <v>64</v>
      </c>
      <c r="N471" s="6" t="n">
        <v>1</v>
      </c>
      <c r="O471" s="6" t="n"/>
      <c r="P471" s="6" t="n">
        <v>6400</v>
      </c>
      <c r="Q471" s="6" t="n">
        <v>1</v>
      </c>
      <c r="R471">
        <f>M471+IF(N471&gt;1,N(O471)*(N471-1),0)</f>
        <v/>
      </c>
      <c r="S471">
        <f>IFERROR(L471*MAX(N471,1)/R471*Q471*IF(ISBLANK(K468),1,K468),0)</f>
        <v/>
      </c>
      <c r="AB471" s="7" t="inlineStr">
        <is>
          <t>^TeslaWeapon</t>
        </is>
      </c>
    </row>
    <row r="472">
      <c r="B472" s="7" t="inlineStr">
        <is>
          <t xml:space="preserve">  ↳ PsiStorm</t>
        </is>
      </c>
      <c r="C472" s="7" t="inlineStr">
        <is>
          <t>Armament@3</t>
        </is>
      </c>
      <c r="L472" s="6" t="n">
        <v>8000</v>
      </c>
      <c r="M472" s="6" t="n">
        <v>64</v>
      </c>
      <c r="N472" s="6" t="n">
        <v>1</v>
      </c>
      <c r="O472" s="6" t="n"/>
      <c r="P472" s="6" t="n">
        <v>6400</v>
      </c>
      <c r="Q472" s="6" t="n">
        <v>1</v>
      </c>
      <c r="R472">
        <f>M472+IF(N472&gt;1,N(O472)*(N472-1),0)</f>
        <v/>
      </c>
      <c r="S472">
        <f>IFERROR(L472*MAX(N472,1)/R472*Q472*IF(ISBLANK(K468),1,K468),0)</f>
        <v/>
      </c>
      <c r="AB472" s="7" t="inlineStr">
        <is>
          <t>^TeslaWeapon</t>
        </is>
      </c>
    </row>
    <row r="473">
      <c r="B473" s="7" t="inlineStr">
        <is>
          <t xml:space="preserve">  ↳ PsiStorm</t>
        </is>
      </c>
      <c r="C473" s="7" t="inlineStr">
        <is>
          <t>Armament@4</t>
        </is>
      </c>
      <c r="L473" s="6" t="n">
        <v>8000</v>
      </c>
      <c r="M473" s="6" t="n">
        <v>64</v>
      </c>
      <c r="N473" s="6" t="n">
        <v>1</v>
      </c>
      <c r="O473" s="6" t="n"/>
      <c r="P473" s="6" t="n">
        <v>6400</v>
      </c>
      <c r="Q473" s="6" t="n">
        <v>1</v>
      </c>
      <c r="R473">
        <f>M473+IF(N473&gt;1,N(O473)*(N473-1),0)</f>
        <v/>
      </c>
      <c r="S473">
        <f>IFERROR(L473*MAX(N473,1)/R473*Q473*IF(ISBLANK(K468),1,K468),0)</f>
        <v/>
      </c>
      <c r="AB473" s="7" t="inlineStr">
        <is>
          <t>^TeslaWeapon</t>
        </is>
      </c>
    </row>
    <row r="474">
      <c r="B474" s="7" t="inlineStr">
        <is>
          <t xml:space="preserve">  ↳ PsiStorm</t>
        </is>
      </c>
      <c r="C474" s="7" t="inlineStr">
        <is>
          <t>Armament@5</t>
        </is>
      </c>
      <c r="L474" s="6" t="n">
        <v>8000</v>
      </c>
      <c r="M474" s="6" t="n">
        <v>64</v>
      </c>
      <c r="N474" s="6" t="n">
        <v>1</v>
      </c>
      <c r="O474" s="6" t="n"/>
      <c r="P474" s="6" t="n">
        <v>6400</v>
      </c>
      <c r="Q474" s="6" t="n">
        <v>1</v>
      </c>
      <c r="R474">
        <f>M474+IF(N474&gt;1,N(O474)*(N474-1),0)</f>
        <v/>
      </c>
      <c r="S474">
        <f>IFERROR(L474*MAX(N474,1)/R474*Q474*IF(ISBLANK(K468),1,K468),0)</f>
        <v/>
      </c>
      <c r="AB474" s="7" t="inlineStr">
        <is>
          <t>^TeslaWeapon</t>
        </is>
      </c>
    </row>
    <row r="475">
      <c r="B475" s="7" t="inlineStr">
        <is>
          <t xml:space="preserve">  ↳ PsiStorm</t>
        </is>
      </c>
      <c r="C475" s="7" t="inlineStr">
        <is>
          <t>Armament@6</t>
        </is>
      </c>
      <c r="L475" s="6" t="n">
        <v>8000</v>
      </c>
      <c r="M475" s="6" t="n">
        <v>64</v>
      </c>
      <c r="N475" s="6" t="n">
        <v>1</v>
      </c>
      <c r="O475" s="6" t="n"/>
      <c r="P475" s="6" t="n">
        <v>6400</v>
      </c>
      <c r="Q475" s="6" t="n">
        <v>1</v>
      </c>
      <c r="R475">
        <f>M475+IF(N475&gt;1,N(O475)*(N475-1),0)</f>
        <v/>
      </c>
      <c r="S475">
        <f>IFERROR(L475*MAX(N475,1)/R475*Q475*IF(ISBLANK(K468),1,K468),0)</f>
        <v/>
      </c>
      <c r="AB475" s="7" t="inlineStr">
        <is>
          <t>^TeslaWeapon</t>
        </is>
      </c>
    </row>
    <row r="476">
      <c r="B476" s="7" t="inlineStr">
        <is>
          <t xml:space="preserve">  ↳ PsiStorm</t>
        </is>
      </c>
      <c r="C476" s="7" t="inlineStr">
        <is>
          <t>Armament@7</t>
        </is>
      </c>
      <c r="L476" s="6" t="n">
        <v>8000</v>
      </c>
      <c r="M476" s="6" t="n">
        <v>64</v>
      </c>
      <c r="N476" s="6" t="n">
        <v>1</v>
      </c>
      <c r="O476" s="6" t="n"/>
      <c r="P476" s="6" t="n">
        <v>6400</v>
      </c>
      <c r="Q476" s="6" t="n">
        <v>1</v>
      </c>
      <c r="R476">
        <f>M476+IF(N476&gt;1,N(O476)*(N476-1),0)</f>
        <v/>
      </c>
      <c r="S476">
        <f>IFERROR(L476*MAX(N476,1)/R476*Q476*IF(ISBLANK(K468),1,K468),0)</f>
        <v/>
      </c>
      <c r="AB476" s="7" t="inlineStr">
        <is>
          <t>^TeslaWeapon</t>
        </is>
      </c>
    </row>
    <row r="477">
      <c r="B477" s="7" t="inlineStr">
        <is>
          <t xml:space="preserve">  ↳ PsiStorm</t>
        </is>
      </c>
      <c r="C477" s="7" t="inlineStr">
        <is>
          <t>Armament@8</t>
        </is>
      </c>
      <c r="L477" s="6" t="n">
        <v>8000</v>
      </c>
      <c r="M477" s="6" t="n">
        <v>64</v>
      </c>
      <c r="N477" s="6" t="n">
        <v>1</v>
      </c>
      <c r="O477" s="6" t="n"/>
      <c r="P477" s="6" t="n">
        <v>6400</v>
      </c>
      <c r="Q477" s="6" t="n">
        <v>1</v>
      </c>
      <c r="R477">
        <f>M477+IF(N477&gt;1,N(O477)*(N477-1),0)</f>
        <v/>
      </c>
      <c r="S477">
        <f>IFERROR(L477*MAX(N477,1)/R477*Q477*IF(ISBLANK(K468),1,K468),0)</f>
        <v/>
      </c>
      <c r="AB477" s="7" t="inlineStr">
        <is>
          <t>^TeslaWeapon</t>
        </is>
      </c>
    </row>
    <row r="478">
      <c r="A478" t="inlineStr">
        <is>
          <t>starcraft</t>
        </is>
      </c>
      <c r="B478" t="inlineStr">
        <is>
          <t>zerg_hydralisk</t>
        </is>
      </c>
      <c r="C478" t="inlineStr">
        <is>
          <t>Hydralisk</t>
        </is>
      </c>
      <c r="D478" s="6" t="inlineStr">
        <is>
          <t>AntiTankAntiAirInfantry</t>
        </is>
      </c>
      <c r="E478" s="6" t="n">
        <v>80000</v>
      </c>
      <c r="F478" s="6" t="n">
        <v>75</v>
      </c>
      <c r="G478" t="inlineStr">
        <is>
          <t>Flak</t>
        </is>
      </c>
      <c r="H478" s="6" t="n">
        <v>1</v>
      </c>
      <c r="I478" s="6" t="n">
        <v>0.5</v>
      </c>
      <c r="J478" s="6" t="n">
        <v>1</v>
      </c>
      <c r="K478" s="6" t="n"/>
      <c r="P478">
        <f>MAX(P479)</f>
        <v/>
      </c>
      <c r="S478">
        <f>S479</f>
        <v/>
      </c>
      <c r="T478">
        <f>(E478/100000+F478/100+(P478/1000)*J478/5+S478/200)*200*I478*H478</f>
        <v/>
      </c>
      <c r="U478">
        <f>((E478*F478/25000)+((P478/1000)*J478*S478/2.5))*I478*H478</f>
        <v/>
      </c>
      <c r="V478">
        <f>(E478*F478*(P478/1000)*J478*S478*I478*H478)/12500000</f>
        <v/>
      </c>
      <c r="W478">
        <f>(T478+U478+V478)/3</f>
        <v/>
      </c>
      <c r="X478" s="6" t="n">
        <v>500</v>
      </c>
      <c r="Y478">
        <f>IFERROR(W478-X478,"")</f>
        <v/>
      </c>
      <c r="Z478">
        <f>IFERROR(ABS(Y478)/MAX(X478,1),"")</f>
        <v/>
      </c>
      <c r="AA478">
        <f>IFERROR((X478-(((E478/100000+F478/100+S478/200)*200*I478*H478)+((E478*F478/25000)*I478*H478))/3)/(((J478/5)*200*I478*H478)+((J478*S478/2.5)*I478*H478)+((E478*F478*J478*S478*I478*H478)/12500000))/3*1000,"")</f>
        <v/>
      </c>
    </row>
    <row r="479">
      <c r="B479" s="7" t="inlineStr">
        <is>
          <t xml:space="preserve">  ↳ HydraSpit</t>
        </is>
      </c>
      <c r="C479" s="7" t="inlineStr">
        <is>
          <t>Armament@PRIMARY</t>
        </is>
      </c>
      <c r="L479" s="6" t="n">
        <v>2000</v>
      </c>
      <c r="M479" s="6" t="n">
        <v>15</v>
      </c>
      <c r="N479" s="6" t="n">
        <v>1</v>
      </c>
      <c r="O479" s="6" t="n"/>
      <c r="P479" s="6" t="n">
        <v>5230</v>
      </c>
      <c r="Q479" s="6" t="n">
        <v>0.75</v>
      </c>
      <c r="R479">
        <f>M479+IF(N479&gt;1,N(O479)*(N479-1),0)</f>
        <v/>
      </c>
      <c r="S479">
        <f>IFERROR(L479*MAX(N479,1)/R479*Q479*IF(ISBLANK(K478),1,K478),0)</f>
        <v/>
      </c>
      <c r="AB479" s="7" t="inlineStr">
        <is>
          <t>^LightChemicalWeapon, ^LightMissile, ^SmallArms, ^ArrowWeapon</t>
        </is>
      </c>
    </row>
    <row r="480">
      <c r="B480" s="7" t="inlineStr">
        <is>
          <t xml:space="preserve">  ↳ HydraSpit</t>
        </is>
      </c>
      <c r="C480" s="7" t="inlineStr">
        <is>
          <t>Armament@GARRISONED</t>
        </is>
      </c>
      <c r="L480" s="6" t="n">
        <v>2000</v>
      </c>
      <c r="M480" s="6" t="n">
        <v>15</v>
      </c>
      <c r="N480" s="6" t="n">
        <v>1</v>
      </c>
      <c r="O480" s="6" t="n"/>
      <c r="P480" s="6" t="n">
        <v>5230</v>
      </c>
      <c r="Q480" s="6" t="n">
        <v>0.75</v>
      </c>
      <c r="R480">
        <f>M480+IF(N480&gt;1,N(O480)*(N480-1),0)</f>
        <v/>
      </c>
      <c r="S480">
        <f>IFERROR(L480*MAX(N480,1)/R480*Q480*IF(ISBLANK(K478),1,K478),0)</f>
        <v/>
      </c>
      <c r="AB480" s="7" t="inlineStr">
        <is>
          <t>^LightChemicalWeapon, ^LightMissile, ^SmallArms, ^ArrowWeapon</t>
        </is>
      </c>
    </row>
    <row r="481">
      <c r="A481" t="inlineStr">
        <is>
          <t>starcraft</t>
        </is>
      </c>
      <c r="B481" t="inlineStr">
        <is>
          <t>terran_madcap</t>
        </is>
      </c>
      <c r="C481" t="inlineStr">
        <is>
          <t>Madcap</t>
        </is>
      </c>
      <c r="D481" s="6" t="inlineStr">
        <is>
          <t>AntiTankAntiAirInfantry</t>
        </is>
      </c>
      <c r="E481" s="6" t="n">
        <v>60000</v>
      </c>
      <c r="F481" s="6" t="n">
        <v>60</v>
      </c>
      <c r="G481" t="inlineStr">
        <is>
          <t>Flak</t>
        </is>
      </c>
      <c r="H481" s="6" t="n">
        <v>1</v>
      </c>
      <c r="I481" s="6" t="n">
        <v>0.5</v>
      </c>
      <c r="J481" s="6" t="n">
        <v>1.25</v>
      </c>
      <c r="K481" s="6" t="n"/>
      <c r="P481">
        <f>MAX(P482)</f>
        <v/>
      </c>
      <c r="S481">
        <f>S482</f>
        <v/>
      </c>
      <c r="T481">
        <f>(E481/100000+F481/100+(P481/1000)*J481/5+S481/200)*200*I481*H481</f>
        <v/>
      </c>
      <c r="U481">
        <f>((E481*F481/25000)+((P481/1000)*J481*S481/2.5))*I481*H481</f>
        <v/>
      </c>
      <c r="V481">
        <f>(E481*F481*(P481/1000)*J481*S481*I481*H481)/12500000</f>
        <v/>
      </c>
      <c r="W481">
        <f>(T481+U481+V481)/3</f>
        <v/>
      </c>
      <c r="X481" s="6" t="n">
        <v>300</v>
      </c>
      <c r="Y481">
        <f>IFERROR(W481-X481,"")</f>
        <v/>
      </c>
      <c r="Z481">
        <f>IFERROR(ABS(Y481)/MAX(X481,1),"")</f>
        <v/>
      </c>
      <c r="AA481">
        <f>IFERROR((X481-(((E481/100000+F481/100+S481/200)*200*I481*H481)+((E481*F481/25000)*I481*H481))/3)/(((J481/5)*200*I481*H481)+((J481*S481/2.5)*I481*H481)+((E481*F481*J481*S481*I481*H481)/12500000))/3*1000,"")</f>
        <v/>
      </c>
    </row>
    <row r="482">
      <c r="B482" s="7" t="inlineStr">
        <is>
          <t xml:space="preserve">  ↳ MadcapGun</t>
        </is>
      </c>
      <c r="C482" s="7" t="inlineStr">
        <is>
          <t>Armament@PRIMARY</t>
        </is>
      </c>
      <c r="L482" s="6" t="n">
        <v>2000</v>
      </c>
      <c r="M482" s="6" t="n">
        <v>25</v>
      </c>
      <c r="N482" s="6" t="n">
        <v>1</v>
      </c>
      <c r="O482" s="6" t="n"/>
      <c r="P482" s="6" t="n">
        <v>4587</v>
      </c>
      <c r="Q482" s="6" t="n">
        <v>1</v>
      </c>
      <c r="R482">
        <f>M482+IF(N482&gt;1,N(O482)*(N482-1),0)</f>
        <v/>
      </c>
      <c r="S482">
        <f>IFERROR(L482*MAX(N482,1)/R482*Q482*IF(ISBLANK(K481),1,K481),0)</f>
        <v/>
      </c>
      <c r="AB482" s="7" t="inlineStr">
        <is>
          <t>^HeavyCannon, ^SmallArms, ^Chaingun</t>
        </is>
      </c>
    </row>
    <row r="483">
      <c r="B483" s="7" t="inlineStr">
        <is>
          <t xml:space="preserve">  ↳ MadcapGun</t>
        </is>
      </c>
      <c r="C483" s="7" t="inlineStr">
        <is>
          <t>Armament@GARRISONED</t>
        </is>
      </c>
      <c r="L483" s="6" t="n">
        <v>2000</v>
      </c>
      <c r="M483" s="6" t="n">
        <v>25</v>
      </c>
      <c r="N483" s="6" t="n">
        <v>1</v>
      </c>
      <c r="O483" s="6" t="n"/>
      <c r="P483" s="6" t="n">
        <v>4587</v>
      </c>
      <c r="Q483" s="6" t="n">
        <v>1</v>
      </c>
      <c r="R483">
        <f>M483+IF(N483&gt;1,N(O483)*(N483-1),0)</f>
        <v/>
      </c>
      <c r="S483">
        <f>IFERROR(L483*MAX(N483,1)/R483*Q483*IF(ISBLANK(K481),1,K481),0)</f>
        <v/>
      </c>
      <c r="AB483" s="7" t="inlineStr">
        <is>
          <t>^HeavyCannon, ^SmallArms, ^Chaingun</t>
        </is>
      </c>
    </row>
    <row r="484">
      <c r="A484" t="inlineStr">
        <is>
          <t>starcraft</t>
        </is>
      </c>
      <c r="B484" t="inlineStr">
        <is>
          <t>terran_marine</t>
        </is>
      </c>
      <c r="C484" t="inlineStr">
        <is>
          <t>Marine</t>
        </is>
      </c>
      <c r="D484" s="6" t="inlineStr">
        <is>
          <t>AntiTankAntiAirInfantry</t>
        </is>
      </c>
      <c r="E484" s="6" t="n">
        <v>40000</v>
      </c>
      <c r="F484" s="6" t="n">
        <v>60</v>
      </c>
      <c r="G484" t="inlineStr">
        <is>
          <t>Flak</t>
        </is>
      </c>
      <c r="H484" s="6" t="n">
        <v>1</v>
      </c>
      <c r="I484" s="6" t="n">
        <v>1</v>
      </c>
      <c r="J484" s="6" t="n">
        <v>1</v>
      </c>
      <c r="K484" s="6" t="n">
        <v>0.33</v>
      </c>
      <c r="P484">
        <f>MAX(P485)</f>
        <v/>
      </c>
      <c r="S484">
        <f>S485</f>
        <v/>
      </c>
      <c r="T484">
        <f>(E484/100000+F484/100+(P484/1000)*J484/5+S484/200)*200*I484*H484</f>
        <v/>
      </c>
      <c r="U484">
        <f>((E484*F484/25000)+((P484/1000)*J484*S484/2.5))*I484*H484</f>
        <v/>
      </c>
      <c r="V484">
        <f>(E484*F484*(P484/1000)*J484*S484*I484*H484)/12500000</f>
        <v/>
      </c>
      <c r="W484">
        <f>(T484+U484+V484)/3</f>
        <v/>
      </c>
      <c r="X484" s="6" t="n">
        <v>200</v>
      </c>
      <c r="Y484">
        <f>IFERROR(W484-X484,"")</f>
        <v/>
      </c>
      <c r="Z484">
        <f>IFERROR(ABS(Y484)/MAX(X484,1),"")</f>
        <v/>
      </c>
      <c r="AA484">
        <f>IFERROR((X484-(((E484/100000+F484/100+S484/200)*200*I484*H484)+((E484*F484/25000)*I484*H484))/3)/(((J484/5)*200*I484*H484)+((J484*S484/2.5)*I484*H484)+((E484*F484*J484*S484*I484*H484)/12500000))/3*1000,"")</f>
        <v/>
      </c>
    </row>
    <row r="485">
      <c r="B485" s="7" t="inlineStr">
        <is>
          <t xml:space="preserve">  ↳ MarineMG</t>
        </is>
      </c>
      <c r="C485" s="7" t="inlineStr">
        <is>
          <t>Armament@PRIMARY</t>
        </is>
      </c>
      <c r="L485" s="6" t="n">
        <v>2000</v>
      </c>
      <c r="M485" s="6" t="n">
        <v>26</v>
      </c>
      <c r="N485" s="6" t="n">
        <v>3</v>
      </c>
      <c r="O485" s="6" t="n">
        <v>2</v>
      </c>
      <c r="P485" s="6" t="n">
        <v>4444</v>
      </c>
      <c r="Q485" s="6" t="n">
        <v>1</v>
      </c>
      <c r="R485">
        <f>M485+IF(N485&gt;1,N(O485)*(N485-1),0)</f>
        <v/>
      </c>
      <c r="S485">
        <f>IFERROR(L485*MAX(N485,1)/R485*Q485*IF(ISBLANK(K484),1,K484),0)</f>
        <v/>
      </c>
      <c r="AB485" s="7" t="inlineStr">
        <is>
          <t>^HeavyCannon, ^SmallArms, ^Chaingun</t>
        </is>
      </c>
    </row>
    <row r="486">
      <c r="B486" s="7" t="inlineStr">
        <is>
          <t xml:space="preserve">  ↳ MarineMG</t>
        </is>
      </c>
      <c r="C486" s="7" t="inlineStr">
        <is>
          <t>Armament@GARRISONED</t>
        </is>
      </c>
      <c r="L486" s="6" t="n">
        <v>2000</v>
      </c>
      <c r="M486" s="6" t="n">
        <v>26</v>
      </c>
      <c r="N486" s="6" t="n">
        <v>3</v>
      </c>
      <c r="O486" s="6" t="n">
        <v>2</v>
      </c>
      <c r="P486" s="6" t="n">
        <v>4444</v>
      </c>
      <c r="Q486" s="6" t="n">
        <v>1</v>
      </c>
      <c r="R486">
        <f>M486+IF(N486&gt;1,N(O486)*(N486-1),0)</f>
        <v/>
      </c>
      <c r="S486">
        <f>IFERROR(L486*MAX(N486,1)/R486*Q486*IF(ISBLANK(K484),1,K484),0)</f>
        <v/>
      </c>
      <c r="AB486" s="7" t="inlineStr">
        <is>
          <t>^HeavyCannon, ^SmallArms, ^Chaingun</t>
        </is>
      </c>
    </row>
    <row r="487">
      <c r="A487" t="inlineStr">
        <is>
          <t>warcraft2</t>
        </is>
      </c>
      <c r="B487" t="inlineStr">
        <is>
          <t>wc2_orcs_kodobeast</t>
        </is>
      </c>
      <c r="C487" t="inlineStr">
        <is>
          <t>Kodo Beast</t>
        </is>
      </c>
      <c r="D487" s="6" t="inlineStr">
        <is>
          <t>AntiTankAntiAirInfantry</t>
        </is>
      </c>
      <c r="E487" s="6" t="n">
        <v>125000</v>
      </c>
      <c r="F487" s="6" t="n">
        <v>60</v>
      </c>
      <c r="G487" t="inlineStr">
        <is>
          <t>Flak</t>
        </is>
      </c>
      <c r="H487" s="6" t="n">
        <v>1</v>
      </c>
      <c r="I487" s="6" t="n">
        <v>0.5</v>
      </c>
      <c r="J487" s="6" t="n">
        <v>1.25</v>
      </c>
      <c r="K487" s="6" t="n"/>
      <c r="P487">
        <f>MAX(P488)</f>
        <v/>
      </c>
      <c r="S487">
        <f>S488</f>
        <v/>
      </c>
      <c r="T487">
        <f>(E487/100000+F487/100+(P487/1000)*J487/5+S487/200)*200*I487*H487</f>
        <v/>
      </c>
      <c r="U487">
        <f>((E487*F487/25000)+((P487/1000)*J487*S487/2.5))*I487*H487</f>
        <v/>
      </c>
      <c r="V487">
        <f>(E487*F487*(P487/1000)*J487*S487*I487*H487)/12500000</f>
        <v/>
      </c>
      <c r="W487">
        <f>(T487+U487+V487)/3</f>
        <v/>
      </c>
      <c r="X487" s="6" t="n">
        <v>1000</v>
      </c>
      <c r="Y487">
        <f>IFERROR(W487-X487,"")</f>
        <v/>
      </c>
      <c r="Z487">
        <f>IFERROR(ABS(Y487)/MAX(X487,1),"")</f>
        <v/>
      </c>
      <c r="AA487">
        <f>IFERROR((X487-(((E487/100000+F487/100+S487/200)*200*I487*H487)+((E487*F487/25000)*I487*H487))/3)/(((J487/5)*200*I487*H487)+((J487*S487/2.5)*I487*H487)+((E487*F487*J487*S487*I487*H487)/12500000))/3*1000,"")</f>
        <v/>
      </c>
    </row>
    <row r="488">
      <c r="B488" s="7" t="inlineStr">
        <is>
          <t xml:space="preserve">  ↳ wc2axeFire</t>
        </is>
      </c>
      <c r="C488" s="7" t="inlineStr">
        <is>
          <t>Armament</t>
        </is>
      </c>
      <c r="L488" s="6" t="n">
        <v>4000</v>
      </c>
      <c r="M488" s="6" t="n">
        <v>38</v>
      </c>
      <c r="N488" s="6" t="n">
        <v>1</v>
      </c>
      <c r="O488" s="6" t="n"/>
      <c r="P488" s="6" t="n">
        <v>6445</v>
      </c>
      <c r="Q488" s="6" t="n">
        <v>1</v>
      </c>
      <c r="R488">
        <f>M488+IF(N488&gt;1,N(O488)*(N488-1),0)</f>
        <v/>
      </c>
      <c r="S488">
        <f>IFERROR(L488*MAX(N488,1)/R488*Q488*IF(ISBLANK(K487),1,K487),0)</f>
        <v/>
      </c>
      <c r="AB488" s="7" t="inlineStr">
        <is>
          <t>^FlakWeapon, ^Chaingun, ^MediumCannon, ^Grenade, ^TankDestroyerCannon, ^ArrowWeapon</t>
        </is>
      </c>
    </row>
    <row r="489">
      <c r="B489" s="7" t="inlineStr">
        <is>
          <t xml:space="preserve">  ↳ wc2axeFire</t>
        </is>
      </c>
      <c r="C489" s="7" t="inlineStr">
        <is>
          <t>Armament@GARRISONED</t>
        </is>
      </c>
      <c r="L489" s="6" t="n">
        <v>4000</v>
      </c>
      <c r="M489" s="6" t="n">
        <v>38</v>
      </c>
      <c r="N489" s="6" t="n">
        <v>1</v>
      </c>
      <c r="O489" s="6" t="n"/>
      <c r="P489" s="6" t="n">
        <v>6445</v>
      </c>
      <c r="Q489" s="6" t="n">
        <v>1</v>
      </c>
      <c r="R489">
        <f>M489+IF(N489&gt;1,N(O489)*(N489-1),0)</f>
        <v/>
      </c>
      <c r="S489">
        <f>IFERROR(L489*MAX(N489,1)/R489*Q489*IF(ISBLANK(K487),1,K487),0)</f>
        <v/>
      </c>
      <c r="AB489" s="7" t="inlineStr">
        <is>
          <t>^FlakWeapon, ^Chaingun, ^MediumCannon, ^Grenade, ^TankDestroyerCannon, ^ArrowWeapon</t>
        </is>
      </c>
    </row>
    <row r="490">
      <c r="A490" t="inlineStr">
        <is>
          <t>warcraft2</t>
        </is>
      </c>
      <c r="B490" t="inlineStr">
        <is>
          <t>wc2_orcs_trollaxethrower</t>
        </is>
      </c>
      <c r="C490" t="inlineStr">
        <is>
          <t>Troll Axethrower</t>
        </is>
      </c>
      <c r="D490" s="6" t="inlineStr">
        <is>
          <t>AntiTankAntiAirInfantry</t>
        </is>
      </c>
      <c r="E490" s="6" t="n">
        <v>30000</v>
      </c>
      <c r="F490" s="6" t="n">
        <v>60</v>
      </c>
      <c r="G490" t="inlineStr">
        <is>
          <t>Flak</t>
        </is>
      </c>
      <c r="H490" s="6" t="n">
        <v>1</v>
      </c>
      <c r="I490" s="6" t="n">
        <v>0.5</v>
      </c>
      <c r="J490" s="6" t="n">
        <v>1</v>
      </c>
      <c r="K490" s="6" t="n"/>
      <c r="P490">
        <f>MAX(P491)</f>
        <v/>
      </c>
      <c r="S490">
        <f>S491</f>
        <v/>
      </c>
      <c r="T490">
        <f>(E490/100000+F490/100+(P490/1000)*J490/5+S490/200)*200*I490*H490</f>
        <v/>
      </c>
      <c r="U490">
        <f>((E490*F490/25000)+((P490/1000)*J490*S490/2.5))*I490*H490</f>
        <v/>
      </c>
      <c r="V490">
        <f>(E490*F490*(P490/1000)*J490*S490*I490*H490)/12500000</f>
        <v/>
      </c>
      <c r="W490">
        <f>(T490+U490+V490)/3</f>
        <v/>
      </c>
      <c r="X490" s="6" t="n">
        <v>500</v>
      </c>
      <c r="Y490">
        <f>IFERROR(W490-X490,"")</f>
        <v/>
      </c>
      <c r="Z490">
        <f>IFERROR(ABS(Y490)/MAX(X490,1),"")</f>
        <v/>
      </c>
      <c r="AA490">
        <f>IFERROR((X490-(((E490/100000+F490/100+S490/200)*200*I490*H490)+((E490*F490/25000)*I490*H490))/3)/(((J490/5)*200*I490*H490)+((J490*S490/2.5)*I490*H490)+((E490*F490*J490*S490*I490*H490)/12500000))/3*1000,"")</f>
        <v/>
      </c>
    </row>
    <row r="491">
      <c r="B491" s="7" t="inlineStr">
        <is>
          <t xml:space="preserve">  ↳ wc2axeFire</t>
        </is>
      </c>
      <c r="C491" s="7" t="inlineStr">
        <is>
          <t>Armament</t>
        </is>
      </c>
      <c r="L491" s="6" t="n">
        <v>4000</v>
      </c>
      <c r="M491" s="6" t="n">
        <v>38</v>
      </c>
      <c r="N491" s="6" t="n">
        <v>1</v>
      </c>
      <c r="O491" s="6" t="n"/>
      <c r="P491" s="6" t="n">
        <v>6445</v>
      </c>
      <c r="Q491" s="6" t="n">
        <v>1</v>
      </c>
      <c r="R491">
        <f>M491+IF(N491&gt;1,N(O491)*(N491-1),0)</f>
        <v/>
      </c>
      <c r="S491">
        <f>IFERROR(L491*MAX(N491,1)/R491*Q491*IF(ISBLANK(K490),1,K490),0)</f>
        <v/>
      </c>
      <c r="AB491" s="7" t="inlineStr">
        <is>
          <t>^FlakWeapon, ^Chaingun, ^MediumCannon, ^Grenade, ^TankDestroyerCannon, ^ArrowWeapon</t>
        </is>
      </c>
    </row>
    <row r="492">
      <c r="B492" s="7" t="inlineStr">
        <is>
          <t xml:space="preserve">  ↳ wc2axeFire</t>
        </is>
      </c>
      <c r="C492" s="7" t="inlineStr">
        <is>
          <t>Armament@GARRISONED</t>
        </is>
      </c>
      <c r="L492" s="6" t="n">
        <v>4000</v>
      </c>
      <c r="M492" s="6" t="n">
        <v>38</v>
      </c>
      <c r="N492" s="6" t="n">
        <v>1</v>
      </c>
      <c r="O492" s="6" t="n"/>
      <c r="P492" s="6" t="n">
        <v>6445</v>
      </c>
      <c r="Q492" s="6" t="n">
        <v>1</v>
      </c>
      <c r="R492">
        <f>M492+IF(N492&gt;1,N(O492)*(N492-1),0)</f>
        <v/>
      </c>
      <c r="S492">
        <f>IFERROR(L492*MAX(N492,1)/R492*Q492*IF(ISBLANK(K490),1,K490),0)</f>
        <v/>
      </c>
      <c r="AB492" s="7" t="inlineStr">
        <is>
          <t>^FlakWeapon, ^Chaingun, ^MediumCannon, ^Grenade, ^TankDestroyerCannon, ^ArrowWeapon</t>
        </is>
      </c>
    </row>
    <row r="493">
      <c r="A493" t="inlineStr">
        <is>
          <t>warcraft2</t>
        </is>
      </c>
      <c r="B493" t="inlineStr">
        <is>
          <t>wc2_orcs_trollberserker</t>
        </is>
      </c>
      <c r="C493" t="inlineStr">
        <is>
          <t>Troll Berserker</t>
        </is>
      </c>
      <c r="D493" s="6" t="inlineStr">
        <is>
          <t>AntiTankAntiAirInfantry</t>
        </is>
      </c>
      <c r="E493" s="6" t="n">
        <v>30000</v>
      </c>
      <c r="F493" s="6" t="n">
        <v>60</v>
      </c>
      <c r="G493" t="inlineStr">
        <is>
          <t>Flak</t>
        </is>
      </c>
      <c r="H493" s="6" t="n">
        <v>1</v>
      </c>
      <c r="I493" s="6" t="n">
        <v>1</v>
      </c>
      <c r="J493" s="6" t="n">
        <v>1</v>
      </c>
      <c r="K493" s="6" t="n"/>
      <c r="P493">
        <f>MAX(P494)</f>
        <v/>
      </c>
      <c r="S493">
        <f>S494</f>
        <v/>
      </c>
      <c r="T493">
        <f>(E493/100000+F493/100+(P493/1000)*J493/5+S493/200)*200*I493*H493</f>
        <v/>
      </c>
      <c r="U493">
        <f>((E493*F493/25000)+((P493/1000)*J493*S493/2.5))*I493*H493</f>
        <v/>
      </c>
      <c r="V493">
        <f>(E493*F493*(P493/1000)*J493*S493*I493*H493)/12500000</f>
        <v/>
      </c>
      <c r="W493">
        <f>(T493+U493+V493)/3</f>
        <v/>
      </c>
      <c r="X493" s="6" t="n">
        <v>500</v>
      </c>
      <c r="Y493">
        <f>IFERROR(W493-X493,"")</f>
        <v/>
      </c>
      <c r="Z493">
        <f>IFERROR(ABS(Y493)/MAX(X493,1),"")</f>
        <v/>
      </c>
      <c r="AA493">
        <f>IFERROR((X493-(((E493/100000+F493/100+S493/200)*200*I493*H493)+((E493*F493/25000)*I493*H493))/3)/(((J493/5)*200*I493*H493)+((J493*S493/2.5)*I493*H493)+((E493*F493*J493*S493*I493*H493)/12500000))/3*1000,"")</f>
        <v/>
      </c>
    </row>
    <row r="494">
      <c r="B494" s="7" t="inlineStr">
        <is>
          <t xml:space="preserve">  ↳ wc2axeFire</t>
        </is>
      </c>
      <c r="C494" s="7" t="inlineStr">
        <is>
          <t>Armament</t>
        </is>
      </c>
      <c r="L494" s="6" t="n">
        <v>4000</v>
      </c>
      <c r="M494" s="6" t="n">
        <v>38</v>
      </c>
      <c r="N494" s="6" t="n">
        <v>1</v>
      </c>
      <c r="O494" s="6" t="n"/>
      <c r="P494" s="6" t="n">
        <v>6445</v>
      </c>
      <c r="Q494" s="6" t="n">
        <v>1</v>
      </c>
      <c r="R494">
        <f>M494+IF(N494&gt;1,N(O494)*(N494-1),0)</f>
        <v/>
      </c>
      <c r="S494">
        <f>IFERROR(L494*MAX(N494,1)/R494*Q494*IF(ISBLANK(K493),1,K493),0)</f>
        <v/>
      </c>
      <c r="AB494" s="7" t="inlineStr">
        <is>
          <t>^FlakWeapon, ^Chaingun, ^MediumCannon, ^Grenade, ^TankDestroyerCannon, ^ArrowWeapon</t>
        </is>
      </c>
    </row>
    <row r="495">
      <c r="B495" s="7" t="inlineStr">
        <is>
          <t xml:space="preserve">  ↳ wc2axeFire</t>
        </is>
      </c>
      <c r="C495" s="7" t="inlineStr">
        <is>
          <t>Armament@GARRISONED</t>
        </is>
      </c>
      <c r="L495" s="6" t="n">
        <v>4000</v>
      </c>
      <c r="M495" s="6" t="n">
        <v>38</v>
      </c>
      <c r="N495" s="6" t="n">
        <v>1</v>
      </c>
      <c r="O495" s="6" t="n"/>
      <c r="P495" s="6" t="n">
        <v>6445</v>
      </c>
      <c r="Q495" s="6" t="n">
        <v>1</v>
      </c>
      <c r="R495">
        <f>M495+IF(N495&gt;1,N(O495)*(N495-1),0)</f>
        <v/>
      </c>
      <c r="S495">
        <f>IFERROR(L495*MAX(N495,1)/R495*Q495*IF(ISBLANK(K493),1,K493),0)</f>
        <v/>
      </c>
      <c r="AB495" s="7" t="inlineStr">
        <is>
          <t>^FlakWeapon, ^Chaingun, ^MediumCannon, ^Grenade, ^TankDestroyerCannon, ^ArrowWeapon</t>
        </is>
      </c>
    </row>
    <row r="496">
      <c r="A496" t="inlineStr">
        <is>
          <t>warcraft2</t>
        </is>
      </c>
      <c r="B496" t="inlineStr">
        <is>
          <t>wc2_orcs_trollheadhunter</t>
        </is>
      </c>
      <c r="C496" t="inlineStr">
        <is>
          <t>Troll Headhunter</t>
        </is>
      </c>
      <c r="D496" s="6" t="inlineStr">
        <is>
          <t>AntiTankAntiAirInfantry</t>
        </is>
      </c>
      <c r="E496" s="6" t="n">
        <v>40000</v>
      </c>
      <c r="F496" s="6" t="n">
        <v>75</v>
      </c>
      <c r="G496" t="inlineStr">
        <is>
          <t>Flak</t>
        </is>
      </c>
      <c r="H496" s="6" t="n">
        <v>1</v>
      </c>
      <c r="I496" s="6" t="n">
        <v>1</v>
      </c>
      <c r="J496" s="6" t="n">
        <v>1</v>
      </c>
      <c r="K496" s="6" t="n"/>
      <c r="P496">
        <f>MAX(P497)</f>
        <v/>
      </c>
      <c r="S496">
        <f>S497</f>
        <v/>
      </c>
      <c r="T496">
        <f>(E496/100000+F496/100+(P496/1000)*J496/5+S496/200)*200*I496*H496</f>
        <v/>
      </c>
      <c r="U496">
        <f>((E496*F496/25000)+((P496/1000)*J496*S496/2.5))*I496*H496</f>
        <v/>
      </c>
      <c r="V496">
        <f>(E496*F496*(P496/1000)*J496*S496*I496*H496)/12500000</f>
        <v/>
      </c>
      <c r="W496">
        <f>(T496+U496+V496)/3</f>
        <v/>
      </c>
      <c r="X496" s="6" t="n">
        <v>1000</v>
      </c>
      <c r="Y496">
        <f>IFERROR(W496-X496,"")</f>
        <v/>
      </c>
      <c r="Z496">
        <f>IFERROR(ABS(Y496)/MAX(X496,1),"")</f>
        <v/>
      </c>
      <c r="AA496">
        <f>IFERROR((X496-(((E496/100000+F496/100+S496/200)*200*I496*H496)+((E496*F496/25000)*I496*H496))/3)/(((J496/5)*200*I496*H496)+((J496*S496/2.5)*I496*H496)+((E496*F496*J496*S496*I496*H496)/12500000))/3*1000,"")</f>
        <v/>
      </c>
    </row>
    <row r="497">
      <c r="B497" s="7" t="inlineStr">
        <is>
          <t xml:space="preserve">  ↳ wc2axeFirespear</t>
        </is>
      </c>
      <c r="C497" s="7" t="inlineStr">
        <is>
          <t>Armament</t>
        </is>
      </c>
      <c r="L497" s="6" t="n">
        <v>4000</v>
      </c>
      <c r="M497" s="6" t="n">
        <v>40</v>
      </c>
      <c r="N497" s="6" t="n">
        <v>1</v>
      </c>
      <c r="O497" s="6" t="n"/>
      <c r="P497" s="6" t="n">
        <v>7711</v>
      </c>
      <c r="Q497" s="6" t="n">
        <v>1.071428571428571</v>
      </c>
      <c r="R497">
        <f>M497+IF(N497&gt;1,N(O497)*(N497-1),0)</f>
        <v/>
      </c>
      <c r="S497">
        <f>IFERROR(L497*MAX(N497,1)/R497*Q497*IF(ISBLANK(K496),1,K496),0)</f>
        <v/>
      </c>
      <c r="AB497" s="7" t="inlineStr">
        <is>
          <t>^LaserWeapon, ^HeavyMissile, ^HeavyAAWeapon, ^FlakWeapon, ^Chaingun, ^MediumCannon, ^Grenade, ^TankDestroyerCannon, ^ArrowWeapon</t>
        </is>
      </c>
    </row>
    <row r="498">
      <c r="B498" s="7" t="inlineStr">
        <is>
          <t xml:space="preserve">  ↳ wc2axeFirespear</t>
        </is>
      </c>
      <c r="C498" s="7" t="inlineStr">
        <is>
          <t>Armament@GARRISONED</t>
        </is>
      </c>
      <c r="L498" s="6" t="n">
        <v>4000</v>
      </c>
      <c r="M498" s="6" t="n">
        <v>40</v>
      </c>
      <c r="N498" s="6" t="n">
        <v>1</v>
      </c>
      <c r="O498" s="6" t="n"/>
      <c r="P498" s="6" t="n">
        <v>7711</v>
      </c>
      <c r="Q498" s="6" t="n">
        <v>1.071428571428571</v>
      </c>
      <c r="R498">
        <f>M498+IF(N498&gt;1,N(O498)*(N498-1),0)</f>
        <v/>
      </c>
      <c r="S498">
        <f>IFERROR(L498*MAX(N498,1)/R498*Q498*IF(ISBLANK(K496),1,K496),0)</f>
        <v/>
      </c>
      <c r="AB498" s="7" t="inlineStr">
        <is>
          <t>^LaserWeapon, ^HeavyMissile, ^HeavyAAWeapon, ^FlakWeapon, ^Chaingun, ^MediumCannon, ^Grenade, ^TankDestroyerCannon, ^ArrowWeapon</t>
        </is>
      </c>
    </row>
    <row r="499">
      <c r="A499" t="inlineStr">
        <is>
          <t>warcraft2</t>
        </is>
      </c>
      <c r="B499" t="inlineStr">
        <is>
          <t>wc2_humans_elvenarcher</t>
        </is>
      </c>
      <c r="C499" t="inlineStr">
        <is>
          <t>Elven Archer</t>
        </is>
      </c>
      <c r="D499" s="6" t="inlineStr">
        <is>
          <t>AntiTankAntiAirInfantry</t>
        </is>
      </c>
      <c r="E499" s="6" t="n">
        <v>25000</v>
      </c>
      <c r="F499" s="6" t="n">
        <v>75</v>
      </c>
      <c r="G499" t="inlineStr">
        <is>
          <t>Flak</t>
        </is>
      </c>
      <c r="H499" s="6" t="n">
        <v>1</v>
      </c>
      <c r="I499" s="6" t="n">
        <v>0.5</v>
      </c>
      <c r="J499" s="6" t="n">
        <v>1</v>
      </c>
      <c r="K499" s="6" t="n">
        <v>0.75</v>
      </c>
      <c r="P499">
        <f>MAX(P500)</f>
        <v/>
      </c>
      <c r="S499">
        <f>S500</f>
        <v/>
      </c>
      <c r="T499">
        <f>(E499/100000+F499/100+(P499/1000)*J499/5+S499/200)*200*I499*H499</f>
        <v/>
      </c>
      <c r="U499">
        <f>((E499*F499/25000)+((P499/1000)*J499*S499/2.5))*I499*H499</f>
        <v/>
      </c>
      <c r="V499">
        <f>(E499*F499*(P499/1000)*J499*S499*I499*H499)/12500000</f>
        <v/>
      </c>
      <c r="W499">
        <f>(T499+U499+V499)/3</f>
        <v/>
      </c>
      <c r="X499" s="6" t="n">
        <v>600</v>
      </c>
      <c r="Y499">
        <f>IFERROR(W499-X499,"")</f>
        <v/>
      </c>
      <c r="Z499">
        <f>IFERROR(ABS(Y499)/MAX(X499,1),"")</f>
        <v/>
      </c>
      <c r="AA499">
        <f>IFERROR((X499-(((E499/100000+F499/100+S499/200)*200*I499*H499)+((E499*F499/25000)*I499*H499))/3)/(((J499/5)*200*I499*H499)+((J499*S499/2.5)*I499*H499)+((E499*F499*J499*S499*I499*H499)/12500000))/3*1000,"")</f>
        <v/>
      </c>
    </row>
    <row r="500">
      <c r="B500" s="7" t="inlineStr">
        <is>
          <t xml:space="preserve">  ↳ wc2arrowFire</t>
        </is>
      </c>
      <c r="C500" s="7" t="inlineStr">
        <is>
          <t>Armament</t>
        </is>
      </c>
      <c r="L500" s="6" t="n">
        <v>4000</v>
      </c>
      <c r="M500" s="6" t="n">
        <v>25</v>
      </c>
      <c r="N500" s="6" t="n">
        <v>1</v>
      </c>
      <c r="O500" s="6" t="n"/>
      <c r="P500" s="6" t="n">
        <v>6973</v>
      </c>
      <c r="Q500" s="6" t="n">
        <v>1</v>
      </c>
      <c r="R500">
        <f>M500+IF(N500&gt;1,N(O500)*(N500-1),0)</f>
        <v/>
      </c>
      <c r="S500">
        <f>IFERROR(L500*MAX(N500,1)/R500*Q500*IF(ISBLANK(K499),1,K499),0)</f>
        <v/>
      </c>
      <c r="AB500" s="7" t="inlineStr">
        <is>
          <t>^FlakWeapon, ^Chaingun, ^MediumCannon, ^Grenade, ^TankDestroyerCannon, ^ArrowWeapon</t>
        </is>
      </c>
    </row>
    <row r="501">
      <c r="B501" s="7" t="inlineStr">
        <is>
          <t xml:space="preserve">  ↳ wc2arrowFire</t>
        </is>
      </c>
      <c r="C501" s="7" t="inlineStr">
        <is>
          <t>Armament@GARRISONED</t>
        </is>
      </c>
      <c r="L501" s="6" t="n">
        <v>4000</v>
      </c>
      <c r="M501" s="6" t="n">
        <v>25</v>
      </c>
      <c r="N501" s="6" t="n">
        <v>1</v>
      </c>
      <c r="O501" s="6" t="n"/>
      <c r="P501" s="6" t="n">
        <v>6973</v>
      </c>
      <c r="Q501" s="6" t="n">
        <v>1</v>
      </c>
      <c r="R501">
        <f>M501+IF(N501&gt;1,N(O501)*(N501-1),0)</f>
        <v/>
      </c>
      <c r="S501">
        <f>IFERROR(L501*MAX(N501,1)/R501*Q501*IF(ISBLANK(K499),1,K499),0)</f>
        <v/>
      </c>
      <c r="AB501" s="7" t="inlineStr">
        <is>
          <t>^FlakWeapon, ^Chaingun, ^MediumCannon, ^Grenade, ^TankDestroyerCannon, ^ArrowWeapon</t>
        </is>
      </c>
    </row>
    <row r="502">
      <c r="A502" t="inlineStr">
        <is>
          <t>warcraft2</t>
        </is>
      </c>
      <c r="B502" t="inlineStr">
        <is>
          <t>wc2_humans_elvenranger</t>
        </is>
      </c>
      <c r="C502" t="inlineStr">
        <is>
          <t>Elven Ranger</t>
        </is>
      </c>
      <c r="D502" s="6" t="inlineStr">
        <is>
          <t>AntiTankAntiAirInfantry</t>
        </is>
      </c>
      <c r="E502" s="6" t="n">
        <v>25000</v>
      </c>
      <c r="F502" s="6" t="n">
        <v>75</v>
      </c>
      <c r="G502" t="inlineStr">
        <is>
          <t>Flak</t>
        </is>
      </c>
      <c r="H502" s="6" t="n">
        <v>1</v>
      </c>
      <c r="I502" s="6" t="n">
        <v>1</v>
      </c>
      <c r="J502" s="6" t="n">
        <v>1</v>
      </c>
      <c r="K502" s="6" t="n"/>
      <c r="P502">
        <f>MAX(P503)</f>
        <v/>
      </c>
      <c r="S502">
        <f>S503</f>
        <v/>
      </c>
      <c r="T502">
        <f>(E502/100000+F502/100+(P502/1000)*J502/5+S502/200)*200*I502*H502</f>
        <v/>
      </c>
      <c r="U502">
        <f>((E502*F502/25000)+((P502/1000)*J502*S502/2.5))*I502*H502</f>
        <v/>
      </c>
      <c r="V502">
        <f>(E502*F502*(P502/1000)*J502*S502*I502*H502)/12500000</f>
        <v/>
      </c>
      <c r="W502">
        <f>(T502+U502+V502)/3</f>
        <v/>
      </c>
      <c r="X502" s="6" t="n">
        <v>600</v>
      </c>
      <c r="Y502">
        <f>IFERROR(W502-X502,"")</f>
        <v/>
      </c>
      <c r="Z502">
        <f>IFERROR(ABS(Y502)/MAX(X502,1),"")</f>
        <v/>
      </c>
      <c r="AA502">
        <f>IFERROR((X502-(((E502/100000+F502/100+S502/200)*200*I502*H502)+((E502*F502/25000)*I502*H502))/3)/(((J502/5)*200*I502*H502)+((J502*S502/2.5)*I502*H502)+((E502*F502*J502*S502*I502*H502)/12500000))/3*1000,"")</f>
        <v/>
      </c>
    </row>
    <row r="503">
      <c r="B503" s="7" t="inlineStr">
        <is>
          <t xml:space="preserve">  ↳ wc2arrowFire</t>
        </is>
      </c>
      <c r="C503" s="7" t="inlineStr">
        <is>
          <t>Armament</t>
        </is>
      </c>
      <c r="L503" s="6" t="n">
        <v>4000</v>
      </c>
      <c r="M503" s="6" t="n">
        <v>25</v>
      </c>
      <c r="N503" s="6" t="n">
        <v>1</v>
      </c>
      <c r="O503" s="6" t="n"/>
      <c r="P503" s="6" t="n">
        <v>6973</v>
      </c>
      <c r="Q503" s="6" t="n">
        <v>1</v>
      </c>
      <c r="R503">
        <f>M503+IF(N503&gt;1,N(O503)*(N503-1),0)</f>
        <v/>
      </c>
      <c r="S503">
        <f>IFERROR(L503*MAX(N503,1)/R503*Q503*IF(ISBLANK(K502),1,K502),0)</f>
        <v/>
      </c>
      <c r="AB503" s="7" t="inlineStr">
        <is>
          <t>^FlakWeapon, ^Chaingun, ^MediumCannon, ^Grenade, ^TankDestroyerCannon, ^ArrowWeapon</t>
        </is>
      </c>
    </row>
    <row r="504">
      <c r="B504" s="7" t="inlineStr">
        <is>
          <t xml:space="preserve">  ↳ wc2arrowFire</t>
        </is>
      </c>
      <c r="C504" s="7" t="inlineStr">
        <is>
          <t>Armament@GARRISONED</t>
        </is>
      </c>
      <c r="L504" s="6" t="n">
        <v>4000</v>
      </c>
      <c r="M504" s="6" t="n">
        <v>25</v>
      </c>
      <c r="N504" s="6" t="n">
        <v>1</v>
      </c>
      <c r="O504" s="6" t="n"/>
      <c r="P504" s="6" t="n">
        <v>6973</v>
      </c>
      <c r="Q504" s="6" t="n">
        <v>1</v>
      </c>
      <c r="R504">
        <f>M504+IF(N504&gt;1,N(O504)*(N504-1),0)</f>
        <v/>
      </c>
      <c r="S504">
        <f>IFERROR(L504*MAX(N504,1)/R504*Q504*IF(ISBLANK(K502),1,K502),0)</f>
        <v/>
      </c>
      <c r="AB504" s="7" t="inlineStr">
        <is>
          <t>^FlakWeapon, ^Chaingun, ^MediumCannon, ^Grenade, ^TankDestroyerCannon, ^ArrowWeapon</t>
        </is>
      </c>
    </row>
    <row r="505">
      <c r="A505" t="inlineStr">
        <is>
          <t>warcraft2</t>
        </is>
      </c>
      <c r="B505" t="inlineStr">
        <is>
          <t>wc2_humans_highelvenarcher</t>
        </is>
      </c>
      <c r="C505" t="inlineStr">
        <is>
          <t>High Elven Archer</t>
        </is>
      </c>
      <c r="D505" s="6" t="inlineStr">
        <is>
          <t>AntiTankAntiAirInfantry</t>
        </is>
      </c>
      <c r="E505" s="6" t="n">
        <v>35000</v>
      </c>
      <c r="F505" s="6" t="n">
        <v>85</v>
      </c>
      <c r="G505" t="inlineStr">
        <is>
          <t>Flak</t>
        </is>
      </c>
      <c r="H505" s="6" t="n">
        <v>1</v>
      </c>
      <c r="I505" s="6" t="n">
        <v>1</v>
      </c>
      <c r="J505" s="6" t="n">
        <v>1</v>
      </c>
      <c r="K505" s="6" t="n"/>
      <c r="P505">
        <f>MAX(P506)</f>
        <v/>
      </c>
      <c r="S505">
        <f>S506</f>
        <v/>
      </c>
      <c r="T505">
        <f>(E505/100000+F505/100+(P505/1000)*J505/5+S505/200)*200*I505*H505</f>
        <v/>
      </c>
      <c r="U505">
        <f>((E505*F505/25000)+((P505/1000)*J505*S505/2.5))*I505*H505</f>
        <v/>
      </c>
      <c r="V505">
        <f>(E505*F505*(P505/1000)*J505*S505*I505*H505)/12500000</f>
        <v/>
      </c>
      <c r="W505">
        <f>(T505+U505+V505)/3</f>
        <v/>
      </c>
      <c r="X505" s="6" t="n">
        <v>1100</v>
      </c>
      <c r="Y505">
        <f>IFERROR(W505-X505,"")</f>
        <v/>
      </c>
      <c r="Z505">
        <f>IFERROR(ABS(Y505)/MAX(X505,1),"")</f>
        <v/>
      </c>
      <c r="AA505">
        <f>IFERROR((X505-(((E505/100000+F505/100+S505/200)*200*I505*H505)+((E505*F505/25000)*I505*H505))/3)/(((J505/5)*200*I505*H505)+((J505*S505/2.5)*I505*H505)+((E505*F505*J505*S505*I505*H505)/12500000))/3*1000,"")</f>
        <v/>
      </c>
    </row>
    <row r="506">
      <c r="B506" s="7" t="inlineStr">
        <is>
          <t xml:space="preserve">  ↳ wc2highArrowFire</t>
        </is>
      </c>
      <c r="C506" s="7" t="inlineStr">
        <is>
          <t>Armament</t>
        </is>
      </c>
      <c r="L506" s="6" t="n">
        <v>4000</v>
      </c>
      <c r="M506" s="6" t="n">
        <v>35</v>
      </c>
      <c r="N506" s="6" t="n">
        <v>1</v>
      </c>
      <c r="O506" s="6" t="n"/>
      <c r="P506" s="6" t="n">
        <v>7487</v>
      </c>
      <c r="Q506" s="6" t="n">
        <v>1.071428571428571</v>
      </c>
      <c r="R506">
        <f>M506+IF(N506&gt;1,N(O506)*(N506-1),0)</f>
        <v/>
      </c>
      <c r="S506">
        <f>IFERROR(L506*MAX(N506,1)/R506*Q506*IF(ISBLANK(K505),1,K505),0)</f>
        <v/>
      </c>
      <c r="AB506" s="7" t="inlineStr">
        <is>
          <t>^LaserWeapon, ^HeavyMissile, ^HeavyAAWeapon, ^FlakWeapon, ^Chaingun, ^MediumCannon, ^Grenade, ^TankDestroyerCannon, ^ArrowWeapon</t>
        </is>
      </c>
    </row>
    <row r="507">
      <c r="B507" s="7" t="inlineStr">
        <is>
          <t xml:space="preserve">  ↳ wc2highArrowFire</t>
        </is>
      </c>
      <c r="C507" s="7" t="inlineStr">
        <is>
          <t>Armament@GARRISONED</t>
        </is>
      </c>
      <c r="L507" s="6" t="n">
        <v>4000</v>
      </c>
      <c r="M507" s="6" t="n">
        <v>35</v>
      </c>
      <c r="N507" s="6" t="n">
        <v>1</v>
      </c>
      <c r="O507" s="6" t="n"/>
      <c r="P507" s="6" t="n">
        <v>7487</v>
      </c>
      <c r="Q507" s="6" t="n">
        <v>1.071428571428571</v>
      </c>
      <c r="R507">
        <f>M507+IF(N507&gt;1,N(O507)*(N507-1),0)</f>
        <v/>
      </c>
      <c r="S507">
        <f>IFERROR(L507*MAX(N507,1)/R507*Q507*IF(ISBLANK(K505),1,K505),0)</f>
        <v/>
      </c>
      <c r="AB507" s="7" t="inlineStr">
        <is>
          <t>^LaserWeapon, ^HeavyMissile, ^HeavyAAWeapon, ^FlakWeapon, ^Chaingun, ^MediumCannon, ^Grenade, ^TankDestroyerCannon, ^ArrowWeapon</t>
        </is>
      </c>
    </row>
    <row r="508">
      <c r="A508" s="4" t="inlineStr">
        <is>
          <t>SpecialForcesInfantry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</row>
    <row r="509">
      <c r="A509" t="inlineStr">
        <is>
          <t>tiberiandawn</t>
        </is>
      </c>
      <c r="B509" t="inlineStr">
        <is>
          <t>td_nod_lasertrooper</t>
        </is>
      </c>
      <c r="C509" t="inlineStr">
        <is>
          <t>Laser Trooper</t>
        </is>
      </c>
      <c r="D509" s="6" t="inlineStr">
        <is>
          <t>SpecialForcesInfantry</t>
        </is>
      </c>
      <c r="E509" s="6" t="n">
        <v>60000</v>
      </c>
      <c r="F509" s="6" t="n">
        <v>50</v>
      </c>
      <c r="G509" t="inlineStr">
        <is>
          <t>Flak</t>
        </is>
      </c>
      <c r="H509" s="6" t="n">
        <v>0.75</v>
      </c>
      <c r="I509" s="6" t="n">
        <v>0.8</v>
      </c>
      <c r="J509" s="6" t="n">
        <v>1</v>
      </c>
      <c r="K509" s="6" t="n">
        <v>1</v>
      </c>
      <c r="P509">
        <f>MAX(P510)</f>
        <v/>
      </c>
      <c r="S509">
        <f>S510</f>
        <v/>
      </c>
      <c r="T509">
        <f>(E509/100000+F509/100+(P509/1000)*J509/5+S509/200)*200*I509*H509</f>
        <v/>
      </c>
      <c r="U509">
        <f>((E509*F509/25000)+((P509/1000)*J509*S509/2.5))*I509*H509</f>
        <v/>
      </c>
      <c r="V509">
        <f>(E509*F509*(P509/1000)*J509*S509*I509*H509)/12500000</f>
        <v/>
      </c>
      <c r="W509">
        <f>(((E509/15000)+(F509/50)+(S509/120)+((P509/6000)*J509))*200/4+(((E509/15000)*(F509/50))+(((P509/6000)*J509)*(S509/120)))*200/2+((E509/15000)*(F509/50)*((P509/6000)*J509)*(S509/120))*200)*H509/3</f>
        <v/>
      </c>
      <c r="X509" s="6" t="n">
        <v>750</v>
      </c>
      <c r="Y509">
        <f>IFERROR(W509-X509,"")</f>
        <v/>
      </c>
      <c r="Z509">
        <f>IFERROR(ABS(Y509)/MAX(X509,1),"")</f>
        <v/>
      </c>
      <c r="AA509">
        <f>IFERROR(ROUND(((3*X509-(((E509/15000)+(F509/50)+(S509/120))*200/4+((E509/15000)*(F509/50))*200/2)*H509)/(200/4+((S509/120))*200/2+((E509/15000)*(F509/50)*(S509/120))*200)*H509*6000)/J509,-1),"")</f>
        <v/>
      </c>
    </row>
    <row r="510">
      <c r="B510" s="7" t="inlineStr">
        <is>
          <t xml:space="preserve">  ↳ BlackHandLaser</t>
        </is>
      </c>
      <c r="C510" s="7" t="inlineStr">
        <is>
          <t>Armament@PRIMARY</t>
        </is>
      </c>
      <c r="L510" s="6" t="n">
        <v>8000</v>
      </c>
      <c r="M510" s="6" t="n">
        <v>50</v>
      </c>
      <c r="N510" s="6" t="n">
        <v>1</v>
      </c>
      <c r="O510" s="6" t="n"/>
      <c r="P510" s="6" t="n">
        <v>6000</v>
      </c>
      <c r="Q510" s="6" t="n">
        <v>1</v>
      </c>
      <c r="R510">
        <f>M510+IF(N510&gt;1,N(O510)*(N510-1),0)</f>
        <v/>
      </c>
      <c r="S510">
        <f>IFERROR(L510*MAX(N510,1)/R510*Q510*IF(ISBLANK(K509),1,K509),0)</f>
        <v/>
      </c>
      <c r="AB510" s="7" t="inlineStr">
        <is>
          <t>^TankDestroyerCannon, ^FlakWeapon, ^LaserWeapon</t>
        </is>
      </c>
    </row>
    <row r="511">
      <c r="B511" s="7" t="inlineStr">
        <is>
          <t xml:space="preserve">  ↳ BlackHandLaser</t>
        </is>
      </c>
      <c r="C511" s="7" t="inlineStr">
        <is>
          <t>Armament@Garrison</t>
        </is>
      </c>
      <c r="L511" s="6" t="n">
        <v>8000</v>
      </c>
      <c r="M511" s="6" t="n">
        <v>50</v>
      </c>
      <c r="N511" s="6" t="n">
        <v>1</v>
      </c>
      <c r="O511" s="6" t="n"/>
      <c r="P511" s="6" t="n">
        <v>6000</v>
      </c>
      <c r="Q511" s="6" t="n">
        <v>1</v>
      </c>
      <c r="R511">
        <f>M511+IF(N511&gt;1,N(O511)*(N511-1),0)</f>
        <v/>
      </c>
      <c r="S511">
        <f>IFERROR(L511*MAX(N511,1)/R511*Q511*IF(ISBLANK(K509),1,K509),0)</f>
        <v/>
      </c>
      <c r="AB511" s="7" t="inlineStr">
        <is>
          <t>^TankDestroyerCannon, ^FlakWeapon, ^LaserWeapon</t>
        </is>
      </c>
    </row>
    <row r="512">
      <c r="A512" t="inlineStr">
        <is>
          <t>redalert</t>
        </is>
      </c>
      <c r="B512" t="inlineStr">
        <is>
          <t>japan_imperialscoutsman</t>
        </is>
      </c>
      <c r="C512" t="inlineStr">
        <is>
          <t>Imperial Scoutsman</t>
        </is>
      </c>
      <c r="D512" s="6" t="inlineStr">
        <is>
          <t>SpecialForcesInfantry</t>
        </is>
      </c>
      <c r="E512" s="6" t="n">
        <v>15000</v>
      </c>
      <c r="F512" s="6" t="n">
        <v>50</v>
      </c>
      <c r="G512" t="inlineStr">
        <is>
          <t>Flak</t>
        </is>
      </c>
      <c r="H512" s="6" t="n">
        <v>1</v>
      </c>
      <c r="I512" s="6" t="n">
        <v>1</v>
      </c>
      <c r="J512" s="6" t="n">
        <v>1</v>
      </c>
      <c r="K512" s="6" t="n">
        <v>1</v>
      </c>
      <c r="P512">
        <f>MAX(P513,P515)</f>
        <v/>
      </c>
      <c r="S512">
        <f>S513+S515</f>
        <v/>
      </c>
      <c r="T512">
        <f>(E512/100000+F512/100+(P512/1000)*J512/5+S512/200)*200*I512*H512</f>
        <v/>
      </c>
      <c r="U512">
        <f>((E512*F512/25000)+((P512/1000)*J512*S512/2.5))*I512*H512</f>
        <v/>
      </c>
      <c r="V512">
        <f>(E512*F512*(P512/1000)*J512*S512*I512*H512)/12500000</f>
        <v/>
      </c>
      <c r="W512">
        <f>(((E512/20000)+(F512/60)+(S512/60)+((P512/5000)*J512))*100/4+(((E512/20000)*(F512/60))+(((P512/5000)*J512)*(S512/60)))*100/2+((E512/20000)*(F512/60)*((P512/5000)*J512)*(S512/60))*100)*H512/3</f>
        <v/>
      </c>
      <c r="X512" s="6" t="n">
        <v>200</v>
      </c>
      <c r="Y512">
        <f>IFERROR(W512-X512,"")</f>
        <v/>
      </c>
      <c r="Z512">
        <f>IFERROR(ABS(Y512)/MAX(X512,1),"")</f>
        <v/>
      </c>
      <c r="AA512">
        <f>IFERROR(ROUND(((3*X512-(((E512/20000)+(F512/60)+(S512/60))*100/4+((E512/20000)*(F512/60))*100/2)*H512)/(100/4+((S512/60))*100/2+((E512/20000)*(F512/60)*(S512/60))*100)*H512*5000)/J512,-1),"")</f>
        <v/>
      </c>
    </row>
    <row r="513">
      <c r="B513" s="7" t="inlineStr">
        <is>
          <t xml:space="preserve">  ↳ japan_imperialscoutsman_rifle</t>
        </is>
      </c>
      <c r="C513" s="7" t="inlineStr">
        <is>
          <t>Armament@PRIMARY</t>
        </is>
      </c>
      <c r="L513" s="6" t="n">
        <v>2000</v>
      </c>
      <c r="M513" s="6" t="n">
        <v>50</v>
      </c>
      <c r="N513" s="6" t="n">
        <v>1</v>
      </c>
      <c r="O513" s="6" t="n"/>
      <c r="P513" s="6" t="n">
        <v>6000</v>
      </c>
      <c r="Q513" s="6" t="n">
        <v>1</v>
      </c>
      <c r="R513">
        <f>M513+IF(N513&gt;1,N(O513)*(N513-1),0)</f>
        <v/>
      </c>
      <c r="S513">
        <f>IFERROR(L513*MAX(N513,1)/R513*Q513*IF(ISBLANK(K512),1,K512),0)</f>
        <v/>
      </c>
      <c r="AB513" s="7" t="inlineStr">
        <is>
          <t>^RailgunWeapon, ^Chaingun, ^SmallArms</t>
        </is>
      </c>
    </row>
    <row r="514">
      <c r="B514" s="7" t="inlineStr">
        <is>
          <t xml:space="preserve">  ↳ japan_imperialscoutsman_rifle</t>
        </is>
      </c>
      <c r="C514" s="7" t="inlineStr">
        <is>
          <t>Armament@GARRISONED</t>
        </is>
      </c>
      <c r="L514" s="6" t="n">
        <v>2000</v>
      </c>
      <c r="M514" s="6" t="n">
        <v>50</v>
      </c>
      <c r="N514" s="6" t="n">
        <v>1</v>
      </c>
      <c r="O514" s="6" t="n"/>
      <c r="P514" s="6" t="n">
        <v>6000</v>
      </c>
      <c r="Q514" s="6" t="n">
        <v>1</v>
      </c>
      <c r="R514">
        <f>M514+IF(N514&gt;1,N(O514)*(N514-1),0)</f>
        <v/>
      </c>
      <c r="S514">
        <f>IFERROR(L514*MAX(N514,1)/R514*Q514*IF(ISBLANK(K512),1,K512),0)</f>
        <v/>
      </c>
      <c r="AB514" s="7" t="inlineStr">
        <is>
          <t>^RailgunWeapon, ^Chaingun, ^SmallArms</t>
        </is>
      </c>
    </row>
    <row r="515">
      <c r="B515" s="7" t="inlineStr">
        <is>
          <t xml:space="preserve">  ↳ japan_imperialscoutsman_rifle_waveforce</t>
        </is>
      </c>
      <c r="C515" s="7" t="inlineStr">
        <is>
          <t>Armament@Upgrade</t>
        </is>
      </c>
      <c r="L515" s="6" t="n">
        <v>2000</v>
      </c>
      <c r="M515" s="6" t="n">
        <v>50</v>
      </c>
      <c r="N515" s="6" t="n">
        <v>1</v>
      </c>
      <c r="O515" s="6" t="n"/>
      <c r="P515" s="6" t="n">
        <v>6000</v>
      </c>
      <c r="Q515" s="6" t="n">
        <v>1</v>
      </c>
      <c r="R515">
        <f>M515+IF(N515&gt;1,N(O515)*(N515-1),0)</f>
        <v/>
      </c>
      <c r="S515">
        <f>IFERROR(L515*MAX(N515,1)/R515*Q515*IF(ISBLANK(K512),1,K512),0)</f>
        <v/>
      </c>
      <c r="AB515" s="7" t="inlineStr">
        <is>
          <t>^WaveforceBulletWarhead, ^RailgunWeapon, ^Chaingun, ^SmallArms, ^WaveforceBulletProjectile</t>
        </is>
      </c>
    </row>
    <row r="516">
      <c r="B516" s="7" t="inlineStr">
        <is>
          <t xml:space="preserve">  ↳ japan_imperialscoutsman_rifle_waveforce</t>
        </is>
      </c>
      <c r="C516" s="7" t="inlineStr">
        <is>
          <t>Armament@UpgradeGARRISONED</t>
        </is>
      </c>
      <c r="L516" s="6" t="n">
        <v>2000</v>
      </c>
      <c r="M516" s="6" t="n">
        <v>50</v>
      </c>
      <c r="N516" s="6" t="n">
        <v>1</v>
      </c>
      <c r="O516" s="6" t="n"/>
      <c r="P516" s="6" t="n">
        <v>6000</v>
      </c>
      <c r="Q516" s="6" t="n">
        <v>1</v>
      </c>
      <c r="R516">
        <f>M516+IF(N516&gt;1,N(O516)*(N516-1),0)</f>
        <v/>
      </c>
      <c r="S516">
        <f>IFERROR(L516*MAX(N516,1)/R516*Q516*IF(ISBLANK(K512),1,K512),0)</f>
        <v/>
      </c>
      <c r="AB516" s="7" t="inlineStr">
        <is>
          <t>^WaveforceBulletWarhead, ^RailgunWeapon, ^Chaingun, ^SmallArms, ^WaveforceBulletProjectile</t>
        </is>
      </c>
    </row>
    <row r="517">
      <c r="A517" t="inlineStr">
        <is>
          <t>redalert2mod</t>
        </is>
      </c>
      <c r="B517" t="inlineStr">
        <is>
          <t>schwarzermond_lunarsoldier</t>
        </is>
      </c>
      <c r="C517" t="inlineStr">
        <is>
          <t>Lunar Soldier</t>
        </is>
      </c>
      <c r="D517" s="6" t="inlineStr">
        <is>
          <t>SpecialForcesInfantry</t>
        </is>
      </c>
      <c r="E517" s="6" t="n">
        <v>30000</v>
      </c>
      <c r="F517" s="6" t="n">
        <v>50</v>
      </c>
      <c r="G517" t="inlineStr">
        <is>
          <t>Flak</t>
        </is>
      </c>
      <c r="H517" s="6" t="n">
        <v>1</v>
      </c>
      <c r="I517" s="6" t="n">
        <v>0.5</v>
      </c>
      <c r="J517" s="6" t="n">
        <v>1</v>
      </c>
      <c r="K517" s="6" t="n">
        <v>1</v>
      </c>
      <c r="P517">
        <f>MAX(P518,P519,P520,P521,P522,P523)</f>
        <v/>
      </c>
      <c r="S517">
        <f>S518+S519+S520+S521+S522+S523</f>
        <v/>
      </c>
      <c r="T517">
        <f>(E517/100000+F517/100+(P517/1000)*J517/5+S517/200)*200*I517*H517</f>
        <v/>
      </c>
      <c r="U517">
        <f>((E517*F517/25000)+((P517/1000)*J517*S517/2.5))*I517*H517</f>
        <v/>
      </c>
      <c r="V517">
        <f>(E517*F517*(P517/1000)*J517*S517*I517*H517)/12500000</f>
        <v/>
      </c>
      <c r="W517">
        <f>(((E517/15000)+(F517/50)+(S517/120)+((P517/6000)*J517))*200/4+(((E517/15000)*(F517/50))+(((P517/6000)*J517)*(S517/120)))*200/2+((E517/15000)*(F517/50)*((P517/6000)*J517)*(S517/120))*200)*H517/3</f>
        <v/>
      </c>
      <c r="X517" s="6" t="n">
        <v>500</v>
      </c>
      <c r="Y517">
        <f>IFERROR(W517-X517,"")</f>
        <v/>
      </c>
      <c r="Z517">
        <f>IFERROR(ABS(Y517)/MAX(X517,1),"")</f>
        <v/>
      </c>
      <c r="AA517">
        <f>IFERROR(ROUND(((3*X517-(((E517/15000)+(F517/50)+(S517/120))*200/4+((E517/15000)*(F517/50))*200/2)*H517)/(200/4+((S517/120))*200/2+((E517/15000)*(F517/50)*(S517/120))*200)*H517*6000)/J517,-1),"")</f>
        <v/>
      </c>
    </row>
    <row r="518">
      <c r="B518" s="7" t="inlineStr">
        <is>
          <t xml:space="preserve">  ↳ schwarzermond_lunarsoldier_rifle</t>
        </is>
      </c>
      <c r="C518" s="7" t="inlineStr">
        <is>
          <t>Armament@PRIMARY</t>
        </is>
      </c>
      <c r="L518" s="6" t="n">
        <v>4000</v>
      </c>
      <c r="M518" s="6" t="n">
        <v>50</v>
      </c>
      <c r="N518" s="6" t="n">
        <v>1</v>
      </c>
      <c r="O518" s="6" t="n"/>
      <c r="P518" s="6" t="n">
        <v>6000</v>
      </c>
      <c r="Q518" s="6" t="n">
        <v>1</v>
      </c>
      <c r="R518">
        <f>M518+IF(N518&gt;1,N(O518)*(N518-1),0)</f>
        <v/>
      </c>
      <c r="S518">
        <f>IFERROR(L518*MAX(N518,1)/R518*Q518*IF(ISBLANK(K517),1,K517),0)</f>
        <v/>
      </c>
      <c r="AB518" s="7" t="inlineStr">
        <is>
          <t>^SmallArms, ^Chaingun, ^RA2LaserWeapon</t>
        </is>
      </c>
    </row>
    <row r="519">
      <c r="B519" s="7" t="inlineStr">
        <is>
          <t xml:space="preserve">  ↳ schwarzermond_lunarsoldier_rifle_elite</t>
        </is>
      </c>
      <c r="C519" s="7" t="inlineStr">
        <is>
          <t>Armament@ELITE</t>
        </is>
      </c>
      <c r="L519" s="6" t="n">
        <v>4000</v>
      </c>
      <c r="M519" s="6" t="n">
        <v>50</v>
      </c>
      <c r="N519" s="6" t="n">
        <v>2</v>
      </c>
      <c r="O519" s="6" t="n">
        <v>3</v>
      </c>
      <c r="P519" s="6" t="n">
        <v>5500</v>
      </c>
      <c r="Q519" s="6" t="n">
        <v>1</v>
      </c>
      <c r="R519">
        <f>M519+IF(N519&gt;1,N(O519)*(N519-1),0)</f>
        <v/>
      </c>
      <c r="S519">
        <f>IFERROR(L519*MAX(N519,1)/R519*Q519*IF(ISBLANK(K517),1,K517),0)</f>
        <v/>
      </c>
      <c r="AB519" s="7" t="inlineStr">
        <is>
          <t>^SmallArms, ^Chaingun, ^RA2LaserWeapon</t>
        </is>
      </c>
    </row>
    <row r="520">
      <c r="B520" s="7" t="inlineStr">
        <is>
          <t xml:space="preserve">  ↳ schwarzermond_lunarsoldier_rifle_yellow</t>
        </is>
      </c>
      <c r="C520" s="7" t="inlineStr">
        <is>
          <t>Armament@PRIMARY_UP</t>
        </is>
      </c>
      <c r="L520" s="6" t="n">
        <v>4000</v>
      </c>
      <c r="M520" s="6" t="n">
        <v>50</v>
      </c>
      <c r="N520" s="6" t="n">
        <v>2</v>
      </c>
      <c r="O520" s="6" t="n">
        <v>3</v>
      </c>
      <c r="P520" s="6" t="n">
        <v>6000</v>
      </c>
      <c r="Q520" s="6" t="n">
        <v>1</v>
      </c>
      <c r="R520">
        <f>M520+IF(N520&gt;1,N(O520)*(N520-1),0)</f>
        <v/>
      </c>
      <c r="S520">
        <f>IFERROR(L520*MAX(N520,1)/R520*Q520*IF(ISBLANK(K517),1,K517),0)</f>
        <v/>
      </c>
      <c r="AB520" s="7" t="inlineStr">
        <is>
          <t>^SmallArms, ^Chaingun, ^RA2LaserWeapon</t>
        </is>
      </c>
    </row>
    <row r="521">
      <c r="B521" s="7" t="inlineStr">
        <is>
          <t xml:space="preserve">  ↳ schwarzermond_lunarsoldier_rifle_yellow_elite</t>
        </is>
      </c>
      <c r="C521" s="7" t="inlineStr">
        <is>
          <t>Armament@ELITE_UP</t>
        </is>
      </c>
      <c r="L521" s="6" t="n">
        <v>4000</v>
      </c>
      <c r="M521" s="6" t="n">
        <v>50</v>
      </c>
      <c r="N521" s="6" t="n">
        <v>4</v>
      </c>
      <c r="O521" s="6" t="n">
        <v>3</v>
      </c>
      <c r="P521" s="6" t="n">
        <v>5500</v>
      </c>
      <c r="Q521" s="6" t="n">
        <v>1</v>
      </c>
      <c r="R521">
        <f>M521+IF(N521&gt;1,N(O521)*(N521-1),0)</f>
        <v/>
      </c>
      <c r="S521">
        <f>IFERROR(L521*MAX(N521,1)/R521*Q521*IF(ISBLANK(K517),1,K517),0)</f>
        <v/>
      </c>
      <c r="AB521" s="7" t="inlineStr">
        <is>
          <t>^SmallArms, ^Chaingun, ^RA2LaserWeapon</t>
        </is>
      </c>
    </row>
    <row r="522">
      <c r="B522" s="7" t="inlineStr">
        <is>
          <t xml:space="preserve">  ↳ schwarzermond_lunarsoldier_rifle_amplified</t>
        </is>
      </c>
      <c r="C522" s="7" t="inlineStr">
        <is>
          <t>Armament@PRIMARY_AMP</t>
        </is>
      </c>
      <c r="L522" s="6" t="n">
        <v>4000</v>
      </c>
      <c r="M522" s="6" t="n">
        <v>50</v>
      </c>
      <c r="N522" s="6" t="n">
        <v>3</v>
      </c>
      <c r="O522" s="6" t="n">
        <v>3</v>
      </c>
      <c r="P522" s="6" t="n">
        <v>6000</v>
      </c>
      <c r="Q522" s="6" t="n">
        <v>1</v>
      </c>
      <c r="R522">
        <f>M522+IF(N522&gt;1,N(O522)*(N522-1),0)</f>
        <v/>
      </c>
      <c r="S522">
        <f>IFERROR(L522*MAX(N522,1)/R522*Q522*IF(ISBLANK(K517),1,K517),0)</f>
        <v/>
      </c>
      <c r="AB522" s="7" t="inlineStr">
        <is>
          <t>^SmallArms, ^Chaingun, ^RA2LaserWeapon</t>
        </is>
      </c>
    </row>
    <row r="523">
      <c r="B523" s="7" t="inlineStr">
        <is>
          <t xml:space="preserve">  ↳ schwarzermond_lunarsoldier_rifle_amplified_elite</t>
        </is>
      </c>
      <c r="C523" s="7" t="inlineStr">
        <is>
          <t>Armament@ELITE_AMP</t>
        </is>
      </c>
      <c r="L523" s="6" t="n">
        <v>4000</v>
      </c>
      <c r="M523" s="6" t="n">
        <v>50</v>
      </c>
      <c r="N523" s="6" t="n">
        <v>6</v>
      </c>
      <c r="O523" s="6" t="n">
        <v>3</v>
      </c>
      <c r="P523" s="6" t="n">
        <v>5500</v>
      </c>
      <c r="Q523" s="6" t="n">
        <v>1</v>
      </c>
      <c r="R523">
        <f>M523+IF(N523&gt;1,N(O523)*(N523-1),0)</f>
        <v/>
      </c>
      <c r="S523">
        <f>IFERROR(L523*MAX(N523,1)/R523*Q523*IF(ISBLANK(K517),1,K517),0)</f>
        <v/>
      </c>
      <c r="AB523" s="7" t="inlineStr">
        <is>
          <t>^SmallArms, ^Chaingun, ^RA2LaserWeapon</t>
        </is>
      </c>
    </row>
    <row r="524">
      <c r="B524" s="7" t="inlineStr">
        <is>
          <t xml:space="preserve">  ↳ schwarzermond_lunarsoldier_rifle</t>
        </is>
      </c>
      <c r="C524" s="7" t="inlineStr">
        <is>
          <t>Armament@GARRISONED</t>
        </is>
      </c>
      <c r="L524" s="6" t="n">
        <v>4000</v>
      </c>
      <c r="M524" s="6" t="n">
        <v>50</v>
      </c>
      <c r="N524" s="6" t="n">
        <v>1</v>
      </c>
      <c r="O524" s="6" t="n"/>
      <c r="P524" s="6" t="n">
        <v>6000</v>
      </c>
      <c r="Q524" s="6" t="n">
        <v>1</v>
      </c>
      <c r="R524">
        <f>M524+IF(N524&gt;1,N(O524)*(N524-1),0)</f>
        <v/>
      </c>
      <c r="S524">
        <f>IFERROR(L524*MAX(N524,1)/R524*Q524*IF(ISBLANK(K517),1,K517),0)</f>
        <v/>
      </c>
      <c r="AB524" s="7" t="inlineStr">
        <is>
          <t>^SmallArms, ^Chaingun, ^RA2LaserWeapon</t>
        </is>
      </c>
    </row>
    <row r="525">
      <c r="B525" s="7" t="inlineStr">
        <is>
          <t xml:space="preserve">  ↳ schwarzermond_lunarsoldier_rifle_elite</t>
        </is>
      </c>
      <c r="C525" s="7" t="inlineStr">
        <is>
          <t>Armament@GARRISONEDELITE</t>
        </is>
      </c>
      <c r="L525" s="6" t="n">
        <v>4000</v>
      </c>
      <c r="M525" s="6" t="n">
        <v>50</v>
      </c>
      <c r="N525" s="6" t="n">
        <v>2</v>
      </c>
      <c r="O525" s="6" t="n">
        <v>3</v>
      </c>
      <c r="P525" s="6" t="n">
        <v>5500</v>
      </c>
      <c r="Q525" s="6" t="n">
        <v>1</v>
      </c>
      <c r="R525">
        <f>M525+IF(N525&gt;1,N(O525)*(N525-1),0)</f>
        <v/>
      </c>
      <c r="S525">
        <f>IFERROR(L525*MAX(N525,1)/R525*Q525*IF(ISBLANK(K517),1,K517),0)</f>
        <v/>
      </c>
      <c r="AB525" s="7" t="inlineStr">
        <is>
          <t>^SmallArms, ^Chaingun, ^RA2LaserWeapon</t>
        </is>
      </c>
    </row>
    <row r="526">
      <c r="B526" s="7" t="inlineStr">
        <is>
          <t xml:space="preserve">  ↳ schwarzermond_lunarsoldier_rifle_yellow</t>
        </is>
      </c>
      <c r="C526" s="7" t="inlineStr">
        <is>
          <t>Armament@GARRISONED_UP</t>
        </is>
      </c>
      <c r="L526" s="6" t="n">
        <v>4000</v>
      </c>
      <c r="M526" s="6" t="n">
        <v>50</v>
      </c>
      <c r="N526" s="6" t="n">
        <v>2</v>
      </c>
      <c r="O526" s="6" t="n">
        <v>3</v>
      </c>
      <c r="P526" s="6" t="n">
        <v>6000</v>
      </c>
      <c r="Q526" s="6" t="n">
        <v>1</v>
      </c>
      <c r="R526">
        <f>M526+IF(N526&gt;1,N(O526)*(N526-1),0)</f>
        <v/>
      </c>
      <c r="S526">
        <f>IFERROR(L526*MAX(N526,1)/R526*Q526*IF(ISBLANK(K517),1,K517),0)</f>
        <v/>
      </c>
      <c r="AB526" s="7" t="inlineStr">
        <is>
          <t>^SmallArms, ^Chaingun, ^RA2LaserWeapon</t>
        </is>
      </c>
    </row>
    <row r="527">
      <c r="B527" s="7" t="inlineStr">
        <is>
          <t xml:space="preserve">  ↳ schwarzermond_lunarsoldier_rifle_yellow_elite</t>
        </is>
      </c>
      <c r="C527" s="7" t="inlineStr">
        <is>
          <t>Armament@GARRISONEDELITE_UP</t>
        </is>
      </c>
      <c r="L527" s="6" t="n">
        <v>4000</v>
      </c>
      <c r="M527" s="6" t="n">
        <v>50</v>
      </c>
      <c r="N527" s="6" t="n">
        <v>4</v>
      </c>
      <c r="O527" s="6" t="n">
        <v>3</v>
      </c>
      <c r="P527" s="6" t="n">
        <v>5500</v>
      </c>
      <c r="Q527" s="6" t="n">
        <v>1</v>
      </c>
      <c r="R527">
        <f>M527+IF(N527&gt;1,N(O527)*(N527-1),0)</f>
        <v/>
      </c>
      <c r="S527">
        <f>IFERROR(L527*MAX(N527,1)/R527*Q527*IF(ISBLANK(K517),1,K517),0)</f>
        <v/>
      </c>
      <c r="AB527" s="7" t="inlineStr">
        <is>
          <t>^SmallArms, ^Chaingun, ^RA2LaserWeapon</t>
        </is>
      </c>
    </row>
    <row r="528">
      <c r="B528" s="7" t="inlineStr">
        <is>
          <t xml:space="preserve">  ↳ schwarzermond_lunarsoldier_rifle_amplified</t>
        </is>
      </c>
      <c r="C528" s="7" t="inlineStr">
        <is>
          <t>Armament@GARRISONED_AMP</t>
        </is>
      </c>
      <c r="L528" s="6" t="n">
        <v>4000</v>
      </c>
      <c r="M528" s="6" t="n">
        <v>50</v>
      </c>
      <c r="N528" s="6" t="n">
        <v>3</v>
      </c>
      <c r="O528" s="6" t="n">
        <v>3</v>
      </c>
      <c r="P528" s="6" t="n">
        <v>6000</v>
      </c>
      <c r="Q528" s="6" t="n">
        <v>1</v>
      </c>
      <c r="R528">
        <f>M528+IF(N528&gt;1,N(O528)*(N528-1),0)</f>
        <v/>
      </c>
      <c r="S528">
        <f>IFERROR(L528*MAX(N528,1)/R528*Q528*IF(ISBLANK(K517),1,K517),0)</f>
        <v/>
      </c>
      <c r="AB528" s="7" t="inlineStr">
        <is>
          <t>^SmallArms, ^Chaingun, ^RA2LaserWeapon</t>
        </is>
      </c>
    </row>
    <row r="529">
      <c r="B529" s="7" t="inlineStr">
        <is>
          <t xml:space="preserve">  ↳ schwarzermond_lunarsoldier_rifle_amplified_elite</t>
        </is>
      </c>
      <c r="C529" s="7" t="inlineStr">
        <is>
          <t>Armament@GARRISONEDELITE_AMP</t>
        </is>
      </c>
      <c r="L529" s="6" t="n">
        <v>4000</v>
      </c>
      <c r="M529" s="6" t="n">
        <v>50</v>
      </c>
      <c r="N529" s="6" t="n">
        <v>6</v>
      </c>
      <c r="O529" s="6" t="n">
        <v>3</v>
      </c>
      <c r="P529" s="6" t="n">
        <v>5500</v>
      </c>
      <c r="Q529" s="6" t="n">
        <v>1</v>
      </c>
      <c r="R529">
        <f>M529+IF(N529&gt;1,N(O529)*(N529-1),0)</f>
        <v/>
      </c>
      <c r="S529">
        <f>IFERROR(L529*MAX(N529,1)/R529*Q529*IF(ISBLANK(K517),1,K517),0)</f>
        <v/>
      </c>
      <c r="AB529" s="7" t="inlineStr">
        <is>
          <t>^SmallArms, ^Chaingun, ^RA2LaserWeapon</t>
        </is>
      </c>
    </row>
    <row r="530">
      <c r="A530" t="inlineStr">
        <is>
          <t>redalert2mod</t>
        </is>
      </c>
      <c r="B530" t="inlineStr">
        <is>
          <t>tkm_trooper</t>
        </is>
      </c>
      <c r="C530" t="inlineStr">
        <is>
          <t>Trooper</t>
        </is>
      </c>
      <c r="D530" s="6" t="inlineStr">
        <is>
          <t>SpecialForcesInfantry</t>
        </is>
      </c>
      <c r="E530" s="6" t="n">
        <v>32000</v>
      </c>
      <c r="F530" s="6" t="n">
        <v>60</v>
      </c>
      <c r="G530" t="inlineStr">
        <is>
          <t>Flak</t>
        </is>
      </c>
      <c r="H530" s="6" t="n">
        <v>1</v>
      </c>
      <c r="I530" s="6" t="n">
        <v>1</v>
      </c>
      <c r="J530" s="6" t="n">
        <v>1</v>
      </c>
      <c r="K530" s="6" t="n">
        <v>0.4</v>
      </c>
      <c r="P530">
        <f>MAX(P531,P533)</f>
        <v/>
      </c>
      <c r="S530">
        <f>S531+S533</f>
        <v/>
      </c>
      <c r="T530">
        <f>(E530/100000+F530/100+(P530/1000)*J530/5+S530/200)*200*I530*H530</f>
        <v/>
      </c>
      <c r="U530">
        <f>((E530*F530/25000)+((P530/1000)*J530*S530/2.5))*I530*H530</f>
        <v/>
      </c>
      <c r="V530">
        <f>(E530*F530*(P530/1000)*J530*S530*I530*H530)/12500000</f>
        <v/>
      </c>
      <c r="W530">
        <f>(((E530/15000)+(F530/50)+(S530/120)+((P530/6000)*J530))*200/4+(((E530/15000)*(F530/50))+(((P530/6000)*J530)*(S530/120)))*200/2+((E530/15000)*(F530/50)*((P530/6000)*J530)*(S530/120))*200)*H530/3</f>
        <v/>
      </c>
      <c r="X530" s="6" t="n">
        <v>350</v>
      </c>
      <c r="Y530">
        <f>IFERROR(W530-X530,"")</f>
        <v/>
      </c>
      <c r="Z530">
        <f>IFERROR(ABS(Y530)/MAX(X530,1),"")</f>
        <v/>
      </c>
      <c r="AA530">
        <f>IFERROR(ROUND(((3*X530-(((E530/15000)+(F530/50)+(S530/120))*200/4+((E530/15000)*(F530/50))*200/2)*H530)/(200/4+((S530/120))*200/2+((E530/15000)*(F530/50)*(S530/120))*200)*H530*6000)/J530,-1),"")</f>
        <v/>
      </c>
    </row>
    <row r="531">
      <c r="B531" s="7" t="inlineStr">
        <is>
          <t xml:space="preserve">  ↳ tkm_trooper_ak</t>
        </is>
      </c>
      <c r="C531" s="7" t="inlineStr">
        <is>
          <t>Armament@PRIMARY</t>
        </is>
      </c>
      <c r="L531" s="6" t="n">
        <v>2000</v>
      </c>
      <c r="M531" s="6" t="n">
        <v>31</v>
      </c>
      <c r="N531" s="6" t="n">
        <v>5</v>
      </c>
      <c r="O531" s="6" t="n">
        <v>1</v>
      </c>
      <c r="P531" s="6" t="n">
        <v>5500</v>
      </c>
      <c r="Q531" s="6" t="n">
        <v>1</v>
      </c>
      <c r="R531">
        <f>M531+IF(N531&gt;1,N(O531)*(N531-1),0)</f>
        <v/>
      </c>
      <c r="S531">
        <f>IFERROR(L531*MAX(N531,1)/R531*Q531*IF(ISBLANK(K530),1,K530),0)</f>
        <v/>
      </c>
      <c r="AB531" s="7" t="inlineStr">
        <is>
          <t>^SmallArms</t>
        </is>
      </c>
    </row>
    <row r="532">
      <c r="B532" s="7" t="inlineStr">
        <is>
          <t xml:space="preserve">  ↳ tkm_trooper_ak</t>
        </is>
      </c>
      <c r="C532" s="7" t="inlineStr">
        <is>
          <t>Armament@GARRISONED</t>
        </is>
      </c>
      <c r="L532" s="6" t="n">
        <v>2000</v>
      </c>
      <c r="M532" s="6" t="n">
        <v>31</v>
      </c>
      <c r="N532" s="6" t="n">
        <v>5</v>
      </c>
      <c r="O532" s="6" t="n">
        <v>1</v>
      </c>
      <c r="P532" s="6" t="n">
        <v>5500</v>
      </c>
      <c r="Q532" s="6" t="n">
        <v>1</v>
      </c>
      <c r="R532">
        <f>M532+IF(N532&gt;1,N(O532)*(N532-1),0)</f>
        <v/>
      </c>
      <c r="S532">
        <f>IFERROR(L532*MAX(N532,1)/R532*Q532*IF(ISBLANK(K530),1,K530),0)</f>
        <v/>
      </c>
      <c r="AB532" s="7" t="inlineStr">
        <is>
          <t>^SmallArms</t>
        </is>
      </c>
    </row>
    <row r="533">
      <c r="B533" s="7" t="inlineStr">
        <is>
          <t xml:space="preserve">  ↳ tkm_trooper_gp25</t>
        </is>
      </c>
      <c r="C533" s="7" t="inlineStr">
        <is>
          <t>Armament@gp25</t>
        </is>
      </c>
      <c r="L533" s="6" t="n">
        <v>6000</v>
      </c>
      <c r="M533" s="6" t="n">
        <v>80</v>
      </c>
      <c r="N533" s="6" t="n">
        <v>1</v>
      </c>
      <c r="O533" s="6" t="n"/>
      <c r="P533" s="6" t="n">
        <v>5500</v>
      </c>
      <c r="Q533" s="6" t="n">
        <v>1</v>
      </c>
      <c r="R533">
        <f>M533+IF(N533&gt;1,N(O533)*(N533-1),0)</f>
        <v/>
      </c>
      <c r="S533">
        <f>IFERROR(L533*MAX(N533,1)/R533*Q533*IF(ISBLANK(K530),1,K530),0)</f>
        <v/>
      </c>
      <c r="AB533" s="7" t="inlineStr">
        <is>
          <t>^Grenade, ^LightFlameWeapon</t>
        </is>
      </c>
    </row>
    <row r="534">
      <c r="B534" s="7" t="inlineStr">
        <is>
          <t xml:space="preserve">  ↳ tkm_trooper_gp25</t>
        </is>
      </c>
      <c r="C534" s="7" t="inlineStr">
        <is>
          <t>Armament@GARRISONEDM203</t>
        </is>
      </c>
      <c r="L534" s="6" t="n">
        <v>6000</v>
      </c>
      <c r="M534" s="6" t="n">
        <v>80</v>
      </c>
      <c r="N534" s="6" t="n">
        <v>1</v>
      </c>
      <c r="O534" s="6" t="n"/>
      <c r="P534" s="6" t="n">
        <v>5500</v>
      </c>
      <c r="Q534" s="6" t="n">
        <v>1</v>
      </c>
      <c r="R534">
        <f>M534+IF(N534&gt;1,N(O534)*(N534-1),0)</f>
        <v/>
      </c>
      <c r="S534">
        <f>IFERROR(L534*MAX(N534,1)/R534*Q534*IF(ISBLANK(K530),1,K530),0)</f>
        <v/>
      </c>
      <c r="AB534" s="7" t="inlineStr">
        <is>
          <t>^Grenade, ^LightFlameWeapon</t>
        </is>
      </c>
    </row>
    <row r="535">
      <c r="A535" s="4" t="inlineStr">
        <is>
          <t>HeavyInfantry</t>
        </is>
      </c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</row>
    <row r="536">
      <c r="A536" t="inlineStr">
        <is>
          <t>tiberiandawn</t>
        </is>
      </c>
      <c r="B536" t="inlineStr">
        <is>
          <t>td_gdi_officer</t>
        </is>
      </c>
      <c r="C536" t="inlineStr">
        <is>
          <t>GDI Officer</t>
        </is>
      </c>
      <c r="D536" s="6" t="inlineStr">
        <is>
          <t>HeavyInfantry</t>
        </is>
      </c>
      <c r="E536" s="6" t="n">
        <v>32000</v>
      </c>
      <c r="F536" s="6" t="n">
        <v>80</v>
      </c>
      <c r="G536" t="inlineStr">
        <is>
          <t>Plate</t>
        </is>
      </c>
      <c r="H536" s="6" t="n">
        <v>1</v>
      </c>
      <c r="I536" s="6" t="n">
        <v>0.8</v>
      </c>
      <c r="J536" s="6" t="n">
        <v>1.25</v>
      </c>
      <c r="K536" s="6" t="n"/>
      <c r="P536">
        <f>MAX(P537,P539)</f>
        <v/>
      </c>
      <c r="S536">
        <f>S537+S539</f>
        <v/>
      </c>
      <c r="T536">
        <f>(E536/100000+F536/100+(P536/1000)*J536/5+S536/200)*200*I536*H536</f>
        <v/>
      </c>
      <c r="U536">
        <f>((E536*F536/25000)+((P536/1000)*J536*S536/2.5))*I536*H536</f>
        <v/>
      </c>
      <c r="V536">
        <f>(E536*F536*(P536/1000)*J536*S536*I536*H536)/12500000</f>
        <v/>
      </c>
      <c r="W536">
        <f>(T536+U536+V536)/3</f>
        <v/>
      </c>
      <c r="X536" s="6" t="n">
        <v>700</v>
      </c>
      <c r="Y536">
        <f>IFERROR(W536-X536,"")</f>
        <v/>
      </c>
      <c r="Z536">
        <f>IFERROR(ABS(Y536)/MAX(X536,1),"")</f>
        <v/>
      </c>
      <c r="AA536">
        <f>IFERROR((X536-(((E536/100000+F536/100+S536/200)*200*I536*H536)+((E536*F536/25000)*I536*H536))/3)/(((J536/5)*200*I536*H536)+((J536*S536/2.5)*I536*H536)+((E536*F536*J536*S536*I536*H536)/12500000))/3*1000,"")</f>
        <v/>
      </c>
    </row>
    <row r="537">
      <c r="B537" s="7" t="inlineStr">
        <is>
          <t xml:space="preserve">  ↳ OfficerMachineGun</t>
        </is>
      </c>
      <c r="C537" s="7" t="inlineStr">
        <is>
          <t>Armament@PRIMARY</t>
        </is>
      </c>
      <c r="L537" s="6" t="n">
        <v>2000</v>
      </c>
      <c r="M537" s="6" t="n">
        <v>20</v>
      </c>
      <c r="N537" s="6" t="n">
        <v>4</v>
      </c>
      <c r="O537" s="6" t="n">
        <v>4</v>
      </c>
      <c r="P537" s="6" t="n">
        <v>4888</v>
      </c>
      <c r="Q537" s="6" t="n">
        <v>0.875</v>
      </c>
      <c r="R537">
        <f>M537+IF(N537&gt;1,N(O537)*(N537-1),0)</f>
        <v/>
      </c>
      <c r="S537">
        <f>IFERROR(L537*MAX(N537,1)/R537*Q537*IF(ISBLANK(K536),1,K536),0)</f>
        <v/>
      </c>
      <c r="AB537" s="7" t="inlineStr">
        <is>
          <t>^SmallArms, ^Chaingun</t>
        </is>
      </c>
    </row>
    <row r="538">
      <c r="B538" s="7" t="inlineStr">
        <is>
          <t xml:space="preserve">  ↳ OfficerMachineGun</t>
        </is>
      </c>
      <c r="C538" s="7" t="inlineStr">
        <is>
          <t>Armament@GARRISONED</t>
        </is>
      </c>
      <c r="L538" s="6" t="n">
        <v>2000</v>
      </c>
      <c r="M538" s="6" t="n">
        <v>20</v>
      </c>
      <c r="N538" s="6" t="n">
        <v>4</v>
      </c>
      <c r="O538" s="6" t="n">
        <v>4</v>
      </c>
      <c r="P538" s="6" t="n">
        <v>4888</v>
      </c>
      <c r="Q538" s="6" t="n">
        <v>0.875</v>
      </c>
      <c r="R538">
        <f>M538+IF(N538&gt;1,N(O538)*(N538-1),0)</f>
        <v/>
      </c>
      <c r="S538">
        <f>IFERROR(L538*MAX(N538,1)/R538*Q538*IF(ISBLANK(K536),1,K536),0)</f>
        <v/>
      </c>
      <c r="AB538" s="7" t="inlineStr">
        <is>
          <t>^SmallArms, ^Chaingun</t>
        </is>
      </c>
    </row>
    <row r="539">
      <c r="B539" s="7" t="inlineStr">
        <is>
          <t xml:space="preserve">  ↳ OfficerMachineGunAP</t>
        </is>
      </c>
      <c r="C539" s="7" t="inlineStr">
        <is>
          <t>Armament@Upgrade</t>
        </is>
      </c>
      <c r="L539" s="6" t="n">
        <v>4000</v>
      </c>
      <c r="M539" s="6" t="n">
        <v>20</v>
      </c>
      <c r="N539" s="6" t="n">
        <v>4</v>
      </c>
      <c r="O539" s="6" t="n">
        <v>4</v>
      </c>
      <c r="P539" s="6" t="n">
        <v>4888</v>
      </c>
      <c r="Q539" s="6" t="n">
        <v>1</v>
      </c>
      <c r="R539">
        <f>M539+IF(N539&gt;1,N(O539)*(N539-1),0)</f>
        <v/>
      </c>
      <c r="S539">
        <f>IFERROR(L539*MAX(N539,1)/R539*Q539*IF(ISBLANK(K536),1,K536),0)</f>
        <v/>
      </c>
      <c r="AB539" s="7" t="inlineStr">
        <is>
          <t>^Chaingun</t>
        </is>
      </c>
    </row>
    <row r="540">
      <c r="B540" s="7" t="inlineStr">
        <is>
          <t xml:space="preserve">  ↳ OfficerMachineGunAP</t>
        </is>
      </c>
      <c r="C540" s="7" t="inlineStr">
        <is>
          <t>Armament@UpgradeGARRISONED</t>
        </is>
      </c>
      <c r="L540" s="6" t="n">
        <v>4000</v>
      </c>
      <c r="M540" s="6" t="n">
        <v>20</v>
      </c>
      <c r="N540" s="6" t="n">
        <v>4</v>
      </c>
      <c r="O540" s="6" t="n">
        <v>4</v>
      </c>
      <c r="P540" s="6" t="n">
        <v>4888</v>
      </c>
      <c r="Q540" s="6" t="n">
        <v>1</v>
      </c>
      <c r="R540">
        <f>M540+IF(N540&gt;1,N(O540)*(N540-1),0)</f>
        <v/>
      </c>
      <c r="S540">
        <f>IFERROR(L540*MAX(N540,1)/R540*Q540*IF(ISBLANK(K536),1,K536),0)</f>
        <v/>
      </c>
      <c r="AB540" s="7" t="inlineStr">
        <is>
          <t>^Chaingun</t>
        </is>
      </c>
    </row>
    <row r="541">
      <c r="A541" t="inlineStr">
        <is>
          <t>tiberiandawn</t>
        </is>
      </c>
      <c r="B541" t="inlineStr">
        <is>
          <t>td_gdi_sonicmissilesoldier</t>
        </is>
      </c>
      <c r="C541" t="inlineStr">
        <is>
          <t>Sonic Missile Soldier</t>
        </is>
      </c>
      <c r="D541" s="6" t="inlineStr">
        <is>
          <t>HeavyInfantry</t>
        </is>
      </c>
      <c r="E541" s="6" t="n">
        <v>25000</v>
      </c>
      <c r="F541" s="6" t="n">
        <v>50</v>
      </c>
      <c r="G541" t="inlineStr">
        <is>
          <t>Plate</t>
        </is>
      </c>
      <c r="H541" s="6" t="n">
        <v>1</v>
      </c>
      <c r="I541" s="6" t="n">
        <v>0.5</v>
      </c>
      <c r="J541" s="6" t="n">
        <v>1</v>
      </c>
      <c r="K541" s="6" t="n"/>
      <c r="P541">
        <f>MAX(P542)</f>
        <v/>
      </c>
      <c r="S541">
        <f>S542</f>
        <v/>
      </c>
      <c r="T541">
        <f>(E541/100000+F541/100+(P541/1000)*J541/5+S541/200)*200*I541*H541</f>
        <v/>
      </c>
      <c r="U541">
        <f>((E541*F541/25000)+((P541/1000)*J541*S541/2.5))*I541*H541</f>
        <v/>
      </c>
      <c r="V541">
        <f>(E541*F541*(P541/1000)*J541*S541*I541*H541)/12500000</f>
        <v/>
      </c>
      <c r="W541">
        <f>(T541+U541+V541)/3</f>
        <v/>
      </c>
      <c r="X541" s="6" t="n">
        <v>400</v>
      </c>
      <c r="Y541">
        <f>IFERROR(W541-X541,"")</f>
        <v/>
      </c>
      <c r="Z541">
        <f>IFERROR(ABS(Y541)/MAX(X541,1),"")</f>
        <v/>
      </c>
      <c r="AA541">
        <f>IFERROR((X541-(((E541/100000+F541/100+S541/200)*200*I541*H541)+((E541*F541/25000)*I541*H541))/3)/(((J541/5)*200*I541*H541)+((J541*S541/2.5)*I541*H541)+((E541*F541*J541*S541*I541*H541)/12500000))/3*1000,"")</f>
        <v/>
      </c>
    </row>
    <row r="542">
      <c r="B542" s="7" t="inlineStr">
        <is>
          <t xml:space="preserve">  ↳ MissileSoldierWeapon</t>
        </is>
      </c>
      <c r="C542" s="7" t="inlineStr">
        <is>
          <t>Armament@PRIMARY</t>
        </is>
      </c>
      <c r="L542" s="6" t="n">
        <v>10000</v>
      </c>
      <c r="M542" s="6" t="n">
        <v>125</v>
      </c>
      <c r="N542" s="6" t="n">
        <v>1</v>
      </c>
      <c r="O542" s="6" t="n"/>
      <c r="P542" s="6" t="n">
        <v>7500</v>
      </c>
      <c r="Q542" s="6" t="n">
        <v>1.0625</v>
      </c>
      <c r="R542">
        <f>M542+IF(N542&gt;1,N(O542)*(N542-1),0)</f>
        <v/>
      </c>
      <c r="S542">
        <f>IFERROR(L542*MAX(N542,1)/R542*Q542*IF(ISBLANK(K541),1,K541),0)</f>
        <v/>
      </c>
      <c r="AB542" s="7" t="inlineStr">
        <is>
          <t>^TankDestroyerCannon, ^LightChemicalWeapon, ^ShrapnelWeapon, ^RailgunWeapon, ^HeavyMissile</t>
        </is>
      </c>
    </row>
    <row r="543">
      <c r="B543" s="7" t="inlineStr">
        <is>
          <t xml:space="preserve">  ↳ MissileSoldierWeapon</t>
        </is>
      </c>
      <c r="C543" s="7" t="inlineStr">
        <is>
          <t>Armament@GARRISONED</t>
        </is>
      </c>
      <c r="L543" s="6" t="n">
        <v>10000</v>
      </c>
      <c r="M543" s="6" t="n">
        <v>125</v>
      </c>
      <c r="N543" s="6" t="n">
        <v>1</v>
      </c>
      <c r="O543" s="6" t="n"/>
      <c r="P543" s="6" t="n">
        <v>7500</v>
      </c>
      <c r="Q543" s="6" t="n">
        <v>1.0625</v>
      </c>
      <c r="R543">
        <f>M543+IF(N543&gt;1,N(O543)*(N543-1),0)</f>
        <v/>
      </c>
      <c r="S543">
        <f>IFERROR(L543*MAX(N543,1)/R543*Q543*IF(ISBLANK(K541),1,K541),0)</f>
        <v/>
      </c>
      <c r="AB543" s="7" t="inlineStr">
        <is>
          <t>^TankDestroyerCannon, ^LightChemicalWeapon, ^ShrapnelWeapon, ^RailgunWeapon, ^HeavyMissile</t>
        </is>
      </c>
    </row>
    <row r="544">
      <c r="A544" t="inlineStr">
        <is>
          <t>tiberiandawn</t>
        </is>
      </c>
      <c r="B544" t="inlineStr">
        <is>
          <t>td_nod_blackhandflamer</t>
        </is>
      </c>
      <c r="C544" t="inlineStr">
        <is>
          <t>Black Hand Flamer</t>
        </is>
      </c>
      <c r="D544" s="6" t="inlineStr">
        <is>
          <t>HeavyInfantry</t>
        </is>
      </c>
      <c r="E544" s="6" t="n">
        <v>36000</v>
      </c>
      <c r="F544" s="6" t="n">
        <v>66</v>
      </c>
      <c r="G544" t="inlineStr">
        <is>
          <t>Plate</t>
        </is>
      </c>
      <c r="H544" s="6" t="n">
        <v>1</v>
      </c>
      <c r="I544" s="6" t="n">
        <v>0.8</v>
      </c>
      <c r="J544" s="6" t="n">
        <v>1.25</v>
      </c>
      <c r="K544" s="6" t="n"/>
      <c r="P544">
        <f>MAX(P545)</f>
        <v/>
      </c>
      <c r="S544">
        <f>S545</f>
        <v/>
      </c>
      <c r="T544">
        <f>(E544/100000+F544/100+(P544/1000)*J544/5+S544/200)*200*I544*H544</f>
        <v/>
      </c>
      <c r="U544">
        <f>((E544*F544/25000)+((P544/1000)*J544*S544/2.5))*I544*H544</f>
        <v/>
      </c>
      <c r="V544">
        <f>(E544*F544*(P544/1000)*J544*S544*I544*H544)/12500000</f>
        <v/>
      </c>
      <c r="W544">
        <f>(T544+U544+V544)/3</f>
        <v/>
      </c>
      <c r="X544" s="6" t="n">
        <v>600</v>
      </c>
      <c r="Y544">
        <f>IFERROR(W544-X544,"")</f>
        <v/>
      </c>
      <c r="Z544">
        <f>IFERROR(ABS(Y544)/MAX(X544,1),"")</f>
        <v/>
      </c>
      <c r="AA544">
        <f>IFERROR((X544-(((E544/100000+F544/100+S544/200)*200*I544*H544)+((E544*F544/25000)*I544*H544))/3)/(((J544/5)*200*I544*H544)+((J544*S544/2.5)*I544*H544)+((E544*F544*J544*S544*I544*H544)/12500000))/3*1000,"")</f>
        <v/>
      </c>
    </row>
    <row r="545">
      <c r="B545" s="7" t="inlineStr">
        <is>
          <t xml:space="preserve">  ↳ BlackHandFlamer</t>
        </is>
      </c>
      <c r="C545" s="7" t="inlineStr">
        <is>
          <t>Armament@PRIMARY</t>
        </is>
      </c>
      <c r="L545" s="6" t="n">
        <v>4000</v>
      </c>
      <c r="M545" s="6" t="n">
        <v>46</v>
      </c>
      <c r="N545" s="6" t="n">
        <v>6</v>
      </c>
      <c r="O545" s="6" t="n">
        <v>4</v>
      </c>
      <c r="P545" s="6" t="n">
        <v>4988</v>
      </c>
      <c r="Q545" s="6" t="n">
        <v>1</v>
      </c>
      <c r="R545">
        <f>M545+IF(N545&gt;1,N(O545)*(N545-1),0)</f>
        <v/>
      </c>
      <c r="S545">
        <f>IFERROR(L545*MAX(N545,1)/R545*Q545*IF(ISBLANK(K544),1,K544),0)</f>
        <v/>
      </c>
      <c r="AB545" s="7" t="inlineStr">
        <is>
          <t>^MediumFlameWeapon</t>
        </is>
      </c>
    </row>
    <row r="546">
      <c r="B546" s="7" t="inlineStr">
        <is>
          <t xml:space="preserve">  ↳ BlackHandFlamer</t>
        </is>
      </c>
      <c r="C546" s="7" t="inlineStr">
        <is>
          <t>Armament@Garrison</t>
        </is>
      </c>
      <c r="L546" s="6" t="n">
        <v>4000</v>
      </c>
      <c r="M546" s="6" t="n">
        <v>46</v>
      </c>
      <c r="N546" s="6" t="n">
        <v>6</v>
      </c>
      <c r="O546" s="6" t="n">
        <v>4</v>
      </c>
      <c r="P546" s="6" t="n">
        <v>4988</v>
      </c>
      <c r="Q546" s="6" t="n">
        <v>1</v>
      </c>
      <c r="R546">
        <f>M546+IF(N546&gt;1,N(O546)*(N546-1),0)</f>
        <v/>
      </c>
      <c r="S546">
        <f>IFERROR(L546*MAX(N546,1)/R546*Q546*IF(ISBLANK(K544),1,K544),0)</f>
        <v/>
      </c>
      <c r="AB546" s="7" t="inlineStr">
        <is>
          <t>^MediumFlameWeapon</t>
        </is>
      </c>
    </row>
    <row r="547">
      <c r="A547" t="inlineStr">
        <is>
          <t>tiberiandawn</t>
        </is>
      </c>
      <c r="B547" t="inlineStr">
        <is>
          <t>td_nod_stealthsoldier</t>
        </is>
      </c>
      <c r="C547" t="inlineStr">
        <is>
          <t>Stealth Soldier</t>
        </is>
      </c>
      <c r="D547" s="6" t="inlineStr">
        <is>
          <t>HeavyInfantry</t>
        </is>
      </c>
      <c r="E547" s="6" t="n">
        <v>25000</v>
      </c>
      <c r="F547" s="6" t="n">
        <v>72</v>
      </c>
      <c r="G547" t="inlineStr">
        <is>
          <t>Plate</t>
        </is>
      </c>
      <c r="H547" s="6" t="n">
        <v>0.75</v>
      </c>
      <c r="I547" s="6" t="n">
        <v>0.8</v>
      </c>
      <c r="J547" s="6" t="n">
        <v>1.5</v>
      </c>
      <c r="K547" s="6" t="n"/>
      <c r="P547">
        <f>MAX(P548)</f>
        <v/>
      </c>
      <c r="S547">
        <f>S548</f>
        <v/>
      </c>
      <c r="T547">
        <f>(E547/100000+F547/100+(P547/1000)*J547/5+S547/200)*200*I547*H547</f>
        <v/>
      </c>
      <c r="U547">
        <f>((E547*F547/25000)+((P547/1000)*J547*S547/2.5))*I547*H547</f>
        <v/>
      </c>
      <c r="V547">
        <f>(E547*F547*(P547/1000)*J547*S547*I547*H547)/12500000</f>
        <v/>
      </c>
      <c r="W547">
        <f>(T547+U547+V547)/3</f>
        <v/>
      </c>
      <c r="X547" s="6" t="n">
        <v>500</v>
      </c>
      <c r="Y547">
        <f>IFERROR(W547-X547,"")</f>
        <v/>
      </c>
      <c r="Z547">
        <f>IFERROR(ABS(Y547)/MAX(X547,1),"")</f>
        <v/>
      </c>
      <c r="AA547">
        <f>IFERROR((X547-(((E547/100000+F547/100+S547/200)*200*I547*H547)+((E547*F547/25000)*I547*H547))/3)/(((J547/5)*200*I547*H547)+((J547*S547/2.5)*I547*H547)+((E547*F547*J547*S547*I547*H547)/12500000))/3*1000,"")</f>
        <v/>
      </c>
    </row>
    <row r="548">
      <c r="B548" s="7" t="inlineStr">
        <is>
          <t xml:space="preserve">  ↳ BHRedDarts</t>
        </is>
      </c>
      <c r="C548" s="7" t="inlineStr">
        <is>
          <t>Armament@PRIMARY</t>
        </is>
      </c>
      <c r="L548" s="6" t="n">
        <v>2000</v>
      </c>
      <c r="M548" s="6" t="n">
        <v>90</v>
      </c>
      <c r="N548" s="6" t="n">
        <v>4</v>
      </c>
      <c r="O548" s="6" t="n">
        <v>5</v>
      </c>
      <c r="P548" s="6" t="n">
        <v>5000</v>
      </c>
      <c r="Q548" s="6" t="n">
        <v>1</v>
      </c>
      <c r="R548">
        <f>M548+IF(N548&gt;1,N(O548)*(N548-1),0)</f>
        <v/>
      </c>
      <c r="S548">
        <f>IFERROR(L548*MAX(N548,1)/R548*Q548*IF(ISBLANK(K547),1,K547),0)</f>
        <v/>
      </c>
      <c r="AB548" s="7" t="inlineStr">
        <is>
          <t>^TeslaChargedWeapon, ^TankDestroyerCannon, ^Chaingun, ^ShrapnelWeapon, ^MediumMissile</t>
        </is>
      </c>
    </row>
    <row r="549">
      <c r="B549" s="7" t="inlineStr">
        <is>
          <t xml:space="preserve">  ↳ BHRedDarts</t>
        </is>
      </c>
      <c r="C549" s="7" t="inlineStr">
        <is>
          <t>Armament@Garrison</t>
        </is>
      </c>
      <c r="L549" s="6" t="n">
        <v>2000</v>
      </c>
      <c r="M549" s="6" t="n">
        <v>90</v>
      </c>
      <c r="N549" s="6" t="n">
        <v>4</v>
      </c>
      <c r="O549" s="6" t="n">
        <v>5</v>
      </c>
      <c r="P549" s="6" t="n">
        <v>5000</v>
      </c>
      <c r="Q549" s="6" t="n">
        <v>1</v>
      </c>
      <c r="R549">
        <f>M549+IF(N549&gt;1,N(O549)*(N549-1),0)</f>
        <v/>
      </c>
      <c r="S549">
        <f>IFERROR(L549*MAX(N549,1)/R549*Q549*IF(ISBLANK(K547),1,K547),0)</f>
        <v/>
      </c>
      <c r="AB549" s="7" t="inlineStr">
        <is>
          <t>^TeslaChargedWeapon, ^TankDestroyerCannon, ^Chaingun, ^ShrapnelWeapon, ^MediumMissile</t>
        </is>
      </c>
    </row>
    <row r="550">
      <c r="A550" t="inlineStr">
        <is>
          <t>redalert</t>
        </is>
      </c>
      <c r="B550" t="inlineStr">
        <is>
          <t>japan_japaneseflamethrower</t>
        </is>
      </c>
      <c r="C550" t="inlineStr">
        <is>
          <t>Japanese Flamethrower</t>
        </is>
      </c>
      <c r="D550" s="6" t="inlineStr">
        <is>
          <t>HeavyInfantry</t>
        </is>
      </c>
      <c r="E550" s="6" t="n">
        <v>15000</v>
      </c>
      <c r="F550" s="6" t="n">
        <v>50</v>
      </c>
      <c r="G550" t="inlineStr">
        <is>
          <t>Plate</t>
        </is>
      </c>
      <c r="H550" s="6" t="n">
        <v>1</v>
      </c>
      <c r="I550" s="6" t="n">
        <v>0.4</v>
      </c>
      <c r="J550" s="6" t="n">
        <v>1</v>
      </c>
      <c r="K550" s="6" t="n"/>
      <c r="P550">
        <f>MAX(P551,P553)</f>
        <v/>
      </c>
      <c r="S550">
        <f>S551+S553</f>
        <v/>
      </c>
      <c r="T550">
        <f>(E550/100000+F550/100+(P550/1000)*J550/5+S550/200)*200*I550*H550</f>
        <v/>
      </c>
      <c r="U550">
        <f>((E550*F550/25000)+((P550/1000)*J550*S550/2.5))*I550*H550</f>
        <v/>
      </c>
      <c r="V550">
        <f>(E550*F550*(P550/1000)*J550*S550*I550*H550)/12500000</f>
        <v/>
      </c>
      <c r="W550">
        <f>(T550+U550+V550)/3</f>
        <v/>
      </c>
      <c r="X550" s="6" t="n">
        <v>200</v>
      </c>
      <c r="Y550">
        <f>IFERROR(W550-X550,"")</f>
        <v/>
      </c>
      <c r="Z550">
        <f>IFERROR(ABS(Y550)/MAX(X550,1),"")</f>
        <v/>
      </c>
      <c r="AA550">
        <f>IFERROR((X550-(((E550/100000+F550/100+S550/200)*200*I550*H550)+((E550*F550/25000)*I550*H550))/3)/(((J550/5)*200*I550*H550)+((J550*S550/2.5)*I550*H550)+((E550*F550*J550*S550*I550*H550)/12500000))/3*1000,"")</f>
        <v/>
      </c>
    </row>
    <row r="551">
      <c r="B551" s="7" t="inlineStr">
        <is>
          <t xml:space="preserve">  ↳ Flamer</t>
        </is>
      </c>
      <c r="C551" s="7" t="inlineStr">
        <is>
          <t>Armament</t>
        </is>
      </c>
      <c r="L551" s="6" t="n">
        <v>2000</v>
      </c>
      <c r="M551" s="6" t="n">
        <v>35</v>
      </c>
      <c r="N551" s="6" t="n">
        <v>15</v>
      </c>
      <c r="O551" s="6" t="n">
        <v>1</v>
      </c>
      <c r="P551" s="6" t="n">
        <v>3603</v>
      </c>
      <c r="Q551" s="6" t="n">
        <v>0.75</v>
      </c>
      <c r="R551">
        <f>M551+IF(N551&gt;1,N(O551)*(N551-1),0)</f>
        <v/>
      </c>
      <c r="S551">
        <f>IFERROR(L551*MAX(N551,1)/R551*Q551*IF(ISBLANK(K550),1,K550),0)</f>
        <v/>
      </c>
      <c r="AB551" s="7" t="inlineStr">
        <is>
          <t>^LightFlameWeapon</t>
        </is>
      </c>
    </row>
    <row r="552">
      <c r="B552" s="7" t="inlineStr">
        <is>
          <t xml:space="preserve">  ↳ Flamer</t>
        </is>
      </c>
      <c r="C552" s="7" t="inlineStr">
        <is>
          <t>Armament@GARRISONED</t>
        </is>
      </c>
      <c r="L552" s="6" t="n">
        <v>2000</v>
      </c>
      <c r="M552" s="6" t="n">
        <v>35</v>
      </c>
      <c r="N552" s="6" t="n">
        <v>15</v>
      </c>
      <c r="O552" s="6" t="n">
        <v>1</v>
      </c>
      <c r="P552" s="6" t="n">
        <v>3603</v>
      </c>
      <c r="Q552" s="6" t="n">
        <v>0.75</v>
      </c>
      <c r="R552">
        <f>M552+IF(N552&gt;1,N(O552)*(N552-1),0)</f>
        <v/>
      </c>
      <c r="S552">
        <f>IFERROR(L552*MAX(N552,1)/R552*Q552*IF(ISBLANK(K550),1,K550),0)</f>
        <v/>
      </c>
      <c r="AB552" s="7" t="inlineStr">
        <is>
          <t>^LightFlameWeapon</t>
        </is>
      </c>
    </row>
    <row r="553">
      <c r="B553" s="7" t="inlineStr">
        <is>
          <t xml:space="preserve">  ↳ PlasmaFlamer</t>
        </is>
      </c>
      <c r="C553" s="7" t="inlineStr">
        <is>
          <t>Armament@Upgrade</t>
        </is>
      </c>
      <c r="L553" s="6" t="n">
        <v>2000</v>
      </c>
      <c r="M553" s="6" t="n">
        <v>35</v>
      </c>
      <c r="N553" s="6" t="n">
        <v>15</v>
      </c>
      <c r="O553" s="6" t="n">
        <v>1</v>
      </c>
      <c r="P553" s="6" t="n">
        <v>3603</v>
      </c>
      <c r="Q553" s="6" t="n">
        <v>1</v>
      </c>
      <c r="R553">
        <f>M553+IF(N553&gt;1,N(O553)*(N553-1),0)</f>
        <v/>
      </c>
      <c r="S553">
        <f>IFERROR(L553*MAX(N553,1)/R553*Q553*IF(ISBLANK(K550),1,K550),0)</f>
        <v/>
      </c>
      <c r="AB553" s="7" t="inlineStr">
        <is>
          <t>^MediumFlameWeapon, ^MediumChemicalWeapon</t>
        </is>
      </c>
    </row>
    <row r="554">
      <c r="B554" s="7" t="inlineStr">
        <is>
          <t xml:space="preserve">  ↳ PlasmaFlamer</t>
        </is>
      </c>
      <c r="C554" s="7" t="inlineStr">
        <is>
          <t>Armament@UpgradeGARRISONED</t>
        </is>
      </c>
      <c r="L554" s="6" t="n">
        <v>2000</v>
      </c>
      <c r="M554" s="6" t="n">
        <v>35</v>
      </c>
      <c r="N554" s="6" t="n">
        <v>15</v>
      </c>
      <c r="O554" s="6" t="n">
        <v>1</v>
      </c>
      <c r="P554" s="6" t="n">
        <v>3603</v>
      </c>
      <c r="Q554" s="6" t="n">
        <v>1</v>
      </c>
      <c r="R554">
        <f>M554+IF(N554&gt;1,N(O554)*(N554-1),0)</f>
        <v/>
      </c>
      <c r="S554">
        <f>IFERROR(L554*MAX(N554,1)/R554*Q554*IF(ISBLANK(K550),1,K550),0)</f>
        <v/>
      </c>
      <c r="AB554" s="7" t="inlineStr">
        <is>
          <t>^MediumFlameWeapon, ^MediumChemicalWeapon</t>
        </is>
      </c>
    </row>
    <row r="555">
      <c r="A555" t="inlineStr">
        <is>
          <t>redalert</t>
        </is>
      </c>
      <c r="B555" t="inlineStr">
        <is>
          <t>japan_tankbuster</t>
        </is>
      </c>
      <c r="C555" t="inlineStr">
        <is>
          <t>Tank Buster</t>
        </is>
      </c>
      <c r="D555" s="6" t="inlineStr">
        <is>
          <t>HeavyInfantry</t>
        </is>
      </c>
      <c r="E555" s="6" t="n">
        <v>48000</v>
      </c>
      <c r="F555" s="6" t="n">
        <v>48</v>
      </c>
      <c r="G555" t="inlineStr">
        <is>
          <t>Plate</t>
        </is>
      </c>
      <c r="H555" s="6" t="n">
        <v>1</v>
      </c>
      <c r="I555" s="6" t="n">
        <v>0.8</v>
      </c>
      <c r="J555" s="6" t="n">
        <v>1</v>
      </c>
      <c r="K555" s="6" t="n"/>
      <c r="P555">
        <f>MAX(P556,P558)</f>
        <v/>
      </c>
      <c r="S555">
        <f>S556+S558</f>
        <v/>
      </c>
      <c r="T555">
        <f>(E555/100000+F555/100+(P555/1000)*J555/5+S555/200)*200*I555*H555</f>
        <v/>
      </c>
      <c r="U555">
        <f>((E555*F555/25000)+((P555/1000)*J555*S555/2.5))*I555*H555</f>
        <v/>
      </c>
      <c r="V555">
        <f>(E555*F555*(P555/1000)*J555*S555*I555*H555)/12500000</f>
        <v/>
      </c>
      <c r="W555">
        <f>(T555+U555+V555)/3</f>
        <v/>
      </c>
      <c r="X555" s="6" t="n">
        <v>400</v>
      </c>
      <c r="Y555">
        <f>IFERROR(W555-X555,"")</f>
        <v/>
      </c>
      <c r="Z555">
        <f>IFERROR(ABS(Y555)/MAX(X555,1),"")</f>
        <v/>
      </c>
      <c r="AA555">
        <f>IFERROR((X555-(((E555/100000+F555/100+S555/200)*200*I555*H555)+((E555*F555/25000)*I555*H555))/3)/(((J555/5)*200*I555*H555)+((J555*S555/2.5)*I555*H555)+((E555*F555*J555*S555*I555*H555)/12500000))/3*1000,"")</f>
        <v/>
      </c>
    </row>
    <row r="556">
      <c r="B556" s="7" t="inlineStr">
        <is>
          <t xml:space="preserve">  ↳ TankBusterBeamCannon</t>
        </is>
      </c>
      <c r="C556" s="7" t="inlineStr">
        <is>
          <t>Armament@PRIMARY</t>
        </is>
      </c>
      <c r="L556" s="6" t="n">
        <v>8000</v>
      </c>
      <c r="M556" s="6" t="n">
        <v>96</v>
      </c>
      <c r="N556" s="6" t="n">
        <v>1</v>
      </c>
      <c r="O556" s="6" t="n"/>
      <c r="P556" s="6" t="n">
        <v>5190</v>
      </c>
      <c r="Q556" s="6" t="n">
        <v>1.125</v>
      </c>
      <c r="R556">
        <f>M556+IF(N556&gt;1,N(O556)*(N556-1),0)</f>
        <v/>
      </c>
      <c r="S556">
        <f>IFERROR(L556*MAX(N556,1)/R556*Q556*IF(ISBLANK(K555),1,K555),0)</f>
        <v/>
      </c>
      <c r="AB556" s="7" t="inlineStr">
        <is>
          <t>^TankDestroyerCannon, ^MediumCannon, ^RailgunWeapon</t>
        </is>
      </c>
    </row>
    <row r="557">
      <c r="B557" s="7" t="inlineStr">
        <is>
          <t xml:space="preserve">  ↳ TankBusterBeamCannon</t>
        </is>
      </c>
      <c r="C557" s="7" t="inlineStr">
        <is>
          <t>Armament@GARRISONED</t>
        </is>
      </c>
      <c r="L557" s="6" t="n">
        <v>8000</v>
      </c>
      <c r="M557" s="6" t="n">
        <v>96</v>
      </c>
      <c r="N557" s="6" t="n">
        <v>1</v>
      </c>
      <c r="O557" s="6" t="n"/>
      <c r="P557" s="6" t="n">
        <v>5190</v>
      </c>
      <c r="Q557" s="6" t="n">
        <v>1.125</v>
      </c>
      <c r="R557">
        <f>M557+IF(N557&gt;1,N(O557)*(N557-1),0)</f>
        <v/>
      </c>
      <c r="S557">
        <f>IFERROR(L557*MAX(N557,1)/R557*Q557*IF(ISBLANK(K555),1,K555),0)</f>
        <v/>
      </c>
      <c r="AB557" s="7" t="inlineStr">
        <is>
          <t>^TankDestroyerCannon, ^MediumCannon, ^RailgunWeapon</t>
        </is>
      </c>
    </row>
    <row r="558">
      <c r="B558" s="7" t="inlineStr">
        <is>
          <t xml:space="preserve">  ↳ TankBusterBeamCannonCharged</t>
        </is>
      </c>
      <c r="C558" s="7" t="inlineStr">
        <is>
          <t>Armament@Upgrade</t>
        </is>
      </c>
      <c r="L558" s="6" t="n">
        <v>8000</v>
      </c>
      <c r="M558" s="6" t="n">
        <v>96</v>
      </c>
      <c r="N558" s="6" t="n">
        <v>1</v>
      </c>
      <c r="O558" s="6" t="n"/>
      <c r="P558" s="6" t="n">
        <v>5190</v>
      </c>
      <c r="Q558" s="6" t="n">
        <v>1</v>
      </c>
      <c r="R558">
        <f>M558+IF(N558&gt;1,N(O558)*(N558-1),0)</f>
        <v/>
      </c>
      <c r="S558">
        <f>IFERROR(L558*MAX(N558,1)/R558*Q558*IF(ISBLANK(K555),1,K555),0)</f>
        <v/>
      </c>
      <c r="AB558" s="7" t="inlineStr">
        <is>
          <t>^LightFlameWeapon, ^MediumChemicalWeapon, ^HeavyCannon</t>
        </is>
      </c>
    </row>
    <row r="559">
      <c r="B559" s="7" t="inlineStr">
        <is>
          <t xml:space="preserve">  ↳ TankBusterBeamCannonCharged</t>
        </is>
      </c>
      <c r="C559" s="7" t="inlineStr">
        <is>
          <t>Armament@UpgradeGARRISONED</t>
        </is>
      </c>
      <c r="L559" s="6" t="n">
        <v>8000</v>
      </c>
      <c r="M559" s="6" t="n">
        <v>96</v>
      </c>
      <c r="N559" s="6" t="n">
        <v>1</v>
      </c>
      <c r="O559" s="6" t="n"/>
      <c r="P559" s="6" t="n">
        <v>5190</v>
      </c>
      <c r="Q559" s="6" t="n">
        <v>1</v>
      </c>
      <c r="R559">
        <f>M559+IF(N559&gt;1,N(O559)*(N559-1),0)</f>
        <v/>
      </c>
      <c r="S559">
        <f>IFERROR(L559*MAX(N559,1)/R559*Q559*IF(ISBLANK(K555),1,K555),0)</f>
        <v/>
      </c>
      <c r="AB559" s="7" t="inlineStr">
        <is>
          <t>^LightFlameWeapon, ^MediumChemicalWeapon, ^HeavyCannon</t>
        </is>
      </c>
    </row>
    <row r="560">
      <c r="A560" t="inlineStr">
        <is>
          <t>redalert</t>
        </is>
      </c>
      <c r="B560" t="inlineStr">
        <is>
          <t>ra1_soviets_flamethrower</t>
        </is>
      </c>
      <c r="C560" t="inlineStr">
        <is>
          <t>Soviet Flamethrower</t>
        </is>
      </c>
      <c r="D560" s="6" t="inlineStr">
        <is>
          <t>HeavyInfantry</t>
        </is>
      </c>
      <c r="E560" s="6" t="n">
        <v>16000</v>
      </c>
      <c r="F560" s="6" t="n">
        <v>56</v>
      </c>
      <c r="G560" t="inlineStr">
        <is>
          <t>Plate</t>
        </is>
      </c>
      <c r="H560" s="6" t="n">
        <v>1</v>
      </c>
      <c r="I560" s="6" t="n">
        <v>0.4</v>
      </c>
      <c r="J560" s="6" t="n">
        <v>1</v>
      </c>
      <c r="K560" s="6" t="n"/>
      <c r="P560">
        <f>MAX(P561,P563)</f>
        <v/>
      </c>
      <c r="S560">
        <f>S561+S563</f>
        <v/>
      </c>
      <c r="T560">
        <f>(E560/100000+F560/100+(P560/1000)*J560/5+S560/200)*200*I560*H560</f>
        <v/>
      </c>
      <c r="U560">
        <f>((E560*F560/25000)+((P560/1000)*J560*S560/2.5))*I560*H560</f>
        <v/>
      </c>
      <c r="V560">
        <f>(E560*F560*(P560/1000)*J560*S560*I560*H560)/12500000</f>
        <v/>
      </c>
      <c r="W560">
        <f>(T560+U560+V560)/3</f>
        <v/>
      </c>
      <c r="X560" s="6" t="n">
        <v>200</v>
      </c>
      <c r="Y560">
        <f>IFERROR(W560-X560,"")</f>
        <v/>
      </c>
      <c r="Z560">
        <f>IFERROR(ABS(Y560)/MAX(X560,1),"")</f>
        <v/>
      </c>
      <c r="AA560">
        <f>IFERROR((X560-(((E560/100000+F560/100+S560/200)*200*I560*H560)+((E560*F560/25000)*I560*H560))/3)/(((J560/5)*200*I560*H560)+((J560*S560/2.5)*I560*H560)+((E560*F560*J560*S560*I560*H560)/12500000))/3*1000,"")</f>
        <v/>
      </c>
    </row>
    <row r="561">
      <c r="B561" s="7" t="inlineStr">
        <is>
          <t xml:space="preserve">  ↳ FireballGun</t>
        </is>
      </c>
      <c r="C561" s="7" t="inlineStr">
        <is>
          <t>Armament</t>
        </is>
      </c>
      <c r="L561" s="6" t="n">
        <v>8000</v>
      </c>
      <c r="M561" s="6" t="n">
        <v>24</v>
      </c>
      <c r="N561" s="6" t="n">
        <v>1</v>
      </c>
      <c r="O561" s="6" t="n"/>
      <c r="P561" s="6" t="n">
        <v>5004</v>
      </c>
      <c r="Q561" s="6" t="n">
        <v>1</v>
      </c>
      <c r="R561">
        <f>M561+IF(N561&gt;1,N(O561)*(N561-1),0)</f>
        <v/>
      </c>
      <c r="S561">
        <f>IFERROR(L561*MAX(N561,1)/R561*Q561*IF(ISBLANK(K560),1,K560),0)</f>
        <v/>
      </c>
      <c r="AB561" s="7" t="inlineStr">
        <is>
          <t>^MediumFlameWeapon</t>
        </is>
      </c>
    </row>
    <row r="562">
      <c r="B562" s="7" t="inlineStr">
        <is>
          <t xml:space="preserve">  ↳ FireballGun</t>
        </is>
      </c>
      <c r="C562" s="7" t="inlineStr">
        <is>
          <t>Armament@GARRISONED</t>
        </is>
      </c>
      <c r="L562" s="6" t="n">
        <v>8000</v>
      </c>
      <c r="M562" s="6" t="n">
        <v>24</v>
      </c>
      <c r="N562" s="6" t="n">
        <v>1</v>
      </c>
      <c r="O562" s="6" t="n"/>
      <c r="P562" s="6" t="n">
        <v>5004</v>
      </c>
      <c r="Q562" s="6" t="n">
        <v>1</v>
      </c>
      <c r="R562">
        <f>M562+IF(N562&gt;1,N(O562)*(N562-1),0)</f>
        <v/>
      </c>
      <c r="S562">
        <f>IFERROR(L562*MAX(N562,1)/R562*Q562*IF(ISBLANK(K560),1,K560),0)</f>
        <v/>
      </c>
      <c r="AB562" s="7" t="inlineStr">
        <is>
          <t>^MediumFlameWeapon</t>
        </is>
      </c>
    </row>
    <row r="563">
      <c r="B563" s="7" t="inlineStr">
        <is>
          <t xml:space="preserve">  ↳ FireballGunThermobaric</t>
        </is>
      </c>
      <c r="C563" s="7" t="inlineStr">
        <is>
          <t>Armament@Upgrade</t>
        </is>
      </c>
      <c r="L563" s="6" t="n">
        <v>4000</v>
      </c>
      <c r="M563" s="6" t="n">
        <v>24</v>
      </c>
      <c r="N563" s="6" t="n">
        <v>1</v>
      </c>
      <c r="O563" s="6" t="n"/>
      <c r="P563" s="6" t="n">
        <v>5004</v>
      </c>
      <c r="Q563" s="6" t="n">
        <v>1.125</v>
      </c>
      <c r="R563">
        <f>M563+IF(N563&gt;1,N(O563)*(N563-1),0)</f>
        <v/>
      </c>
      <c r="S563">
        <f>IFERROR(L563*MAX(N563,1)/R563*Q563*IF(ISBLANK(K560),1,K560),0)</f>
        <v/>
      </c>
      <c r="AB563" s="7" t="inlineStr">
        <is>
          <t>^HeavyFlameWeapon, ^MediumFlameWeapon</t>
        </is>
      </c>
    </row>
    <row r="564">
      <c r="B564" s="7" t="inlineStr">
        <is>
          <t xml:space="preserve">  ↳ FireballGunThermobaric</t>
        </is>
      </c>
      <c r="C564" s="7" t="inlineStr">
        <is>
          <t>Armament@UpgradeGARRISONED</t>
        </is>
      </c>
      <c r="L564" s="6" t="n">
        <v>4000</v>
      </c>
      <c r="M564" s="6" t="n">
        <v>24</v>
      </c>
      <c r="N564" s="6" t="n">
        <v>1</v>
      </c>
      <c r="O564" s="6" t="n"/>
      <c r="P564" s="6" t="n">
        <v>5004</v>
      </c>
      <c r="Q564" s="6" t="n">
        <v>1.125</v>
      </c>
      <c r="R564">
        <f>M564+IF(N564&gt;1,N(O564)*(N564-1),0)</f>
        <v/>
      </c>
      <c r="S564">
        <f>IFERROR(L564*MAX(N564,1)/R564*Q564*IF(ISBLANK(K560),1,K560),0)</f>
        <v/>
      </c>
      <c r="AB564" s="7" t="inlineStr">
        <is>
          <t>^HeavyFlameWeapon, ^MediumFlameWeapon</t>
        </is>
      </c>
    </row>
    <row r="565">
      <c r="A565" t="inlineStr">
        <is>
          <t>redalert</t>
        </is>
      </c>
      <c r="B565" t="inlineStr">
        <is>
          <t>ra1_soviets_shocktrooper</t>
        </is>
      </c>
      <c r="C565" t="inlineStr">
        <is>
          <t>Shock Trooper</t>
        </is>
      </c>
      <c r="D565" s="6" t="inlineStr">
        <is>
          <t>HeavyInfantry</t>
        </is>
      </c>
      <c r="E565" s="6" t="n">
        <v>40000</v>
      </c>
      <c r="F565" s="6" t="n">
        <v>40</v>
      </c>
      <c r="G565" t="inlineStr">
        <is>
          <t>Plate</t>
        </is>
      </c>
      <c r="H565" s="6" t="n">
        <v>0.75</v>
      </c>
      <c r="I565" s="6" t="n">
        <v>0.8</v>
      </c>
      <c r="J565" s="6" t="n">
        <v>1.25</v>
      </c>
      <c r="K565" s="6" t="n"/>
      <c r="P565">
        <f>MAX(P566,P567,P568)</f>
        <v/>
      </c>
      <c r="S565">
        <f>S566+S567+S568</f>
        <v/>
      </c>
      <c r="T565">
        <f>(E565/100000+F565/100+(P565/1000)*J565/5+S565/200)*200*I565*H565</f>
        <v/>
      </c>
      <c r="U565">
        <f>((E565*F565/25000)+((P565/1000)*J565*S565/2.5))*I565*H565</f>
        <v/>
      </c>
      <c r="V565">
        <f>(E565*F565*(P565/1000)*J565*S565*I565*H565)/12500000</f>
        <v/>
      </c>
      <c r="W565">
        <f>(T565+U565+V565)/3</f>
        <v/>
      </c>
      <c r="X565" s="6" t="n">
        <v>600</v>
      </c>
      <c r="Y565">
        <f>IFERROR(W565-X565,"")</f>
        <v/>
      </c>
      <c r="Z565">
        <f>IFERROR(ABS(Y565)/MAX(X565,1),"")</f>
        <v/>
      </c>
      <c r="AA565">
        <f>IFERROR((X565-(((E565/100000+F565/100+S565/200)*200*I565*H565)+((E565*F565/25000)*I565*H565))/3)/(((J565/5)*200*I565*H565)+((J565*S565/2.5)*I565*H565)+((E565*F565*J565*S565*I565*H565)/12500000))/3*1000,"")</f>
        <v/>
      </c>
    </row>
    <row r="566">
      <c r="B566" s="7" t="inlineStr">
        <is>
          <t xml:space="preserve">  ↳ PortaTesla</t>
        </is>
      </c>
      <c r="C566" s="7" t="inlineStr">
        <is>
          <t>Armament@PRIMARY</t>
        </is>
      </c>
      <c r="L566" s="6" t="n">
        <v>20000</v>
      </c>
      <c r="M566" s="6" t="n">
        <v>40</v>
      </c>
      <c r="N566" s="6" t="n">
        <v>1</v>
      </c>
      <c r="O566" s="6" t="n"/>
      <c r="P566" s="6" t="n">
        <v>4652</v>
      </c>
      <c r="Q566" s="6" t="n">
        <v>1</v>
      </c>
      <c r="R566">
        <f>M566+IF(N566&gt;1,N(O566)*(N566-1),0)</f>
        <v/>
      </c>
      <c r="S566">
        <f>IFERROR(L566*MAX(N566,1)/R566*Q566*IF(ISBLANK(K565),1,K565),0)</f>
        <v/>
      </c>
      <c r="AB566" s="7" t="inlineStr">
        <is>
          <t>^TeslaWeapon</t>
        </is>
      </c>
    </row>
    <row r="567">
      <c r="B567" s="7" t="inlineStr">
        <is>
          <t xml:space="preserve">  ↳ PortaTeslaEMP</t>
        </is>
      </c>
      <c r="C567" s="7" t="inlineStr">
        <is>
          <t>Armament@Upgrade1</t>
        </is>
      </c>
      <c r="L567" s="6" t="n">
        <v>20000</v>
      </c>
      <c r="M567" s="6" t="n">
        <v>40</v>
      </c>
      <c r="N567" s="6" t="n">
        <v>1</v>
      </c>
      <c r="O567" s="6" t="n"/>
      <c r="P567" s="6" t="n">
        <v>4652</v>
      </c>
      <c r="Q567" s="6" t="n">
        <v>1</v>
      </c>
      <c r="R567">
        <f>M567+IF(N567&gt;1,N(O567)*(N567-1),0)</f>
        <v/>
      </c>
      <c r="S567">
        <f>IFERROR(L567*MAX(N567,1)/R567*Q567*IF(ISBLANK(K565),1,K565),0)</f>
        <v/>
      </c>
      <c r="AB567" s="7" t="inlineStr">
        <is>
          <t>^TeslaWeapon</t>
        </is>
      </c>
    </row>
    <row r="568">
      <c r="B568" s="7" t="inlineStr">
        <is>
          <t xml:space="preserve">  ↳ PortaTeslaEMPArc</t>
        </is>
      </c>
      <c r="C568" s="7" t="inlineStr">
        <is>
          <t>Armament@Upgrade2</t>
        </is>
      </c>
      <c r="L568" s="6" t="n">
        <v>20000</v>
      </c>
      <c r="M568" s="6" t="n">
        <v>40</v>
      </c>
      <c r="N568" s="6" t="n">
        <v>1</v>
      </c>
      <c r="O568" s="6" t="n"/>
      <c r="P568" s="6" t="n">
        <v>4652</v>
      </c>
      <c r="Q568" s="6" t="n">
        <v>1</v>
      </c>
      <c r="R568">
        <f>M568+IF(N568&gt;1,N(O568)*(N568-1),0)</f>
        <v/>
      </c>
      <c r="S568">
        <f>IFERROR(L568*MAX(N568,1)/R568*Q568*IF(ISBLANK(K565),1,K565),0)</f>
        <v/>
      </c>
      <c r="AB568" s="7" t="inlineStr">
        <is>
          <t>^TeslaWeapon</t>
        </is>
      </c>
    </row>
    <row r="569">
      <c r="B569" s="7" t="inlineStr">
        <is>
          <t xml:space="preserve">  ↳ PortaTesla</t>
        </is>
      </c>
      <c r="C569" s="7" t="inlineStr">
        <is>
          <t>Armament@GARRISONED</t>
        </is>
      </c>
      <c r="L569" s="6" t="n">
        <v>20000</v>
      </c>
      <c r="M569" s="6" t="n">
        <v>40</v>
      </c>
      <c r="N569" s="6" t="n">
        <v>1</v>
      </c>
      <c r="O569" s="6" t="n"/>
      <c r="P569" s="6" t="n">
        <v>4652</v>
      </c>
      <c r="Q569" s="6" t="n">
        <v>1</v>
      </c>
      <c r="R569">
        <f>M569+IF(N569&gt;1,N(O569)*(N569-1),0)</f>
        <v/>
      </c>
      <c r="S569">
        <f>IFERROR(L569*MAX(N569,1)/R569*Q569*IF(ISBLANK(K565),1,K565),0)</f>
        <v/>
      </c>
      <c r="AB569" s="7" t="inlineStr">
        <is>
          <t>^TeslaWeapon</t>
        </is>
      </c>
    </row>
    <row r="570">
      <c r="B570" s="7" t="inlineStr">
        <is>
          <t xml:space="preserve">  ↳ PortaTeslaEMP</t>
        </is>
      </c>
      <c r="C570" s="7" t="inlineStr">
        <is>
          <t>Armament@Upgrade1GARRISONED</t>
        </is>
      </c>
      <c r="L570" s="6" t="n">
        <v>20000</v>
      </c>
      <c r="M570" s="6" t="n">
        <v>40</v>
      </c>
      <c r="N570" s="6" t="n">
        <v>1</v>
      </c>
      <c r="O570" s="6" t="n"/>
      <c r="P570" s="6" t="n">
        <v>4652</v>
      </c>
      <c r="Q570" s="6" t="n">
        <v>1</v>
      </c>
      <c r="R570">
        <f>M570+IF(N570&gt;1,N(O570)*(N570-1),0)</f>
        <v/>
      </c>
      <c r="S570">
        <f>IFERROR(L570*MAX(N570,1)/R570*Q570*IF(ISBLANK(K565),1,K565),0)</f>
        <v/>
      </c>
      <c r="AB570" s="7" t="inlineStr">
        <is>
          <t>^TeslaWeapon</t>
        </is>
      </c>
    </row>
    <row r="571">
      <c r="B571" s="7" t="inlineStr">
        <is>
          <t xml:space="preserve">  ↳ PortaTeslaEMPArc</t>
        </is>
      </c>
      <c r="C571" s="7" t="inlineStr">
        <is>
          <t>Armament@Upgrade2GARRISONED</t>
        </is>
      </c>
      <c r="L571" s="6" t="n">
        <v>20000</v>
      </c>
      <c r="M571" s="6" t="n">
        <v>40</v>
      </c>
      <c r="N571" s="6" t="n">
        <v>1</v>
      </c>
      <c r="O571" s="6" t="n"/>
      <c r="P571" s="6" t="n">
        <v>4652</v>
      </c>
      <c r="Q571" s="6" t="n">
        <v>1</v>
      </c>
      <c r="R571">
        <f>M571+IF(N571&gt;1,N(O571)*(N571-1),0)</f>
        <v/>
      </c>
      <c r="S571">
        <f>IFERROR(L571*MAX(N571,1)/R571*Q571*IF(ISBLANK(K565),1,K565),0)</f>
        <v/>
      </c>
      <c r="AB571" s="7" t="inlineStr">
        <is>
          <t>^TeslaWeapon</t>
        </is>
      </c>
    </row>
    <row r="572">
      <c r="A572" t="inlineStr">
        <is>
          <t>redalert</t>
        </is>
      </c>
      <c r="B572" t="inlineStr">
        <is>
          <t>ra1_soviets_zapper</t>
        </is>
      </c>
      <c r="C572" t="inlineStr">
        <is>
          <t>Zapper</t>
        </is>
      </c>
      <c r="D572" s="6" t="inlineStr">
        <is>
          <t>HeavyInfantry</t>
        </is>
      </c>
      <c r="E572" s="6" t="n">
        <v>60000</v>
      </c>
      <c r="F572" s="6" t="n">
        <v>30</v>
      </c>
      <c r="G572" t="inlineStr">
        <is>
          <t>Plate</t>
        </is>
      </c>
      <c r="H572" s="6" t="n">
        <v>0.75</v>
      </c>
      <c r="I572" s="6" t="n">
        <v>0.8</v>
      </c>
      <c r="J572" s="6" t="n">
        <v>1.25</v>
      </c>
      <c r="K572" s="6" t="n"/>
      <c r="P572">
        <f>MAX(P573,P574)</f>
        <v/>
      </c>
      <c r="S572">
        <f>S573+S574</f>
        <v/>
      </c>
      <c r="T572">
        <f>(E572/100000+F572/100+(P572/1000)*J572/5+S572/200)*200*I572*H572</f>
        <v/>
      </c>
      <c r="U572">
        <f>((E572*F572/25000)+((P572/1000)*J572*S572/2.5))*I572*H572</f>
        <v/>
      </c>
      <c r="V572">
        <f>(E572*F572*(P572/1000)*J572*S572*I572*H572)/12500000</f>
        <v/>
      </c>
      <c r="W572">
        <f>(T572+U572+V572)/3</f>
        <v/>
      </c>
      <c r="X572" s="6" t="n">
        <v>1200</v>
      </c>
      <c r="Y572">
        <f>IFERROR(W572-X572,"")</f>
        <v/>
      </c>
      <c r="Z572">
        <f>IFERROR(ABS(Y572)/MAX(X572,1),"")</f>
        <v/>
      </c>
      <c r="AA572">
        <f>IFERROR((X572-(((E572/100000+F572/100+S572/200)*200*I572*H572)+((E572*F572/25000)*I572*H572))/3)/(((J572/5)*200*I572*H572)+((J572*S572/2.5)*I572*H572)+((E572*F572*J572*S572*I572*H572)/12500000))/3*1000,"")</f>
        <v/>
      </c>
    </row>
    <row r="573">
      <c r="B573" s="7" t="inlineStr">
        <is>
          <t xml:space="preserve">  ↳ ZapperPortaTesla</t>
        </is>
      </c>
      <c r="C573" s="7" t="inlineStr">
        <is>
          <t>Armament@PRIMARY</t>
        </is>
      </c>
      <c r="L573" s="6" t="n">
        <v>32000</v>
      </c>
      <c r="M573" s="6" t="n">
        <v>32</v>
      </c>
      <c r="N573" s="6" t="n">
        <v>1</v>
      </c>
      <c r="O573" s="6" t="n"/>
      <c r="P573" s="6" t="n">
        <v>5000</v>
      </c>
      <c r="Q573" s="6" t="n">
        <v>1</v>
      </c>
      <c r="R573">
        <f>M573+IF(N573&gt;1,N(O573)*(N573-1),0)</f>
        <v/>
      </c>
      <c r="S573">
        <f>IFERROR(L573*MAX(N573,1)/R573*Q573*IF(ISBLANK(K572),1,K572),0)</f>
        <v/>
      </c>
      <c r="AB573" s="7" t="inlineStr">
        <is>
          <t>^TeslaWeapon</t>
        </is>
      </c>
    </row>
    <row r="574">
      <c r="B574" s="7" t="inlineStr">
        <is>
          <t xml:space="preserve">  ↳ ZapperPortaTeslaArc</t>
        </is>
      </c>
      <c r="C574" s="7" t="inlineStr">
        <is>
          <t>Armament@Upgrade</t>
        </is>
      </c>
      <c r="L574" s="6" t="n">
        <v>32000</v>
      </c>
      <c r="M574" s="6" t="n">
        <v>32</v>
      </c>
      <c r="N574" s="6" t="n">
        <v>1</v>
      </c>
      <c r="O574" s="6" t="n"/>
      <c r="P574" s="6" t="n">
        <v>5000</v>
      </c>
      <c r="Q574" s="6" t="n">
        <v>1</v>
      </c>
      <c r="R574">
        <f>M574+IF(N574&gt;1,N(O574)*(N574-1),0)</f>
        <v/>
      </c>
      <c r="S574">
        <f>IFERROR(L574*MAX(N574,1)/R574*Q574*IF(ISBLANK(K572),1,K572),0)</f>
        <v/>
      </c>
      <c r="AB574" s="7" t="inlineStr">
        <is>
          <t>^TeslaWeapon</t>
        </is>
      </c>
    </row>
    <row r="575">
      <c r="B575" s="7" t="inlineStr">
        <is>
          <t xml:space="preserve">  ↳ ZapperPortaTesla</t>
        </is>
      </c>
      <c r="C575" s="7" t="inlineStr">
        <is>
          <t>Armament@GARRISONED</t>
        </is>
      </c>
      <c r="L575" s="6" t="n">
        <v>32000</v>
      </c>
      <c r="M575" s="6" t="n">
        <v>32</v>
      </c>
      <c r="N575" s="6" t="n">
        <v>1</v>
      </c>
      <c r="O575" s="6" t="n"/>
      <c r="P575" s="6" t="n">
        <v>5000</v>
      </c>
      <c r="Q575" s="6" t="n">
        <v>1</v>
      </c>
      <c r="R575">
        <f>M575+IF(N575&gt;1,N(O575)*(N575-1),0)</f>
        <v/>
      </c>
      <c r="S575">
        <f>IFERROR(L575*MAX(N575,1)/R575*Q575*IF(ISBLANK(K572),1,K572),0)</f>
        <v/>
      </c>
      <c r="AB575" s="7" t="inlineStr">
        <is>
          <t>^TeslaWeapon</t>
        </is>
      </c>
    </row>
    <row r="576">
      <c r="B576" s="7" t="inlineStr">
        <is>
          <t xml:space="preserve">  ↳ ZapperPortaTeslaArc</t>
        </is>
      </c>
      <c r="C576" s="7" t="inlineStr">
        <is>
          <t>Armament@UpgradeGARRISONED</t>
        </is>
      </c>
      <c r="L576" s="6" t="n">
        <v>32000</v>
      </c>
      <c r="M576" s="6" t="n">
        <v>32</v>
      </c>
      <c r="N576" s="6" t="n">
        <v>1</v>
      </c>
      <c r="O576" s="6" t="n"/>
      <c r="P576" s="6" t="n">
        <v>5000</v>
      </c>
      <c r="Q576" s="6" t="n">
        <v>1</v>
      </c>
      <c r="R576">
        <f>M576+IF(N576&gt;1,N(O576)*(N576-1),0)</f>
        <v/>
      </c>
      <c r="S576">
        <f>IFERROR(L576*MAX(N576,1)/R576*Q576*IF(ISBLANK(K572),1,K572),0)</f>
        <v/>
      </c>
      <c r="AB576" s="7" t="inlineStr">
        <is>
          <t>^TeslaWeapon</t>
        </is>
      </c>
    </row>
    <row r="577">
      <c r="A577" t="inlineStr">
        <is>
          <t>redalert</t>
        </is>
      </c>
      <c r="B577" t="inlineStr">
        <is>
          <t>ra1_allies_machinegunner</t>
        </is>
      </c>
      <c r="C577" t="inlineStr">
        <is>
          <t>Machine Gunner</t>
        </is>
      </c>
      <c r="D577" s="6" t="inlineStr">
        <is>
          <t>HeavyInfantry</t>
        </is>
      </c>
      <c r="E577" s="6" t="n">
        <v>20000</v>
      </c>
      <c r="F577" s="6" t="n">
        <v>50</v>
      </c>
      <c r="G577" t="inlineStr">
        <is>
          <t>Plate</t>
        </is>
      </c>
      <c r="H577" s="6" t="n">
        <v>1</v>
      </c>
      <c r="I577" s="6" t="n">
        <v>0.8</v>
      </c>
      <c r="J577" s="6" t="n">
        <v>1</v>
      </c>
      <c r="K577" s="6" t="n"/>
      <c r="P577">
        <f>MAX(P578)</f>
        <v/>
      </c>
      <c r="S577">
        <f>S578</f>
        <v/>
      </c>
      <c r="T577">
        <f>(E577/100000+F577/100+(P577/1000)*J577/5+S577/200)*200*I577*H577</f>
        <v/>
      </c>
      <c r="U577">
        <f>((E577*F577/25000)+((P577/1000)*J577*S577/2.5))*I577*H577</f>
        <v/>
      </c>
      <c r="V577">
        <f>(E577*F577*(P577/1000)*J577*S577*I577*H577)/12500000</f>
        <v/>
      </c>
      <c r="W577">
        <f>(T577+U577+V577)/3</f>
        <v/>
      </c>
      <c r="X577" s="6" t="n">
        <v>400</v>
      </c>
      <c r="Y577">
        <f>IFERROR(W577-X577,"")</f>
        <v/>
      </c>
      <c r="Z577">
        <f>IFERROR(ABS(Y577)/MAX(X577,1),"")</f>
        <v/>
      </c>
      <c r="AA577">
        <f>IFERROR((X577-(((E577/100000+F577/100+S577/200)*200*I577*H577)+((E577*F577/25000)*I577*H577))/3)/(((J577/5)*200*I577*H577)+((J577*S577/2.5)*I577*H577)+((E577*F577*J577*S577*I577*H577)/12500000))/3*1000,"")</f>
        <v/>
      </c>
    </row>
    <row r="578">
      <c r="B578" s="7" t="inlineStr">
        <is>
          <t xml:space="preserve">  ↳ RAVulcan</t>
        </is>
      </c>
      <c r="C578" s="7" t="inlineStr">
        <is>
          <t>Armament@PRIMARY</t>
        </is>
      </c>
      <c r="L578" s="6" t="n">
        <v>2000</v>
      </c>
      <c r="M578" s="6" t="n">
        <v>48</v>
      </c>
      <c r="N578" s="6" t="n">
        <v>5</v>
      </c>
      <c r="O578" s="6" t="n">
        <v>3</v>
      </c>
      <c r="P578" s="6" t="n">
        <v>5713</v>
      </c>
      <c r="Q578" s="6" t="n">
        <v>0.875</v>
      </c>
      <c r="R578">
        <f>M578+IF(N578&gt;1,N(O578)*(N578-1),0)</f>
        <v/>
      </c>
      <c r="S578">
        <f>IFERROR(L578*MAX(N578,1)/R578*Q578*IF(ISBLANK(K577),1,K577),0)</f>
        <v/>
      </c>
      <c r="AB578" s="7" t="inlineStr">
        <is>
          <t>^SmallArms, ^Chaingun</t>
        </is>
      </c>
    </row>
    <row r="579">
      <c r="B579" s="7" t="inlineStr">
        <is>
          <t xml:space="preserve">  ↳ RAVulcan</t>
        </is>
      </c>
      <c r="C579" s="7" t="inlineStr">
        <is>
          <t>Armament@GARRISONED</t>
        </is>
      </c>
      <c r="L579" s="6" t="n">
        <v>2000</v>
      </c>
      <c r="M579" s="6" t="n">
        <v>48</v>
      </c>
      <c r="N579" s="6" t="n">
        <v>5</v>
      </c>
      <c r="O579" s="6" t="n">
        <v>3</v>
      </c>
      <c r="P579" s="6" t="n">
        <v>5713</v>
      </c>
      <c r="Q579" s="6" t="n">
        <v>0.875</v>
      </c>
      <c r="R579">
        <f>M579+IF(N579&gt;1,N(O579)*(N579-1),0)</f>
        <v/>
      </c>
      <c r="S579">
        <f>IFERROR(L579*MAX(N579,1)/R579*Q579*IF(ISBLANK(K577),1,K577),0)</f>
        <v/>
      </c>
      <c r="AB579" s="7" t="inlineStr">
        <is>
          <t>^SmallArms, ^Chaingun</t>
        </is>
      </c>
    </row>
    <row r="580">
      <c r="A580" t="inlineStr">
        <is>
          <t>tiberiansun</t>
        </is>
      </c>
      <c r="B580" t="inlineStr">
        <is>
          <t>cabal_cyborgcommando</t>
        </is>
      </c>
      <c r="C580" t="inlineStr">
        <is>
          <t>Cyborg Commando</t>
        </is>
      </c>
      <c r="D580" s="6" t="inlineStr">
        <is>
          <t>HeavyInfantry</t>
        </is>
      </c>
      <c r="E580" s="6" t="n">
        <v>250000</v>
      </c>
      <c r="F580" s="6" t="n">
        <v>40</v>
      </c>
      <c r="G580" t="inlineStr">
        <is>
          <t>Heroic</t>
        </is>
      </c>
      <c r="H580" s="6" t="n">
        <v>0.75</v>
      </c>
      <c r="I580" s="6" t="n">
        <v>1</v>
      </c>
      <c r="J580" s="6" t="n">
        <v>1</v>
      </c>
      <c r="K580" s="6" t="n"/>
      <c r="P580">
        <f>MAX(P581,P582)</f>
        <v/>
      </c>
      <c r="S580">
        <f>S581+S582</f>
        <v/>
      </c>
      <c r="T580">
        <f>(E580/100000+F580/100+(P580/1000)*J580/5+S580/200)*200*I580*H580</f>
        <v/>
      </c>
      <c r="U580">
        <f>((E580*F580/25000)+((P580/1000)*J580*S580/2.5))*I580*H580</f>
        <v/>
      </c>
      <c r="V580">
        <f>(E580*F580*(P580/1000)*J580*S580*I580*H580)/12500000</f>
        <v/>
      </c>
      <c r="W580">
        <f>(T580+U580+V580)/3</f>
        <v/>
      </c>
      <c r="X580" s="6" t="n">
        <v>5000</v>
      </c>
      <c r="Y580">
        <f>IFERROR(W580-X580,"")</f>
        <v/>
      </c>
      <c r="Z580">
        <f>IFERROR(ABS(Y580)/MAX(X580,1),"")</f>
        <v/>
      </c>
      <c r="AA580">
        <f>IFERROR((X580-(((E580/100000+F580/100+S580/200)*200*I580*H580)+((E580*F580/25000)*I580*H580))/3)/(((J580/5)*200*I580*H580)+((J580*S580/2.5)*I580*H580)+((E580*F580*J580*S580*I580*H580)/12500000))/3*1000,"")</f>
        <v/>
      </c>
    </row>
    <row r="581">
      <c r="B581" s="7" t="inlineStr">
        <is>
          <t xml:space="preserve">  ↳ CabalCommandoPlasma</t>
        </is>
      </c>
      <c r="C581" s="7" t="inlineStr">
        <is>
          <t>Armament@PRIMARY</t>
        </is>
      </c>
      <c r="L581" s="6" t="n">
        <v>50000</v>
      </c>
      <c r="M581" s="6" t="n">
        <v>90</v>
      </c>
      <c r="N581" s="6" t="n">
        <v>1</v>
      </c>
      <c r="O581" s="6" t="n"/>
      <c r="P581" s="6" t="n">
        <v>5219</v>
      </c>
      <c r="Q581" s="6" t="n">
        <v>1.083333333333333</v>
      </c>
      <c r="R581">
        <f>M581+IF(N581&gt;1,N(O581)*(N581-1),0)</f>
        <v/>
      </c>
      <c r="S581">
        <f>IFERROR(L581*MAX(N581,1)/R581*Q581*IF(ISBLANK(K580),1,K580),0)</f>
        <v/>
      </c>
      <c r="AB581" s="7" t="inlineStr">
        <is>
          <t>^HeavyCannon, ^MediumFlameWeapon, ^MediumChemicalWeapon</t>
        </is>
      </c>
    </row>
    <row r="582">
      <c r="B582" s="7" t="inlineStr">
        <is>
          <t xml:space="preserve">  ↳ CabalCommandoPlasmaNeutron</t>
        </is>
      </c>
      <c r="C582" s="7" t="inlineStr">
        <is>
          <t>Armament@Upgraded</t>
        </is>
      </c>
      <c r="L582" s="6" t="n">
        <v>50000</v>
      </c>
      <c r="M582" s="6" t="n">
        <v>90</v>
      </c>
      <c r="N582" s="6" t="n">
        <v>1</v>
      </c>
      <c r="O582" s="6" t="n"/>
      <c r="P582" s="6" t="n">
        <v>5219</v>
      </c>
      <c r="Q582" s="6" t="n">
        <v>1.1</v>
      </c>
      <c r="R582">
        <f>M582+IF(N582&gt;1,N(O582)*(N582-1),0)</f>
        <v/>
      </c>
      <c r="S582">
        <f>IFERROR(L582*MAX(N582,1)/R582*Q582*IF(ISBLANK(K580),1,K580),0)</f>
        <v/>
      </c>
      <c r="AB582" s="7" t="inlineStr">
        <is>
          <t>^HeavyCannon, ^MediumFlameWeapon, ^MediumChemicalWeapon, ^TeslaWeapon, ^MagicWeapon, ^RailgunWeapon</t>
        </is>
      </c>
    </row>
    <row r="583">
      <c r="B583" s="7" t="inlineStr">
        <is>
          <t xml:space="preserve">  ↳ CabalCommandoPlasma</t>
        </is>
      </c>
      <c r="C583" s="7" t="inlineStr">
        <is>
          <t>Armament@GARRISONED</t>
        </is>
      </c>
      <c r="L583" s="6" t="n">
        <v>50000</v>
      </c>
      <c r="M583" s="6" t="n">
        <v>90</v>
      </c>
      <c r="N583" s="6" t="n">
        <v>1</v>
      </c>
      <c r="O583" s="6" t="n"/>
      <c r="P583" s="6" t="n">
        <v>5219</v>
      </c>
      <c r="Q583" s="6" t="n">
        <v>1.083333333333333</v>
      </c>
      <c r="R583">
        <f>M583+IF(N583&gt;1,N(O583)*(N583-1),0)</f>
        <v/>
      </c>
      <c r="S583">
        <f>IFERROR(L583*MAX(N583,1)/R583*Q583*IF(ISBLANK(K580),1,K580),0)</f>
        <v/>
      </c>
      <c r="AB583" s="7" t="inlineStr">
        <is>
          <t>^HeavyCannon, ^MediumFlameWeapon, ^MediumChemicalWeapon</t>
        </is>
      </c>
    </row>
    <row r="584">
      <c r="B584" s="7" t="inlineStr">
        <is>
          <t xml:space="preserve">  ↳ CabalCommandoPlasmaNeutron</t>
        </is>
      </c>
      <c r="C584" s="7" t="inlineStr">
        <is>
          <t>Armament@GARRISONEDUpgraded</t>
        </is>
      </c>
      <c r="L584" s="6" t="n">
        <v>50000</v>
      </c>
      <c r="M584" s="6" t="n">
        <v>90</v>
      </c>
      <c r="N584" s="6" t="n">
        <v>1</v>
      </c>
      <c r="O584" s="6" t="n"/>
      <c r="P584" s="6" t="n">
        <v>5219</v>
      </c>
      <c r="Q584" s="6" t="n">
        <v>1.1</v>
      </c>
      <c r="R584">
        <f>M584+IF(N584&gt;1,N(O584)*(N584-1),0)</f>
        <v/>
      </c>
      <c r="S584">
        <f>IFERROR(L584*MAX(N584,1)/R584*Q584*IF(ISBLANK(K580),1,K580),0)</f>
        <v/>
      </c>
      <c r="AB584" s="7" t="inlineStr">
        <is>
          <t>^HeavyCannon, ^MediumFlameWeapon, ^MediumChemicalWeapon, ^TeslaWeapon, ^MagicWeapon, ^RailgunWeapon</t>
        </is>
      </c>
    </row>
    <row r="585">
      <c r="A585" t="inlineStr">
        <is>
          <t>tiberiansun</t>
        </is>
      </c>
      <c r="B585" t="inlineStr">
        <is>
          <t>cabal_cyborgcommandov2</t>
        </is>
      </c>
      <c r="C585" t="inlineStr">
        <is>
          <t>Cyborg Commando V2</t>
        </is>
      </c>
      <c r="D585" s="6" t="inlineStr">
        <is>
          <t>HeavyInfantry</t>
        </is>
      </c>
      <c r="E585" s="6" t="n">
        <v>400000</v>
      </c>
      <c r="F585" s="6" t="n">
        <v>40</v>
      </c>
      <c r="G585" t="inlineStr">
        <is>
          <t>Heroic</t>
        </is>
      </c>
      <c r="H585" s="6" t="n">
        <v>0.5</v>
      </c>
      <c r="I585" s="6" t="n">
        <v>1</v>
      </c>
      <c r="J585" s="6" t="n">
        <v>1</v>
      </c>
      <c r="K585" s="6" t="n"/>
      <c r="P585">
        <f>MAX(P586,P587)</f>
        <v/>
      </c>
      <c r="S585">
        <f>S586+S587</f>
        <v/>
      </c>
      <c r="T585">
        <f>(E585/100000+F585/100+(P585/1000)*J585/5+S585/200)*200*I585*H585</f>
        <v/>
      </c>
      <c r="U585">
        <f>((E585*F585/25000)+((P585/1000)*J585*S585/2.5))*I585*H585</f>
        <v/>
      </c>
      <c r="V585">
        <f>(E585*F585*(P585/1000)*J585*S585*I585*H585)/12500000</f>
        <v/>
      </c>
      <c r="W585">
        <f>(T585+U585+V585)/3</f>
        <v/>
      </c>
      <c r="X585" s="6" t="n">
        <v>10000</v>
      </c>
      <c r="Y585">
        <f>IFERROR(W585-X585,"")</f>
        <v/>
      </c>
      <c r="Z585">
        <f>IFERROR(ABS(Y585)/MAX(X585,1),"")</f>
        <v/>
      </c>
      <c r="AA585">
        <f>IFERROR((X585-(((E585/100000+F585/100+S585/200)*200*I585*H585)+((E585*F585/25000)*I585*H585))/3)/(((J585/5)*200*I585*H585)+((J585*S585/2.5)*I585*H585)+((E585*F585*J585*S585*I585*H585)/12500000))/3*1000,"")</f>
        <v/>
      </c>
    </row>
    <row r="586">
      <c r="B586" s="7" t="inlineStr">
        <is>
          <t xml:space="preserve">  ↳ CabalCommandoPlasmaMk2</t>
        </is>
      </c>
      <c r="C586" s="7" t="inlineStr">
        <is>
          <t>Armament@PRIMARY</t>
        </is>
      </c>
      <c r="L586" s="6" t="n">
        <v>50000</v>
      </c>
      <c r="M586" s="6" t="n">
        <v>90</v>
      </c>
      <c r="N586" s="6" t="n">
        <v>1</v>
      </c>
      <c r="O586" s="6" t="n"/>
      <c r="P586" s="6" t="n">
        <v>6264</v>
      </c>
      <c r="Q586" s="6" t="n">
        <v>1.083333333333333</v>
      </c>
      <c r="R586">
        <f>M586+IF(N586&gt;1,N(O586)*(N586-1),0)</f>
        <v/>
      </c>
      <c r="S586">
        <f>IFERROR(L586*MAX(N586,1)/R586*Q586*IF(ISBLANK(K585),1,K585),0)</f>
        <v/>
      </c>
      <c r="AB586" s="7" t="inlineStr">
        <is>
          <t>^HeavyCannon, ^MediumFlameWeapon, ^MediumChemicalWeapon</t>
        </is>
      </c>
    </row>
    <row r="587">
      <c r="B587" s="7" t="inlineStr">
        <is>
          <t xml:space="preserve">  ↳ CabalCommandoPlasmaMk2Neutron</t>
        </is>
      </c>
      <c r="C587" s="7" t="inlineStr">
        <is>
          <t>Armament@Upgraded</t>
        </is>
      </c>
      <c r="L587" s="6" t="n">
        <v>50000</v>
      </c>
      <c r="M587" s="6" t="n">
        <v>90</v>
      </c>
      <c r="N587" s="6" t="n">
        <v>1</v>
      </c>
      <c r="O587" s="6" t="n"/>
      <c r="P587" s="6" t="n">
        <v>6264</v>
      </c>
      <c r="Q587" s="6" t="n">
        <v>1.1</v>
      </c>
      <c r="R587">
        <f>M587+IF(N587&gt;1,N(O587)*(N587-1),0)</f>
        <v/>
      </c>
      <c r="S587">
        <f>IFERROR(L587*MAX(N587,1)/R587*Q587*IF(ISBLANK(K585),1,K585),0)</f>
        <v/>
      </c>
      <c r="AB587" s="7" t="inlineStr">
        <is>
          <t>^HeavyCannon, ^MediumFlameWeapon, ^MediumChemicalWeapon, ^TeslaWeapon, ^MagicWeapon, ^RailgunWeapon</t>
        </is>
      </c>
    </row>
    <row r="588">
      <c r="B588" s="7" t="inlineStr">
        <is>
          <t xml:space="preserve">  ↳ CabalCommandoPlasmaMk2</t>
        </is>
      </c>
      <c r="C588" s="7" t="inlineStr">
        <is>
          <t>Armament@GARRISONED</t>
        </is>
      </c>
      <c r="L588" s="6" t="n">
        <v>50000</v>
      </c>
      <c r="M588" s="6" t="n">
        <v>90</v>
      </c>
      <c r="N588" s="6" t="n">
        <v>1</v>
      </c>
      <c r="O588" s="6" t="n"/>
      <c r="P588" s="6" t="n">
        <v>6264</v>
      </c>
      <c r="Q588" s="6" t="n">
        <v>1.083333333333333</v>
      </c>
      <c r="R588">
        <f>M588+IF(N588&gt;1,N(O588)*(N588-1),0)</f>
        <v/>
      </c>
      <c r="S588">
        <f>IFERROR(L588*MAX(N588,1)/R588*Q588*IF(ISBLANK(K585),1,K585),0)</f>
        <v/>
      </c>
      <c r="AB588" s="7" t="inlineStr">
        <is>
          <t>^HeavyCannon, ^MediumFlameWeapon, ^MediumChemicalWeapon</t>
        </is>
      </c>
    </row>
    <row r="589">
      <c r="B589" s="7" t="inlineStr">
        <is>
          <t xml:space="preserve">  ↳ CabalCommandoPlasmaMk2Neutron</t>
        </is>
      </c>
      <c r="C589" s="7" t="inlineStr">
        <is>
          <t>Armament@GARRISONEDUpgraded</t>
        </is>
      </c>
      <c r="L589" s="6" t="n">
        <v>50000</v>
      </c>
      <c r="M589" s="6" t="n">
        <v>90</v>
      </c>
      <c r="N589" s="6" t="n">
        <v>1</v>
      </c>
      <c r="O589" s="6" t="n"/>
      <c r="P589" s="6" t="n">
        <v>6264</v>
      </c>
      <c r="Q589" s="6" t="n">
        <v>1.1</v>
      </c>
      <c r="R589">
        <f>M589+IF(N589&gt;1,N(O589)*(N589-1),0)</f>
        <v/>
      </c>
      <c r="S589">
        <f>IFERROR(L589*MAX(N589,1)/R589*Q589*IF(ISBLANK(K585),1,K585),0)</f>
        <v/>
      </c>
      <c r="AB589" s="7" t="inlineStr">
        <is>
          <t>^HeavyCannon, ^MediumFlameWeapon, ^MediumChemicalWeapon, ^TeslaWeapon, ^MagicWeapon, ^RailgunWeapon</t>
        </is>
      </c>
    </row>
    <row r="590">
      <c r="A590" t="inlineStr">
        <is>
          <t>tiberiansun</t>
        </is>
      </c>
      <c r="B590" t="inlineStr">
        <is>
          <t>cabal_cyborginfantry</t>
        </is>
      </c>
      <c r="C590" t="inlineStr">
        <is>
          <t>Cyborg Infantry</t>
        </is>
      </c>
      <c r="D590" s="6" t="inlineStr">
        <is>
          <t>HeavyInfantry</t>
        </is>
      </c>
      <c r="E590" s="6" t="n">
        <v>45000</v>
      </c>
      <c r="F590" s="6" t="n">
        <v>40</v>
      </c>
      <c r="G590" t="inlineStr">
        <is>
          <t>Plate</t>
        </is>
      </c>
      <c r="H590" s="6" t="n">
        <v>1</v>
      </c>
      <c r="I590" s="6" t="n">
        <v>0.8</v>
      </c>
      <c r="J590" s="6" t="n">
        <v>1</v>
      </c>
      <c r="K590" s="6" t="n"/>
      <c r="P590">
        <f>MAX(P591)</f>
        <v/>
      </c>
      <c r="S590">
        <f>S591</f>
        <v/>
      </c>
      <c r="T590">
        <f>(E590/100000+F590/100+(P590/1000)*J590/5+S590/200)*200*I590*H590</f>
        <v/>
      </c>
      <c r="U590">
        <f>((E590*F590/25000)+((P590/1000)*J590*S590/2.5))*I590*H590</f>
        <v/>
      </c>
      <c r="V590">
        <f>(E590*F590*(P590/1000)*J590*S590*I590*H590)/12500000</f>
        <v/>
      </c>
      <c r="W590">
        <f>(T590+U590+V590)/3</f>
        <v/>
      </c>
      <c r="X590" s="6" t="n">
        <v>500</v>
      </c>
      <c r="Y590">
        <f>IFERROR(W590-X590,"")</f>
        <v/>
      </c>
      <c r="Z590">
        <f>IFERROR(ABS(Y590)/MAX(X590,1),"")</f>
        <v/>
      </c>
      <c r="AA590">
        <f>IFERROR((X590-(((E590/100000+F590/100+S590/200)*200*I590*H590)+((E590*F590/25000)*I590*H590))/3)/(((J590/5)*200*I590*H590)+((J590*S590/2.5)*I590*H590)+((E590*F590*J590*S590*I590*H590)/12500000))/3*1000,"")</f>
        <v/>
      </c>
    </row>
    <row r="591">
      <c r="B591" s="7" t="inlineStr">
        <is>
          <t xml:space="preserve">  ↳ CabalCyborgChaingun</t>
        </is>
      </c>
      <c r="C591" s="7" t="inlineStr">
        <is>
          <t>Armament@PRIMARY</t>
        </is>
      </c>
      <c r="L591" s="6" t="n">
        <v>10000</v>
      </c>
      <c r="M591" s="6" t="n">
        <v>60</v>
      </c>
      <c r="N591" s="6" t="n">
        <v>1</v>
      </c>
      <c r="O591" s="6" t="n"/>
      <c r="P591" s="6" t="n">
        <v>5800</v>
      </c>
      <c r="Q591" s="6" t="n">
        <v>0.875</v>
      </c>
      <c r="R591">
        <f>M591+IF(N591&gt;1,N(O591)*(N591-1),0)</f>
        <v/>
      </c>
      <c r="S591">
        <f>IFERROR(L591*MAX(N591,1)/R591*Q591*IF(ISBLANK(K590),1,K590),0)</f>
        <v/>
      </c>
      <c r="AB591" s="7" t="inlineStr">
        <is>
          <t>^SmallArms, ^Chaingun</t>
        </is>
      </c>
    </row>
    <row r="592">
      <c r="B592" s="7" t="inlineStr">
        <is>
          <t xml:space="preserve">  ↳ CabalCyborgChaingun</t>
        </is>
      </c>
      <c r="C592" s="7" t="inlineStr">
        <is>
          <t>Armament@GARRISONED</t>
        </is>
      </c>
      <c r="L592" s="6" t="n">
        <v>10000</v>
      </c>
      <c r="M592" s="6" t="n">
        <v>60</v>
      </c>
      <c r="N592" s="6" t="n">
        <v>1</v>
      </c>
      <c r="O592" s="6" t="n"/>
      <c r="P592" s="6" t="n">
        <v>5800</v>
      </c>
      <c r="Q592" s="6" t="n">
        <v>0.875</v>
      </c>
      <c r="R592">
        <f>M592+IF(N592&gt;1,N(O592)*(N592-1),0)</f>
        <v/>
      </c>
      <c r="S592">
        <f>IFERROR(L592*MAX(N592,1)/R592*Q592*IF(ISBLANK(K590),1,K590),0)</f>
        <v/>
      </c>
      <c r="AB592" s="7" t="inlineStr">
        <is>
          <t>^SmallArms, ^Chaingun</t>
        </is>
      </c>
    </row>
    <row r="593">
      <c r="A593" t="inlineStr">
        <is>
          <t>tiberiansun</t>
        </is>
      </c>
      <c r="B593" t="inlineStr">
        <is>
          <t>cabal_devout</t>
        </is>
      </c>
      <c r="C593" t="inlineStr">
        <is>
          <t>Devout</t>
        </is>
      </c>
      <c r="D593" s="6" t="inlineStr">
        <is>
          <t>HeavyInfantry</t>
        </is>
      </c>
      <c r="E593" s="6" t="n">
        <v>80000</v>
      </c>
      <c r="F593" s="6" t="n">
        <v>40</v>
      </c>
      <c r="G593" t="inlineStr">
        <is>
          <t>Plate</t>
        </is>
      </c>
      <c r="H593" s="6" t="n">
        <v>1</v>
      </c>
      <c r="I593" s="6" t="n">
        <v>0.8</v>
      </c>
      <c r="J593" s="6" t="n">
        <v>1.25</v>
      </c>
      <c r="K593" s="6" t="n"/>
      <c r="P593">
        <f>MAX(P594)</f>
        <v/>
      </c>
      <c r="S593">
        <f>S594</f>
        <v/>
      </c>
      <c r="T593">
        <f>(E593/100000+F593/100+(P593/1000)*J593/5+S593/200)*200*I593*H593</f>
        <v/>
      </c>
      <c r="U593">
        <f>((E593*F593/25000)+((P593/1000)*J593*S593/2.5))*I593*H593</f>
        <v/>
      </c>
      <c r="V593">
        <f>(E593*F593*(P593/1000)*J593*S593*I593*H593)/12500000</f>
        <v/>
      </c>
      <c r="W593">
        <f>(T593+U593+V593)/3</f>
        <v/>
      </c>
      <c r="X593" s="6" t="n">
        <v>1400</v>
      </c>
      <c r="Y593">
        <f>IFERROR(W593-X593,"")</f>
        <v/>
      </c>
      <c r="Z593">
        <f>IFERROR(ABS(Y593)/MAX(X593,1),"")</f>
        <v/>
      </c>
      <c r="AA593">
        <f>IFERROR((X593-(((E593/100000+F593/100+S593/200)*200*I593*H593)+((E593*F593/25000)*I593*H593))/3)/(((J593/5)*200*I593*H593)+((J593*S593/2.5)*I593*H593)+((E593*F593*J593*S593*I593*H593)/12500000))/3*1000,"")</f>
        <v/>
      </c>
    </row>
    <row r="594">
      <c r="B594" s="7" t="inlineStr">
        <is>
          <t xml:space="preserve">  ↳ TSDevoutChainguns</t>
        </is>
      </c>
      <c r="C594" s="7" t="inlineStr">
        <is>
          <t>Armament@PRIMARY</t>
        </is>
      </c>
      <c r="L594" s="6" t="n">
        <v>12000</v>
      </c>
      <c r="M594" s="6" t="n">
        <v>45</v>
      </c>
      <c r="N594" s="6" t="n">
        <v>2</v>
      </c>
      <c r="O594" s="6" t="n">
        <v>3</v>
      </c>
      <c r="P594" s="6" t="n">
        <v>6200</v>
      </c>
      <c r="Q594" s="6" t="n">
        <v>0.875</v>
      </c>
      <c r="R594">
        <f>M594+IF(N594&gt;1,N(O594)*(N594-1),0)</f>
        <v/>
      </c>
      <c r="S594">
        <f>IFERROR(L594*MAX(N594,1)/R594*Q594*IF(ISBLANK(K593),1,K593),0)</f>
        <v/>
      </c>
      <c r="AB594" s="7" t="inlineStr">
        <is>
          <t>^SmallArms, ^Chaingun</t>
        </is>
      </c>
    </row>
    <row r="595">
      <c r="B595" s="7" t="inlineStr">
        <is>
          <t xml:space="preserve">  ↳ TSDevoutChainguns</t>
        </is>
      </c>
      <c r="C595" s="7" t="inlineStr">
        <is>
          <t>Armament@GARRISONED</t>
        </is>
      </c>
      <c r="L595" s="6" t="n">
        <v>12000</v>
      </c>
      <c r="M595" s="6" t="n">
        <v>45</v>
      </c>
      <c r="N595" s="6" t="n">
        <v>2</v>
      </c>
      <c r="O595" s="6" t="n">
        <v>3</v>
      </c>
      <c r="P595" s="6" t="n">
        <v>6200</v>
      </c>
      <c r="Q595" s="6" t="n">
        <v>0.875</v>
      </c>
      <c r="R595">
        <f>M595+IF(N595&gt;1,N(O595)*(N595-1),0)</f>
        <v/>
      </c>
      <c r="S595">
        <f>IFERROR(L595*MAX(N595,1)/R595*Q595*IF(ISBLANK(K593),1,K593),0)</f>
        <v/>
      </c>
      <c r="AB595" s="7" t="inlineStr">
        <is>
          <t>^SmallArms, ^Chaingun</t>
        </is>
      </c>
    </row>
    <row r="596">
      <c r="A596" t="inlineStr">
        <is>
          <t>tiberiansun</t>
        </is>
      </c>
      <c r="B596" t="inlineStr">
        <is>
          <t>cabal_dissolver</t>
        </is>
      </c>
      <c r="C596" t="inlineStr">
        <is>
          <t>Dissolver</t>
        </is>
      </c>
      <c r="D596" s="6" t="inlineStr">
        <is>
          <t>HeavyInfantry</t>
        </is>
      </c>
      <c r="E596" s="6" t="n">
        <v>50000</v>
      </c>
      <c r="F596" s="6" t="n">
        <v>40</v>
      </c>
      <c r="G596" t="inlineStr">
        <is>
          <t>Flak</t>
        </is>
      </c>
      <c r="H596" s="6" t="n">
        <v>1</v>
      </c>
      <c r="I596" s="6" t="n">
        <v>0.8</v>
      </c>
      <c r="J596" s="6" t="n">
        <v>1</v>
      </c>
      <c r="K596" s="6" t="n"/>
      <c r="P596">
        <f>MAX(P597)</f>
        <v/>
      </c>
      <c r="S596">
        <f>S597</f>
        <v/>
      </c>
      <c r="T596">
        <f>(E596/100000+F596/100+(P596/1000)*J596/5+S596/200)*200*I596*H596</f>
        <v/>
      </c>
      <c r="U596">
        <f>((E596*F596/25000)+((P596/1000)*J596*S596/2.5))*I596*H596</f>
        <v/>
      </c>
      <c r="V596">
        <f>(E596*F596*(P596/1000)*J596*S596*I596*H596)/12500000</f>
        <v/>
      </c>
      <c r="W596">
        <f>(T596+U596+V596)/3</f>
        <v/>
      </c>
      <c r="X596" s="6" t="n">
        <v>725</v>
      </c>
      <c r="Y596">
        <f>IFERROR(W596-X596,"")</f>
        <v/>
      </c>
      <c r="Z596">
        <f>IFERROR(ABS(Y596)/MAX(X596,1),"")</f>
        <v/>
      </c>
      <c r="AA596">
        <f>IFERROR((X596-(((E596/100000+F596/100+S596/200)*200*I596*H596)+((E596*F596/25000)*I596*H596))/3)/(((J596/5)*200*I596*H596)+((J596*S596/2.5)*I596*H596)+((E596*F596*J596*S596*I596*H596)/12500000))/3*1000,"")</f>
        <v/>
      </c>
    </row>
    <row r="597">
      <c r="B597" s="7" t="inlineStr">
        <is>
          <t xml:space="preserve">  ↳ CabalDissolverSpray</t>
        </is>
      </c>
      <c r="C597" s="7" t="inlineStr">
        <is>
          <t>Armament</t>
        </is>
      </c>
      <c r="L597" s="6" t="n">
        <v>2000</v>
      </c>
      <c r="M597" s="6" t="n">
        <v>4</v>
      </c>
      <c r="N597" s="6" t="n">
        <v>1</v>
      </c>
      <c r="O597" s="6" t="n"/>
      <c r="P597" s="6" t="n">
        <v>5142</v>
      </c>
      <c r="Q597" s="6" t="n">
        <v>0.75</v>
      </c>
      <c r="R597">
        <f>M597+IF(N597&gt;1,N(O597)*(N597-1),0)</f>
        <v/>
      </c>
      <c r="S597">
        <f>IFERROR(L597*MAX(N597,1)/R597*Q597*IF(ISBLANK(K596),1,K596),0)</f>
        <v/>
      </c>
      <c r="AB597" s="7" t="inlineStr">
        <is>
          <t>^LightChemicalWeapon, ^TankDestroyerCannon</t>
        </is>
      </c>
    </row>
    <row r="598">
      <c r="A598" t="inlineStr">
        <is>
          <t>tiberiansun</t>
        </is>
      </c>
      <c r="B598" t="inlineStr">
        <is>
          <t>cabal_eliminator800</t>
        </is>
      </c>
      <c r="C598" t="inlineStr">
        <is>
          <t>Eliminator 800</t>
        </is>
      </c>
      <c r="D598" s="6" t="inlineStr">
        <is>
          <t>HeavyInfantry</t>
        </is>
      </c>
      <c r="E598" s="6" t="n">
        <v>85000</v>
      </c>
      <c r="F598" s="6" t="n">
        <v>40</v>
      </c>
      <c r="G598" t="inlineStr">
        <is>
          <t>Flak</t>
        </is>
      </c>
      <c r="H598" s="6" t="n">
        <v>1</v>
      </c>
      <c r="I598" s="6" t="n">
        <v>0.8</v>
      </c>
      <c r="J598" s="6" t="n">
        <v>1</v>
      </c>
      <c r="K598" s="6" t="n"/>
      <c r="P598">
        <f>MAX(P599)</f>
        <v/>
      </c>
      <c r="S598">
        <f>S599</f>
        <v/>
      </c>
      <c r="T598">
        <f>(E598/100000+F598/100+(P598/1000)*J598/5+S598/200)*200*I598*H598</f>
        <v/>
      </c>
      <c r="U598">
        <f>((E598*F598/25000)+((P598/1000)*J598*S598/2.5))*I598*H598</f>
        <v/>
      </c>
      <c r="V598">
        <f>(E598*F598*(P598/1000)*J598*S598*I598*H598)/12500000</f>
        <v/>
      </c>
      <c r="W598">
        <f>(T598+U598+V598)/3</f>
        <v/>
      </c>
      <c r="X598" s="6" t="n">
        <v>1250</v>
      </c>
      <c r="Y598">
        <f>IFERROR(W598-X598,"")</f>
        <v/>
      </c>
      <c r="Z598">
        <f>IFERROR(ABS(Y598)/MAX(X598,1),"")</f>
        <v/>
      </c>
      <c r="AA598">
        <f>IFERROR((X598-(((E598/100000+F598/100+S598/200)*200*I598*H598)+((E598*F598/25000)*I598*H598))/3)/(((J598/5)*200*I598*H598)+((J598*S598/2.5)*I598*H598)+((E598*F598*J598*S598*I598*H598)/12500000))/3*1000,"")</f>
        <v/>
      </c>
    </row>
    <row r="599">
      <c r="B599" s="7" t="inlineStr">
        <is>
          <t xml:space="preserve">  ↳ CabalEliminatorGatling</t>
        </is>
      </c>
      <c r="C599" s="7" t="inlineStr">
        <is>
          <t>Armament@PRIMARY</t>
        </is>
      </c>
      <c r="L599" s="6" t="n">
        <v>32000</v>
      </c>
      <c r="M599" s="6" t="n">
        <v>32</v>
      </c>
      <c r="N599" s="6" t="n">
        <v>1</v>
      </c>
      <c r="O599" s="6" t="n"/>
      <c r="P599" s="6" t="n">
        <v>6167</v>
      </c>
      <c r="Q599" s="6" t="n">
        <v>1</v>
      </c>
      <c r="R599">
        <f>M599+IF(N599&gt;1,N(O599)*(N599-1),0)</f>
        <v/>
      </c>
      <c r="S599">
        <f>IFERROR(L599*MAX(N599,1)/R599*Q599*IF(ISBLANK(K598),1,K598),0)</f>
        <v/>
      </c>
      <c r="AB599" s="7" t="inlineStr">
        <is>
          <t>^Chaingun</t>
        </is>
      </c>
    </row>
    <row r="600">
      <c r="B600" s="7" t="inlineStr">
        <is>
          <t xml:space="preserve">  ↳ CabalEliminatorGatling</t>
        </is>
      </c>
      <c r="C600" s="7" t="inlineStr">
        <is>
          <t>Armament@GARRISONED</t>
        </is>
      </c>
      <c r="L600" s="6" t="n">
        <v>32000</v>
      </c>
      <c r="M600" s="6" t="n">
        <v>32</v>
      </c>
      <c r="N600" s="6" t="n">
        <v>1</v>
      </c>
      <c r="O600" s="6" t="n"/>
      <c r="P600" s="6" t="n">
        <v>6167</v>
      </c>
      <c r="Q600" s="6" t="n">
        <v>1</v>
      </c>
      <c r="R600">
        <f>M600+IF(N600&gt;1,N(O600)*(N600-1),0)</f>
        <v/>
      </c>
      <c r="S600">
        <f>IFERROR(L600*MAX(N600,1)/R600*Q600*IF(ISBLANK(K598),1,K598),0)</f>
        <v/>
      </c>
      <c r="AB600" s="7" t="inlineStr">
        <is>
          <t>^Chaingun</t>
        </is>
      </c>
    </row>
    <row r="601">
      <c r="A601" t="inlineStr">
        <is>
          <t>tiberiansun</t>
        </is>
      </c>
      <c r="B601" t="inlineStr">
        <is>
          <t>cabal_enlighted</t>
        </is>
      </c>
      <c r="C601" t="inlineStr">
        <is>
          <t>Enlighted</t>
        </is>
      </c>
      <c r="D601" s="6" t="inlineStr">
        <is>
          <t>HeavyInfantry</t>
        </is>
      </c>
      <c r="E601" s="6" t="n">
        <v>80000</v>
      </c>
      <c r="F601" s="6" t="n">
        <v>40</v>
      </c>
      <c r="G601" t="inlineStr">
        <is>
          <t>Flak</t>
        </is>
      </c>
      <c r="H601" s="6" t="n">
        <v>1</v>
      </c>
      <c r="I601" s="6" t="n">
        <v>1</v>
      </c>
      <c r="J601" s="6" t="n">
        <v>1</v>
      </c>
      <c r="K601" s="6" t="n"/>
      <c r="P601">
        <f>MAX(P602,P603)</f>
        <v/>
      </c>
      <c r="S601">
        <f>S602+S603</f>
        <v/>
      </c>
      <c r="T601">
        <f>(E601/100000+F601/100+(P601/1000)*J601/5+S601/200)*200*I601*H601</f>
        <v/>
      </c>
      <c r="U601">
        <f>((E601*F601/25000)+((P601/1000)*J601*S601/2.5))*I601*H601</f>
        <v/>
      </c>
      <c r="V601">
        <f>(E601*F601*(P601/1000)*J601*S601*I601*H601)/12500000</f>
        <v/>
      </c>
      <c r="W601">
        <f>(T601+U601+V601)/3</f>
        <v/>
      </c>
      <c r="X601" s="6" t="n">
        <v>1600</v>
      </c>
      <c r="Y601">
        <f>IFERROR(W601-X601,"")</f>
        <v/>
      </c>
      <c r="Z601">
        <f>IFERROR(ABS(Y601)/MAX(X601,1),"")</f>
        <v/>
      </c>
      <c r="AA601">
        <f>IFERROR((X601-(((E601/100000+F601/100+S601/200)*200*I601*H601)+((E601*F601/25000)*I601*H601))/3)/(((J601/5)*200*I601*H601)+((J601*S601/2.5)*I601*H601)+((E601*F601*J601*S601*I601*H601)/12500000))/3*1000,"")</f>
        <v/>
      </c>
    </row>
    <row r="602">
      <c r="B602" s="7" t="inlineStr">
        <is>
          <t xml:space="preserve">  ↳ TSCABALEnlightedLaser</t>
        </is>
      </c>
      <c r="C602" s="7" t="inlineStr">
        <is>
          <t>Armament@PRIMARY</t>
        </is>
      </c>
      <c r="L602" s="6" t="n">
        <v>70000</v>
      </c>
      <c r="M602" s="6" t="n">
        <v>25</v>
      </c>
      <c r="N602" s="6" t="n">
        <v>1</v>
      </c>
      <c r="O602" s="6" t="n"/>
      <c r="P602" s="6" t="n">
        <v>5120</v>
      </c>
      <c r="Q602" s="6" t="n">
        <v>1</v>
      </c>
      <c r="R602">
        <f>M602+IF(N602&gt;1,N(O602)*(N602-1),0)</f>
        <v/>
      </c>
      <c r="S602">
        <f>IFERROR(L602*MAX(N602,1)/R602*Q602*IF(ISBLANK(K601),1,K601),0)</f>
        <v/>
      </c>
      <c r="AB602" s="7" t="inlineStr">
        <is>
          <t>^TankDestroyerCannon, ^LaserWeapon, ^MediumFlameWeapon, ^MediumChemicalWeapon, ^TSLaserEffect</t>
        </is>
      </c>
    </row>
    <row r="603">
      <c r="B603" s="7" t="inlineStr">
        <is>
          <t xml:space="preserve">  ↳ SuicideBomberTargeting</t>
        </is>
      </c>
      <c r="C603" s="7" t="inlineStr">
        <is>
          <t>Armament@Suicide</t>
        </is>
      </c>
      <c r="L603" s="6" t="n"/>
      <c r="M603" s="6" t="n"/>
      <c r="N603" s="6" t="n">
        <v>1</v>
      </c>
      <c r="O603" s="6" t="n"/>
      <c r="P603" s="6" t="n">
        <v>1536</v>
      </c>
      <c r="Q603" s="6" t="n">
        <v>1</v>
      </c>
      <c r="R603">
        <f>M603+IF(N603&gt;1,N(O603)*(N603-1),0)</f>
        <v/>
      </c>
      <c r="S603">
        <f>IFERROR(L603*MAX(N603,1)/R603*Q603*IF(ISBLANK(K601),1,K601),0)</f>
        <v/>
      </c>
      <c r="AB603" s="7" t="inlineStr">
        <is>
          <t>DemoTruckTargeting</t>
        </is>
      </c>
    </row>
    <row r="604">
      <c r="B604" s="7" t="inlineStr">
        <is>
          <t xml:space="preserve">  ↳ TSCABALEnlightedLaser</t>
        </is>
      </c>
      <c r="C604" s="7" t="inlineStr">
        <is>
          <t>Armament@GARRISONED</t>
        </is>
      </c>
      <c r="L604" s="6" t="n">
        <v>70000</v>
      </c>
      <c r="M604" s="6" t="n">
        <v>25</v>
      </c>
      <c r="N604" s="6" t="n">
        <v>1</v>
      </c>
      <c r="O604" s="6" t="n"/>
      <c r="P604" s="6" t="n">
        <v>5120</v>
      </c>
      <c r="Q604" s="6" t="n">
        <v>1</v>
      </c>
      <c r="R604">
        <f>M604+IF(N604&gt;1,N(O604)*(N604-1),0)</f>
        <v/>
      </c>
      <c r="S604">
        <f>IFERROR(L604*MAX(N604,1)/R604*Q604*IF(ISBLANK(K601),1,K601),0)</f>
        <v/>
      </c>
      <c r="AB604" s="7" t="inlineStr">
        <is>
          <t>^TankDestroyerCannon, ^LaserWeapon, ^MediumFlameWeapon, ^MediumChemicalWeapon, ^TSLaserEffect</t>
        </is>
      </c>
    </row>
    <row r="605">
      <c r="A605" t="inlineStr">
        <is>
          <t>tiberiansun</t>
        </is>
      </c>
      <c r="B605" t="inlineStr">
        <is>
          <t>cabal_hackercyborg</t>
        </is>
      </c>
      <c r="C605" t="inlineStr">
        <is>
          <t>Hacker Cyborg</t>
        </is>
      </c>
      <c r="D605" s="6" t="inlineStr">
        <is>
          <t>HeavyInfantry</t>
        </is>
      </c>
      <c r="E605" s="6" t="n">
        <v>30000</v>
      </c>
      <c r="F605" s="6" t="n">
        <v>80</v>
      </c>
      <c r="G605" t="inlineStr">
        <is>
          <t>None</t>
        </is>
      </c>
      <c r="H605" s="6" t="n">
        <v>1</v>
      </c>
      <c r="I605" s="6" t="n">
        <v>1</v>
      </c>
      <c r="J605" s="6" t="n">
        <v>1</v>
      </c>
      <c r="K605" s="6" t="n"/>
      <c r="P605">
        <f>MAX(P606,P607)</f>
        <v/>
      </c>
      <c r="S605">
        <f>S606+S607</f>
        <v/>
      </c>
      <c r="T605">
        <f>(E605/100000+F605/100+(P605/1000)*J605/5+S605/200)*200*I605*H605</f>
        <v/>
      </c>
      <c r="U605">
        <f>((E605*F605/25000)+((P605/1000)*J605*S605/2.5))*I605*H605</f>
        <v/>
      </c>
      <c r="V605">
        <f>(E605*F605*(P605/1000)*J605*S605*I605*H605)/12500000</f>
        <v/>
      </c>
      <c r="W605">
        <f>(T605+U605+V605)/3</f>
        <v/>
      </c>
      <c r="X605" s="6" t="n">
        <v>1250</v>
      </c>
      <c r="Y605">
        <f>IFERROR(W605-X605,"")</f>
        <v/>
      </c>
      <c r="Z605">
        <f>IFERROR(ABS(Y605)/MAX(X605,1),"")</f>
        <v/>
      </c>
      <c r="AA605">
        <f>IFERROR((X605-(((E605/100000+F605/100+S605/200)*200*I605*H605)+((E605*F605/25000)*I605*H605))/3)/(((J605/5)*200*I605*H605)+((J605*S605/2.5)*I605*H605)+((E605*F605*J605*S605*I605*H605)/12500000))/3*1000,"")</f>
        <v/>
      </c>
    </row>
    <row r="606">
      <c r="B606" s="7" t="inlineStr">
        <is>
          <t xml:space="preserve">  ↳ TSCABALempdisable.anim</t>
        </is>
      </c>
      <c r="C606" s="7" t="inlineStr">
        <is>
          <t>Armament@Anim</t>
        </is>
      </c>
      <c r="L606" s="6" t="n">
        <v>1</v>
      </c>
      <c r="M606" s="6" t="n">
        <v>6</v>
      </c>
      <c r="N606" s="6" t="n">
        <v>1</v>
      </c>
      <c r="O606" s="6" t="n"/>
      <c r="P606" s="6" t="n">
        <v>8000</v>
      </c>
      <c r="Q606" s="6" t="n">
        <v>1</v>
      </c>
      <c r="R606">
        <f>M606+IF(N606&gt;1,N(O606)*(N606-1),0)</f>
        <v/>
      </c>
      <c r="S606">
        <f>IFERROR(L606*MAX(N606,1)/R606*Q606*IF(ISBLANK(K605),1,K605),0)</f>
        <v/>
      </c>
      <c r="AB606" s="7" t="inlineStr"/>
    </row>
    <row r="607">
      <c r="B607" s="7" t="inlineStr">
        <is>
          <t xml:space="preserve">  ↳ TSCABALempdisable.end</t>
        </is>
      </c>
      <c r="C607" s="7" t="inlineStr">
        <is>
          <t>Armament@End</t>
        </is>
      </c>
      <c r="L607" s="6" t="n">
        <v>2000</v>
      </c>
      <c r="M607" s="6" t="n">
        <v>8</v>
      </c>
      <c r="N607" s="6" t="n">
        <v>1</v>
      </c>
      <c r="O607" s="6" t="n"/>
      <c r="P607" s="6" t="n">
        <v>8000</v>
      </c>
      <c r="Q607" s="6" t="n">
        <v>1</v>
      </c>
      <c r="R607">
        <f>M607+IF(N607&gt;1,N(O607)*(N607-1),0)</f>
        <v/>
      </c>
      <c r="S607">
        <f>IFERROR(L607*MAX(N607,1)/R607*Q607*IF(ISBLANK(K605),1,K605),0)</f>
        <v/>
      </c>
      <c r="AB607" s="7" t="inlineStr">
        <is>
          <t>^TeslaChargedWeapon</t>
        </is>
      </c>
    </row>
    <row r="608">
      <c r="B608" s="7" t="inlineStr">
        <is>
          <t xml:space="preserve">  ↳ TSRobotHackingControl</t>
        </is>
      </c>
      <c r="C608" s="7" t="inlineStr">
        <is>
          <t>Armament@GARRISONED</t>
        </is>
      </c>
      <c r="L608" s="6" t="n">
        <v>0</v>
      </c>
      <c r="M608" s="6" t="n">
        <v>50</v>
      </c>
      <c r="N608" s="6" t="n">
        <v>1</v>
      </c>
      <c r="O608" s="6" t="n"/>
      <c r="P608" s="6" t="n">
        <v>8000</v>
      </c>
      <c r="Q608" s="6" t="n">
        <v>1</v>
      </c>
      <c r="R608">
        <f>M608+IF(N608&gt;1,N(O608)*(N608-1),0)</f>
        <v/>
      </c>
      <c r="S608">
        <f>IFERROR(L608*MAX(N608,1)/R608*Q608*IF(ISBLANK(K605),1,K605),0)</f>
        <v/>
      </c>
      <c r="AB608" s="7" t="inlineStr"/>
    </row>
    <row r="609">
      <c r="A609" t="inlineStr">
        <is>
          <t>tiberiansun</t>
        </is>
      </c>
      <c r="B609" t="inlineStr">
        <is>
          <t>ts_nod_toxintrooper</t>
        </is>
      </c>
      <c r="C609" t="inlineStr">
        <is>
          <t>Toxin Trooper</t>
        </is>
      </c>
      <c r="D609" s="6" t="inlineStr">
        <is>
          <t>HeavyInfantry</t>
        </is>
      </c>
      <c r="E609" s="6" t="n">
        <v>30000</v>
      </c>
      <c r="F609" s="6" t="n">
        <v>55</v>
      </c>
      <c r="G609" t="inlineStr">
        <is>
          <t>Plate</t>
        </is>
      </c>
      <c r="H609" s="6" t="n">
        <v>1</v>
      </c>
      <c r="I609" s="6" t="n">
        <v>1</v>
      </c>
      <c r="J609" s="6" t="n">
        <v>1</v>
      </c>
      <c r="K609" s="6" t="n"/>
      <c r="P609">
        <f>MAX(P610)</f>
        <v/>
      </c>
      <c r="S609">
        <f>S610</f>
        <v/>
      </c>
      <c r="T609">
        <f>(E609/100000+F609/100+(P609/1000)*J609/5+S609/200)*200*I609*H609</f>
        <v/>
      </c>
      <c r="U609">
        <f>((E609*F609/25000)+((P609/1000)*J609*S609/2.5))*I609*H609</f>
        <v/>
      </c>
      <c r="V609">
        <f>(E609*F609*(P609/1000)*J609*S609*I609*H609)/12500000</f>
        <v/>
      </c>
      <c r="W609">
        <f>(T609+U609+V609)/3</f>
        <v/>
      </c>
      <c r="X609" s="6" t="n">
        <v>850</v>
      </c>
      <c r="Y609">
        <f>IFERROR(W609-X609,"")</f>
        <v/>
      </c>
      <c r="Z609">
        <f>IFERROR(ABS(Y609)/MAX(X609,1),"")</f>
        <v/>
      </c>
      <c r="AA609">
        <f>IFERROR((X609-(((E609/100000+F609/100+S609/200)*200*I609*H609)+((E609*F609/25000)*I609*H609))/3)/(((J609/5)*200*I609*H609)+((J609*S609/2.5)*I609*H609)+((E609*F609*J609*S609*I609*H609)/12500000))/3*1000,"")</f>
        <v/>
      </c>
    </row>
    <row r="610">
      <c r="B610" s="7" t="inlineStr">
        <is>
          <t xml:space="preserve">  ↳ TSToxinRifle</t>
        </is>
      </c>
      <c r="C610" s="7" t="inlineStr">
        <is>
          <t>Armament@PRIMARY</t>
        </is>
      </c>
      <c r="L610" s="6" t="n">
        <v>16000</v>
      </c>
      <c r="M610" s="6" t="n">
        <v>54</v>
      </c>
      <c r="N610" s="6" t="n">
        <v>3</v>
      </c>
      <c r="O610" s="6" t="n">
        <v>3</v>
      </c>
      <c r="P610" s="6" t="n">
        <v>10293</v>
      </c>
      <c r="Q610" s="6" t="n">
        <v>0.75</v>
      </c>
      <c r="R610">
        <f>M610+IF(N610&gt;1,N(O610)*(N610-1),0)</f>
        <v/>
      </c>
      <c r="S610">
        <f>IFERROR(L610*MAX(N610,1)/R610*Q610*IF(ISBLANK(K609),1,K609),0)</f>
        <v/>
      </c>
      <c r="AB610" s="7" t="inlineStr">
        <is>
          <t>^LightChemicalWeapon</t>
        </is>
      </c>
    </row>
    <row r="611">
      <c r="B611" s="7" t="inlineStr">
        <is>
          <t xml:space="preserve">  ↳ TSToxinRifle</t>
        </is>
      </c>
      <c r="C611" s="7" t="inlineStr">
        <is>
          <t>Armament@GARRISONED</t>
        </is>
      </c>
      <c r="L611" s="6" t="n">
        <v>16000</v>
      </c>
      <c r="M611" s="6" t="n">
        <v>54</v>
      </c>
      <c r="N611" s="6" t="n">
        <v>3</v>
      </c>
      <c r="O611" s="6" t="n">
        <v>3</v>
      </c>
      <c r="P611" s="6" t="n">
        <v>10293</v>
      </c>
      <c r="Q611" s="6" t="n">
        <v>0.75</v>
      </c>
      <c r="R611">
        <f>M611+IF(N611&gt;1,N(O611)*(N611-1),0)</f>
        <v/>
      </c>
      <c r="S611">
        <f>IFERROR(L611*MAX(N611,1)/R611*Q611*IF(ISBLANK(K609),1,K609),0)</f>
        <v/>
      </c>
      <c r="AB611" s="7" t="inlineStr">
        <is>
          <t>^LightChemicalWeapon</t>
        </is>
      </c>
    </row>
    <row r="612">
      <c r="A612" t="inlineStr">
        <is>
          <t>tiberiansun</t>
        </is>
      </c>
      <c r="B612" t="inlineStr">
        <is>
          <t>ts_gdi_zonetrooper</t>
        </is>
      </c>
      <c r="C612" t="inlineStr">
        <is>
          <t>Zone Trooper</t>
        </is>
      </c>
      <c r="D612" s="6" t="inlineStr">
        <is>
          <t>HeavyInfantry</t>
        </is>
      </c>
      <c r="E612" s="6" t="n">
        <v>80000</v>
      </c>
      <c r="F612" s="6" t="n">
        <v>60</v>
      </c>
      <c r="G612" t="inlineStr">
        <is>
          <t>Plate</t>
        </is>
      </c>
      <c r="H612" s="6" t="n">
        <v>1</v>
      </c>
      <c r="I612" s="6" t="n">
        <v>1</v>
      </c>
      <c r="J612" s="6" t="n">
        <v>1</v>
      </c>
      <c r="K612" s="6" t="n"/>
      <c r="P612">
        <f>MAX(P613,P614)</f>
        <v/>
      </c>
      <c r="S612">
        <f>S613+S614</f>
        <v/>
      </c>
      <c r="T612">
        <f>(E612/100000+F612/100+(P612/1000)*J612/5+S612/200)*200*I612*H612</f>
        <v/>
      </c>
      <c r="U612">
        <f>((E612*F612/25000)+((P612/1000)*J612*S612/2.5))*I612*H612</f>
        <v/>
      </c>
      <c r="V612">
        <f>(E612*F612*(P612/1000)*J612*S612*I612*H612)/12500000</f>
        <v/>
      </c>
      <c r="W612">
        <f>(T612+U612+V612)/3</f>
        <v/>
      </c>
      <c r="X612" s="6" t="n">
        <v>1500</v>
      </c>
      <c r="Y612">
        <f>IFERROR(W612-X612,"")</f>
        <v/>
      </c>
      <c r="Z612">
        <f>IFERROR(ABS(Y612)/MAX(X612,1),"")</f>
        <v/>
      </c>
      <c r="AA612">
        <f>IFERROR((X612-(((E612/100000+F612/100+S612/200)*200*I612*H612)+((E612*F612/25000)*I612*H612))/3)/(((J612/5)*200*I612*H612)+((J612*S612/2.5)*I612*H612)+((E612*F612*J612*S612*I612*H612)/12500000))/3*1000,"")</f>
        <v/>
      </c>
    </row>
    <row r="613">
      <c r="B613" s="7" t="inlineStr">
        <is>
          <t xml:space="preserve">  ↳ TSZoneRailgun</t>
        </is>
      </c>
      <c r="C613" s="7" t="inlineStr">
        <is>
          <t>Armament@PRIMARY</t>
        </is>
      </c>
      <c r="L613" s="6" t="n">
        <v>40000</v>
      </c>
      <c r="M613" s="6" t="n">
        <v>60</v>
      </c>
      <c r="N613" s="6" t="n">
        <v>1</v>
      </c>
      <c r="O613" s="6" t="n"/>
      <c r="P613" s="6" t="n">
        <v>6230</v>
      </c>
      <c r="Q613" s="6" t="n">
        <v>1.25</v>
      </c>
      <c r="R613">
        <f>M613+IF(N613&gt;1,N(O613)*(N613-1),0)</f>
        <v/>
      </c>
      <c r="S613">
        <f>IFERROR(L613*MAX(N613,1)/R613*Q613*IF(ISBLANK(K612),1,K612),0)</f>
        <v/>
      </c>
      <c r="AB613" s="7" t="inlineStr">
        <is>
          <t>^RailgunWeapon</t>
        </is>
      </c>
    </row>
    <row r="614">
      <c r="B614" s="7" t="inlineStr">
        <is>
          <t xml:space="preserve">  ↳ TSZoneRailgunRail</t>
        </is>
      </c>
      <c r="C614" s="7" t="inlineStr">
        <is>
          <t>Armament@Upgrade</t>
        </is>
      </c>
      <c r="L614" s="6" t="n">
        <v>60000</v>
      </c>
      <c r="M614" s="6" t="n">
        <v>60</v>
      </c>
      <c r="N614" s="6" t="n">
        <v>1</v>
      </c>
      <c r="O614" s="6" t="n"/>
      <c r="P614" s="6" t="n">
        <v>6230</v>
      </c>
      <c r="Q614" s="6" t="n">
        <v>1.25</v>
      </c>
      <c r="R614">
        <f>M614+IF(N614&gt;1,N(O614)*(N614-1),0)</f>
        <v/>
      </c>
      <c r="S614">
        <f>IFERROR(L614*MAX(N614,1)/R614*Q614*IF(ISBLANK(K612),1,K612),0)</f>
        <v/>
      </c>
      <c r="AB614" s="7" t="inlineStr">
        <is>
          <t>^RailgunWeapon</t>
        </is>
      </c>
    </row>
    <row r="615">
      <c r="B615" s="7" t="inlineStr">
        <is>
          <t xml:space="preserve">  ↳ TSZoneRailgun</t>
        </is>
      </c>
      <c r="C615" s="7" t="inlineStr">
        <is>
          <t>Armament@GARRISONED</t>
        </is>
      </c>
      <c r="L615" s="6" t="n">
        <v>40000</v>
      </c>
      <c r="M615" s="6" t="n">
        <v>60</v>
      </c>
      <c r="N615" s="6" t="n">
        <v>1</v>
      </c>
      <c r="O615" s="6" t="n"/>
      <c r="P615" s="6" t="n">
        <v>6230</v>
      </c>
      <c r="Q615" s="6" t="n">
        <v>1.25</v>
      </c>
      <c r="R615">
        <f>M615+IF(N615&gt;1,N(O615)*(N615-1),0)</f>
        <v/>
      </c>
      <c r="S615">
        <f>IFERROR(L615*MAX(N615,1)/R615*Q615*IF(ISBLANK(K612),1,K612),0)</f>
        <v/>
      </c>
      <c r="AB615" s="7" t="inlineStr">
        <is>
          <t>^RailgunWeapon</t>
        </is>
      </c>
    </row>
    <row r="616">
      <c r="B616" s="7" t="inlineStr">
        <is>
          <t xml:space="preserve">  ↳ TSZoneRailgunRail</t>
        </is>
      </c>
      <c r="C616" s="7" t="inlineStr">
        <is>
          <t>Armament@UpgradeGARRISONED</t>
        </is>
      </c>
      <c r="L616" s="6" t="n">
        <v>60000</v>
      </c>
      <c r="M616" s="6" t="n">
        <v>60</v>
      </c>
      <c r="N616" s="6" t="n">
        <v>1</v>
      </c>
      <c r="O616" s="6" t="n"/>
      <c r="P616" s="6" t="n">
        <v>6230</v>
      </c>
      <c r="Q616" s="6" t="n">
        <v>1.25</v>
      </c>
      <c r="R616">
        <f>M616+IF(N616&gt;1,N(O616)*(N616-1),0)</f>
        <v/>
      </c>
      <c r="S616">
        <f>IFERROR(L616*MAX(N616,1)/R616*Q616*IF(ISBLANK(K612),1,K612),0)</f>
        <v/>
      </c>
      <c r="AB616" s="7" t="inlineStr">
        <is>
          <t>^RailgunWeapon</t>
        </is>
      </c>
    </row>
    <row r="617">
      <c r="A617" t="inlineStr">
        <is>
          <t>tiberiansun</t>
        </is>
      </c>
      <c r="B617" t="inlineStr">
        <is>
          <t>forgotten_mutantsergeant</t>
        </is>
      </c>
      <c r="C617" t="inlineStr">
        <is>
          <t>actor_forgotten_mutantsergeant.name</t>
        </is>
      </c>
      <c r="D617" s="6" t="inlineStr">
        <is>
          <t>HeavyInfantry</t>
        </is>
      </c>
      <c r="E617" s="6" t="n">
        <v>40000</v>
      </c>
      <c r="F617" s="6" t="n">
        <v>75</v>
      </c>
      <c r="G617" t="inlineStr">
        <is>
          <t>Plate</t>
        </is>
      </c>
      <c r="H617" s="6" t="n">
        <v>1</v>
      </c>
      <c r="I617" s="6" t="n">
        <v>1</v>
      </c>
      <c r="J617" s="6" t="n">
        <v>1</v>
      </c>
      <c r="K617" s="6" t="n"/>
      <c r="P617">
        <f>MAX(P618)</f>
        <v/>
      </c>
      <c r="S617">
        <f>S618</f>
        <v/>
      </c>
      <c r="T617">
        <f>(E617/100000+F617/100+(P617/1000)*J617/5+S617/200)*200*I617*H617</f>
        <v/>
      </c>
      <c r="U617">
        <f>((E617*F617/25000)+((P617/1000)*J617*S617/2.5))*I617*H617</f>
        <v/>
      </c>
      <c r="V617">
        <f>(E617*F617*(P617/1000)*J617*S617*I617*H617)/12500000</f>
        <v/>
      </c>
      <c r="W617">
        <f>(T617+U617+V617)/3</f>
        <v/>
      </c>
      <c r="X617" s="6" t="n">
        <v>750</v>
      </c>
      <c r="Y617">
        <f>IFERROR(W617-X617,"")</f>
        <v/>
      </c>
      <c r="Z617">
        <f>IFERROR(ABS(Y617)/MAX(X617,1),"")</f>
        <v/>
      </c>
      <c r="AA617">
        <f>IFERROR((X617-(((E617/100000+F617/100+S617/200)*200*I617*H617)+((E617*F617/25000)*I617*H617))/3)/(((J617/5)*200*I617*H617)+((J617*S617/2.5)*I617*H617)+((E617*F617*J617*S617*I617*H617)/12500000))/3*1000,"")</f>
        <v/>
      </c>
    </row>
    <row r="618">
      <c r="B618" s="7" t="inlineStr">
        <is>
          <t xml:space="preserve">  ↳ TSSergGun</t>
        </is>
      </c>
      <c r="C618" s="7" t="inlineStr">
        <is>
          <t>Armament@PRIMARY</t>
        </is>
      </c>
      <c r="L618" s="6" t="n">
        <v>2000</v>
      </c>
      <c r="M618" s="6" t="n">
        <v>8</v>
      </c>
      <c r="N618" s="6" t="n">
        <v>1</v>
      </c>
      <c r="O618" s="6" t="n"/>
      <c r="P618" s="6" t="n">
        <v>7406</v>
      </c>
      <c r="Q618" s="6" t="n">
        <v>0.875</v>
      </c>
      <c r="R618">
        <f>M618+IF(N618&gt;1,N(O618)*(N618-1),0)</f>
        <v/>
      </c>
      <c r="S618">
        <f>IFERROR(L618*MAX(N618,1)/R618*Q618*IF(ISBLANK(K617),1,K617),0)</f>
        <v/>
      </c>
      <c r="AB618" s="7" t="inlineStr">
        <is>
          <t>^SmallArms, ^Chaingun</t>
        </is>
      </c>
    </row>
    <row r="619">
      <c r="B619" s="7" t="inlineStr">
        <is>
          <t xml:space="preserve">  ↳ TSSergGun</t>
        </is>
      </c>
      <c r="C619" s="7" t="inlineStr">
        <is>
          <t>Armament@GARRISONED</t>
        </is>
      </c>
      <c r="L619" s="6" t="n">
        <v>2000</v>
      </c>
      <c r="M619" s="6" t="n">
        <v>8</v>
      </c>
      <c r="N619" s="6" t="n">
        <v>1</v>
      </c>
      <c r="O619" s="6" t="n"/>
      <c r="P619" s="6" t="n">
        <v>7406</v>
      </c>
      <c r="Q619" s="6" t="n">
        <v>0.875</v>
      </c>
      <c r="R619">
        <f>M619+IF(N619&gt;1,N(O619)*(N619-1),0)</f>
        <v/>
      </c>
      <c r="S619">
        <f>IFERROR(L619*MAX(N619,1)/R619*Q619*IF(ISBLANK(K617),1,K617),0)</f>
        <v/>
      </c>
      <c r="AB619" s="7" t="inlineStr">
        <is>
          <t>^SmallArms, ^Chaingun</t>
        </is>
      </c>
    </row>
    <row r="620">
      <c r="A620" t="inlineStr">
        <is>
          <t>tiberiansun</t>
        </is>
      </c>
      <c r="B620" t="inlineStr">
        <is>
          <t>forgotten_tiberianfiend</t>
        </is>
      </c>
      <c r="C620" t="inlineStr">
        <is>
          <t>actor_forgotten_tiberianfiend.name</t>
        </is>
      </c>
      <c r="D620" s="6" t="inlineStr">
        <is>
          <t>HeavyInfantry</t>
        </is>
      </c>
      <c r="E620" s="6" t="n">
        <v>80000</v>
      </c>
      <c r="F620" s="6" t="n">
        <v>60</v>
      </c>
      <c r="G620" t="inlineStr">
        <is>
          <t>Plate</t>
        </is>
      </c>
      <c r="H620" s="6" t="n">
        <v>1</v>
      </c>
      <c r="I620" s="6" t="n">
        <v>1</v>
      </c>
      <c r="J620" s="6" t="n">
        <v>1</v>
      </c>
      <c r="K620" s="6" t="n"/>
      <c r="P620">
        <f>MAX(P621,P623)</f>
        <v/>
      </c>
      <c r="S620">
        <f>S621+S623</f>
        <v/>
      </c>
      <c r="T620">
        <f>(E620/100000+F620/100+(P620/1000)*J620/5+S620/200)*200*I620*H620</f>
        <v/>
      </c>
      <c r="U620">
        <f>((E620*F620/25000)+((P620/1000)*J620*S620/2.5))*I620*H620</f>
        <v/>
      </c>
      <c r="V620">
        <f>(E620*F620*(P620/1000)*J620*S620*I620*H620)/12500000</f>
        <v/>
      </c>
      <c r="W620">
        <f>(T620+U620+V620)/3</f>
        <v/>
      </c>
      <c r="X620" s="6" t="n">
        <v>1000</v>
      </c>
      <c r="Y620">
        <f>IFERROR(W620-X620,"")</f>
        <v/>
      </c>
      <c r="Z620">
        <f>IFERROR(ABS(Y620)/MAX(X620,1),"")</f>
        <v/>
      </c>
      <c r="AA620">
        <f>IFERROR((X620-(((E620/100000+F620/100+S620/200)*200*I620*H620)+((E620*F620/25000)*I620*H620))/3)/(((J620/5)*200*I620*H620)+((J620*S620/2.5)*I620*H620)+((E620*F620*J620*S620*I620*H620)/12500000))/3*1000,"")</f>
        <v/>
      </c>
    </row>
    <row r="621">
      <c r="B621" s="7" t="inlineStr">
        <is>
          <t xml:space="preserve">  ↳ TSFiendShard</t>
        </is>
      </c>
      <c r="C621" s="7" t="inlineStr">
        <is>
          <t>Armament@PRIMARY</t>
        </is>
      </c>
      <c r="L621" s="6" t="n">
        <v>6000</v>
      </c>
      <c r="M621" s="6" t="n">
        <v>36</v>
      </c>
      <c r="N621" s="6" t="n">
        <v>3</v>
      </c>
      <c r="O621" s="6" t="n">
        <v>2</v>
      </c>
      <c r="P621" s="6" t="n">
        <v>5690</v>
      </c>
      <c r="Q621" s="6" t="n">
        <v>0.875</v>
      </c>
      <c r="R621">
        <f>M621+IF(N621&gt;1,N(O621)*(N621-1),0)</f>
        <v/>
      </c>
      <c r="S621">
        <f>IFERROR(L621*MAX(N621,1)/R621*Q621*IF(ISBLANK(K620),1,K620),0)</f>
        <v/>
      </c>
      <c r="AB621" s="7" t="inlineStr">
        <is>
          <t>^LightChemicalWeapon, ^MediumChemicalWeapon</t>
        </is>
      </c>
    </row>
    <row r="622">
      <c r="B622" s="7" t="inlineStr">
        <is>
          <t xml:space="preserve">  ↳ TSFiendShard</t>
        </is>
      </c>
      <c r="C622" s="7" t="inlineStr">
        <is>
          <t>Armament@GARRISONED</t>
        </is>
      </c>
      <c r="L622" s="6" t="n">
        <v>6000</v>
      </c>
      <c r="M622" s="6" t="n">
        <v>36</v>
      </c>
      <c r="N622" s="6" t="n">
        <v>3</v>
      </c>
      <c r="O622" s="6" t="n">
        <v>2</v>
      </c>
      <c r="P622" s="6" t="n">
        <v>5690</v>
      </c>
      <c r="Q622" s="6" t="n">
        <v>0.875</v>
      </c>
      <c r="R622">
        <f>M622+IF(N622&gt;1,N(O622)*(N622-1),0)</f>
        <v/>
      </c>
      <c r="S622">
        <f>IFERROR(L622*MAX(N622,1)/R622*Q622*IF(ISBLANK(K620),1,K620),0)</f>
        <v/>
      </c>
      <c r="AB622" s="7" t="inlineStr">
        <is>
          <t>^LightChemicalWeapon, ^MediumChemicalWeapon</t>
        </is>
      </c>
    </row>
    <row r="623">
      <c r="B623" s="7" t="inlineStr">
        <is>
          <t xml:space="preserve">  ↳ TSFiendShardUP</t>
        </is>
      </c>
      <c r="C623" s="7" t="inlineStr">
        <is>
          <t>Armament@UPGRADE</t>
        </is>
      </c>
      <c r="L623" s="6" t="n">
        <v>6000</v>
      </c>
      <c r="M623" s="6" t="n">
        <v>36</v>
      </c>
      <c r="N623" s="6" t="n">
        <v>3</v>
      </c>
      <c r="O623" s="6" t="n">
        <v>2</v>
      </c>
      <c r="P623" s="6" t="n">
        <v>5690</v>
      </c>
      <c r="Q623" s="6" t="n">
        <v>1</v>
      </c>
      <c r="R623">
        <f>M623+IF(N623&gt;1,N(O623)*(N623-1),0)</f>
        <v/>
      </c>
      <c r="S623">
        <f>IFERROR(L623*MAX(N623,1)/R623*Q623*IF(ISBLANK(K620),1,K620),0)</f>
        <v/>
      </c>
      <c r="AB623" s="7" t="inlineStr">
        <is>
          <t>^LightChemicalWeapon, ^MediumChemicalWeapon, ^HeavyChemicalWeapon</t>
        </is>
      </c>
    </row>
    <row r="624">
      <c r="B624" s="7" t="inlineStr">
        <is>
          <t xml:space="preserve">  ↳ TSFiendShardUP</t>
        </is>
      </c>
      <c r="C624" s="7" t="inlineStr">
        <is>
          <t>Armament@GARRISONEDUPGRADE</t>
        </is>
      </c>
      <c r="L624" s="6" t="n">
        <v>6000</v>
      </c>
      <c r="M624" s="6" t="n">
        <v>36</v>
      </c>
      <c r="N624" s="6" t="n">
        <v>3</v>
      </c>
      <c r="O624" s="6" t="n">
        <v>2</v>
      </c>
      <c r="P624" s="6" t="n">
        <v>5690</v>
      </c>
      <c r="Q624" s="6" t="n">
        <v>1</v>
      </c>
      <c r="R624">
        <f>M624+IF(N624&gt;1,N(O624)*(N624-1),0)</f>
        <v/>
      </c>
      <c r="S624">
        <f>IFERROR(L624*MAX(N624,1)/R624*Q624*IF(ISBLANK(K620),1,K620),0)</f>
        <v/>
      </c>
      <c r="AB624" s="7" t="inlineStr">
        <is>
          <t>^LightChemicalWeapon, ^MediumChemicalWeapon, ^HeavyChemicalWeapon</t>
        </is>
      </c>
    </row>
    <row r="625">
      <c r="A625" t="inlineStr">
        <is>
          <t>tiberiansun</t>
        </is>
      </c>
      <c r="B625" t="inlineStr">
        <is>
          <t>forgotten_tiberianfiend_wild</t>
        </is>
      </c>
      <c r="C625" t="inlineStr">
        <is>
          <t>actor_forgotten_tiberianfiend.name</t>
        </is>
      </c>
      <c r="D625" s="6" t="inlineStr">
        <is>
          <t>HeavyInfantry</t>
        </is>
      </c>
      <c r="E625" s="6" t="n">
        <v>80000</v>
      </c>
      <c r="F625" s="6" t="n">
        <v>60</v>
      </c>
      <c r="G625" t="inlineStr">
        <is>
          <t>Plate</t>
        </is>
      </c>
      <c r="H625" s="6" t="n">
        <v>1</v>
      </c>
      <c r="I625" s="6" t="n">
        <v>1</v>
      </c>
      <c r="J625" s="6" t="n">
        <v>1</v>
      </c>
      <c r="K625" s="6" t="n"/>
      <c r="P625">
        <f>MAX(P626,P628)</f>
        <v/>
      </c>
      <c r="S625">
        <f>S626+S628</f>
        <v/>
      </c>
      <c r="T625">
        <f>(E625/100000+F625/100+(P625/1000)*J625/5+S625/200)*200*I625*H625</f>
        <v/>
      </c>
      <c r="U625">
        <f>((E625*F625/25000)+((P625/1000)*J625*S625/2.5))*I625*H625</f>
        <v/>
      </c>
      <c r="V625">
        <f>(E625*F625*(P625/1000)*J625*S625*I625*H625)/12500000</f>
        <v/>
      </c>
      <c r="W625">
        <f>(T625+U625+V625)/3</f>
        <v/>
      </c>
      <c r="X625" s="6" t="n">
        <v>1000</v>
      </c>
      <c r="Y625">
        <f>IFERROR(W625-X625,"")</f>
        <v/>
      </c>
      <c r="Z625">
        <f>IFERROR(ABS(Y625)/MAX(X625,1),"")</f>
        <v/>
      </c>
      <c r="AA625">
        <f>IFERROR((X625-(((E625/100000+F625/100+S625/200)*200*I625*H625)+((E625*F625/25000)*I625*H625))/3)/(((J625/5)*200*I625*H625)+((J625*S625/2.5)*I625*H625)+((E625*F625*J625*S625*I625*H625)/12500000))/3*1000,"")</f>
        <v/>
      </c>
    </row>
    <row r="626">
      <c r="B626" s="7" t="inlineStr">
        <is>
          <t xml:space="preserve">  ↳ TSFiendShard</t>
        </is>
      </c>
      <c r="C626" s="7" t="inlineStr">
        <is>
          <t>Armament@PRIMARY</t>
        </is>
      </c>
      <c r="L626" s="6" t="n">
        <v>6000</v>
      </c>
      <c r="M626" s="6" t="n">
        <v>36</v>
      </c>
      <c r="N626" s="6" t="n">
        <v>3</v>
      </c>
      <c r="O626" s="6" t="n">
        <v>2</v>
      </c>
      <c r="P626" s="6" t="n">
        <v>5690</v>
      </c>
      <c r="Q626" s="6" t="n">
        <v>0.875</v>
      </c>
      <c r="R626">
        <f>M626+IF(N626&gt;1,N(O626)*(N626-1),0)</f>
        <v/>
      </c>
      <c r="S626">
        <f>IFERROR(L626*MAX(N626,1)/R626*Q626*IF(ISBLANK(K625),1,K625),0)</f>
        <v/>
      </c>
      <c r="AB626" s="7" t="inlineStr">
        <is>
          <t>^LightChemicalWeapon, ^MediumChemicalWeapon</t>
        </is>
      </c>
    </row>
    <row r="627">
      <c r="B627" s="7" t="inlineStr">
        <is>
          <t xml:space="preserve">  ↳ TSFiendShard</t>
        </is>
      </c>
      <c r="C627" s="7" t="inlineStr">
        <is>
          <t>Armament@GARRISONED</t>
        </is>
      </c>
      <c r="L627" s="6" t="n">
        <v>6000</v>
      </c>
      <c r="M627" s="6" t="n">
        <v>36</v>
      </c>
      <c r="N627" s="6" t="n">
        <v>3</v>
      </c>
      <c r="O627" s="6" t="n">
        <v>2</v>
      </c>
      <c r="P627" s="6" t="n">
        <v>5690</v>
      </c>
      <c r="Q627" s="6" t="n">
        <v>0.875</v>
      </c>
      <c r="R627">
        <f>M627+IF(N627&gt;1,N(O627)*(N627-1),0)</f>
        <v/>
      </c>
      <c r="S627">
        <f>IFERROR(L627*MAX(N627,1)/R627*Q627*IF(ISBLANK(K625),1,K625),0)</f>
        <v/>
      </c>
      <c r="AB627" s="7" t="inlineStr">
        <is>
          <t>^LightChemicalWeapon, ^MediumChemicalWeapon</t>
        </is>
      </c>
    </row>
    <row r="628">
      <c r="B628" s="7" t="inlineStr">
        <is>
          <t xml:space="preserve">  ↳ TSFiendShardUP</t>
        </is>
      </c>
      <c r="C628" s="7" t="inlineStr">
        <is>
          <t>Armament@UPGRADE</t>
        </is>
      </c>
      <c r="L628" s="6" t="n">
        <v>6000</v>
      </c>
      <c r="M628" s="6" t="n">
        <v>36</v>
      </c>
      <c r="N628" s="6" t="n">
        <v>3</v>
      </c>
      <c r="O628" s="6" t="n">
        <v>2</v>
      </c>
      <c r="P628" s="6" t="n">
        <v>5690</v>
      </c>
      <c r="Q628" s="6" t="n">
        <v>1</v>
      </c>
      <c r="R628">
        <f>M628+IF(N628&gt;1,N(O628)*(N628-1),0)</f>
        <v/>
      </c>
      <c r="S628">
        <f>IFERROR(L628*MAX(N628,1)/R628*Q628*IF(ISBLANK(K625),1,K625),0)</f>
        <v/>
      </c>
      <c r="AB628" s="7" t="inlineStr">
        <is>
          <t>^LightChemicalWeapon, ^MediumChemicalWeapon, ^HeavyChemicalWeapon</t>
        </is>
      </c>
    </row>
    <row r="629">
      <c r="B629" s="7" t="inlineStr">
        <is>
          <t xml:space="preserve">  ↳ TSFiendShardUP</t>
        </is>
      </c>
      <c r="C629" s="7" t="inlineStr">
        <is>
          <t>Armament@GARRISONEDUPGRADE</t>
        </is>
      </c>
      <c r="L629" s="6" t="n">
        <v>6000</v>
      </c>
      <c r="M629" s="6" t="n">
        <v>36</v>
      </c>
      <c r="N629" s="6" t="n">
        <v>3</v>
      </c>
      <c r="O629" s="6" t="n">
        <v>2</v>
      </c>
      <c r="P629" s="6" t="n">
        <v>5690</v>
      </c>
      <c r="Q629" s="6" t="n">
        <v>1</v>
      </c>
      <c r="R629">
        <f>M629+IF(N629&gt;1,N(O629)*(N629-1),0)</f>
        <v/>
      </c>
      <c r="S629">
        <f>IFERROR(L629*MAX(N629,1)/R629*Q629*IF(ISBLANK(K625),1,K625),0)</f>
        <v/>
      </c>
      <c r="AB629" s="7" t="inlineStr">
        <is>
          <t>^LightChemicalWeapon, ^MediumChemicalWeapon, ^HeavyChemicalWeapon</t>
        </is>
      </c>
    </row>
    <row r="630">
      <c r="A630" t="inlineStr">
        <is>
          <t>tiberiansun</t>
        </is>
      </c>
      <c r="B630" t="inlineStr">
        <is>
          <t>forgotten_viniferafiend</t>
        </is>
      </c>
      <c r="C630" t="inlineStr">
        <is>
          <t>actor_forgotten_viniferafiend.name</t>
        </is>
      </c>
      <c r="D630" s="6" t="inlineStr">
        <is>
          <t>HeavyInfantry</t>
        </is>
      </c>
      <c r="E630" s="6" t="n">
        <v>100000</v>
      </c>
      <c r="F630" s="6" t="n">
        <v>60</v>
      </c>
      <c r="G630" t="inlineStr">
        <is>
          <t>Plate</t>
        </is>
      </c>
      <c r="H630" s="6" t="n">
        <v>1</v>
      </c>
      <c r="I630" s="6" t="n">
        <v>1</v>
      </c>
      <c r="J630" s="6" t="n">
        <v>1</v>
      </c>
      <c r="K630" s="6" t="n"/>
      <c r="P630">
        <f>MAX(P631,P633)</f>
        <v/>
      </c>
      <c r="S630">
        <f>S631+S633</f>
        <v/>
      </c>
      <c r="T630">
        <f>(E630/100000+F630/100+(P630/1000)*J630/5+S630/200)*200*I630*H630</f>
        <v/>
      </c>
      <c r="U630">
        <f>((E630*F630/25000)+((P630/1000)*J630*S630/2.5))*I630*H630</f>
        <v/>
      </c>
      <c r="V630">
        <f>(E630*F630*(P630/1000)*J630*S630*I630*H630)/12500000</f>
        <v/>
      </c>
      <c r="W630">
        <f>(T630+U630+V630)/3</f>
        <v/>
      </c>
      <c r="X630" s="6" t="n">
        <v>2000</v>
      </c>
      <c r="Y630">
        <f>IFERROR(W630-X630,"")</f>
        <v/>
      </c>
      <c r="Z630">
        <f>IFERROR(ABS(Y630)/MAX(X630,1),"")</f>
        <v/>
      </c>
      <c r="AA630">
        <f>IFERROR((X630-(((E630/100000+F630/100+S630/200)*200*I630*H630)+((E630*F630/25000)*I630*H630))/3)/(((J630/5)*200*I630*H630)+((J630*S630/2.5)*I630*H630)+((E630*F630*J630*S630*I630*H630)/12500000))/3*1000,"")</f>
        <v/>
      </c>
    </row>
    <row r="631">
      <c r="B631" s="7" t="inlineStr">
        <is>
          <t xml:space="preserve">  ↳ TSFiendShardBlue</t>
        </is>
      </c>
      <c r="C631" s="7" t="inlineStr">
        <is>
          <t>Armament@PRIMARY</t>
        </is>
      </c>
      <c r="L631" s="6" t="n">
        <v>6000</v>
      </c>
      <c r="M631" s="6" t="n">
        <v>36</v>
      </c>
      <c r="N631" s="6" t="n">
        <v>3</v>
      </c>
      <c r="O631" s="6" t="n">
        <v>2</v>
      </c>
      <c r="P631" s="6" t="n">
        <v>6096</v>
      </c>
      <c r="Q631" s="6" t="n">
        <v>0.9375</v>
      </c>
      <c r="R631">
        <f>M631+IF(N631&gt;1,N(O631)*(N631-1),0)</f>
        <v/>
      </c>
      <c r="S631">
        <f>IFERROR(L631*MAX(N631,1)/R631*Q631*IF(ISBLANK(K630),1,K630),0)</f>
        <v/>
      </c>
      <c r="AB631" s="7" t="inlineStr">
        <is>
          <t>^Grenade, ^ShrapnelWeapon, ^LightChemicalWeapon, ^MediumChemicalWeapon</t>
        </is>
      </c>
    </row>
    <row r="632">
      <c r="B632" s="7" t="inlineStr">
        <is>
          <t xml:space="preserve">  ↳ TSFiendShardBlue</t>
        </is>
      </c>
      <c r="C632" s="7" t="inlineStr">
        <is>
          <t>Armament@GARRISONED</t>
        </is>
      </c>
      <c r="L632" s="6" t="n">
        <v>6000</v>
      </c>
      <c r="M632" s="6" t="n">
        <v>36</v>
      </c>
      <c r="N632" s="6" t="n">
        <v>3</v>
      </c>
      <c r="O632" s="6" t="n">
        <v>2</v>
      </c>
      <c r="P632" s="6" t="n">
        <v>6096</v>
      </c>
      <c r="Q632" s="6" t="n">
        <v>0.9375</v>
      </c>
      <c r="R632">
        <f>M632+IF(N632&gt;1,N(O632)*(N632-1),0)</f>
        <v/>
      </c>
      <c r="S632">
        <f>IFERROR(L632*MAX(N632,1)/R632*Q632*IF(ISBLANK(K630),1,K630),0)</f>
        <v/>
      </c>
      <c r="AB632" s="7" t="inlineStr">
        <is>
          <t>^Grenade, ^ShrapnelWeapon, ^LightChemicalWeapon, ^MediumChemicalWeapon</t>
        </is>
      </c>
    </row>
    <row r="633">
      <c r="B633" s="7" t="inlineStr">
        <is>
          <t xml:space="preserve">  ↳ TSFiendShardBlueUP</t>
        </is>
      </c>
      <c r="C633" s="7" t="inlineStr">
        <is>
          <t>Armament@UPGRADE</t>
        </is>
      </c>
      <c r="L633" s="6" t="n">
        <v>6000</v>
      </c>
      <c r="M633" s="6" t="n">
        <v>36</v>
      </c>
      <c r="N633" s="6" t="n">
        <v>3</v>
      </c>
      <c r="O633" s="6" t="n">
        <v>2</v>
      </c>
      <c r="P633" s="6" t="n">
        <v>6096</v>
      </c>
      <c r="Q633" s="6" t="n">
        <v>1.041666666666667</v>
      </c>
      <c r="R633">
        <f>M633+IF(N633&gt;1,N(O633)*(N633-1),0)</f>
        <v/>
      </c>
      <c r="S633">
        <f>IFERROR(L633*MAX(N633,1)/R633*Q633*IF(ISBLANK(K630),1,K630),0)</f>
        <v/>
      </c>
      <c r="AB633" s="7" t="inlineStr">
        <is>
          <t>^Grenade, ^ShrapnelWeapon, ^LightChemicalWeapon, ^MediumChemicalWeapon, ^HeavyChemicalWeapon, ^HeavyBomb</t>
        </is>
      </c>
    </row>
    <row r="634">
      <c r="B634" s="7" t="inlineStr">
        <is>
          <t xml:space="preserve">  ↳ TSFiendShardBlueUP</t>
        </is>
      </c>
      <c r="C634" s="7" t="inlineStr">
        <is>
          <t>Armament@GARRISONEDUPGRADE</t>
        </is>
      </c>
      <c r="L634" s="6" t="n">
        <v>6000</v>
      </c>
      <c r="M634" s="6" t="n">
        <v>36</v>
      </c>
      <c r="N634" s="6" t="n">
        <v>3</v>
      </c>
      <c r="O634" s="6" t="n">
        <v>2</v>
      </c>
      <c r="P634" s="6" t="n">
        <v>6096</v>
      </c>
      <c r="Q634" s="6" t="n">
        <v>1.041666666666667</v>
      </c>
      <c r="R634">
        <f>M634+IF(N634&gt;1,N(O634)*(N634-1),0)</f>
        <v/>
      </c>
      <c r="S634">
        <f>IFERROR(L634*MAX(N634,1)/R634*Q634*IF(ISBLANK(K630),1,K630),0)</f>
        <v/>
      </c>
      <c r="AB634" s="7" t="inlineStr">
        <is>
          <t>^Grenade, ^ShrapnelWeapon, ^LightChemicalWeapon, ^MediumChemicalWeapon, ^HeavyChemicalWeapon, ^HeavyBomb</t>
        </is>
      </c>
    </row>
    <row r="635">
      <c r="A635" t="inlineStr">
        <is>
          <t>shared</t>
        </is>
      </c>
      <c r="B635" t="inlineStr">
        <is>
          <t>ra2shk.bot</t>
        </is>
      </c>
      <c r="C635" t="inlineStr">
        <is>
          <t>Tesla Coil Charger</t>
        </is>
      </c>
      <c r="D635" s="6" t="inlineStr">
        <is>
          <t>HeavyInfantry</t>
        </is>
      </c>
      <c r="E635" s="6" t="n">
        <v>48000</v>
      </c>
      <c r="F635" s="6" t="n">
        <v>38</v>
      </c>
      <c r="G635" t="inlineStr">
        <is>
          <t>Plate</t>
        </is>
      </c>
      <c r="H635" s="6" t="n">
        <v>1</v>
      </c>
      <c r="I635" s="6" t="n">
        <v>1</v>
      </c>
      <c r="J635" s="6" t="n">
        <v>1</v>
      </c>
      <c r="K635" s="6" t="n"/>
      <c r="P635">
        <f>MAX(P636)</f>
        <v/>
      </c>
      <c r="S635">
        <f>S636</f>
        <v/>
      </c>
      <c r="T635">
        <f>(E635/100000+F635/100+(P635/1000)*J635/5+S635/200)*200*I635*H635</f>
        <v/>
      </c>
      <c r="U635">
        <f>((E635*F635/25000)+((P635/1000)*J635*S635/2.5))*I635*H635</f>
        <v/>
      </c>
      <c r="V635">
        <f>(E635*F635*(P635/1000)*J635*S635*I635*H635)/12500000</f>
        <v/>
      </c>
      <c r="W635">
        <f>(T635+U635+V635)/3</f>
        <v/>
      </c>
      <c r="X635" s="6" t="n">
        <v>500</v>
      </c>
      <c r="Y635">
        <f>IFERROR(W635-X635,"")</f>
        <v/>
      </c>
      <c r="Z635">
        <f>IFERROR(ABS(Y635)/MAX(X635,1),"")</f>
        <v/>
      </c>
      <c r="AA635">
        <f>IFERROR((X635-(((E635/100000+F635/100+S635/200)*200*I635*H635)+((E635*F635/25000)*I635*H635))/3)/(((J635/5)*200*I635*H635)+((J635*S635/2.5)*I635*H635)+((E635*F635*J635*S635*I635*H635)/12500000))/3*1000,"")</f>
        <v/>
      </c>
    </row>
    <row r="636">
      <c r="B636" s="7" t="inlineStr">
        <is>
          <t xml:space="preserve">  ↳ RA2TeslaCoilCharge_cosmetic</t>
        </is>
      </c>
      <c r="C636" s="7" t="inlineStr">
        <is>
          <t>Armament@TeslaCoilCharge</t>
        </is>
      </c>
      <c r="L636" s="6" t="n"/>
      <c r="M636" s="6" t="n">
        <v>100</v>
      </c>
      <c r="N636" s="6" t="n">
        <v>1</v>
      </c>
      <c r="O636" s="6" t="n"/>
      <c r="P636" s="6" t="n">
        <v>3333</v>
      </c>
      <c r="Q636" s="6" t="n">
        <v>1</v>
      </c>
      <c r="R636">
        <f>M636+IF(N636&gt;1,N(O636)*(N636-1),0)</f>
        <v/>
      </c>
      <c r="S636">
        <f>IFERROR(L636*MAX(N636,1)/R636*Q636*IF(ISBLANK(K635),1,K635),0)</f>
        <v/>
      </c>
      <c r="AB636" s="7" t="inlineStr"/>
    </row>
    <row r="637">
      <c r="B637" s="7" t="inlineStr">
        <is>
          <t xml:space="preserve">  ↳ RA2PortaTesla</t>
        </is>
      </c>
      <c r="C637" s="7" t="inlineStr">
        <is>
          <t>Armament@GARRISONED</t>
        </is>
      </c>
      <c r="L637" s="6" t="n">
        <v>24000</v>
      </c>
      <c r="M637" s="6" t="n">
        <v>100</v>
      </c>
      <c r="N637" s="6" t="n">
        <v>1</v>
      </c>
      <c r="O637" s="6" t="n"/>
      <c r="P637" s="6" t="n">
        <v>5222</v>
      </c>
      <c r="Q637" s="6" t="n">
        <v>1</v>
      </c>
      <c r="R637">
        <f>M637+IF(N637&gt;1,N(O637)*(N637-1),0)</f>
        <v/>
      </c>
      <c r="S637">
        <f>IFERROR(L637*MAX(N637,1)/R637*Q637*IF(ISBLANK(K635),1,K635),0)</f>
        <v/>
      </c>
      <c r="AB637" s="7" t="inlineStr">
        <is>
          <t>^TeslaWeapon</t>
        </is>
      </c>
    </row>
    <row r="638">
      <c r="B638" s="7" t="inlineStr">
        <is>
          <t xml:space="preserve">  ↳ RA2PortaTesla2</t>
        </is>
      </c>
      <c r="C638" s="7" t="inlineStr">
        <is>
          <t>Armament@GARRISONED2</t>
        </is>
      </c>
      <c r="L638" s="6" t="n">
        <v>24000</v>
      </c>
      <c r="M638" s="6" t="n">
        <v>100</v>
      </c>
      <c r="N638" s="6" t="n">
        <v>1</v>
      </c>
      <c r="O638" s="6" t="n"/>
      <c r="P638" s="6" t="n">
        <v>5777</v>
      </c>
      <c r="Q638" s="6" t="n">
        <v>1</v>
      </c>
      <c r="R638">
        <f>M638+IF(N638&gt;1,N(O638)*(N638-1),0)</f>
        <v/>
      </c>
      <c r="S638">
        <f>IFERROR(L638*MAX(N638,1)/R638*Q638*IF(ISBLANK(K635),1,K635),0)</f>
        <v/>
      </c>
      <c r="AB638" s="7" t="inlineStr">
        <is>
          <t>^TeslaWeapon</t>
        </is>
      </c>
    </row>
    <row r="639">
      <c r="B639" s="7" t="inlineStr">
        <is>
          <t xml:space="preserve">  ↳ RA2PortaTesla3</t>
        </is>
      </c>
      <c r="C639" s="7" t="inlineStr">
        <is>
          <t>Armament@GARRISONED3</t>
        </is>
      </c>
      <c r="L639" s="6" t="n">
        <v>24000</v>
      </c>
      <c r="M639" s="6" t="n">
        <v>100</v>
      </c>
      <c r="N639" s="6" t="n">
        <v>1</v>
      </c>
      <c r="O639" s="6" t="n"/>
      <c r="P639" s="6" t="n">
        <v>6222</v>
      </c>
      <c r="Q639" s="6" t="n">
        <v>1</v>
      </c>
      <c r="R639">
        <f>M639+IF(N639&gt;1,N(O639)*(N639-1),0)</f>
        <v/>
      </c>
      <c r="S639">
        <f>IFERROR(L639*MAX(N639,1)/R639*Q639*IF(ISBLANK(K635),1,K635),0)</f>
        <v/>
      </c>
      <c r="AB639" s="7" t="inlineStr">
        <is>
          <t>^TeslaWeapon</t>
        </is>
      </c>
    </row>
    <row r="640">
      <c r="A640" t="inlineStr">
        <is>
          <t>shared</t>
        </is>
      </c>
      <c r="B640" t="inlineStr">
        <is>
          <t>ra2shkhero</t>
        </is>
      </c>
      <c r="C640" t="inlineStr">
        <is>
          <t>Tesla Commando</t>
        </is>
      </c>
      <c r="D640" s="6" t="inlineStr">
        <is>
          <t>HeavyInfantry</t>
        </is>
      </c>
      <c r="E640" s="6" t="n">
        <v>45000</v>
      </c>
      <c r="F640" s="6" t="n">
        <v>38</v>
      </c>
      <c r="G640" t="inlineStr">
        <is>
          <t>Plate</t>
        </is>
      </c>
      <c r="H640" s="6" t="n">
        <v>1</v>
      </c>
      <c r="I640" s="6" t="n">
        <v>1</v>
      </c>
      <c r="J640" s="6" t="n">
        <v>1</v>
      </c>
      <c r="K640" s="6" t="n"/>
      <c r="P640">
        <f>MAX(P641,P642,P643,P644,P648)</f>
        <v/>
      </c>
      <c r="S640">
        <f>S641+S642+S643+S644+S648</f>
        <v/>
      </c>
      <c r="T640">
        <f>(E640/100000+F640/100+(P640/1000)*J640/5+S640/200)*200*I640*H640</f>
        <v/>
      </c>
      <c r="U640">
        <f>((E640*F640/25000)+((P640/1000)*J640*S640/2.5))*I640*H640</f>
        <v/>
      </c>
      <c r="V640">
        <f>(E640*F640*(P640/1000)*J640*S640*I640*H640)/12500000</f>
        <v/>
      </c>
      <c r="W640">
        <f>(T640+U640+V640)/3</f>
        <v/>
      </c>
      <c r="X640" s="6" t="n">
        <v>1000</v>
      </c>
      <c r="Y640">
        <f>IFERROR(W640-X640,"")</f>
        <v/>
      </c>
      <c r="Z640">
        <f>IFERROR(ABS(Y640)/MAX(X640,1),"")</f>
        <v/>
      </c>
      <c r="AA640">
        <f>IFERROR((X640-(((E640/100000+F640/100+S640/200)*200*I640*H640)+((E640*F640/25000)*I640*H640))/3)/(((J640/5)*200*I640*H640)+((J640*S640/2.5)*I640*H640)+((E640*F640*J640*S640*I640*H640)/12500000))/3*1000,"")</f>
        <v/>
      </c>
    </row>
    <row r="641">
      <c r="B641" s="7" t="inlineStr">
        <is>
          <t xml:space="preserve">  ↳ RA2PortaTesla</t>
        </is>
      </c>
      <c r="C641" s="7" t="inlineStr">
        <is>
          <t>Armament@PRIMARY</t>
        </is>
      </c>
      <c r="L641" s="6" t="n">
        <v>24000</v>
      </c>
      <c r="M641" s="6" t="n">
        <v>100</v>
      </c>
      <c r="N641" s="6" t="n">
        <v>1</v>
      </c>
      <c r="O641" s="6" t="n"/>
      <c r="P641" s="6" t="n">
        <v>5222</v>
      </c>
      <c r="Q641" s="6" t="n">
        <v>1</v>
      </c>
      <c r="R641">
        <f>M641+IF(N641&gt;1,N(O641)*(N641-1),0)</f>
        <v/>
      </c>
      <c r="S641">
        <f>IFERROR(L641*MAX(N641,1)/R641*Q641*IF(ISBLANK(K640),1,K640),0)</f>
        <v/>
      </c>
      <c r="AB641" s="7" t="inlineStr">
        <is>
          <t>^TeslaWeapon</t>
        </is>
      </c>
    </row>
    <row r="642">
      <c r="B642" s="7" t="inlineStr">
        <is>
          <t xml:space="preserve">  ↳ RA2PortaTesla2</t>
        </is>
      </c>
      <c r="C642" s="7" t="inlineStr">
        <is>
          <t>Armament@PRIMARY2</t>
        </is>
      </c>
      <c r="L642" s="6" t="n">
        <v>24000</v>
      </c>
      <c r="M642" s="6" t="n">
        <v>100</v>
      </c>
      <c r="N642" s="6" t="n">
        <v>1</v>
      </c>
      <c r="O642" s="6" t="n"/>
      <c r="P642" s="6" t="n">
        <v>5777</v>
      </c>
      <c r="Q642" s="6" t="n">
        <v>1</v>
      </c>
      <c r="R642">
        <f>M642+IF(N642&gt;1,N(O642)*(N642-1),0)</f>
        <v/>
      </c>
      <c r="S642">
        <f>IFERROR(L642*MAX(N642,1)/R642*Q642*IF(ISBLANK(K640),1,K640),0)</f>
        <v/>
      </c>
      <c r="AB642" s="7" t="inlineStr">
        <is>
          <t>^TeslaWeapon</t>
        </is>
      </c>
    </row>
    <row r="643">
      <c r="B643" s="7" t="inlineStr">
        <is>
          <t xml:space="preserve">  ↳ RA2PortaTesla3</t>
        </is>
      </c>
      <c r="C643" s="7" t="inlineStr">
        <is>
          <t>Armament@PRIMARY3</t>
        </is>
      </c>
      <c r="L643" s="6" t="n">
        <v>24000</v>
      </c>
      <c r="M643" s="6" t="n">
        <v>100</v>
      </c>
      <c r="N643" s="6" t="n">
        <v>1</v>
      </c>
      <c r="O643" s="6" t="n"/>
      <c r="P643" s="6" t="n">
        <v>6222</v>
      </c>
      <c r="Q643" s="6" t="n">
        <v>1</v>
      </c>
      <c r="R643">
        <f>M643+IF(N643&gt;1,N(O643)*(N643-1),0)</f>
        <v/>
      </c>
      <c r="S643">
        <f>IFERROR(L643*MAX(N643,1)/R643*Q643*IF(ISBLANK(K640),1,K640),0)</f>
        <v/>
      </c>
      <c r="AB643" s="7" t="inlineStr">
        <is>
          <t>^TeslaWeapon</t>
        </is>
      </c>
    </row>
    <row r="644">
      <c r="B644" s="7" t="inlineStr">
        <is>
          <t xml:space="preserve">  ↳ RA2TeslaCoilCharge</t>
        </is>
      </c>
      <c r="C644" s="7" t="inlineStr">
        <is>
          <t>Armament@TeslaCoilCharge</t>
        </is>
      </c>
      <c r="L644" s="6" t="n">
        <v>-1</v>
      </c>
      <c r="M644" s="6" t="n">
        <v>25</v>
      </c>
      <c r="N644" s="6" t="n">
        <v>1</v>
      </c>
      <c r="O644" s="6" t="n"/>
      <c r="P644" s="6" t="n">
        <v>3333</v>
      </c>
      <c r="Q644" s="6" t="n">
        <v>1</v>
      </c>
      <c r="R644">
        <f>M644+IF(N644&gt;1,N(O644)*(N644-1),0)</f>
        <v/>
      </c>
      <c r="S644">
        <f>IFERROR(L644*MAX(N644,1)/R644*Q644*IF(ISBLANK(K640),1,K640),0)</f>
        <v/>
      </c>
      <c r="AB644" s="7" t="inlineStr"/>
    </row>
    <row r="645">
      <c r="B645" s="7" t="inlineStr">
        <is>
          <t xml:space="preserve">  ↳ RA2PortaTesla</t>
        </is>
      </c>
      <c r="C645" s="7" t="inlineStr">
        <is>
          <t>Armament@GARRISONED</t>
        </is>
      </c>
      <c r="L645" s="6" t="n">
        <v>24000</v>
      </c>
      <c r="M645" s="6" t="n">
        <v>100</v>
      </c>
      <c r="N645" s="6" t="n">
        <v>1</v>
      </c>
      <c r="O645" s="6" t="n"/>
      <c r="P645" s="6" t="n">
        <v>5222</v>
      </c>
      <c r="Q645" s="6" t="n">
        <v>1</v>
      </c>
      <c r="R645">
        <f>M645+IF(N645&gt;1,N(O645)*(N645-1),0)</f>
        <v/>
      </c>
      <c r="S645">
        <f>IFERROR(L645*MAX(N645,1)/R645*Q645*IF(ISBLANK(K640),1,K640),0)</f>
        <v/>
      </c>
      <c r="AB645" s="7" t="inlineStr">
        <is>
          <t>^TeslaWeapon</t>
        </is>
      </c>
    </row>
    <row r="646">
      <c r="B646" s="7" t="inlineStr">
        <is>
          <t xml:space="preserve">  ↳ RA2PortaTesla2</t>
        </is>
      </c>
      <c r="C646" s="7" t="inlineStr">
        <is>
          <t>Armament@GARRISONED2</t>
        </is>
      </c>
      <c r="L646" s="6" t="n">
        <v>24000</v>
      </c>
      <c r="M646" s="6" t="n">
        <v>100</v>
      </c>
      <c r="N646" s="6" t="n">
        <v>1</v>
      </c>
      <c r="O646" s="6" t="n"/>
      <c r="P646" s="6" t="n">
        <v>5777</v>
      </c>
      <c r="Q646" s="6" t="n">
        <v>1</v>
      </c>
      <c r="R646">
        <f>M646+IF(N646&gt;1,N(O646)*(N646-1),0)</f>
        <v/>
      </c>
      <c r="S646">
        <f>IFERROR(L646*MAX(N646,1)/R646*Q646*IF(ISBLANK(K640),1,K640),0)</f>
        <v/>
      </c>
      <c r="AB646" s="7" t="inlineStr">
        <is>
          <t>^TeslaWeapon</t>
        </is>
      </c>
    </row>
    <row r="647">
      <c r="B647" s="7" t="inlineStr">
        <is>
          <t xml:space="preserve">  ↳ RA2PortaTesla3</t>
        </is>
      </c>
      <c r="C647" s="7" t="inlineStr">
        <is>
          <t>Armament@GARRISONED3</t>
        </is>
      </c>
      <c r="L647" s="6" t="n">
        <v>24000</v>
      </c>
      <c r="M647" s="6" t="n">
        <v>100</v>
      </c>
      <c r="N647" s="6" t="n">
        <v>1</v>
      </c>
      <c r="O647" s="6" t="n"/>
      <c r="P647" s="6" t="n">
        <v>6222</v>
      </c>
      <c r="Q647" s="6" t="n">
        <v>1</v>
      </c>
      <c r="R647">
        <f>M647+IF(N647&gt;1,N(O647)*(N647-1),0)</f>
        <v/>
      </c>
      <c r="S647">
        <f>IFERROR(L647*MAX(N647,1)/R647*Q647*IF(ISBLANK(K640),1,K640),0)</f>
        <v/>
      </c>
      <c r="AB647" s="7" t="inlineStr">
        <is>
          <t>^TeslaWeapon</t>
        </is>
      </c>
    </row>
    <row r="648">
      <c r="B648" s="7" t="inlineStr">
        <is>
          <t xml:space="preserve">  ↳ GenericC4</t>
        </is>
      </c>
      <c r="C648" s="7" t="inlineStr">
        <is>
          <t>Armament@c4building</t>
        </is>
      </c>
      <c r="L648" s="6" t="n"/>
      <c r="M648" s="6" t="n">
        <v>20</v>
      </c>
      <c r="N648" s="6" t="n">
        <v>1</v>
      </c>
      <c r="O648" s="6" t="n"/>
      <c r="P648" s="6" t="n">
        <v>2000</v>
      </c>
      <c r="Q648" s="6" t="n">
        <v>1</v>
      </c>
      <c r="R648">
        <f>M648+IF(N648&gt;1,N(O648)*(N648-1),0)</f>
        <v/>
      </c>
      <c r="S648">
        <f>IFERROR(L648*MAX(N648,1)/R648*Q648*IF(ISBLANK(K640),1,K640),0)</f>
        <v/>
      </c>
      <c r="AB648" s="7" t="inlineStr"/>
    </row>
    <row r="649">
      <c r="A649" t="inlineStr">
        <is>
          <t>redalert2</t>
        </is>
      </c>
      <c r="B649" t="inlineStr">
        <is>
          <t>ra2_allies_chronolegionnaire</t>
        </is>
      </c>
      <c r="C649" t="inlineStr">
        <is>
          <t>Chrono Legionnaire</t>
        </is>
      </c>
      <c r="D649" s="6" t="inlineStr">
        <is>
          <t>HeavyInfantry</t>
        </is>
      </c>
      <c r="E649" s="6" t="n">
        <v>35000</v>
      </c>
      <c r="F649" s="6" t="n">
        <v>35</v>
      </c>
      <c r="G649" t="inlineStr">
        <is>
          <t>Plate</t>
        </is>
      </c>
      <c r="H649" s="6" t="n">
        <v>1</v>
      </c>
      <c r="I649" s="6" t="n">
        <v>1</v>
      </c>
      <c r="J649" s="6" t="n">
        <v>1</v>
      </c>
      <c r="K649" s="6" t="n"/>
      <c r="P649">
        <f>MAX(P650,P651,P652)</f>
        <v/>
      </c>
      <c r="S649">
        <f>S650+S651+S652</f>
        <v/>
      </c>
      <c r="T649">
        <f>(E649/100000+F649/100+(P649/1000)*J649/5+S649/200)*200*I649*H649</f>
        <v/>
      </c>
      <c r="U649">
        <f>((E649*F649/25000)+((P649/1000)*J649*S649/2.5))*I649*H649</f>
        <v/>
      </c>
      <c r="V649">
        <f>(E649*F649*(P649/1000)*J649*S649*I649*H649)/12500000</f>
        <v/>
      </c>
      <c r="W649">
        <f>(T649+U649+V649)/3</f>
        <v/>
      </c>
      <c r="X649" s="6" t="n">
        <v>1500</v>
      </c>
      <c r="Y649">
        <f>IFERROR(W649-X649,"")</f>
        <v/>
      </c>
      <c r="Z649">
        <f>IFERROR(ABS(Y649)/MAX(X649,1),"")</f>
        <v/>
      </c>
      <c r="AA649">
        <f>IFERROR((X649-(((E649/100000+F649/100+S649/200)*200*I649*H649)+((E649*F649/25000)*I649*H649))/3)/(((J649/5)*200*I649*H649)+((J649*S649/2.5)*I649*H649)+((E649*F649*J649*S649*I649*H649)/12500000))/3*1000,"")</f>
        <v/>
      </c>
    </row>
    <row r="650">
      <c r="B650" s="7" t="inlineStr">
        <is>
          <t xml:space="preserve">  ↳ RA2ChronoTele</t>
        </is>
      </c>
      <c r="C650" s="7" t="inlineStr">
        <is>
          <t>Armament@sound</t>
        </is>
      </c>
      <c r="L650" s="6" t="n"/>
      <c r="M650" s="6" t="n">
        <v>180</v>
      </c>
      <c r="N650" s="6" t="n">
        <v>1</v>
      </c>
      <c r="O650" s="6" t="n"/>
      <c r="P650" s="6" t="n">
        <v>5000</v>
      </c>
      <c r="Q650" s="6" t="n">
        <v>1</v>
      </c>
      <c r="R650">
        <f>M650+IF(N650&gt;1,N(O650)*(N650-1),0)</f>
        <v/>
      </c>
      <c r="S650">
        <f>IFERROR(L650*MAX(N650,1)/R650*Q650*IF(ISBLANK(K649),1,K649),0)</f>
        <v/>
      </c>
      <c r="AB650" s="7" t="inlineStr"/>
    </row>
    <row r="651">
      <c r="B651" s="7" t="inlineStr">
        <is>
          <t xml:space="preserve">  ↳ ChronoBeam</t>
        </is>
      </c>
      <c r="C651" s="7" t="inlineStr">
        <is>
          <t>Armament@PRIMARY</t>
        </is>
      </c>
      <c r="L651" s="6" t="n"/>
      <c r="M651" s="6" t="n">
        <v>1</v>
      </c>
      <c r="N651" s="6" t="n">
        <v>1</v>
      </c>
      <c r="O651" s="6" t="n"/>
      <c r="P651" s="6" t="n">
        <v>5000</v>
      </c>
      <c r="Q651" s="6" t="n">
        <v>1</v>
      </c>
      <c r="R651">
        <f>M651+IF(N651&gt;1,N(O651)*(N651-1),0)</f>
        <v/>
      </c>
      <c r="S651">
        <f>IFERROR(L651*MAX(N651,1)/R651*Q651*IF(ISBLANK(K649),1,K649),0)</f>
        <v/>
      </c>
      <c r="AB651" s="7" t="inlineStr"/>
    </row>
    <row r="652">
      <c r="B652" s="7" t="inlineStr">
        <is>
          <t xml:space="preserve">  ↳ ChronoBeam_elite</t>
        </is>
      </c>
      <c r="C652" s="7" t="inlineStr">
        <is>
          <t>Armament@ELITE</t>
        </is>
      </c>
      <c r="L652" s="6" t="n"/>
      <c r="M652" s="6" t="n">
        <v>1</v>
      </c>
      <c r="N652" s="6" t="n">
        <v>1</v>
      </c>
      <c r="O652" s="6" t="n"/>
      <c r="P652" s="6" t="n">
        <v>5000</v>
      </c>
      <c r="Q652" s="6" t="n">
        <v>1</v>
      </c>
      <c r="R652">
        <f>M652+IF(N652&gt;1,N(O652)*(N652-1),0)</f>
        <v/>
      </c>
      <c r="S652">
        <f>IFERROR(L652*MAX(N652,1)/R652*Q652*IF(ISBLANK(K649),1,K649),0)</f>
        <v/>
      </c>
      <c r="AB652" s="7" t="inlineStr">
        <is>
          <t>ChronoBeam</t>
        </is>
      </c>
    </row>
    <row r="653">
      <c r="B653" s="7" t="inlineStr">
        <is>
          <t xml:space="preserve">  ↳ ChronoBeam</t>
        </is>
      </c>
      <c r="C653" s="7" t="inlineStr">
        <is>
          <t>Armament@GARRISONED</t>
        </is>
      </c>
      <c r="L653" s="6" t="n"/>
      <c r="M653" s="6" t="n">
        <v>1</v>
      </c>
      <c r="N653" s="6" t="n">
        <v>1</v>
      </c>
      <c r="O653" s="6" t="n"/>
      <c r="P653" s="6" t="n">
        <v>5000</v>
      </c>
      <c r="Q653" s="6" t="n">
        <v>1</v>
      </c>
      <c r="R653">
        <f>M653+IF(N653&gt;1,N(O653)*(N653-1),0)</f>
        <v/>
      </c>
      <c r="S653">
        <f>IFERROR(L653*MAX(N653,1)/R653*Q653*IF(ISBLANK(K649),1,K649),0)</f>
        <v/>
      </c>
      <c r="AB653" s="7" t="inlineStr"/>
    </row>
    <row r="654">
      <c r="B654" s="7" t="inlineStr">
        <is>
          <t xml:space="preserve">  ↳ ChronoBeam_elite</t>
        </is>
      </c>
      <c r="C654" s="7" t="inlineStr">
        <is>
          <t>Armament@GARRISONEDELITE</t>
        </is>
      </c>
      <c r="L654" s="6" t="n"/>
      <c r="M654" s="6" t="n">
        <v>1</v>
      </c>
      <c r="N654" s="6" t="n">
        <v>1</v>
      </c>
      <c r="O654" s="6" t="n"/>
      <c r="P654" s="6" t="n">
        <v>5000</v>
      </c>
      <c r="Q654" s="6" t="n">
        <v>1</v>
      </c>
      <c r="R654">
        <f>M654+IF(N654&gt;1,N(O654)*(N654-1),0)</f>
        <v/>
      </c>
      <c r="S654">
        <f>IFERROR(L654*MAX(N654,1)/R654*Q654*IF(ISBLANK(K649),1,K649),0)</f>
        <v/>
      </c>
      <c r="AB654" s="7" t="inlineStr">
        <is>
          <t>ChronoBeam</t>
        </is>
      </c>
    </row>
    <row r="655">
      <c r="A655" t="inlineStr">
        <is>
          <t>redalert2</t>
        </is>
      </c>
      <c r="B655" t="inlineStr">
        <is>
          <t>ra2_soviets_desolator</t>
        </is>
      </c>
      <c r="C655" t="inlineStr">
        <is>
          <t>Desolator</t>
        </is>
      </c>
      <c r="D655" s="6" t="inlineStr">
        <is>
          <t>HeavyInfantry</t>
        </is>
      </c>
      <c r="E655" s="6" t="n">
        <v>30000</v>
      </c>
      <c r="F655" s="6" t="n">
        <v>59</v>
      </c>
      <c r="G655" t="inlineStr">
        <is>
          <t>Plate</t>
        </is>
      </c>
      <c r="H655" s="6" t="n">
        <v>0.75</v>
      </c>
      <c r="I655" s="6" t="n">
        <v>0.8</v>
      </c>
      <c r="J655" s="6" t="n">
        <v>1</v>
      </c>
      <c r="K655" s="6" t="n"/>
      <c r="P655">
        <f>MAX(P656,P657)</f>
        <v/>
      </c>
      <c r="S655">
        <f>S656+S657</f>
        <v/>
      </c>
      <c r="T655">
        <f>(E655/100000+F655/100+(P655/1000)*J655/5+S655/200)*200*I655*H655</f>
        <v/>
      </c>
      <c r="U655">
        <f>((E655*F655/25000)+((P655/1000)*J655*S655/2.5))*I655*H655</f>
        <v/>
      </c>
      <c r="V655">
        <f>(E655*F655*(P655/1000)*J655*S655*I655*H655)/12500000</f>
        <v/>
      </c>
      <c r="W655">
        <f>(T655+U655+V655)/3</f>
        <v/>
      </c>
      <c r="X655" s="6" t="n">
        <v>700</v>
      </c>
      <c r="Y655">
        <f>IFERROR(W655-X655,"")</f>
        <v/>
      </c>
      <c r="Z655">
        <f>IFERROR(ABS(Y655)/MAX(X655,1),"")</f>
        <v/>
      </c>
      <c r="AA655">
        <f>IFERROR((X655-(((E655/100000+F655/100+S655/200)*200*I655*H655)+((E655*F655/25000)*I655*H655))/3)/(((J655/5)*200*I655*H655)+((J655*S655/2.5)*I655*H655)+((E655*F655*J655*S655*I655*H655)/12500000))/3*1000,"")</f>
        <v/>
      </c>
    </row>
    <row r="656">
      <c r="B656" s="7" t="inlineStr">
        <is>
          <t xml:space="preserve">  ↳ RA2RadBeamWeapon</t>
        </is>
      </c>
      <c r="C656" s="7" t="inlineStr">
        <is>
          <t>Armament@PRIMARY</t>
        </is>
      </c>
      <c r="L656" s="6" t="n">
        <v>30000</v>
      </c>
      <c r="M656" s="6" t="n">
        <v>45</v>
      </c>
      <c r="N656" s="6" t="n">
        <v>1</v>
      </c>
      <c r="O656" s="6" t="n"/>
      <c r="P656" s="6" t="n">
        <v>6444</v>
      </c>
      <c r="Q656" s="6" t="n">
        <v>1</v>
      </c>
      <c r="R656">
        <f>M656+IF(N656&gt;1,N(O656)*(N656-1),0)</f>
        <v/>
      </c>
      <c r="S656">
        <f>IFERROR(L656*MAX(N656,1)/R656*Q656*IF(ISBLANK(K655),1,K655),0)</f>
        <v/>
      </c>
      <c r="AB656" s="7" t="inlineStr">
        <is>
          <t>^MediumChemicalWeapon</t>
        </is>
      </c>
    </row>
    <row r="657">
      <c r="B657" s="7" t="inlineStr">
        <is>
          <t xml:space="preserve">  ↳ RA2RadBeamWeaponE</t>
        </is>
      </c>
      <c r="C657" s="7" t="inlineStr">
        <is>
          <t>Armament@ELITE</t>
        </is>
      </c>
      <c r="L657" s="6" t="n">
        <v>30000</v>
      </c>
      <c r="M657" s="6" t="n">
        <v>45</v>
      </c>
      <c r="N657" s="6" t="n">
        <v>2</v>
      </c>
      <c r="O657" s="6" t="n">
        <v>3</v>
      </c>
      <c r="P657" s="6" t="n">
        <v>7444</v>
      </c>
      <c r="Q657" s="6" t="n">
        <v>1</v>
      </c>
      <c r="R657">
        <f>M657+IF(N657&gt;1,N(O657)*(N657-1),0)</f>
        <v/>
      </c>
      <c r="S657">
        <f>IFERROR(L657*MAX(N657,1)/R657*Q657*IF(ISBLANK(K655),1,K655),0)</f>
        <v/>
      </c>
      <c r="AB657" s="7" t="inlineStr">
        <is>
          <t>^MediumChemicalWeapon</t>
        </is>
      </c>
    </row>
    <row r="658">
      <c r="B658" s="7" t="inlineStr">
        <is>
          <t xml:space="preserve">  ↳ RA2RadBeamWeapon</t>
        </is>
      </c>
      <c r="C658" s="7" t="inlineStr">
        <is>
          <t>Armament@GARRISONED</t>
        </is>
      </c>
      <c r="L658" s="6" t="n">
        <v>30000</v>
      </c>
      <c r="M658" s="6" t="n">
        <v>45</v>
      </c>
      <c r="N658" s="6" t="n">
        <v>1</v>
      </c>
      <c r="O658" s="6" t="n"/>
      <c r="P658" s="6" t="n">
        <v>6444</v>
      </c>
      <c r="Q658" s="6" t="n">
        <v>1</v>
      </c>
      <c r="R658">
        <f>M658+IF(N658&gt;1,N(O658)*(N658-1),0)</f>
        <v/>
      </c>
      <c r="S658">
        <f>IFERROR(L658*MAX(N658,1)/R658*Q658*IF(ISBLANK(K655),1,K655),0)</f>
        <v/>
      </c>
      <c r="AB658" s="7" t="inlineStr">
        <is>
          <t>^MediumChemicalWeapon</t>
        </is>
      </c>
    </row>
    <row r="659">
      <c r="A659" t="inlineStr">
        <is>
          <t>redalert2</t>
        </is>
      </c>
      <c r="B659" t="inlineStr">
        <is>
          <t>ra2_soviets_teslatrooper</t>
        </is>
      </c>
      <c r="C659" t="inlineStr">
        <is>
          <t>Tesla Trooper</t>
        </is>
      </c>
      <c r="D659" s="6" t="inlineStr">
        <is>
          <t>HeavyInfantry</t>
        </is>
      </c>
      <c r="E659" s="6" t="n">
        <v>48000</v>
      </c>
      <c r="F659" s="6" t="n">
        <v>38</v>
      </c>
      <c r="G659" t="inlineStr">
        <is>
          <t>Plate</t>
        </is>
      </c>
      <c r="H659" s="6" t="n">
        <v>1</v>
      </c>
      <c r="I659" s="6" t="n">
        <v>0.8</v>
      </c>
      <c r="J659" s="6" t="n">
        <v>1.25</v>
      </c>
      <c r="K659" s="6" t="n"/>
      <c r="P659">
        <f>MAX(P660,P661,P662,P663)</f>
        <v/>
      </c>
      <c r="S659">
        <f>S660+S661+S662+S663</f>
        <v/>
      </c>
      <c r="T659">
        <f>(E659/100000+F659/100+(P659/1000)*J659/5+S659/200)*200*I659*H659</f>
        <v/>
      </c>
      <c r="U659">
        <f>((E659*F659/25000)+((P659/1000)*J659*S659/2.5))*I659*H659</f>
        <v/>
      </c>
      <c r="V659">
        <f>(E659*F659*(P659/1000)*J659*S659*I659*H659)/12500000</f>
        <v/>
      </c>
      <c r="W659">
        <f>(T659+U659+V659)/3</f>
        <v/>
      </c>
      <c r="X659" s="6" t="n">
        <v>500</v>
      </c>
      <c r="Y659">
        <f>IFERROR(W659-X659,"")</f>
        <v/>
      </c>
      <c r="Z659">
        <f>IFERROR(ABS(Y659)/MAX(X659,1),"")</f>
        <v/>
      </c>
      <c r="AA659">
        <f>IFERROR((X659-(((E659/100000+F659/100+S659/200)*200*I659*H659)+((E659*F659/25000)*I659*H659))/3)/(((J659/5)*200*I659*H659)+((J659*S659/2.5)*I659*H659)+((E659*F659*J659*S659*I659*H659)/12500000))/3*1000,"")</f>
        <v/>
      </c>
    </row>
    <row r="660">
      <c r="B660" s="7" t="inlineStr">
        <is>
          <t xml:space="preserve">  ↳ RA2PortaTesla</t>
        </is>
      </c>
      <c r="C660" s="7" t="inlineStr">
        <is>
          <t>Armament@PRIMARY</t>
        </is>
      </c>
      <c r="L660" s="6" t="n">
        <v>24000</v>
      </c>
      <c r="M660" s="6" t="n">
        <v>100</v>
      </c>
      <c r="N660" s="6" t="n">
        <v>1</v>
      </c>
      <c r="O660" s="6" t="n"/>
      <c r="P660" s="6" t="n">
        <v>5222</v>
      </c>
      <c r="Q660" s="6" t="n">
        <v>1</v>
      </c>
      <c r="R660">
        <f>M660+IF(N660&gt;1,N(O660)*(N660-1),0)</f>
        <v/>
      </c>
      <c r="S660">
        <f>IFERROR(L660*MAX(N660,1)/R660*Q660*IF(ISBLANK(K659),1,K659),0)</f>
        <v/>
      </c>
      <c r="AB660" s="7" t="inlineStr">
        <is>
          <t>^TeslaWeapon</t>
        </is>
      </c>
    </row>
    <row r="661">
      <c r="B661" s="7" t="inlineStr">
        <is>
          <t xml:space="preserve">  ↳ RA2PortaTesla2</t>
        </is>
      </c>
      <c r="C661" s="7" t="inlineStr">
        <is>
          <t>Armament@PRIMARY2</t>
        </is>
      </c>
      <c r="L661" s="6" t="n">
        <v>24000</v>
      </c>
      <c r="M661" s="6" t="n">
        <v>100</v>
      </c>
      <c r="N661" s="6" t="n">
        <v>1</v>
      </c>
      <c r="O661" s="6" t="n"/>
      <c r="P661" s="6" t="n">
        <v>5777</v>
      </c>
      <c r="Q661" s="6" t="n">
        <v>1</v>
      </c>
      <c r="R661">
        <f>M661+IF(N661&gt;1,N(O661)*(N661-1),0)</f>
        <v/>
      </c>
      <c r="S661">
        <f>IFERROR(L661*MAX(N661,1)/R661*Q661*IF(ISBLANK(K659),1,K659),0)</f>
        <v/>
      </c>
      <c r="AB661" s="7" t="inlineStr">
        <is>
          <t>^TeslaWeapon</t>
        </is>
      </c>
    </row>
    <row r="662">
      <c r="B662" s="7" t="inlineStr">
        <is>
          <t xml:space="preserve">  ↳ RA2PortaTesla3</t>
        </is>
      </c>
      <c r="C662" s="7" t="inlineStr">
        <is>
          <t>Armament@PRIMARY3</t>
        </is>
      </c>
      <c r="L662" s="6" t="n">
        <v>24000</v>
      </c>
      <c r="M662" s="6" t="n">
        <v>100</v>
      </c>
      <c r="N662" s="6" t="n">
        <v>1</v>
      </c>
      <c r="O662" s="6" t="n"/>
      <c r="P662" s="6" t="n">
        <v>6222</v>
      </c>
      <c r="Q662" s="6" t="n">
        <v>1</v>
      </c>
      <c r="R662">
        <f>M662+IF(N662&gt;1,N(O662)*(N662-1),0)</f>
        <v/>
      </c>
      <c r="S662">
        <f>IFERROR(L662*MAX(N662,1)/R662*Q662*IF(ISBLANK(K659),1,K659),0)</f>
        <v/>
      </c>
      <c r="AB662" s="7" t="inlineStr">
        <is>
          <t>^TeslaWeapon</t>
        </is>
      </c>
    </row>
    <row r="663">
      <c r="B663" s="7" t="inlineStr">
        <is>
          <t xml:space="preserve">  ↳ RA2TeslaCoilCharge</t>
        </is>
      </c>
      <c r="C663" s="7" t="inlineStr">
        <is>
          <t>Armament@TeslaCoilCharge</t>
        </is>
      </c>
      <c r="L663" s="6" t="n">
        <v>-1</v>
      </c>
      <c r="M663" s="6" t="n">
        <v>25</v>
      </c>
      <c r="N663" s="6" t="n">
        <v>1</v>
      </c>
      <c r="O663" s="6" t="n"/>
      <c r="P663" s="6" t="n">
        <v>3333</v>
      </c>
      <c r="Q663" s="6" t="n">
        <v>1</v>
      </c>
      <c r="R663">
        <f>M663+IF(N663&gt;1,N(O663)*(N663-1),0)</f>
        <v/>
      </c>
      <c r="S663">
        <f>IFERROR(L663*MAX(N663,1)/R663*Q663*IF(ISBLANK(K659),1,K659),0)</f>
        <v/>
      </c>
      <c r="AB663" s="7" t="inlineStr"/>
    </row>
    <row r="664">
      <c r="B664" s="7" t="inlineStr">
        <is>
          <t xml:space="preserve">  ↳ RA2PortaTesla</t>
        </is>
      </c>
      <c r="C664" s="7" t="inlineStr">
        <is>
          <t>Armament@GARRISONED</t>
        </is>
      </c>
      <c r="L664" s="6" t="n">
        <v>24000</v>
      </c>
      <c r="M664" s="6" t="n">
        <v>100</v>
      </c>
      <c r="N664" s="6" t="n">
        <v>1</v>
      </c>
      <c r="O664" s="6" t="n"/>
      <c r="P664" s="6" t="n">
        <v>5222</v>
      </c>
      <c r="Q664" s="6" t="n">
        <v>1</v>
      </c>
      <c r="R664">
        <f>M664+IF(N664&gt;1,N(O664)*(N664-1),0)</f>
        <v/>
      </c>
      <c r="S664">
        <f>IFERROR(L664*MAX(N664,1)/R664*Q664*IF(ISBLANK(K659),1,K659),0)</f>
        <v/>
      </c>
      <c r="AB664" s="7" t="inlineStr">
        <is>
          <t>^TeslaWeapon</t>
        </is>
      </c>
    </row>
    <row r="665">
      <c r="B665" s="7" t="inlineStr">
        <is>
          <t xml:space="preserve">  ↳ RA2PortaTesla2</t>
        </is>
      </c>
      <c r="C665" s="7" t="inlineStr">
        <is>
          <t>Armament@GARRISONED2</t>
        </is>
      </c>
      <c r="L665" s="6" t="n">
        <v>24000</v>
      </c>
      <c r="M665" s="6" t="n">
        <v>100</v>
      </c>
      <c r="N665" s="6" t="n">
        <v>1</v>
      </c>
      <c r="O665" s="6" t="n"/>
      <c r="P665" s="6" t="n">
        <v>5777</v>
      </c>
      <c r="Q665" s="6" t="n">
        <v>1</v>
      </c>
      <c r="R665">
        <f>M665+IF(N665&gt;1,N(O665)*(N665-1),0)</f>
        <v/>
      </c>
      <c r="S665">
        <f>IFERROR(L665*MAX(N665,1)/R665*Q665*IF(ISBLANK(K659),1,K659),0)</f>
        <v/>
      </c>
      <c r="AB665" s="7" t="inlineStr">
        <is>
          <t>^TeslaWeapon</t>
        </is>
      </c>
    </row>
    <row r="666">
      <c r="B666" s="7" t="inlineStr">
        <is>
          <t xml:space="preserve">  ↳ RA2PortaTesla3</t>
        </is>
      </c>
      <c r="C666" s="7" t="inlineStr">
        <is>
          <t>Armament@GARRISONED3</t>
        </is>
      </c>
      <c r="L666" s="6" t="n">
        <v>24000</v>
      </c>
      <c r="M666" s="6" t="n">
        <v>100</v>
      </c>
      <c r="N666" s="6" t="n">
        <v>1</v>
      </c>
      <c r="O666" s="6" t="n"/>
      <c r="P666" s="6" t="n">
        <v>6222</v>
      </c>
      <c r="Q666" s="6" t="n">
        <v>1</v>
      </c>
      <c r="R666">
        <f>M666+IF(N666&gt;1,N(O666)*(N666-1),0)</f>
        <v/>
      </c>
      <c r="S666">
        <f>IFERROR(L666*MAX(N666,1)/R666*Q666*IF(ISBLANK(K659),1,K659),0)</f>
        <v/>
      </c>
      <c r="AB666" s="7" t="inlineStr">
        <is>
          <t>^TeslaWeapon</t>
        </is>
      </c>
    </row>
    <row r="667">
      <c r="A667" t="inlineStr">
        <is>
          <t>redalert2</t>
        </is>
      </c>
      <c r="B667" t="inlineStr">
        <is>
          <t>yuri_biotrooper</t>
        </is>
      </c>
      <c r="C667" t="inlineStr">
        <is>
          <t>Bio Trooper</t>
        </is>
      </c>
      <c r="D667" s="6" t="inlineStr">
        <is>
          <t>HeavyInfantry</t>
        </is>
      </c>
      <c r="E667" s="6" t="n">
        <v>96000</v>
      </c>
      <c r="F667" s="6" t="n">
        <v>64</v>
      </c>
      <c r="G667" t="inlineStr">
        <is>
          <t>Plate</t>
        </is>
      </c>
      <c r="H667" s="6" t="n">
        <v>0.5</v>
      </c>
      <c r="I667" s="6" t="n">
        <v>0.8</v>
      </c>
      <c r="J667" s="6" t="n">
        <v>1.25</v>
      </c>
      <c r="K667" s="6" t="n"/>
      <c r="P667">
        <f>MAX(P668,P669,P670)</f>
        <v/>
      </c>
      <c r="S667">
        <f>S668+S669+S670</f>
        <v/>
      </c>
      <c r="T667">
        <f>(E667/100000+F667/100+(P667/1000)*J667/5+S667/200)*200*I667*H667</f>
        <v/>
      </c>
      <c r="U667">
        <f>((E667*F667/25000)+((P667/1000)*J667*S667/2.5))*I667*H667</f>
        <v/>
      </c>
      <c r="V667">
        <f>(E667*F667*(P667/1000)*J667*S667*I667*H667)/12500000</f>
        <v/>
      </c>
      <c r="W667">
        <f>(T667+U667+V667)/3</f>
        <v/>
      </c>
      <c r="X667" s="6" t="n">
        <v>400</v>
      </c>
      <c r="Y667">
        <f>IFERROR(W667-X667,"")</f>
        <v/>
      </c>
      <c r="Z667">
        <f>IFERROR(ABS(Y667)/MAX(X667,1),"")</f>
        <v/>
      </c>
      <c r="AA667">
        <f>IFERROR((X667-(((E667/100000+F667/100+S667/200)*200*I667*H667)+((E667*F667/25000)*I667*H667))/3)/(((J667/5)*200*I667*H667)+((J667*S667/2.5)*I667*H667)+((E667*F667*J667*S667*I667*H667)/12500000))/3*1000,"")</f>
        <v/>
      </c>
    </row>
    <row r="668">
      <c r="B668" s="7" t="inlineStr">
        <is>
          <t xml:space="preserve">  ↳ RA2Chemspray</t>
        </is>
      </c>
      <c r="C668" s="7" t="inlineStr">
        <is>
          <t>Armament@PRIMARY</t>
        </is>
      </c>
      <c r="L668" s="6" t="n">
        <v>4000</v>
      </c>
      <c r="M668" s="6" t="n">
        <v>50</v>
      </c>
      <c r="N668" s="6" t="n">
        <v>6</v>
      </c>
      <c r="O668" s="6" t="n">
        <v>4</v>
      </c>
      <c r="P668" s="6" t="n">
        <v>4840</v>
      </c>
      <c r="Q668" s="6" t="n">
        <v>1</v>
      </c>
      <c r="R668">
        <f>M668+IF(N668&gt;1,N(O668)*(N668-1),0)</f>
        <v/>
      </c>
      <c r="S668">
        <f>IFERROR(L668*MAX(N668,1)/R668*Q668*IF(ISBLANK(K667),1,K667),0)</f>
        <v/>
      </c>
      <c r="AB668" s="7" t="inlineStr">
        <is>
          <t>^MediumChemicalWeapon</t>
        </is>
      </c>
    </row>
    <row r="669">
      <c r="B669" s="7" t="inlineStr">
        <is>
          <t xml:space="preserve">  ↳ RA2Chemspray2</t>
        </is>
      </c>
      <c r="C669" s="7" t="inlineStr">
        <is>
          <t>Armament@Upgrade</t>
        </is>
      </c>
      <c r="L669" s="6" t="n">
        <v>4000</v>
      </c>
      <c r="M669" s="6" t="n">
        <v>50</v>
      </c>
      <c r="N669" s="6" t="n">
        <v>6</v>
      </c>
      <c r="O669" s="6" t="n">
        <v>4</v>
      </c>
      <c r="P669" s="6" t="n">
        <v>4840</v>
      </c>
      <c r="Q669" s="6" t="n">
        <v>1.125</v>
      </c>
      <c r="R669">
        <f>M669+IF(N669&gt;1,N(O669)*(N669-1),0)</f>
        <v/>
      </c>
      <c r="S669">
        <f>IFERROR(L669*MAX(N669,1)/R669*Q669*IF(ISBLANK(K667),1,K667),0)</f>
        <v/>
      </c>
      <c r="AB669" s="7" t="inlineStr">
        <is>
          <t>^HeavyChemicalWeapon, ^MediumChemicalWeapon</t>
        </is>
      </c>
    </row>
    <row r="670">
      <c r="B670" s="7" t="inlineStr">
        <is>
          <t xml:space="preserve">  ↳ RA2ChemsprayE</t>
        </is>
      </c>
      <c r="C670" s="7" t="inlineStr">
        <is>
          <t>Armament@ELITE</t>
        </is>
      </c>
      <c r="L670" s="6" t="n">
        <v>4000</v>
      </c>
      <c r="M670" s="6" t="n">
        <v>50</v>
      </c>
      <c r="N670" s="6" t="n">
        <v>6</v>
      </c>
      <c r="O670" s="6" t="n">
        <v>4</v>
      </c>
      <c r="P670" s="6" t="n">
        <v>5840</v>
      </c>
      <c r="Q670" s="6" t="n">
        <v>1.125</v>
      </c>
      <c r="R670">
        <f>M670+IF(N670&gt;1,N(O670)*(N670-1),0)</f>
        <v/>
      </c>
      <c r="S670">
        <f>IFERROR(L670*MAX(N670,1)/R670*Q670*IF(ISBLANK(K667),1,K667),0)</f>
        <v/>
      </c>
      <c r="AB670" s="7" t="inlineStr">
        <is>
          <t>^HeavyChemicalWeapon, ^MediumChemicalWeapon</t>
        </is>
      </c>
    </row>
    <row r="671">
      <c r="B671" s="7" t="inlineStr">
        <is>
          <t xml:space="preserve">  ↳ RA2Chemspray</t>
        </is>
      </c>
      <c r="C671" s="7" t="inlineStr">
        <is>
          <t>Armament@GARRISONED</t>
        </is>
      </c>
      <c r="L671" s="6" t="n">
        <v>4000</v>
      </c>
      <c r="M671" s="6" t="n">
        <v>50</v>
      </c>
      <c r="N671" s="6" t="n">
        <v>6</v>
      </c>
      <c r="O671" s="6" t="n">
        <v>4</v>
      </c>
      <c r="P671" s="6" t="n">
        <v>4840</v>
      </c>
      <c r="Q671" s="6" t="n">
        <v>1</v>
      </c>
      <c r="R671">
        <f>M671+IF(N671&gt;1,N(O671)*(N671-1),0)</f>
        <v/>
      </c>
      <c r="S671">
        <f>IFERROR(L671*MAX(N671,1)/R671*Q671*IF(ISBLANK(K667),1,K667),0)</f>
        <v/>
      </c>
      <c r="AB671" s="7" t="inlineStr">
        <is>
          <t>^MediumChemicalWeapon</t>
        </is>
      </c>
    </row>
    <row r="672">
      <c r="B672" s="7" t="inlineStr">
        <is>
          <t xml:space="preserve">  ↳ RA2Chemspray2</t>
        </is>
      </c>
      <c r="C672" s="7" t="inlineStr">
        <is>
          <t>Armament@GARRISONEDUpgrade</t>
        </is>
      </c>
      <c r="L672" s="6" t="n">
        <v>4000</v>
      </c>
      <c r="M672" s="6" t="n">
        <v>50</v>
      </c>
      <c r="N672" s="6" t="n">
        <v>6</v>
      </c>
      <c r="O672" s="6" t="n">
        <v>4</v>
      </c>
      <c r="P672" s="6" t="n">
        <v>4840</v>
      </c>
      <c r="Q672" s="6" t="n">
        <v>1.125</v>
      </c>
      <c r="R672">
        <f>M672+IF(N672&gt;1,N(O672)*(N672-1),0)</f>
        <v/>
      </c>
      <c r="S672">
        <f>IFERROR(L672*MAX(N672,1)/R672*Q672*IF(ISBLANK(K667),1,K667),0)</f>
        <v/>
      </c>
      <c r="AB672" s="7" t="inlineStr">
        <is>
          <t>^HeavyChemicalWeapon, ^MediumChemicalWeapon</t>
        </is>
      </c>
    </row>
    <row r="673">
      <c r="B673" s="7" t="inlineStr">
        <is>
          <t xml:space="preserve">  ↳ RA2ChemsprayE</t>
        </is>
      </c>
      <c r="C673" s="7" t="inlineStr">
        <is>
          <t>Armament@GARRISONEDELITE</t>
        </is>
      </c>
      <c r="L673" s="6" t="n">
        <v>4000</v>
      </c>
      <c r="M673" s="6" t="n">
        <v>50</v>
      </c>
      <c r="N673" s="6" t="n">
        <v>6</v>
      </c>
      <c r="O673" s="6" t="n">
        <v>4</v>
      </c>
      <c r="P673" s="6" t="n">
        <v>5840</v>
      </c>
      <c r="Q673" s="6" t="n">
        <v>1.125</v>
      </c>
      <c r="R673">
        <f>M673+IF(N673&gt;1,N(O673)*(N673-1),0)</f>
        <v/>
      </c>
      <c r="S673">
        <f>IFERROR(L673*MAX(N673,1)/R673*Q673*IF(ISBLANK(K667),1,K667),0)</f>
        <v/>
      </c>
      <c r="AB673" s="7" t="inlineStr">
        <is>
          <t>^HeavyChemicalWeapon, ^MediumChemicalWeapon</t>
        </is>
      </c>
    </row>
    <row r="674">
      <c r="A674" t="inlineStr">
        <is>
          <t>redalert2mod</t>
        </is>
      </c>
      <c r="B674" t="inlineStr">
        <is>
          <t>asianalliance_asianflametrooper</t>
        </is>
      </c>
      <c r="C674" t="inlineStr">
        <is>
          <t>Asian Flame Trooper</t>
        </is>
      </c>
      <c r="D674" s="6" t="inlineStr">
        <is>
          <t>HeavyInfantry</t>
        </is>
      </c>
      <c r="E674" s="6" t="n">
        <v>26000</v>
      </c>
      <c r="F674" s="6" t="n">
        <v>53</v>
      </c>
      <c r="G674" t="inlineStr">
        <is>
          <t>Plate</t>
        </is>
      </c>
      <c r="H674" s="6" t="n">
        <v>1</v>
      </c>
      <c r="I674" s="6" t="n">
        <v>0.8</v>
      </c>
      <c r="J674" s="6" t="n">
        <v>1</v>
      </c>
      <c r="K674" s="6" t="n">
        <v>0.5</v>
      </c>
      <c r="P674">
        <f>MAX(P675,P676,P677)</f>
        <v/>
      </c>
      <c r="S674">
        <f>S675+S676+S677</f>
        <v/>
      </c>
      <c r="T674">
        <f>(E674/100000+F674/100+(P674/1000)*J674/5+S674/200)*200*I674*H674</f>
        <v/>
      </c>
      <c r="U674">
        <f>((E674*F674/25000)+((P674/1000)*J674*S674/2.5))*I674*H674</f>
        <v/>
      </c>
      <c r="V674">
        <f>(E674*F674*(P674/1000)*J674*S674*I674*H674)/12500000</f>
        <v/>
      </c>
      <c r="W674">
        <f>(T674+U674+V674)/3</f>
        <v/>
      </c>
      <c r="X674" s="6" t="n">
        <v>400</v>
      </c>
      <c r="Y674">
        <f>IFERROR(W674-X674,"")</f>
        <v/>
      </c>
      <c r="Z674">
        <f>IFERROR(ABS(Y674)/MAX(X674,1),"")</f>
        <v/>
      </c>
      <c r="AA674">
        <f>IFERROR((X674-(((E674/100000+F674/100+S674/200)*200*I674*H674)+((E674*F674/25000)*I674*H674))/3)/(((J674/5)*200*I674*H674)+((J674*S674/2.5)*I674*H674)+((E674*F674*J674*S674*I674*H674)/12500000))/3*1000,"")</f>
        <v/>
      </c>
    </row>
    <row r="675">
      <c r="B675" s="7" t="inlineStr">
        <is>
          <t xml:space="preserve">  ↳ AsianFlamerTroop</t>
        </is>
      </c>
      <c r="C675" s="7" t="inlineStr">
        <is>
          <t>Armament@PRIMARY</t>
        </is>
      </c>
      <c r="L675" s="6" t="n">
        <v>4000</v>
      </c>
      <c r="M675" s="6" t="n">
        <v>38</v>
      </c>
      <c r="N675" s="6" t="n">
        <v>6</v>
      </c>
      <c r="O675" s="6" t="n">
        <v>3</v>
      </c>
      <c r="P675" s="6" t="n">
        <v>4444</v>
      </c>
      <c r="Q675" s="6" t="n">
        <v>0.75</v>
      </c>
      <c r="R675">
        <f>M675+IF(N675&gt;1,N(O675)*(N675-1),0)</f>
        <v/>
      </c>
      <c r="S675">
        <f>IFERROR(L675*MAX(N675,1)/R675*Q675*IF(ISBLANK(K674),1,K674),0)</f>
        <v/>
      </c>
      <c r="AB675" s="7" t="inlineStr">
        <is>
          <t>^LightFlameWeapon</t>
        </is>
      </c>
    </row>
    <row r="676">
      <c r="B676" s="7" t="inlineStr">
        <is>
          <t xml:space="preserve">  ↳ AsianFlamerTroop2</t>
        </is>
      </c>
      <c r="C676" s="7" t="inlineStr">
        <is>
          <t>Armament@Upgrade</t>
        </is>
      </c>
      <c r="L676" s="6" t="n">
        <v>4000</v>
      </c>
      <c r="M676" s="6" t="n">
        <v>34</v>
      </c>
      <c r="N676" s="6" t="n">
        <v>6</v>
      </c>
      <c r="O676" s="6" t="n">
        <v>3</v>
      </c>
      <c r="P676" s="6" t="n">
        <v>5555</v>
      </c>
      <c r="Q676" s="6" t="n">
        <v>0.75</v>
      </c>
      <c r="R676">
        <f>M676+IF(N676&gt;1,N(O676)*(N676-1),0)</f>
        <v/>
      </c>
      <c r="S676">
        <f>IFERROR(L676*MAX(N676,1)/R676*Q676*IF(ISBLANK(K674),1,K674),0)</f>
        <v/>
      </c>
      <c r="AB676" s="7" t="inlineStr">
        <is>
          <t>^LightFlameWeapon</t>
        </is>
      </c>
    </row>
    <row r="677">
      <c r="B677" s="7" t="inlineStr">
        <is>
          <t xml:space="preserve">  ↳ AsianFlamerTurret</t>
        </is>
      </c>
      <c r="C677" s="7" t="inlineStr">
        <is>
          <t>Armament@ELITE</t>
        </is>
      </c>
      <c r="L677" s="6" t="n">
        <v>4000</v>
      </c>
      <c r="M677" s="6" t="n">
        <v>30</v>
      </c>
      <c r="N677" s="6" t="n">
        <v>6</v>
      </c>
      <c r="O677" s="6" t="n">
        <v>3</v>
      </c>
      <c r="P677" s="6" t="n">
        <v>6666</v>
      </c>
      <c r="Q677" s="6" t="n">
        <v>0.75</v>
      </c>
      <c r="R677">
        <f>M677+IF(N677&gt;1,N(O677)*(N677-1),0)</f>
        <v/>
      </c>
      <c r="S677">
        <f>IFERROR(L677*MAX(N677,1)/R677*Q677*IF(ISBLANK(K674),1,K674),0)</f>
        <v/>
      </c>
      <c r="AB677" s="7" t="inlineStr">
        <is>
          <t>^LightFlameWeapon</t>
        </is>
      </c>
    </row>
    <row r="678">
      <c r="B678" s="7" t="inlineStr">
        <is>
          <t xml:space="preserve">  ↳ AsianFlamerTroop</t>
        </is>
      </c>
      <c r="C678" s="7" t="inlineStr">
        <is>
          <t>Armament@GARRISONED</t>
        </is>
      </c>
      <c r="L678" s="6" t="n">
        <v>4000</v>
      </c>
      <c r="M678" s="6" t="n">
        <v>38</v>
      </c>
      <c r="N678" s="6" t="n">
        <v>6</v>
      </c>
      <c r="O678" s="6" t="n">
        <v>3</v>
      </c>
      <c r="P678" s="6" t="n">
        <v>4444</v>
      </c>
      <c r="Q678" s="6" t="n">
        <v>0.75</v>
      </c>
      <c r="R678">
        <f>M678+IF(N678&gt;1,N(O678)*(N678-1),0)</f>
        <v/>
      </c>
      <c r="S678">
        <f>IFERROR(L678*MAX(N678,1)/R678*Q678*IF(ISBLANK(K674),1,K674),0)</f>
        <v/>
      </c>
      <c r="AB678" s="7" t="inlineStr">
        <is>
          <t>^LightFlameWeapon</t>
        </is>
      </c>
    </row>
    <row r="679">
      <c r="B679" s="7" t="inlineStr">
        <is>
          <t xml:space="preserve">  ↳ AsianFlamerTroop2</t>
        </is>
      </c>
      <c r="C679" s="7" t="inlineStr">
        <is>
          <t>Armament@GARRISONEDUpgrade</t>
        </is>
      </c>
      <c r="L679" s="6" t="n">
        <v>4000</v>
      </c>
      <c r="M679" s="6" t="n">
        <v>34</v>
      </c>
      <c r="N679" s="6" t="n">
        <v>6</v>
      </c>
      <c r="O679" s="6" t="n">
        <v>3</v>
      </c>
      <c r="P679" s="6" t="n">
        <v>5555</v>
      </c>
      <c r="Q679" s="6" t="n">
        <v>0.75</v>
      </c>
      <c r="R679">
        <f>M679+IF(N679&gt;1,N(O679)*(N679-1),0)</f>
        <v/>
      </c>
      <c r="S679">
        <f>IFERROR(L679*MAX(N679,1)/R679*Q679*IF(ISBLANK(K674),1,K674),0)</f>
        <v/>
      </c>
      <c r="AB679" s="7" t="inlineStr">
        <is>
          <t>^LightFlameWeapon</t>
        </is>
      </c>
    </row>
    <row r="680">
      <c r="B680" s="7" t="inlineStr">
        <is>
          <t xml:space="preserve">  ↳ AsianFlamerTurret</t>
        </is>
      </c>
      <c r="C680" s="7" t="inlineStr">
        <is>
          <t>Armament@GARRISONEDE</t>
        </is>
      </c>
      <c r="L680" s="6" t="n">
        <v>4000</v>
      </c>
      <c r="M680" s="6" t="n">
        <v>30</v>
      </c>
      <c r="N680" s="6" t="n">
        <v>6</v>
      </c>
      <c r="O680" s="6" t="n">
        <v>3</v>
      </c>
      <c r="P680" s="6" t="n">
        <v>6666</v>
      </c>
      <c r="Q680" s="6" t="n">
        <v>0.75</v>
      </c>
      <c r="R680">
        <f>M680+IF(N680&gt;1,N(O680)*(N680-1),0)</f>
        <v/>
      </c>
      <c r="S680">
        <f>IFERROR(L680*MAX(N680,1)/R680*Q680*IF(ISBLANK(K674),1,K674),0)</f>
        <v/>
      </c>
      <c r="AB680" s="7" t="inlineStr">
        <is>
          <t>^LightFlameWeapon</t>
        </is>
      </c>
    </row>
    <row r="681">
      <c r="A681" t="inlineStr">
        <is>
          <t>redalert2mod</t>
        </is>
      </c>
      <c r="B681" t="inlineStr">
        <is>
          <t>asianalliance_plasmatrooper</t>
        </is>
      </c>
      <c r="C681" t="inlineStr">
        <is>
          <t>Plasma Trooper</t>
        </is>
      </c>
      <c r="D681" s="6" t="inlineStr">
        <is>
          <t>HeavyInfantry</t>
        </is>
      </c>
      <c r="E681" s="6" t="n">
        <v>64000</v>
      </c>
      <c r="F681" s="6" t="n">
        <v>42</v>
      </c>
      <c r="G681" t="inlineStr">
        <is>
          <t>Plate</t>
        </is>
      </c>
      <c r="H681" s="6" t="n">
        <v>0.75</v>
      </c>
      <c r="I681" s="6" t="n">
        <v>0.8</v>
      </c>
      <c r="J681" s="6" t="n">
        <v>1</v>
      </c>
      <c r="K681" s="6" t="n"/>
      <c r="P681">
        <f>MAX(P682,P683)</f>
        <v/>
      </c>
      <c r="S681">
        <f>S682+S683</f>
        <v/>
      </c>
      <c r="T681">
        <f>(E681/100000+F681/100+(P681/1000)*J681/5+S681/200)*200*I681*H681</f>
        <v/>
      </c>
      <c r="U681">
        <f>((E681*F681/25000)+((P681/1000)*J681*S681/2.5))*I681*H681</f>
        <v/>
      </c>
      <c r="V681">
        <f>(E681*F681*(P681/1000)*J681*S681*I681*H681)/12500000</f>
        <v/>
      </c>
      <c r="W681">
        <f>(T681+U681+V681)/3</f>
        <v/>
      </c>
      <c r="X681" s="6" t="n">
        <v>500</v>
      </c>
      <c r="Y681">
        <f>IFERROR(W681-X681,"")</f>
        <v/>
      </c>
      <c r="Z681">
        <f>IFERROR(ABS(Y681)/MAX(X681,1),"")</f>
        <v/>
      </c>
      <c r="AA681">
        <f>IFERROR((X681-(((E681/100000+F681/100+S681/200)*200*I681*H681)+((E681*F681/25000)*I681*H681))/3)/(((J681/5)*200*I681*H681)+((J681*S681/2.5)*I681*H681)+((E681*F681*J681*S681*I681*H681)/12500000))/3*1000,"")</f>
        <v/>
      </c>
    </row>
    <row r="682">
      <c r="B682" s="7" t="inlineStr">
        <is>
          <t xml:space="preserve">  ↳ AsianSinglePlasma</t>
        </is>
      </c>
      <c r="C682" s="7" t="inlineStr">
        <is>
          <t>Armament@PRIMARY</t>
        </is>
      </c>
      <c r="L682" s="6" t="n">
        <v>2000</v>
      </c>
      <c r="M682" s="6" t="n">
        <v>34</v>
      </c>
      <c r="N682" s="6" t="n">
        <v>1</v>
      </c>
      <c r="O682" s="6" t="n"/>
      <c r="P682" s="6" t="n">
        <v>5190</v>
      </c>
      <c r="Q682" s="6" t="n">
        <v>1</v>
      </c>
      <c r="R682">
        <f>M682+IF(N682&gt;1,N(O682)*(N682-1),0)</f>
        <v/>
      </c>
      <c r="S682">
        <f>IFERROR(L682*MAX(N682,1)/R682*Q682*IF(ISBLANK(K681),1,K681),0)</f>
        <v/>
      </c>
      <c r="AB682" s="7" t="inlineStr">
        <is>
          <t>^LightFlameWeapon, ^LightChemicalWeapon, ^MediumFlameWeapon, ^MediumChemicalWeapon, ^MediumCannon, ^ShrapnelWeapon, ^HeavyBomb, ^RA2HeavyCannon</t>
        </is>
      </c>
    </row>
    <row r="683">
      <c r="B683" s="7" t="inlineStr">
        <is>
          <t xml:space="preserve">  ↳ AsianSinglePlasmaE</t>
        </is>
      </c>
      <c r="C683" s="7" t="inlineStr">
        <is>
          <t>Armament@ELITE</t>
        </is>
      </c>
      <c r="L683" s="6" t="n">
        <v>2000</v>
      </c>
      <c r="M683" s="6" t="n">
        <v>34</v>
      </c>
      <c r="N683" s="6" t="n">
        <v>2</v>
      </c>
      <c r="O683" s="6" t="n">
        <v>3</v>
      </c>
      <c r="P683" s="6" t="n">
        <v>5836</v>
      </c>
      <c r="Q683" s="6" t="n">
        <v>1</v>
      </c>
      <c r="R683">
        <f>M683+IF(N683&gt;1,N(O683)*(N683-1),0)</f>
        <v/>
      </c>
      <c r="S683">
        <f>IFERROR(L683*MAX(N683,1)/R683*Q683*IF(ISBLANK(K681),1,K681),0)</f>
        <v/>
      </c>
      <c r="AB683" s="7" t="inlineStr">
        <is>
          <t>^LightFlameWeapon, ^LightChemicalWeapon, ^MediumFlameWeapon, ^MediumChemicalWeapon, ^MediumCannon, ^ShrapnelWeapon, ^HeavyBomb, ^RA2HeavyCannon</t>
        </is>
      </c>
    </row>
    <row r="684">
      <c r="B684" s="7" t="inlineStr">
        <is>
          <t xml:space="preserve">  ↳ AsianSinglePlasma</t>
        </is>
      </c>
      <c r="C684" s="7" t="inlineStr">
        <is>
          <t>Armament@GARRISONED</t>
        </is>
      </c>
      <c r="L684" s="6" t="n">
        <v>2000</v>
      </c>
      <c r="M684" s="6" t="n">
        <v>34</v>
      </c>
      <c r="N684" s="6" t="n">
        <v>1</v>
      </c>
      <c r="O684" s="6" t="n"/>
      <c r="P684" s="6" t="n">
        <v>5190</v>
      </c>
      <c r="Q684" s="6" t="n">
        <v>1</v>
      </c>
      <c r="R684">
        <f>M684+IF(N684&gt;1,N(O684)*(N684-1),0)</f>
        <v/>
      </c>
      <c r="S684">
        <f>IFERROR(L684*MAX(N684,1)/R684*Q684*IF(ISBLANK(K681),1,K681),0)</f>
        <v/>
      </c>
      <c r="AB684" s="7" t="inlineStr">
        <is>
          <t>^LightFlameWeapon, ^LightChemicalWeapon, ^MediumFlameWeapon, ^MediumChemicalWeapon, ^MediumCannon, ^ShrapnelWeapon, ^HeavyBomb, ^RA2HeavyCannon</t>
        </is>
      </c>
    </row>
    <row r="685">
      <c r="B685" s="7" t="inlineStr">
        <is>
          <t xml:space="preserve">  ↳ AsianSinglePlasmaE</t>
        </is>
      </c>
      <c r="C685" s="7" t="inlineStr">
        <is>
          <t>Armament@GARRISONEDELITE</t>
        </is>
      </c>
      <c r="L685" s="6" t="n">
        <v>2000</v>
      </c>
      <c r="M685" s="6" t="n">
        <v>34</v>
      </c>
      <c r="N685" s="6" t="n">
        <v>2</v>
      </c>
      <c r="O685" s="6" t="n">
        <v>3</v>
      </c>
      <c r="P685" s="6" t="n">
        <v>5836</v>
      </c>
      <c r="Q685" s="6" t="n">
        <v>1</v>
      </c>
      <c r="R685">
        <f>M685+IF(N685&gt;1,N(O685)*(N685-1),0)</f>
        <v/>
      </c>
      <c r="S685">
        <f>IFERROR(L685*MAX(N685,1)/R685*Q685*IF(ISBLANK(K681),1,K681),0)</f>
        <v/>
      </c>
      <c r="AB685" s="7" t="inlineStr">
        <is>
          <t>^LightFlameWeapon, ^LightChemicalWeapon, ^MediumFlameWeapon, ^MediumChemicalWeapon, ^MediumCannon, ^ShrapnelWeapon, ^HeavyBomb, ^RA2HeavyCannon</t>
        </is>
      </c>
    </row>
    <row r="686">
      <c r="A686" t="inlineStr">
        <is>
          <t>redalert2mod</t>
        </is>
      </c>
      <c r="B686" t="inlineStr">
        <is>
          <t>steelconsortium_quantummissiletrooper</t>
        </is>
      </c>
      <c r="C686" t="inlineStr">
        <is>
          <t>Quantum Missile Trooper</t>
        </is>
      </c>
      <c r="D686" s="6" t="inlineStr">
        <is>
          <t>HeavyInfantry</t>
        </is>
      </c>
      <c r="E686" s="6" t="n">
        <v>64000</v>
      </c>
      <c r="F686" s="6" t="n">
        <v>48</v>
      </c>
      <c r="G686" t="inlineStr">
        <is>
          <t>Plate</t>
        </is>
      </c>
      <c r="H686" s="6" t="n">
        <v>0.75</v>
      </c>
      <c r="I686" s="6" t="n">
        <v>0.8</v>
      </c>
      <c r="J686" s="6" t="n">
        <v>1.25</v>
      </c>
      <c r="K686" s="6" t="n"/>
      <c r="P686">
        <f>MAX(P687,P688,P689,P690,P691,P692,P693,P694,P695)</f>
        <v/>
      </c>
      <c r="S686">
        <f>S687+S688+S689+S690+S691+S692+S693+S694+S695</f>
        <v/>
      </c>
      <c r="T686">
        <f>(E686/100000+F686/100+(P686/1000)*J686/5+S686/200)*200*I686*H686</f>
        <v/>
      </c>
      <c r="U686">
        <f>((E686*F686/25000)+((P686/1000)*J686*S686/2.5))*I686*H686</f>
        <v/>
      </c>
      <c r="V686">
        <f>(E686*F686*(P686/1000)*J686*S686*I686*H686)/12500000</f>
        <v/>
      </c>
      <c r="W686">
        <f>(T686+U686+V686)/3</f>
        <v/>
      </c>
      <c r="X686" s="6" t="n">
        <v>1150</v>
      </c>
      <c r="Y686">
        <f>IFERROR(W686-X686,"")</f>
        <v/>
      </c>
      <c r="Z686">
        <f>IFERROR(ABS(Y686)/MAX(X686,1),"")</f>
        <v/>
      </c>
      <c r="AA686">
        <f>IFERROR((X686-(((E686/100000+F686/100+S686/200)*200*I686*H686)+((E686*F686/25000)*I686*H686))/3)/(((J686/5)*200*I686*H686)+((J686*S686/2.5)*I686*H686)+((E686*F686*J686*S686*I686*H686)/12500000))/3*1000,"")</f>
        <v/>
      </c>
    </row>
    <row r="687">
      <c r="B687" s="7" t="inlineStr">
        <is>
          <t xml:space="preserve">  ↳ SteelInfRailgun</t>
        </is>
      </c>
      <c r="C687" s="7" t="inlineStr">
        <is>
          <t>Armament@PRIMARY</t>
        </is>
      </c>
      <c r="L687" s="6" t="n">
        <v>4000</v>
      </c>
      <c r="M687" s="6" t="n">
        <v>48</v>
      </c>
      <c r="N687" s="6" t="n">
        <v>2</v>
      </c>
      <c r="O687" s="6" t="n">
        <v>0</v>
      </c>
      <c r="P687" s="6" t="n">
        <v>8000</v>
      </c>
      <c r="Q687" s="6" t="n">
        <v>1</v>
      </c>
      <c r="R687">
        <f>M687+IF(N687&gt;1,N(O687)*(N687-1),0)</f>
        <v/>
      </c>
      <c r="S687">
        <f>IFERROR(L687*MAX(N687,1)/R687*Q687*IF(ISBLANK(K686),1,K686),0)</f>
        <v/>
      </c>
      <c r="AB687" s="7" t="inlineStr">
        <is>
          <t>^RA2RailgunWeapon, ^RA2FlakWeapon, ^SteelChaingun, ^SteelLightMissile</t>
        </is>
      </c>
    </row>
    <row r="688">
      <c r="B688" s="7" t="inlineStr">
        <is>
          <t xml:space="preserve">  ↳ SteelInfRailgunE</t>
        </is>
      </c>
      <c r="C688" s="7" t="inlineStr">
        <is>
          <t>Armament@PRIMARYELITE</t>
        </is>
      </c>
      <c r="L688" s="6" t="n">
        <v>4000</v>
      </c>
      <c r="M688" s="6" t="n">
        <v>48</v>
      </c>
      <c r="N688" s="6" t="n">
        <v>4</v>
      </c>
      <c r="O688" s="6" t="n">
        <v>0</v>
      </c>
      <c r="P688" s="6" t="n">
        <v>9000</v>
      </c>
      <c r="Q688" s="6" t="n">
        <v>1</v>
      </c>
      <c r="R688">
        <f>M688+IF(N688&gt;1,N(O688)*(N688-1),0)</f>
        <v/>
      </c>
      <c r="S688">
        <f>IFERROR(L688*MAX(N688,1)/R688*Q688*IF(ISBLANK(K686),1,K686),0)</f>
        <v/>
      </c>
      <c r="AB688" s="7" t="inlineStr">
        <is>
          <t>^RA2RailgunWeapon, ^RA2FlakWeapon, ^SteelChaingun, ^SteelLightMissile</t>
        </is>
      </c>
    </row>
    <row r="689">
      <c r="B689" s="7" t="inlineStr">
        <is>
          <t xml:space="preserve">  ↳ SteelInfRailgunEMP</t>
        </is>
      </c>
      <c r="C689" s="7" t="inlineStr">
        <is>
          <t>Armament@UpgradePRIMARY</t>
        </is>
      </c>
      <c r="L689" s="6" t="n">
        <v>2000</v>
      </c>
      <c r="M689" s="6" t="n">
        <v>50</v>
      </c>
      <c r="N689" s="6" t="n">
        <v>2</v>
      </c>
      <c r="O689" s="6" t="n">
        <v>0</v>
      </c>
      <c r="P689" s="6" t="n">
        <v>8000</v>
      </c>
      <c r="Q689" s="6" t="n">
        <v>1</v>
      </c>
      <c r="R689">
        <f>M689+IF(N689&gt;1,N(O689)*(N689-1),0)</f>
        <v/>
      </c>
      <c r="S689">
        <f>IFERROR(L689*MAX(N689,1)/R689*Q689*IF(ISBLANK(K686),1,K686),0)</f>
        <v/>
      </c>
      <c r="AB689" s="7" t="inlineStr">
        <is>
          <t>^Grenade, ^MediumFlameWeapon, ^MediumChemicalWeapon, ^ShrapnelWeapon, ^MediumCannon, ^TeslaWeapon, ^RA2RailgunWeapon, ^RA2FlakWeapon, ^SteelChaingun, ^SteelLightMissile</t>
        </is>
      </c>
    </row>
    <row r="690">
      <c r="B690" s="7" t="inlineStr">
        <is>
          <t xml:space="preserve">  ↳ SteelInfRailgunEMPE</t>
        </is>
      </c>
      <c r="C690" s="7" t="inlineStr">
        <is>
          <t>Armament@UpgradePRIMARYELITE</t>
        </is>
      </c>
      <c r="L690" s="6" t="n">
        <v>2000</v>
      </c>
      <c r="M690" s="6" t="n">
        <v>50</v>
      </c>
      <c r="N690" s="6" t="n">
        <v>4</v>
      </c>
      <c r="O690" s="6" t="n">
        <v>0</v>
      </c>
      <c r="P690" s="6" t="n">
        <v>9000</v>
      </c>
      <c r="Q690" s="6" t="n">
        <v>1</v>
      </c>
      <c r="R690">
        <f>M690+IF(N690&gt;1,N(O690)*(N690-1),0)</f>
        <v/>
      </c>
      <c r="S690">
        <f>IFERROR(L690*MAX(N690,1)/R690*Q690*IF(ISBLANK(K686),1,K686),0)</f>
        <v/>
      </c>
      <c r="AB690" s="7" t="inlineStr">
        <is>
          <t>^Grenade, ^MediumFlameWeapon, ^MediumChemicalWeapon, ^ShrapnelWeapon, ^MediumCannon, ^TeslaWeapon, ^RA2RailgunWeapon, ^RA2FlakWeapon, ^SteelChaingun, ^SteelLightMissile</t>
        </is>
      </c>
    </row>
    <row r="691">
      <c r="B691" s="7" t="inlineStr">
        <is>
          <t xml:space="preserve">  ↳ aadeploytargeting.8c0</t>
        </is>
      </c>
      <c r="C691" s="7" t="inlineStr">
        <is>
          <t>Armament@BOTAA</t>
        </is>
      </c>
      <c r="L691" s="6" t="n"/>
      <c r="M691" s="6" t="n">
        <v>50</v>
      </c>
      <c r="N691" s="6" t="n">
        <v>1</v>
      </c>
      <c r="O691" s="6" t="n"/>
      <c r="P691" s="6" t="n">
        <v>8000</v>
      </c>
      <c r="Q691" s="6" t="n">
        <v>1</v>
      </c>
      <c r="R691">
        <f>M691+IF(N691&gt;1,N(O691)*(N691-1),0)</f>
        <v/>
      </c>
      <c r="S691">
        <f>IFERROR(L691*MAX(N691,1)/R691*Q691*IF(ISBLANK(K686),1,K686),0)</f>
        <v/>
      </c>
      <c r="AB691" s="7" t="inlineStr">
        <is>
          <t>^aadeploytargeting</t>
        </is>
      </c>
    </row>
    <row r="692">
      <c r="B692" s="7" t="inlineStr">
        <is>
          <t xml:space="preserve">  ↳ SteelInfRailgun</t>
        </is>
      </c>
      <c r="C692" s="7" t="inlineStr">
        <is>
          <t>Armament@DEPLOYED</t>
        </is>
      </c>
      <c r="L692" s="6" t="n">
        <v>4000</v>
      </c>
      <c r="M692" s="6" t="n">
        <v>48</v>
      </c>
      <c r="N692" s="6" t="n">
        <v>2</v>
      </c>
      <c r="O692" s="6" t="n">
        <v>0</v>
      </c>
      <c r="P692" s="6" t="n">
        <v>8000</v>
      </c>
      <c r="Q692" s="6" t="n">
        <v>1</v>
      </c>
      <c r="R692">
        <f>M692+IF(N692&gt;1,N(O692)*(N692-1),0)</f>
        <v/>
      </c>
      <c r="S692">
        <f>IFERROR(L692*MAX(N692,1)/R692*Q692*IF(ISBLANK(K686),1,K686),0)</f>
        <v/>
      </c>
      <c r="AB692" s="7" t="inlineStr">
        <is>
          <t>^RA2RailgunWeapon, ^RA2FlakWeapon, ^SteelChaingun, ^SteelLightMissile</t>
        </is>
      </c>
    </row>
    <row r="693">
      <c r="B693" s="7" t="inlineStr">
        <is>
          <t xml:space="preserve">  ↳ SteelInfRailgunE</t>
        </is>
      </c>
      <c r="C693" s="7" t="inlineStr">
        <is>
          <t>Armament@DEPLOYEDELITE</t>
        </is>
      </c>
      <c r="L693" s="6" t="n">
        <v>4000</v>
      </c>
      <c r="M693" s="6" t="n">
        <v>48</v>
      </c>
      <c r="N693" s="6" t="n">
        <v>4</v>
      </c>
      <c r="O693" s="6" t="n">
        <v>0</v>
      </c>
      <c r="P693" s="6" t="n">
        <v>9000</v>
      </c>
      <c r="Q693" s="6" t="n">
        <v>1</v>
      </c>
      <c r="R693">
        <f>M693+IF(N693&gt;1,N(O693)*(N693-1),0)</f>
        <v/>
      </c>
      <c r="S693">
        <f>IFERROR(L693*MAX(N693,1)/R693*Q693*IF(ISBLANK(K686),1,K686),0)</f>
        <v/>
      </c>
      <c r="AB693" s="7" t="inlineStr">
        <is>
          <t>^RA2RailgunWeapon, ^RA2FlakWeapon, ^SteelChaingun, ^SteelLightMissile</t>
        </is>
      </c>
    </row>
    <row r="694">
      <c r="B694" s="7" t="inlineStr">
        <is>
          <t xml:space="preserve">  ↳ SteelInfRailgunEMP</t>
        </is>
      </c>
      <c r="C694" s="7" t="inlineStr">
        <is>
          <t>Armament@UpgradeDEPLOYED</t>
        </is>
      </c>
      <c r="L694" s="6" t="n">
        <v>2000</v>
      </c>
      <c r="M694" s="6" t="n">
        <v>50</v>
      </c>
      <c r="N694" s="6" t="n">
        <v>2</v>
      </c>
      <c r="O694" s="6" t="n">
        <v>0</v>
      </c>
      <c r="P694" s="6" t="n">
        <v>8000</v>
      </c>
      <c r="Q694" s="6" t="n">
        <v>1</v>
      </c>
      <c r="R694">
        <f>M694+IF(N694&gt;1,N(O694)*(N694-1),0)</f>
        <v/>
      </c>
      <c r="S694">
        <f>IFERROR(L694*MAX(N694,1)/R694*Q694*IF(ISBLANK(K686),1,K686),0)</f>
        <v/>
      </c>
      <c r="AB694" s="7" t="inlineStr">
        <is>
          <t>^Grenade, ^MediumFlameWeapon, ^MediumChemicalWeapon, ^ShrapnelWeapon, ^MediumCannon, ^TeslaWeapon, ^RA2RailgunWeapon, ^RA2FlakWeapon, ^SteelChaingun, ^SteelLightMissile</t>
        </is>
      </c>
    </row>
    <row r="695">
      <c r="B695" s="7" t="inlineStr">
        <is>
          <t xml:space="preserve">  ↳ SteelInfRailgunEMPE</t>
        </is>
      </c>
      <c r="C695" s="7" t="inlineStr">
        <is>
          <t>Armament@UpgradeDEPLOYEDELITE</t>
        </is>
      </c>
      <c r="L695" s="6" t="n">
        <v>2000</v>
      </c>
      <c r="M695" s="6" t="n">
        <v>50</v>
      </c>
      <c r="N695" s="6" t="n">
        <v>4</v>
      </c>
      <c r="O695" s="6" t="n">
        <v>0</v>
      </c>
      <c r="P695" s="6" t="n">
        <v>9000</v>
      </c>
      <c r="Q695" s="6" t="n">
        <v>1</v>
      </c>
      <c r="R695">
        <f>M695+IF(N695&gt;1,N(O695)*(N695-1),0)</f>
        <v/>
      </c>
      <c r="S695">
        <f>IFERROR(L695*MAX(N695,1)/R695*Q695*IF(ISBLANK(K686),1,K686),0)</f>
        <v/>
      </c>
      <c r="AB695" s="7" t="inlineStr">
        <is>
          <t>^Grenade, ^MediumFlameWeapon, ^MediumChemicalWeapon, ^ShrapnelWeapon, ^MediumCannon, ^TeslaWeapon, ^RA2RailgunWeapon, ^RA2FlakWeapon, ^SteelChaingun, ^SteelLightMissile</t>
        </is>
      </c>
    </row>
    <row r="696">
      <c r="B696" s="7" t="inlineStr">
        <is>
          <t xml:space="preserve">  ↳ SteelInfRailgun</t>
        </is>
      </c>
      <c r="C696" s="7" t="inlineStr">
        <is>
          <t>Armament@GARRISONED</t>
        </is>
      </c>
      <c r="L696" s="6" t="n">
        <v>4000</v>
      </c>
      <c r="M696" s="6" t="n">
        <v>48</v>
      </c>
      <c r="N696" s="6" t="n">
        <v>2</v>
      </c>
      <c r="O696" s="6" t="n">
        <v>0</v>
      </c>
      <c r="P696" s="6" t="n">
        <v>8000</v>
      </c>
      <c r="Q696" s="6" t="n">
        <v>1</v>
      </c>
      <c r="R696">
        <f>M696+IF(N696&gt;1,N(O696)*(N696-1),0)</f>
        <v/>
      </c>
      <c r="S696">
        <f>IFERROR(L696*MAX(N696,1)/R696*Q696*IF(ISBLANK(K686),1,K686),0)</f>
        <v/>
      </c>
      <c r="AB696" s="7" t="inlineStr">
        <is>
          <t>^RA2RailgunWeapon, ^RA2FlakWeapon, ^SteelChaingun, ^SteelLightMissile</t>
        </is>
      </c>
    </row>
    <row r="697">
      <c r="B697" s="7" t="inlineStr">
        <is>
          <t xml:space="preserve">  ↳ SteelInfRailgunE</t>
        </is>
      </c>
      <c r="C697" s="7" t="inlineStr">
        <is>
          <t>Armament@GARRISONEDELITE</t>
        </is>
      </c>
      <c r="L697" s="6" t="n">
        <v>4000</v>
      </c>
      <c r="M697" s="6" t="n">
        <v>48</v>
      </c>
      <c r="N697" s="6" t="n">
        <v>4</v>
      </c>
      <c r="O697" s="6" t="n">
        <v>0</v>
      </c>
      <c r="P697" s="6" t="n">
        <v>9000</v>
      </c>
      <c r="Q697" s="6" t="n">
        <v>1</v>
      </c>
      <c r="R697">
        <f>M697+IF(N697&gt;1,N(O697)*(N697-1),0)</f>
        <v/>
      </c>
      <c r="S697">
        <f>IFERROR(L697*MAX(N697,1)/R697*Q697*IF(ISBLANK(K686),1,K686),0)</f>
        <v/>
      </c>
      <c r="AB697" s="7" t="inlineStr">
        <is>
          <t>^RA2RailgunWeapon, ^RA2FlakWeapon, ^SteelChaingun, ^SteelLightMissile</t>
        </is>
      </c>
    </row>
    <row r="698">
      <c r="B698" s="7" t="inlineStr">
        <is>
          <t xml:space="preserve">  ↳ SteelInfRailgunEMP</t>
        </is>
      </c>
      <c r="C698" s="7" t="inlineStr">
        <is>
          <t>Armament@UpgradeGARRISONED</t>
        </is>
      </c>
      <c r="L698" s="6" t="n">
        <v>2000</v>
      </c>
      <c r="M698" s="6" t="n">
        <v>50</v>
      </c>
      <c r="N698" s="6" t="n">
        <v>2</v>
      </c>
      <c r="O698" s="6" t="n">
        <v>0</v>
      </c>
      <c r="P698" s="6" t="n">
        <v>8000</v>
      </c>
      <c r="Q698" s="6" t="n">
        <v>1</v>
      </c>
      <c r="R698">
        <f>M698+IF(N698&gt;1,N(O698)*(N698-1),0)</f>
        <v/>
      </c>
      <c r="S698">
        <f>IFERROR(L698*MAX(N698,1)/R698*Q698*IF(ISBLANK(K686),1,K686),0)</f>
        <v/>
      </c>
      <c r="AB698" s="7" t="inlineStr">
        <is>
          <t>^Grenade, ^MediumFlameWeapon, ^MediumChemicalWeapon, ^ShrapnelWeapon, ^MediumCannon, ^TeslaWeapon, ^RA2RailgunWeapon, ^RA2FlakWeapon, ^SteelChaingun, ^SteelLightMissile</t>
        </is>
      </c>
    </row>
    <row r="699">
      <c r="B699" s="7" t="inlineStr">
        <is>
          <t xml:space="preserve">  ↳ SteelInfRailgunEMPE</t>
        </is>
      </c>
      <c r="C699" s="7" t="inlineStr">
        <is>
          <t>Armament@UpgradeGARRISONEDELITE</t>
        </is>
      </c>
      <c r="L699" s="6" t="n">
        <v>2000</v>
      </c>
      <c r="M699" s="6" t="n">
        <v>50</v>
      </c>
      <c r="N699" s="6" t="n">
        <v>4</v>
      </c>
      <c r="O699" s="6" t="n">
        <v>0</v>
      </c>
      <c r="P699" s="6" t="n">
        <v>9000</v>
      </c>
      <c r="Q699" s="6" t="n">
        <v>1</v>
      </c>
      <c r="R699">
        <f>M699+IF(N699&gt;1,N(O699)*(N699-1),0)</f>
        <v/>
      </c>
      <c r="S699">
        <f>IFERROR(L699*MAX(N699,1)/R699*Q699*IF(ISBLANK(K686),1,K686),0)</f>
        <v/>
      </c>
      <c r="AB699" s="7" t="inlineStr">
        <is>
          <t>^Grenade, ^MediumFlameWeapon, ^MediumChemicalWeapon, ^ShrapnelWeapon, ^MediumCannon, ^TeslaWeapon, ^RA2RailgunWeapon, ^RA2FlakWeapon, ^SteelChaingun, ^SteelLightMissile</t>
        </is>
      </c>
    </row>
    <row r="700">
      <c r="A700" t="inlineStr">
        <is>
          <t>redalert2mod</t>
        </is>
      </c>
      <c r="B700" t="inlineStr">
        <is>
          <t>latinsyndicate_latinflametrooper</t>
        </is>
      </c>
      <c r="C700" t="inlineStr">
        <is>
          <t>Latin Flame Trooper</t>
        </is>
      </c>
      <c r="D700" s="6" t="inlineStr">
        <is>
          <t>HeavyInfantry</t>
        </is>
      </c>
      <c r="E700" s="6" t="n">
        <v>55000</v>
      </c>
      <c r="F700" s="6" t="n">
        <v>55</v>
      </c>
      <c r="G700" t="inlineStr">
        <is>
          <t>Plate</t>
        </is>
      </c>
      <c r="H700" s="6" t="n">
        <v>1</v>
      </c>
      <c r="I700" s="6" t="n">
        <v>1</v>
      </c>
      <c r="J700" s="6" t="n">
        <v>1</v>
      </c>
      <c r="K700" s="6" t="n"/>
      <c r="P700">
        <f>MAX(P701,P702)</f>
        <v/>
      </c>
      <c r="S700">
        <f>S701+S702</f>
        <v/>
      </c>
      <c r="T700">
        <f>(E700/100000+F700/100+(P700/1000)*J700/5+S700/200)*200*I700*H700</f>
        <v/>
      </c>
      <c r="U700">
        <f>((E700*F700/25000)+((P700/1000)*J700*S700/2.5))*I700*H700</f>
        <v/>
      </c>
      <c r="V700">
        <f>(E700*F700*(P700/1000)*J700*S700*I700*H700)/12500000</f>
        <v/>
      </c>
      <c r="W700">
        <f>(T700+U700+V700)/3</f>
        <v/>
      </c>
      <c r="X700" s="6" t="n">
        <v>500</v>
      </c>
      <c r="Y700">
        <f>IFERROR(W700-X700,"")</f>
        <v/>
      </c>
      <c r="Z700">
        <f>IFERROR(ABS(Y700)/MAX(X700,1),"")</f>
        <v/>
      </c>
      <c r="AA700">
        <f>IFERROR((X700-(((E700/100000+F700/100+S700/200)*200*I700*H700)+((E700*F700/25000)*I700*H700))/3)/(((J700/5)*200*I700*H700)+((J700*S700/2.5)*I700*H700)+((E700*F700*J700*S700*I700*H700)/12500000))/3*1000,"")</f>
        <v/>
      </c>
    </row>
    <row r="701">
      <c r="B701" s="7" t="inlineStr">
        <is>
          <t xml:space="preserve">  ↳ SyndicateFireballLauncher</t>
        </is>
      </c>
      <c r="C701" s="7" t="inlineStr">
        <is>
          <t>Armament@PRIMARY</t>
        </is>
      </c>
      <c r="L701" s="6" t="n">
        <v>2000</v>
      </c>
      <c r="M701" s="6" t="n">
        <v>44</v>
      </c>
      <c r="N701" s="6" t="n">
        <v>4</v>
      </c>
      <c r="O701" s="6" t="n">
        <v>4</v>
      </c>
      <c r="P701" s="6" t="n">
        <v>5555</v>
      </c>
      <c r="Q701" s="6" t="n">
        <v>1</v>
      </c>
      <c r="R701">
        <f>M701+IF(N701&gt;1,N(O701)*(N701-1),0)</f>
        <v/>
      </c>
      <c r="S701">
        <f>IFERROR(L701*MAX(N701,1)/R701*Q701*IF(ISBLANK(K700),1,K700),0)</f>
        <v/>
      </c>
      <c r="AB701" s="7" t="inlineStr">
        <is>
          <t>^LightFlameWeapon, ^MediumFlameWeapon, ^HeavyFlameWeapon</t>
        </is>
      </c>
    </row>
    <row r="702">
      <c r="B702" s="7" t="inlineStr">
        <is>
          <t xml:space="preserve">  ↳ SyndicateFireballLauncherE</t>
        </is>
      </c>
      <c r="C702" s="7" t="inlineStr">
        <is>
          <t>Armament@ELITE</t>
        </is>
      </c>
      <c r="L702" s="6" t="n">
        <v>2000</v>
      </c>
      <c r="M702" s="6" t="n">
        <v>44</v>
      </c>
      <c r="N702" s="6" t="n">
        <v>8</v>
      </c>
      <c r="O702" s="6" t="n">
        <v>3</v>
      </c>
      <c r="P702" s="6" t="n">
        <v>6666</v>
      </c>
      <c r="Q702" s="6" t="n">
        <v>1</v>
      </c>
      <c r="R702">
        <f>M702+IF(N702&gt;1,N(O702)*(N702-1),0)</f>
        <v/>
      </c>
      <c r="S702">
        <f>IFERROR(L702*MAX(N702,1)/R702*Q702*IF(ISBLANK(K700),1,K700),0)</f>
        <v/>
      </c>
      <c r="AB702" s="7" t="inlineStr">
        <is>
          <t>^LightFlameWeapon, ^MediumFlameWeapon, ^HeavyFlameWeapon</t>
        </is>
      </c>
    </row>
    <row r="703">
      <c r="B703" s="7" t="inlineStr">
        <is>
          <t xml:space="preserve">  ↳ SyndicateFireballLauncher</t>
        </is>
      </c>
      <c r="C703" s="7" t="inlineStr">
        <is>
          <t>Armament@GARRISONED</t>
        </is>
      </c>
      <c r="L703" s="6" t="n">
        <v>2000</v>
      </c>
      <c r="M703" s="6" t="n">
        <v>44</v>
      </c>
      <c r="N703" s="6" t="n">
        <v>4</v>
      </c>
      <c r="O703" s="6" t="n">
        <v>4</v>
      </c>
      <c r="P703" s="6" t="n">
        <v>5555</v>
      </c>
      <c r="Q703" s="6" t="n">
        <v>1</v>
      </c>
      <c r="R703">
        <f>M703+IF(N703&gt;1,N(O703)*(N703-1),0)</f>
        <v/>
      </c>
      <c r="S703">
        <f>IFERROR(L703*MAX(N703,1)/R703*Q703*IF(ISBLANK(K700),1,K700),0)</f>
        <v/>
      </c>
      <c r="AB703" s="7" t="inlineStr">
        <is>
          <t>^LightFlameWeapon, ^MediumFlameWeapon, ^HeavyFlameWeapon</t>
        </is>
      </c>
    </row>
    <row r="704">
      <c r="B704" s="7" t="inlineStr">
        <is>
          <t xml:space="preserve">  ↳ SyndicateFireballLauncherE</t>
        </is>
      </c>
      <c r="C704" s="7" t="inlineStr">
        <is>
          <t>Armament@GARRISONEDELITE</t>
        </is>
      </c>
      <c r="L704" s="6" t="n">
        <v>2000</v>
      </c>
      <c r="M704" s="6" t="n">
        <v>44</v>
      </c>
      <c r="N704" s="6" t="n">
        <v>8</v>
      </c>
      <c r="O704" s="6" t="n">
        <v>3</v>
      </c>
      <c r="P704" s="6" t="n">
        <v>6666</v>
      </c>
      <c r="Q704" s="6" t="n">
        <v>1</v>
      </c>
      <c r="R704">
        <f>M704+IF(N704&gt;1,N(O704)*(N704-1),0)</f>
        <v/>
      </c>
      <c r="S704">
        <f>IFERROR(L704*MAX(N704,1)/R704*Q704*IF(ISBLANK(K700),1,K700),0)</f>
        <v/>
      </c>
      <c r="AB704" s="7" t="inlineStr">
        <is>
          <t>^LightFlameWeapon, ^MediumFlameWeapon, ^HeavyFlameWeapon</t>
        </is>
      </c>
    </row>
    <row r="705">
      <c r="A705" t="inlineStr">
        <is>
          <t>redalert2mod</t>
        </is>
      </c>
      <c r="B705" t="inlineStr">
        <is>
          <t>naxis_naxiflamer</t>
        </is>
      </c>
      <c r="C705" t="inlineStr">
        <is>
          <t>Naxi Flamer</t>
        </is>
      </c>
      <c r="D705" s="6" t="inlineStr">
        <is>
          <t>HeavyInfantry</t>
        </is>
      </c>
      <c r="E705" s="6" t="n">
        <v>24000</v>
      </c>
      <c r="F705" s="6" t="n">
        <v>48</v>
      </c>
      <c r="G705" t="inlineStr">
        <is>
          <t>Plate</t>
        </is>
      </c>
      <c r="H705" s="6" t="n">
        <v>1</v>
      </c>
      <c r="I705" s="6" t="n">
        <v>1</v>
      </c>
      <c r="J705" s="6" t="n">
        <v>1</v>
      </c>
      <c r="K705" s="6" t="n"/>
      <c r="P705">
        <f>MAX(P706,P707)</f>
        <v/>
      </c>
      <c r="S705">
        <f>S706+S707</f>
        <v/>
      </c>
      <c r="T705">
        <f>(E705/100000+F705/100+(P705/1000)*J705/5+S705/200)*200*I705*H705</f>
        <v/>
      </c>
      <c r="U705">
        <f>((E705*F705/25000)+((P705/1000)*J705*S705/2.5))*I705*H705</f>
        <v/>
      </c>
      <c r="V705">
        <f>(E705*F705*(P705/1000)*J705*S705*I705*H705)/12500000</f>
        <v/>
      </c>
      <c r="W705">
        <f>(T705+U705+V705)/3</f>
        <v/>
      </c>
      <c r="X705" s="6" t="n">
        <v>225</v>
      </c>
      <c r="Y705">
        <f>IFERROR(W705-X705,"")</f>
        <v/>
      </c>
      <c r="Z705">
        <f>IFERROR(ABS(Y705)/MAX(X705,1),"")</f>
        <v/>
      </c>
      <c r="AA705">
        <f>IFERROR((X705-(((E705/100000+F705/100+S705/200)*200*I705*H705)+((E705*F705/25000)*I705*H705))/3)/(((J705/5)*200*I705*H705)+((J705*S705/2.5)*I705*H705)+((E705*F705*J705*S705*I705*H705)/12500000))/3*1000,"")</f>
        <v/>
      </c>
    </row>
    <row r="706">
      <c r="B706" s="7" t="inlineStr">
        <is>
          <t xml:space="preserve">  ↳ NaxiFlamerTroop</t>
        </is>
      </c>
      <c r="C706" s="7" t="inlineStr">
        <is>
          <t>Armament@PRIMARY</t>
        </is>
      </c>
      <c r="L706" s="6" t="n">
        <v>4000</v>
      </c>
      <c r="M706" s="6" t="n">
        <v>60</v>
      </c>
      <c r="N706" s="6" t="n">
        <v>3</v>
      </c>
      <c r="O706" s="6" t="n">
        <v>3</v>
      </c>
      <c r="P706" s="6" t="n">
        <v>4830</v>
      </c>
      <c r="Q706" s="6" t="n">
        <v>0.75</v>
      </c>
      <c r="R706">
        <f>M706+IF(N706&gt;1,N(O706)*(N706-1),0)</f>
        <v/>
      </c>
      <c r="S706">
        <f>IFERROR(L706*MAX(N706,1)/R706*Q706*IF(ISBLANK(K705),1,K705),0)</f>
        <v/>
      </c>
      <c r="AB706" s="7" t="inlineStr">
        <is>
          <t>^LightFlameWeapon</t>
        </is>
      </c>
    </row>
    <row r="707">
      <c r="B707" s="7" t="inlineStr">
        <is>
          <t xml:space="preserve">  ↳ NaxiFlamerTroopE</t>
        </is>
      </c>
      <c r="C707" s="7" t="inlineStr">
        <is>
          <t>Armament@ELITE</t>
        </is>
      </c>
      <c r="L707" s="6" t="n">
        <v>4000</v>
      </c>
      <c r="M707" s="6" t="n">
        <v>60</v>
      </c>
      <c r="N707" s="6" t="n">
        <v>6</v>
      </c>
      <c r="O707" s="6" t="n">
        <v>3</v>
      </c>
      <c r="P707" s="6" t="n">
        <v>5830</v>
      </c>
      <c r="Q707" s="6" t="n">
        <v>0.75</v>
      </c>
      <c r="R707">
        <f>M707+IF(N707&gt;1,N(O707)*(N707-1),0)</f>
        <v/>
      </c>
      <c r="S707">
        <f>IFERROR(L707*MAX(N707,1)/R707*Q707*IF(ISBLANK(K705),1,K705),0)</f>
        <v/>
      </c>
      <c r="AB707" s="7" t="inlineStr">
        <is>
          <t>^LightFlameWeapon</t>
        </is>
      </c>
    </row>
    <row r="708">
      <c r="B708" s="7" t="inlineStr">
        <is>
          <t xml:space="preserve">  ↳ NaxiFlamerTroop</t>
        </is>
      </c>
      <c r="C708" s="7" t="inlineStr">
        <is>
          <t>Armament@GARRISONED</t>
        </is>
      </c>
      <c r="L708" s="6" t="n">
        <v>4000</v>
      </c>
      <c r="M708" s="6" t="n">
        <v>60</v>
      </c>
      <c r="N708" s="6" t="n">
        <v>3</v>
      </c>
      <c r="O708" s="6" t="n">
        <v>3</v>
      </c>
      <c r="P708" s="6" t="n">
        <v>4830</v>
      </c>
      <c r="Q708" s="6" t="n">
        <v>0.75</v>
      </c>
      <c r="R708">
        <f>M708+IF(N708&gt;1,N(O708)*(N708-1),0)</f>
        <v/>
      </c>
      <c r="S708">
        <f>IFERROR(L708*MAX(N708,1)/R708*Q708*IF(ISBLANK(K705),1,K705),0)</f>
        <v/>
      </c>
      <c r="AB708" s="7" t="inlineStr">
        <is>
          <t>^LightFlameWeapon</t>
        </is>
      </c>
    </row>
    <row r="709">
      <c r="B709" s="7" t="inlineStr">
        <is>
          <t xml:space="preserve">  ↳ NaxiFlamerTroopE</t>
        </is>
      </c>
      <c r="C709" s="7" t="inlineStr">
        <is>
          <t>Armament@GARRISONEDELITE</t>
        </is>
      </c>
      <c r="L709" s="6" t="n">
        <v>4000</v>
      </c>
      <c r="M709" s="6" t="n">
        <v>60</v>
      </c>
      <c r="N709" s="6" t="n">
        <v>6</v>
      </c>
      <c r="O709" s="6" t="n">
        <v>3</v>
      </c>
      <c r="P709" s="6" t="n">
        <v>5830</v>
      </c>
      <c r="Q709" s="6" t="n">
        <v>0.75</v>
      </c>
      <c r="R709">
        <f>M709+IF(N709&gt;1,N(O709)*(N709-1),0)</f>
        <v/>
      </c>
      <c r="S709">
        <f>IFERROR(L709*MAX(N709,1)/R709*Q709*IF(ISBLANK(K705),1,K705),0)</f>
        <v/>
      </c>
      <c r="AB709" s="7" t="inlineStr">
        <is>
          <t>^LightFlameWeapon</t>
        </is>
      </c>
    </row>
    <row r="710">
      <c r="A710" t="inlineStr">
        <is>
          <t>redalert2mod</t>
        </is>
      </c>
      <c r="B710" t="inlineStr">
        <is>
          <t>naxis_naximachinegunners</t>
        </is>
      </c>
      <c r="C710" t="inlineStr">
        <is>
          <t>Naxi Machinegunners</t>
        </is>
      </c>
      <c r="D710" s="6" t="inlineStr">
        <is>
          <t>HeavyInfantry</t>
        </is>
      </c>
      <c r="E710" s="6" t="n">
        <v>60000</v>
      </c>
      <c r="F710" s="6" t="n">
        <v>55</v>
      </c>
      <c r="G710" t="inlineStr">
        <is>
          <t>Plate</t>
        </is>
      </c>
      <c r="H710" s="6" t="n">
        <v>0.75</v>
      </c>
      <c r="I710" s="6" t="n">
        <v>0.8</v>
      </c>
      <c r="J710" s="6" t="n">
        <v>1.25</v>
      </c>
      <c r="K710" s="6" t="n"/>
      <c r="P710">
        <f>MAX(P711,P712,P713)</f>
        <v/>
      </c>
      <c r="S710">
        <f>S711+S712+S713</f>
        <v/>
      </c>
      <c r="T710">
        <f>(E710/100000+F710/100+(P710/1000)*J710/5+S710/200)*200*I710*H710</f>
        <v/>
      </c>
      <c r="U710">
        <f>((E710*F710/25000)+((P710/1000)*J710*S710/2.5))*I710*H710</f>
        <v/>
      </c>
      <c r="V710">
        <f>(E710*F710*(P710/1000)*J710*S710*I710*H710)/12500000</f>
        <v/>
      </c>
      <c r="W710">
        <f>(T710+U710+V710)/3</f>
        <v/>
      </c>
      <c r="X710" s="6" t="n">
        <v>600</v>
      </c>
      <c r="Y710">
        <f>IFERROR(W710-X710,"")</f>
        <v/>
      </c>
      <c r="Z710">
        <f>IFERROR(ABS(Y710)/MAX(X710,1),"")</f>
        <v/>
      </c>
      <c r="AA710">
        <f>IFERROR((X710-(((E710/100000+F710/100+S710/200)*200*I710*H710)+((E710*F710/25000)*I710*H710))/3)/(((J710/5)*200*I710*H710)+((J710*S710/2.5)*I710*H710)+((E710*F710*J710*S710*I710*H710)/12500000))/3*1000,"")</f>
        <v/>
      </c>
    </row>
    <row r="711">
      <c r="B711" s="7" t="inlineStr">
        <is>
          <t xml:space="preserve">  ↳ NaxiWW2MachinegunnerTargeting</t>
        </is>
      </c>
      <c r="C711" s="7" t="inlineStr">
        <is>
          <t>Armament@Dummy</t>
        </is>
      </c>
      <c r="L711" s="6" t="n"/>
      <c r="M711" s="6" t="n">
        <v>50</v>
      </c>
      <c r="N711" s="6" t="n">
        <v>1</v>
      </c>
      <c r="O711" s="6" t="n"/>
      <c r="P711" s="6" t="n">
        <v>8970</v>
      </c>
      <c r="Q711" s="6" t="n">
        <v>1</v>
      </c>
      <c r="R711">
        <f>M711+IF(N711&gt;1,N(O711)*(N711-1),0)</f>
        <v/>
      </c>
      <c r="S711">
        <f>IFERROR(L711*MAX(N711,1)/R711*Q711*IF(ISBLANK(K710),1,K710),0)</f>
        <v/>
      </c>
      <c r="AB711" s="7" t="inlineStr">
        <is>
          <t>^deploytargeting</t>
        </is>
      </c>
    </row>
    <row r="712">
      <c r="B712" s="7" t="inlineStr">
        <is>
          <t xml:space="preserve">  ↳ NaxiWW2Machinegunner</t>
        </is>
      </c>
      <c r="C712" s="7" t="inlineStr">
        <is>
          <t>Armament@Deployed</t>
        </is>
      </c>
      <c r="L712" s="6" t="n">
        <v>4000</v>
      </c>
      <c r="M712" s="6" t="n">
        <v>90</v>
      </c>
      <c r="N712" s="6" t="n">
        <v>10</v>
      </c>
      <c r="O712" s="6" t="n">
        <v>5</v>
      </c>
      <c r="P712" s="6" t="n">
        <v>8970</v>
      </c>
      <c r="Q712" s="6" t="n">
        <v>0.875</v>
      </c>
      <c r="R712">
        <f>M712+IF(N712&gt;1,N(O712)*(N712-1),0)</f>
        <v/>
      </c>
      <c r="S712">
        <f>IFERROR(L712*MAX(N712,1)/R712*Q712*IF(ISBLANK(K710),1,K710),0)</f>
        <v/>
      </c>
      <c r="AB712" s="7" t="inlineStr">
        <is>
          <t>^RA2SmallArms, ^RA2Chaingun</t>
        </is>
      </c>
    </row>
    <row r="713">
      <c r="B713" s="7" t="inlineStr">
        <is>
          <t xml:space="preserve">  ↳ NaxiWW2MachinegunnerE</t>
        </is>
      </c>
      <c r="C713" s="7" t="inlineStr">
        <is>
          <t>Armament@DEPLOYEDELITE</t>
        </is>
      </c>
      <c r="L713" s="6" t="n">
        <v>4000</v>
      </c>
      <c r="M713" s="6" t="n">
        <v>90</v>
      </c>
      <c r="N713" s="6" t="n">
        <v>20</v>
      </c>
      <c r="O713" s="6" t="n">
        <v>3</v>
      </c>
      <c r="P713" s="6" t="n">
        <v>9970</v>
      </c>
      <c r="Q713" s="6" t="n">
        <v>0.875</v>
      </c>
      <c r="R713">
        <f>M713+IF(N713&gt;1,N(O713)*(N713-1),0)</f>
        <v/>
      </c>
      <c r="S713">
        <f>IFERROR(L713*MAX(N713,1)/R713*Q713*IF(ISBLANK(K710),1,K710),0)</f>
        <v/>
      </c>
      <c r="AB713" s="7" t="inlineStr">
        <is>
          <t>^RA2SmallArms, ^RA2Chaingun</t>
        </is>
      </c>
    </row>
    <row r="714">
      <c r="B714" s="7" t="inlineStr">
        <is>
          <t xml:space="preserve">  ↳ NaxiWW2Machinegunner</t>
        </is>
      </c>
      <c r="C714" s="7" t="inlineStr">
        <is>
          <t>Armament@GARRISONED</t>
        </is>
      </c>
      <c r="L714" s="6" t="n">
        <v>4000</v>
      </c>
      <c r="M714" s="6" t="n">
        <v>90</v>
      </c>
      <c r="N714" s="6" t="n">
        <v>10</v>
      </c>
      <c r="O714" s="6" t="n">
        <v>5</v>
      </c>
      <c r="P714" s="6" t="n">
        <v>8970</v>
      </c>
      <c r="Q714" s="6" t="n">
        <v>0.875</v>
      </c>
      <c r="R714">
        <f>M714+IF(N714&gt;1,N(O714)*(N714-1),0)</f>
        <v/>
      </c>
      <c r="S714">
        <f>IFERROR(L714*MAX(N714,1)/R714*Q714*IF(ISBLANK(K710),1,K710),0)</f>
        <v/>
      </c>
      <c r="AB714" s="7" t="inlineStr">
        <is>
          <t>^RA2SmallArms, ^RA2Chaingun</t>
        </is>
      </c>
    </row>
    <row r="715">
      <c r="B715" s="7" t="inlineStr">
        <is>
          <t xml:space="preserve">  ↳ NaxiWW2MachinegunnerE</t>
        </is>
      </c>
      <c r="C715" s="7" t="inlineStr">
        <is>
          <t>Armament@GARRISONEDELITE</t>
        </is>
      </c>
      <c r="L715" s="6" t="n">
        <v>4000</v>
      </c>
      <c r="M715" s="6" t="n">
        <v>90</v>
      </c>
      <c r="N715" s="6" t="n">
        <v>20</v>
      </c>
      <c r="O715" s="6" t="n">
        <v>3</v>
      </c>
      <c r="P715" s="6" t="n">
        <v>9970</v>
      </c>
      <c r="Q715" s="6" t="n">
        <v>0.875</v>
      </c>
      <c r="R715">
        <f>M715+IF(N715&gt;1,N(O715)*(N715-1),0)</f>
        <v/>
      </c>
      <c r="S715">
        <f>IFERROR(L715*MAX(N715,1)/R715*Q715*IF(ISBLANK(K710),1,K710),0)</f>
        <v/>
      </c>
      <c r="AB715" s="7" t="inlineStr">
        <is>
          <t>^RA2SmallArms, ^RA2Chaingun</t>
        </is>
      </c>
    </row>
    <row r="716">
      <c r="A716" t="inlineStr">
        <is>
          <t>redalert2mod</t>
        </is>
      </c>
      <c r="B716" t="inlineStr">
        <is>
          <t>naxis_panzerfausttrooper</t>
        </is>
      </c>
      <c r="C716" t="inlineStr">
        <is>
          <t>Panzerfaust Trooper</t>
        </is>
      </c>
      <c r="D716" s="6" t="inlineStr">
        <is>
          <t>HeavyInfantry</t>
        </is>
      </c>
      <c r="E716" s="6" t="n">
        <v>36000</v>
      </c>
      <c r="F716" s="6" t="n">
        <v>46</v>
      </c>
      <c r="G716" t="inlineStr">
        <is>
          <t>Plate</t>
        </is>
      </c>
      <c r="H716" s="6" t="n">
        <v>1</v>
      </c>
      <c r="I716" s="6" t="n">
        <v>0.8</v>
      </c>
      <c r="J716" s="6" t="n">
        <v>1</v>
      </c>
      <c r="K716" s="6" t="n"/>
      <c r="P716">
        <f>MAX(P717,P718)</f>
        <v/>
      </c>
      <c r="S716">
        <f>S717+S718</f>
        <v/>
      </c>
      <c r="T716">
        <f>(E716/100000+F716/100+(P716/1000)*J716/5+S716/200)*200*I716*H716</f>
        <v/>
      </c>
      <c r="U716">
        <f>((E716*F716/25000)+((P716/1000)*J716*S716/2.5))*I716*H716</f>
        <v/>
      </c>
      <c r="V716">
        <f>(E716*F716*(P716/1000)*J716*S716*I716*H716)/12500000</f>
        <v/>
      </c>
      <c r="W716">
        <f>(T716+U716+V716)/3</f>
        <v/>
      </c>
      <c r="X716" s="6" t="n">
        <v>400</v>
      </c>
      <c r="Y716">
        <f>IFERROR(W716-X716,"")</f>
        <v/>
      </c>
      <c r="Z716">
        <f>IFERROR(ABS(Y716)/MAX(X716,1),"")</f>
        <v/>
      </c>
      <c r="AA716">
        <f>IFERROR((X716-(((E716/100000+F716/100+S716/200)*200*I716*H716)+((E716*F716/25000)*I716*H716))/3)/(((J716/5)*200*I716*H716)+((J716*S716/2.5)*I716*H716)+((E716*F716*J716*S716*I716*H716)/12500000))/3*1000,"")</f>
        <v/>
      </c>
    </row>
    <row r="717">
      <c r="B717" s="7" t="inlineStr">
        <is>
          <t xml:space="preserve">  ↳ NaxiShrekCons</t>
        </is>
      </c>
      <c r="C717" s="7" t="inlineStr">
        <is>
          <t>Armament@PRIMARY</t>
        </is>
      </c>
      <c r="L717" s="6" t="n">
        <v>6000</v>
      </c>
      <c r="M717" s="6" t="n">
        <v>135</v>
      </c>
      <c r="N717" s="6" t="n">
        <v>1</v>
      </c>
      <c r="O717" s="6" t="n"/>
      <c r="P717" s="6" t="n">
        <v>5512</v>
      </c>
      <c r="Q717" s="6" t="n">
        <v>1.1</v>
      </c>
      <c r="R717">
        <f>M717+IF(N717&gt;1,N(O717)*(N717-1),0)</f>
        <v/>
      </c>
      <c r="S717">
        <f>IFERROR(L717*MAX(N717,1)/R717*Q717*IF(ISBLANK(K716),1,K716),0)</f>
        <v/>
      </c>
      <c r="AB717" s="7" t="inlineStr">
        <is>
          <t>^HeavyBomb, ^HeavyFlameWeapon, ^Grenade, ^TankDestroyerCannon, ^MediumChemicalWeapon, ^RA2MediumMissile</t>
        </is>
      </c>
    </row>
    <row r="718">
      <c r="B718" s="7" t="inlineStr">
        <is>
          <t xml:space="preserve">  ↳ NaxiShrekConsE</t>
        </is>
      </c>
      <c r="C718" s="7" t="inlineStr">
        <is>
          <t>Armament@ELITE</t>
        </is>
      </c>
      <c r="L718" s="6" t="n">
        <v>6000</v>
      </c>
      <c r="M718" s="6" t="n">
        <v>135</v>
      </c>
      <c r="N718" s="6" t="n">
        <v>2</v>
      </c>
      <c r="O718" s="6" t="n">
        <v>3</v>
      </c>
      <c r="P718" s="6" t="n">
        <v>6512</v>
      </c>
      <c r="Q718" s="6" t="n">
        <v>1.1</v>
      </c>
      <c r="R718">
        <f>M718+IF(N718&gt;1,N(O718)*(N718-1),0)</f>
        <v/>
      </c>
      <c r="S718">
        <f>IFERROR(L718*MAX(N718,1)/R718*Q718*IF(ISBLANK(K716),1,K716),0)</f>
        <v/>
      </c>
      <c r="AB718" s="7" t="inlineStr">
        <is>
          <t>^HeavyBomb, ^HeavyFlameWeapon, ^Grenade, ^TankDestroyerCannon, ^MediumChemicalWeapon, ^RA2MediumMissile</t>
        </is>
      </c>
    </row>
    <row r="719">
      <c r="B719" s="7" t="inlineStr">
        <is>
          <t xml:space="preserve">  ↳ NaxiShrekCons</t>
        </is>
      </c>
      <c r="C719" s="7" t="inlineStr">
        <is>
          <t>Armament@GARRISONED</t>
        </is>
      </c>
      <c r="L719" s="6" t="n">
        <v>6000</v>
      </c>
      <c r="M719" s="6" t="n">
        <v>135</v>
      </c>
      <c r="N719" s="6" t="n">
        <v>1</v>
      </c>
      <c r="O719" s="6" t="n"/>
      <c r="P719" s="6" t="n">
        <v>5512</v>
      </c>
      <c r="Q719" s="6" t="n">
        <v>1.1</v>
      </c>
      <c r="R719">
        <f>M719+IF(N719&gt;1,N(O719)*(N719-1),0)</f>
        <v/>
      </c>
      <c r="S719">
        <f>IFERROR(L719*MAX(N719,1)/R719*Q719*IF(ISBLANK(K716),1,K716),0)</f>
        <v/>
      </c>
      <c r="AB719" s="7" t="inlineStr">
        <is>
          <t>^HeavyBomb, ^HeavyFlameWeapon, ^Grenade, ^TankDestroyerCannon, ^MediumChemicalWeapon, ^RA2MediumMissile</t>
        </is>
      </c>
    </row>
    <row r="720">
      <c r="B720" s="7" t="inlineStr">
        <is>
          <t xml:space="preserve">  ↳ NaxiShrekConsE</t>
        </is>
      </c>
      <c r="C720" s="7" t="inlineStr">
        <is>
          <t>Armament@GARRISONEDELITE</t>
        </is>
      </c>
      <c r="L720" s="6" t="n">
        <v>6000</v>
      </c>
      <c r="M720" s="6" t="n">
        <v>135</v>
      </c>
      <c r="N720" s="6" t="n">
        <v>2</v>
      </c>
      <c r="O720" s="6" t="n">
        <v>3</v>
      </c>
      <c r="P720" s="6" t="n">
        <v>6512</v>
      </c>
      <c r="Q720" s="6" t="n">
        <v>1.1</v>
      </c>
      <c r="R720">
        <f>M720+IF(N720&gt;1,N(O720)*(N720-1),0)</f>
        <v/>
      </c>
      <c r="S720">
        <f>IFERROR(L720*MAX(N720,1)/R720*Q720*IF(ISBLANK(K716),1,K716),0)</f>
        <v/>
      </c>
      <c r="AB720" s="7" t="inlineStr">
        <is>
          <t>^HeavyBomb, ^HeavyFlameWeapon, ^Grenade, ^TankDestroyerCannon, ^MediumChemicalWeapon, ^RA2MediumMissile</t>
        </is>
      </c>
    </row>
    <row r="721">
      <c r="A721" t="inlineStr">
        <is>
          <t>redalert2mod</t>
        </is>
      </c>
      <c r="B721" t="inlineStr">
        <is>
          <t>naxis_panzerschreck</t>
        </is>
      </c>
      <c r="C721" t="inlineStr">
        <is>
          <t>Panzerschreck</t>
        </is>
      </c>
      <c r="D721" s="6" t="inlineStr">
        <is>
          <t>HeavyInfantry</t>
        </is>
      </c>
      <c r="E721" s="6" t="n">
        <v>96000</v>
      </c>
      <c r="F721" s="6" t="n">
        <v>42</v>
      </c>
      <c r="G721" t="inlineStr">
        <is>
          <t>Plate</t>
        </is>
      </c>
      <c r="H721" s="6" t="n">
        <v>0.75</v>
      </c>
      <c r="I721" s="6" t="n">
        <v>0.8</v>
      </c>
      <c r="J721" s="6" t="n">
        <v>1</v>
      </c>
      <c r="K721" s="6" t="n"/>
      <c r="P721">
        <f>MAX(P722,P723)</f>
        <v/>
      </c>
      <c r="S721">
        <f>S722+S723</f>
        <v/>
      </c>
      <c r="T721">
        <f>(E721/100000+F721/100+(P721/1000)*J721/5+S721/200)*200*I721*H721</f>
        <v/>
      </c>
      <c r="U721">
        <f>((E721*F721/25000)+((P721/1000)*J721*S721/2.5))*I721*H721</f>
        <v/>
      </c>
      <c r="V721">
        <f>(E721*F721*(P721/1000)*J721*S721*I721*H721)/12500000</f>
        <v/>
      </c>
      <c r="W721">
        <f>(T721+U721+V721)/3</f>
        <v/>
      </c>
      <c r="X721" s="6" t="n">
        <v>600</v>
      </c>
      <c r="Y721">
        <f>IFERROR(W721-X721,"")</f>
        <v/>
      </c>
      <c r="Z721">
        <f>IFERROR(ABS(Y721)/MAX(X721,1),"")</f>
        <v/>
      </c>
      <c r="AA721">
        <f>IFERROR((X721-(((E721/100000+F721/100+S721/200)*200*I721*H721)+((E721*F721/25000)*I721*H721))/3)/(((J721/5)*200*I721*H721)+((J721*S721/2.5)*I721*H721)+((E721*F721*J721*S721*I721*H721)/12500000))/3*1000,"")</f>
        <v/>
      </c>
    </row>
    <row r="722">
      <c r="B722" s="7" t="inlineStr">
        <is>
          <t xml:space="preserve">  ↳ NaxiShrek</t>
        </is>
      </c>
      <c r="C722" s="7" t="inlineStr">
        <is>
          <t>Armament@PRIMARY</t>
        </is>
      </c>
      <c r="L722" s="6" t="n">
        <v>8000</v>
      </c>
      <c r="M722" s="6" t="n">
        <v>124</v>
      </c>
      <c r="N722" s="6" t="n">
        <v>1</v>
      </c>
      <c r="O722" s="6" t="n"/>
      <c r="P722" s="6" t="n">
        <v>6805</v>
      </c>
      <c r="Q722" s="6" t="n">
        <v>1.1</v>
      </c>
      <c r="R722">
        <f>M722+IF(N722&gt;1,N(O722)*(N722-1),0)</f>
        <v/>
      </c>
      <c r="S722">
        <f>IFERROR(L722*MAX(N722,1)/R722*Q722*IF(ISBLANK(K721),1,K721),0)</f>
        <v/>
      </c>
      <c r="AB722" s="7" t="inlineStr">
        <is>
          <t>^HeavyBomb, ^HeavyFlameWeapon, ^Grenade, ^TankDestroyerCannon, ^MediumChemicalWeapon, ^RA2MediumMissile</t>
        </is>
      </c>
    </row>
    <row r="723">
      <c r="B723" s="7" t="inlineStr">
        <is>
          <t xml:space="preserve">  ↳ NaxiShrekE</t>
        </is>
      </c>
      <c r="C723" s="7" t="inlineStr">
        <is>
          <t>Armament@ELITE</t>
        </is>
      </c>
      <c r="L723" s="6" t="n">
        <v>8000</v>
      </c>
      <c r="M723" s="6" t="n">
        <v>124</v>
      </c>
      <c r="N723" s="6" t="n">
        <v>2</v>
      </c>
      <c r="O723" s="6" t="n">
        <v>3</v>
      </c>
      <c r="P723" s="6" t="n">
        <v>7805</v>
      </c>
      <c r="Q723" s="6" t="n">
        <v>1.1</v>
      </c>
      <c r="R723">
        <f>M723+IF(N723&gt;1,N(O723)*(N723-1),0)</f>
        <v/>
      </c>
      <c r="S723">
        <f>IFERROR(L723*MAX(N723,1)/R723*Q723*IF(ISBLANK(K721),1,K721),0)</f>
        <v/>
      </c>
      <c r="AB723" s="7" t="inlineStr">
        <is>
          <t>^HeavyBomb, ^HeavyFlameWeapon, ^Grenade, ^TankDestroyerCannon, ^MediumChemicalWeapon, ^RA2MediumMissile</t>
        </is>
      </c>
    </row>
    <row r="724">
      <c r="B724" s="7" t="inlineStr">
        <is>
          <t xml:space="preserve">  ↳ NaxiShrek</t>
        </is>
      </c>
      <c r="C724" s="7" t="inlineStr">
        <is>
          <t>Armament@GARRISONED</t>
        </is>
      </c>
      <c r="L724" s="6" t="n">
        <v>8000</v>
      </c>
      <c r="M724" s="6" t="n">
        <v>124</v>
      </c>
      <c r="N724" s="6" t="n">
        <v>1</v>
      </c>
      <c r="O724" s="6" t="n"/>
      <c r="P724" s="6" t="n">
        <v>6805</v>
      </c>
      <c r="Q724" s="6" t="n">
        <v>1.1</v>
      </c>
      <c r="R724">
        <f>M724+IF(N724&gt;1,N(O724)*(N724-1),0)</f>
        <v/>
      </c>
      <c r="S724">
        <f>IFERROR(L724*MAX(N724,1)/R724*Q724*IF(ISBLANK(K721),1,K721),0)</f>
        <v/>
      </c>
      <c r="AB724" s="7" t="inlineStr">
        <is>
          <t>^HeavyBomb, ^HeavyFlameWeapon, ^Grenade, ^TankDestroyerCannon, ^MediumChemicalWeapon, ^RA2MediumMissile</t>
        </is>
      </c>
    </row>
    <row r="725">
      <c r="B725" s="7" t="inlineStr">
        <is>
          <t xml:space="preserve">  ↳ NaxiShrekE</t>
        </is>
      </c>
      <c r="C725" s="7" t="inlineStr">
        <is>
          <t>Armament@GARRISONED_E</t>
        </is>
      </c>
      <c r="L725" s="6" t="n">
        <v>8000</v>
      </c>
      <c r="M725" s="6" t="n">
        <v>124</v>
      </c>
      <c r="N725" s="6" t="n">
        <v>2</v>
      </c>
      <c r="O725" s="6" t="n">
        <v>3</v>
      </c>
      <c r="P725" s="6" t="n">
        <v>7805</v>
      </c>
      <c r="Q725" s="6" t="n">
        <v>1.1</v>
      </c>
      <c r="R725">
        <f>M725+IF(N725&gt;1,N(O725)*(N725-1),0)</f>
        <v/>
      </c>
      <c r="S725">
        <f>IFERROR(L725*MAX(N725,1)/R725*Q725*IF(ISBLANK(K721),1,K721),0)</f>
        <v/>
      </c>
      <c r="AB725" s="7" t="inlineStr">
        <is>
          <t>^HeavyBomb, ^HeavyFlameWeapon, ^Grenade, ^TankDestroyerCannon, ^MediumChemicalWeapon, ^RA2MediumMissile</t>
        </is>
      </c>
    </row>
    <row r="726">
      <c r="A726" t="inlineStr">
        <is>
          <t>redalert2mod</t>
        </is>
      </c>
      <c r="B726" t="inlineStr">
        <is>
          <t>schwarzermond_noidmgarmor</t>
        </is>
      </c>
      <c r="C726" t="inlineStr">
        <is>
          <t>Noid MG Armor</t>
        </is>
      </c>
      <c r="D726" s="6" t="inlineStr">
        <is>
          <t>HeavyInfantry</t>
        </is>
      </c>
      <c r="E726" s="6" t="n">
        <v>50000</v>
      </c>
      <c r="F726" s="6" t="n">
        <v>40</v>
      </c>
      <c r="G726" t="inlineStr">
        <is>
          <t>Superheavy</t>
        </is>
      </c>
      <c r="H726" s="6" t="n">
        <v>1</v>
      </c>
      <c r="I726" s="6" t="n">
        <v>0.8</v>
      </c>
      <c r="J726" s="6" t="n">
        <v>1</v>
      </c>
      <c r="K726" s="6" t="n"/>
      <c r="P726">
        <f>MAX(P727,P728,P729,P730,P731,P732)</f>
        <v/>
      </c>
      <c r="S726">
        <f>S727+S728+S729+S730+S731+S732</f>
        <v/>
      </c>
      <c r="T726">
        <f>(E726/100000+F726/100+(P726/1000)*J726/5+S726/200)*200*I726*H726</f>
        <v/>
      </c>
      <c r="U726">
        <f>((E726*F726/25000)+((P726/1000)*J726*S726/2.5))*I726*H726</f>
        <v/>
      </c>
      <c r="V726">
        <f>(E726*F726*(P726/1000)*J726*S726*I726*H726)/12500000</f>
        <v/>
      </c>
      <c r="W726">
        <f>(T726+U726+V726)/3</f>
        <v/>
      </c>
      <c r="X726" s="6" t="n">
        <v>500</v>
      </c>
      <c r="Y726">
        <f>IFERROR(W726-X726,"")</f>
        <v/>
      </c>
      <c r="Z726">
        <f>IFERROR(ABS(Y726)/MAX(X726,1),"")</f>
        <v/>
      </c>
      <c r="AA726">
        <f>IFERROR((X726-(((E726/100000+F726/100+S726/200)*200*I726*H726)+((E726*F726/25000)*I726*H726))/3)/(((J726/5)*200*I726*H726)+((J726*S726/2.5)*I726*H726)+((E726*F726*J726*S726*I726*H726)/12500000))/3*1000,"")</f>
        <v/>
      </c>
    </row>
    <row r="727">
      <c r="B727" s="7" t="inlineStr">
        <is>
          <t xml:space="preserve">  ↳ NaxiMP40Laser</t>
        </is>
      </c>
      <c r="C727" s="7" t="inlineStr">
        <is>
          <t>Armament@PRIMARY</t>
        </is>
      </c>
      <c r="L727" s="6" t="n">
        <v>2000</v>
      </c>
      <c r="M727" s="6" t="n">
        <v>100</v>
      </c>
      <c r="N727" s="6" t="n">
        <v>5</v>
      </c>
      <c r="O727" s="6" t="n">
        <v>5</v>
      </c>
      <c r="P727" s="6" t="n">
        <v>4384</v>
      </c>
      <c r="Q727" s="6" t="n">
        <v>1</v>
      </c>
      <c r="R727">
        <f>M727+IF(N727&gt;1,N(O727)*(N727-1),0)</f>
        <v/>
      </c>
      <c r="S727">
        <f>IFERROR(L727*MAX(N727,1)/R727*Q727*IF(ISBLANK(K726),1,K726),0)</f>
        <v/>
      </c>
      <c r="AB727" s="7" t="inlineStr">
        <is>
          <t>^Grenade, ^HeavyCannon, ^RA2Chaingun, ^SmallArms, ^RA2LaserWeapon</t>
        </is>
      </c>
    </row>
    <row r="728">
      <c r="B728" s="7" t="inlineStr">
        <is>
          <t xml:space="preserve">  ↳ NaxiMP40LaserE</t>
        </is>
      </c>
      <c r="C728" s="7" t="inlineStr">
        <is>
          <t>Armament@ELITE</t>
        </is>
      </c>
      <c r="L728" s="6" t="n">
        <v>2000</v>
      </c>
      <c r="M728" s="6" t="n">
        <v>100</v>
      </c>
      <c r="N728" s="6" t="n">
        <v>10</v>
      </c>
      <c r="O728" s="6" t="n">
        <v>3</v>
      </c>
      <c r="P728" s="6" t="n">
        <v>5384</v>
      </c>
      <c r="Q728" s="6" t="n">
        <v>1</v>
      </c>
      <c r="R728">
        <f>M728+IF(N728&gt;1,N(O728)*(N728-1),0)</f>
        <v/>
      </c>
      <c r="S728">
        <f>IFERROR(L728*MAX(N728,1)/R728*Q728*IF(ISBLANK(K726),1,K726),0)</f>
        <v/>
      </c>
      <c r="AB728" s="7" t="inlineStr">
        <is>
          <t>^Grenade, ^HeavyCannon, ^RA2Chaingun, ^SmallArms, ^RA2LaserWeapon</t>
        </is>
      </c>
    </row>
    <row r="729">
      <c r="B729" s="7" t="inlineStr">
        <is>
          <t xml:space="preserve">  ↳ Lunar_YellowMP40Laser</t>
        </is>
      </c>
      <c r="C729" s="7" t="inlineStr">
        <is>
          <t>Armament@PRIMARY_UP</t>
        </is>
      </c>
      <c r="L729" s="6" t="n">
        <v>2000</v>
      </c>
      <c r="M729" s="6" t="n">
        <v>100</v>
      </c>
      <c r="N729" s="6" t="n">
        <v>6</v>
      </c>
      <c r="O729" s="6" t="n">
        <v>3</v>
      </c>
      <c r="P729" s="6" t="n">
        <v>4384</v>
      </c>
      <c r="Q729" s="6" t="n">
        <v>1</v>
      </c>
      <c r="R729">
        <f>M729+IF(N729&gt;1,N(O729)*(N729-1),0)</f>
        <v/>
      </c>
      <c r="S729">
        <f>IFERROR(L729*MAX(N729,1)/R729*Q729*IF(ISBLANK(K726),1,K726),0)</f>
        <v/>
      </c>
      <c r="AB729" s="7" t="inlineStr">
        <is>
          <t>^Grenade, ^HeavyCannon, ^RA2Chaingun, ^SmallArms, ^RA2LaserWeapon</t>
        </is>
      </c>
    </row>
    <row r="730">
      <c r="B730" s="7" t="inlineStr">
        <is>
          <t xml:space="preserve">  ↳ Lunar_YellowMP40LaserE</t>
        </is>
      </c>
      <c r="C730" s="7" t="inlineStr">
        <is>
          <t>Armament@ELITE_UP</t>
        </is>
      </c>
      <c r="L730" s="6" t="n">
        <v>2000</v>
      </c>
      <c r="M730" s="6" t="n">
        <v>100</v>
      </c>
      <c r="N730" s="6" t="n">
        <v>11</v>
      </c>
      <c r="O730" s="6" t="n">
        <v>3</v>
      </c>
      <c r="P730" s="6" t="n">
        <v>5384</v>
      </c>
      <c r="Q730" s="6" t="n">
        <v>1</v>
      </c>
      <c r="R730">
        <f>M730+IF(N730&gt;1,N(O730)*(N730-1),0)</f>
        <v/>
      </c>
      <c r="S730">
        <f>IFERROR(L730*MAX(N730,1)/R730*Q730*IF(ISBLANK(K726),1,K726),0)</f>
        <v/>
      </c>
      <c r="AB730" s="7" t="inlineStr">
        <is>
          <t>^Grenade, ^HeavyCannon, ^RA2Chaingun, ^SmallArms, ^RA2LaserWeapon</t>
        </is>
      </c>
    </row>
    <row r="731">
      <c r="B731" s="7" t="inlineStr">
        <is>
          <t xml:space="preserve">  ↳ Lunar_AmplifiedMP40Laser</t>
        </is>
      </c>
      <c r="C731" s="7" t="inlineStr">
        <is>
          <t>Armament@PRIMARY_AMP</t>
        </is>
      </c>
      <c r="L731" s="6" t="n">
        <v>2000</v>
      </c>
      <c r="M731" s="6" t="n">
        <v>100</v>
      </c>
      <c r="N731" s="6" t="n">
        <v>7</v>
      </c>
      <c r="O731" s="6" t="n">
        <v>3</v>
      </c>
      <c r="P731" s="6" t="n">
        <v>4384</v>
      </c>
      <c r="Q731" s="6" t="n">
        <v>1</v>
      </c>
      <c r="R731">
        <f>M731+IF(N731&gt;1,N(O731)*(N731-1),0)</f>
        <v/>
      </c>
      <c r="S731">
        <f>IFERROR(L731*MAX(N731,1)/R731*Q731*IF(ISBLANK(K726),1,K726),0)</f>
        <v/>
      </c>
      <c r="AB731" s="7" t="inlineStr">
        <is>
          <t>^Grenade, ^HeavyCannon, ^RA2Chaingun, ^SmallArms, ^RA2LaserWeapon</t>
        </is>
      </c>
    </row>
    <row r="732">
      <c r="B732" s="7" t="inlineStr">
        <is>
          <t xml:space="preserve">  ↳ Lunar_AmplifiedMP40LaserE</t>
        </is>
      </c>
      <c r="C732" s="7" t="inlineStr">
        <is>
          <t>Armament@ELITE_AMP</t>
        </is>
      </c>
      <c r="L732" s="6" t="n">
        <v>2000</v>
      </c>
      <c r="M732" s="6" t="n">
        <v>100</v>
      </c>
      <c r="N732" s="6" t="n">
        <v>12</v>
      </c>
      <c r="O732" s="6" t="n">
        <v>3</v>
      </c>
      <c r="P732" s="6" t="n">
        <v>5384</v>
      </c>
      <c r="Q732" s="6" t="n">
        <v>1</v>
      </c>
      <c r="R732">
        <f>M732+IF(N732&gt;1,N(O732)*(N732-1),0)</f>
        <v/>
      </c>
      <c r="S732">
        <f>IFERROR(L732*MAX(N732,1)/R732*Q732*IF(ISBLANK(K726),1,K726),0)</f>
        <v/>
      </c>
      <c r="AB732" s="7" t="inlineStr">
        <is>
          <t>^Grenade, ^HeavyCannon, ^RA2Chaingun, ^SmallArms, ^RA2LaserWeapon</t>
        </is>
      </c>
    </row>
    <row r="733">
      <c r="A733" t="inlineStr">
        <is>
          <t>redalert2mod</t>
        </is>
      </c>
      <c r="B733" t="inlineStr">
        <is>
          <t>schwarzermond_ubermensch</t>
        </is>
      </c>
      <c r="C733" t="inlineStr">
        <is>
          <t>Übermensch</t>
        </is>
      </c>
      <c r="D733" s="6" t="inlineStr">
        <is>
          <t>HeavyInfantry</t>
        </is>
      </c>
      <c r="E733" s="6" t="n">
        <v>64000</v>
      </c>
      <c r="F733" s="6" t="n">
        <v>64</v>
      </c>
      <c r="G733" t="inlineStr">
        <is>
          <t>Plate</t>
        </is>
      </c>
      <c r="H733" s="6" t="n">
        <v>0.75</v>
      </c>
      <c r="I733" s="6" t="n">
        <v>0.8</v>
      </c>
      <c r="J733" s="6" t="n">
        <v>1</v>
      </c>
      <c r="K733" s="6" t="n"/>
      <c r="P733">
        <f>MAX(P734,P735,P738,P739,P742,P743)</f>
        <v/>
      </c>
      <c r="S733">
        <f>S734+S735+S738+S739+S742+S743</f>
        <v/>
      </c>
      <c r="T733">
        <f>(E733/100000+F733/100+(P733/1000)*J733/5+S733/200)*200*I733*H733</f>
        <v/>
      </c>
      <c r="U733">
        <f>((E733*F733/25000)+((P733/1000)*J733*S733/2.5))*I733*H733</f>
        <v/>
      </c>
      <c r="V733">
        <f>(E733*F733*(P733/1000)*J733*S733*I733*H733)/12500000</f>
        <v/>
      </c>
      <c r="W733">
        <f>(T733+U733+V733)/3</f>
        <v/>
      </c>
      <c r="X733" s="6" t="n">
        <v>700</v>
      </c>
      <c r="Y733">
        <f>IFERROR(W733-X733,"")</f>
        <v/>
      </c>
      <c r="Z733">
        <f>IFERROR(ABS(Y733)/MAX(X733,1),"")</f>
        <v/>
      </c>
      <c r="AA733">
        <f>IFERROR((X733-(((E733/100000+F733/100+S733/200)*200*I733*H733)+((E733*F733/25000)*I733*H733))/3)/(((J733/5)*200*I733*H733)+((J733*S733/2.5)*I733*H733)+((E733*F733*J733*S733*I733*H733)/12500000))/3*1000,"")</f>
        <v/>
      </c>
    </row>
    <row r="734">
      <c r="B734" s="7" t="inlineStr">
        <is>
          <t xml:space="preserve">  ↳ UbermenschLaser</t>
        </is>
      </c>
      <c r="C734" s="7" t="inlineStr">
        <is>
          <t>Armament@PRIMARY</t>
        </is>
      </c>
      <c r="L734" s="6" t="n">
        <v>4000</v>
      </c>
      <c r="M734" s="6" t="n">
        <v>30</v>
      </c>
      <c r="N734" s="6" t="n">
        <v>2</v>
      </c>
      <c r="O734" s="6" t="n">
        <v>3</v>
      </c>
      <c r="P734" s="6" t="n">
        <v>5801</v>
      </c>
      <c r="Q734" s="6" t="n">
        <v>1</v>
      </c>
      <c r="R734">
        <f>M734+IF(N734&gt;1,N(O734)*(N734-1),0)</f>
        <v/>
      </c>
      <c r="S734">
        <f>IFERROR(L734*MAX(N734,1)/R734*Q734*IF(ISBLANK(K733),1,K733),0)</f>
        <v/>
      </c>
      <c r="AB734" s="7" t="inlineStr">
        <is>
          <t>^TeslaWeapon, ^RA2MediumCannon, ^LunarNaxisUpgradedCannons</t>
        </is>
      </c>
    </row>
    <row r="735">
      <c r="B735" s="7" t="inlineStr">
        <is>
          <t xml:space="preserve">  ↳ UbermenschLaserE</t>
        </is>
      </c>
      <c r="C735" s="7" t="inlineStr">
        <is>
          <t>Armament@ELITE</t>
        </is>
      </c>
      <c r="L735" s="6" t="n">
        <v>4000</v>
      </c>
      <c r="M735" s="6" t="n">
        <v>30</v>
      </c>
      <c r="N735" s="6" t="n">
        <v>4</v>
      </c>
      <c r="O735" s="6" t="n">
        <v>3</v>
      </c>
      <c r="P735" s="6" t="n">
        <v>6801</v>
      </c>
      <c r="Q735" s="6" t="n">
        <v>1</v>
      </c>
      <c r="R735">
        <f>M735+IF(N735&gt;1,N(O735)*(N735-1),0)</f>
        <v/>
      </c>
      <c r="S735">
        <f>IFERROR(L735*MAX(N735,1)/R735*Q735*IF(ISBLANK(K733),1,K733),0)</f>
        <v/>
      </c>
      <c r="AB735" s="7" t="inlineStr">
        <is>
          <t>^TeslaWeapon, ^RA2MediumCannon, ^LunarNaxisUpgradedCannons</t>
        </is>
      </c>
    </row>
    <row r="736">
      <c r="B736" s="7" t="inlineStr">
        <is>
          <t xml:space="preserve">  ↳ UbermenschLaser</t>
        </is>
      </c>
      <c r="C736" s="7" t="inlineStr">
        <is>
          <t>Armament@GARRISONED</t>
        </is>
      </c>
      <c r="L736" s="6" t="n">
        <v>4000</v>
      </c>
      <c r="M736" s="6" t="n">
        <v>30</v>
      </c>
      <c r="N736" s="6" t="n">
        <v>2</v>
      </c>
      <c r="O736" s="6" t="n">
        <v>3</v>
      </c>
      <c r="P736" s="6" t="n">
        <v>5801</v>
      </c>
      <c r="Q736" s="6" t="n">
        <v>1</v>
      </c>
      <c r="R736">
        <f>M736+IF(N736&gt;1,N(O736)*(N736-1),0)</f>
        <v/>
      </c>
      <c r="S736">
        <f>IFERROR(L736*MAX(N736,1)/R736*Q736*IF(ISBLANK(K733),1,K733),0)</f>
        <v/>
      </c>
      <c r="AB736" s="7" t="inlineStr">
        <is>
          <t>^TeslaWeapon, ^RA2MediumCannon, ^LunarNaxisUpgradedCannons</t>
        </is>
      </c>
    </row>
    <row r="737">
      <c r="B737" s="7" t="inlineStr">
        <is>
          <t xml:space="preserve">  ↳ UbermenschLaserE</t>
        </is>
      </c>
      <c r="C737" s="7" t="inlineStr">
        <is>
          <t>Armament@GARRISONEDELITE</t>
        </is>
      </c>
      <c r="L737" s="6" t="n">
        <v>4000</v>
      </c>
      <c r="M737" s="6" t="n">
        <v>30</v>
      </c>
      <c r="N737" s="6" t="n">
        <v>4</v>
      </c>
      <c r="O737" s="6" t="n">
        <v>3</v>
      </c>
      <c r="P737" s="6" t="n">
        <v>6801</v>
      </c>
      <c r="Q737" s="6" t="n">
        <v>1</v>
      </c>
      <c r="R737">
        <f>M737+IF(N737&gt;1,N(O737)*(N737-1),0)</f>
        <v/>
      </c>
      <c r="S737">
        <f>IFERROR(L737*MAX(N737,1)/R737*Q737*IF(ISBLANK(K733),1,K733),0)</f>
        <v/>
      </c>
      <c r="AB737" s="7" t="inlineStr">
        <is>
          <t>^TeslaWeapon, ^RA2MediumCannon, ^LunarNaxisUpgradedCannons</t>
        </is>
      </c>
    </row>
    <row r="738">
      <c r="B738" s="7" t="inlineStr">
        <is>
          <t xml:space="preserve">  ↳ Lunar_YellowUbermenschLaser</t>
        </is>
      </c>
      <c r="C738" s="7" t="inlineStr">
        <is>
          <t>Armament@PRIMARY_UP</t>
        </is>
      </c>
      <c r="L738" s="6" t="n">
        <v>4000</v>
      </c>
      <c r="M738" s="6" t="n">
        <v>30</v>
      </c>
      <c r="N738" s="6" t="n">
        <v>3</v>
      </c>
      <c r="O738" s="6" t="n">
        <v>3</v>
      </c>
      <c r="P738" s="6" t="n">
        <v>5801</v>
      </c>
      <c r="Q738" s="6" t="n">
        <v>1</v>
      </c>
      <c r="R738">
        <f>M738+IF(N738&gt;1,N(O738)*(N738-1),0)</f>
        <v/>
      </c>
      <c r="S738">
        <f>IFERROR(L738*MAX(N738,1)/R738*Q738*IF(ISBLANK(K733),1,K733),0)</f>
        <v/>
      </c>
      <c r="AB738" s="7" t="inlineStr">
        <is>
          <t>^TeslaWeapon, ^RA2MediumCannon, ^LunarNaxisUpgradedCannons</t>
        </is>
      </c>
    </row>
    <row r="739">
      <c r="B739" s="7" t="inlineStr">
        <is>
          <t xml:space="preserve">  ↳ Lunar_YellowUbermenschLaserE</t>
        </is>
      </c>
      <c r="C739" s="7" t="inlineStr">
        <is>
          <t>Armament@ELITE_UP</t>
        </is>
      </c>
      <c r="L739" s="6" t="n">
        <v>4000</v>
      </c>
      <c r="M739" s="6" t="n">
        <v>30</v>
      </c>
      <c r="N739" s="6" t="n">
        <v>5</v>
      </c>
      <c r="O739" s="6" t="n">
        <v>3</v>
      </c>
      <c r="P739" s="6" t="n">
        <v>6801</v>
      </c>
      <c r="Q739" s="6" t="n">
        <v>1</v>
      </c>
      <c r="R739">
        <f>M739+IF(N739&gt;1,N(O739)*(N739-1),0)</f>
        <v/>
      </c>
      <c r="S739">
        <f>IFERROR(L739*MAX(N739,1)/R739*Q739*IF(ISBLANK(K733),1,K733),0)</f>
        <v/>
      </c>
      <c r="AB739" s="7" t="inlineStr">
        <is>
          <t>^TeslaWeapon, ^RA2MediumCannon, ^LunarNaxisUpgradedCannons</t>
        </is>
      </c>
    </row>
    <row r="740">
      <c r="B740" s="7" t="inlineStr">
        <is>
          <t xml:space="preserve">  ↳ Lunar_YellowUbermenschLaser</t>
        </is>
      </c>
      <c r="C740" s="7" t="inlineStr">
        <is>
          <t>Armament@GARRISONED_UP</t>
        </is>
      </c>
      <c r="L740" s="6" t="n">
        <v>4000</v>
      </c>
      <c r="M740" s="6" t="n">
        <v>30</v>
      </c>
      <c r="N740" s="6" t="n">
        <v>3</v>
      </c>
      <c r="O740" s="6" t="n">
        <v>3</v>
      </c>
      <c r="P740" s="6" t="n">
        <v>5801</v>
      </c>
      <c r="Q740" s="6" t="n">
        <v>1</v>
      </c>
      <c r="R740">
        <f>M740+IF(N740&gt;1,N(O740)*(N740-1),0)</f>
        <v/>
      </c>
      <c r="S740">
        <f>IFERROR(L740*MAX(N740,1)/R740*Q740*IF(ISBLANK(K733),1,K733),0)</f>
        <v/>
      </c>
      <c r="AB740" s="7" t="inlineStr">
        <is>
          <t>^TeslaWeapon, ^RA2MediumCannon, ^LunarNaxisUpgradedCannons</t>
        </is>
      </c>
    </row>
    <row r="741">
      <c r="B741" s="7" t="inlineStr">
        <is>
          <t xml:space="preserve">  ↳ Lunar_YellowUbermenschLaserE</t>
        </is>
      </c>
      <c r="C741" s="7" t="inlineStr">
        <is>
          <t>Armament@GARRISONEDELITE_UP</t>
        </is>
      </c>
      <c r="L741" s="6" t="n">
        <v>4000</v>
      </c>
      <c r="M741" s="6" t="n">
        <v>30</v>
      </c>
      <c r="N741" s="6" t="n">
        <v>5</v>
      </c>
      <c r="O741" s="6" t="n">
        <v>3</v>
      </c>
      <c r="P741" s="6" t="n">
        <v>6801</v>
      </c>
      <c r="Q741" s="6" t="n">
        <v>1</v>
      </c>
      <c r="R741">
        <f>M741+IF(N741&gt;1,N(O741)*(N741-1),0)</f>
        <v/>
      </c>
      <c r="S741">
        <f>IFERROR(L741*MAX(N741,1)/R741*Q741*IF(ISBLANK(K733),1,K733),0)</f>
        <v/>
      </c>
      <c r="AB741" s="7" t="inlineStr">
        <is>
          <t>^TeslaWeapon, ^RA2MediumCannon, ^LunarNaxisUpgradedCannons</t>
        </is>
      </c>
    </row>
    <row r="742">
      <c r="B742" s="7" t="inlineStr">
        <is>
          <t xml:space="preserve">  ↳ Lunar_AmplifiedUbermenschLaser</t>
        </is>
      </c>
      <c r="C742" s="7" t="inlineStr">
        <is>
          <t>Armament@PRIMARY_AMP</t>
        </is>
      </c>
      <c r="L742" s="6" t="n">
        <v>4000</v>
      </c>
      <c r="M742" s="6" t="n">
        <v>30</v>
      </c>
      <c r="N742" s="6" t="n">
        <v>4</v>
      </c>
      <c r="O742" s="6" t="n">
        <v>3</v>
      </c>
      <c r="P742" s="6" t="n">
        <v>5801</v>
      </c>
      <c r="Q742" s="6" t="n">
        <v>1</v>
      </c>
      <c r="R742">
        <f>M742+IF(N742&gt;1,N(O742)*(N742-1),0)</f>
        <v/>
      </c>
      <c r="S742">
        <f>IFERROR(L742*MAX(N742,1)/R742*Q742*IF(ISBLANK(K733),1,K733),0)</f>
        <v/>
      </c>
      <c r="AB742" s="7" t="inlineStr">
        <is>
          <t>^TeslaWeapon, ^RA2MediumCannon, ^LunarNaxisUpgradedCannons</t>
        </is>
      </c>
    </row>
    <row r="743">
      <c r="B743" s="7" t="inlineStr">
        <is>
          <t xml:space="preserve">  ↳ Lunar_AmplifiedUbermenschLaserE</t>
        </is>
      </c>
      <c r="C743" s="7" t="inlineStr">
        <is>
          <t>Armament@ELITE_AMP</t>
        </is>
      </c>
      <c r="L743" s="6" t="n">
        <v>4000</v>
      </c>
      <c r="M743" s="6" t="n">
        <v>30</v>
      </c>
      <c r="N743" s="6" t="n">
        <v>6</v>
      </c>
      <c r="O743" s="6" t="n">
        <v>3</v>
      </c>
      <c r="P743" s="6" t="n">
        <v>6801</v>
      </c>
      <c r="Q743" s="6" t="n">
        <v>1</v>
      </c>
      <c r="R743">
        <f>M743+IF(N743&gt;1,N(O743)*(N743-1),0)</f>
        <v/>
      </c>
      <c r="S743">
        <f>IFERROR(L743*MAX(N743,1)/R743*Q743*IF(ISBLANK(K733),1,K733),0)</f>
        <v/>
      </c>
      <c r="AB743" s="7" t="inlineStr">
        <is>
          <t>^TeslaWeapon, ^RA2MediumCannon, ^LunarNaxisUpgradedCannons</t>
        </is>
      </c>
    </row>
    <row r="744">
      <c r="B744" s="7" t="inlineStr">
        <is>
          <t xml:space="preserve">  ↳ Lunar_AmplifiedUbermenschLaser</t>
        </is>
      </c>
      <c r="C744" s="7" t="inlineStr">
        <is>
          <t>Armament@GARRISONED_AMP</t>
        </is>
      </c>
      <c r="L744" s="6" t="n">
        <v>4000</v>
      </c>
      <c r="M744" s="6" t="n">
        <v>30</v>
      </c>
      <c r="N744" s="6" t="n">
        <v>4</v>
      </c>
      <c r="O744" s="6" t="n">
        <v>3</v>
      </c>
      <c r="P744" s="6" t="n">
        <v>5801</v>
      </c>
      <c r="Q744" s="6" t="n">
        <v>1</v>
      </c>
      <c r="R744">
        <f>M744+IF(N744&gt;1,N(O744)*(N744-1),0)</f>
        <v/>
      </c>
      <c r="S744">
        <f>IFERROR(L744*MAX(N744,1)/R744*Q744*IF(ISBLANK(K733),1,K733),0)</f>
        <v/>
      </c>
      <c r="AB744" s="7" t="inlineStr">
        <is>
          <t>^TeslaWeapon, ^RA2MediumCannon, ^LunarNaxisUpgradedCannons</t>
        </is>
      </c>
    </row>
    <row r="745">
      <c r="B745" s="7" t="inlineStr">
        <is>
          <t xml:space="preserve">  ↳ Lunar_AmplifiedUbermenschLaserE</t>
        </is>
      </c>
      <c r="C745" s="7" t="inlineStr">
        <is>
          <t>Armament@GARRISONEDELITE_AMP</t>
        </is>
      </c>
      <c r="L745" s="6" t="n">
        <v>4000</v>
      </c>
      <c r="M745" s="6" t="n">
        <v>30</v>
      </c>
      <c r="N745" s="6" t="n">
        <v>6</v>
      </c>
      <c r="O745" s="6" t="n">
        <v>3</v>
      </c>
      <c r="P745" s="6" t="n">
        <v>6801</v>
      </c>
      <c r="Q745" s="6" t="n">
        <v>1</v>
      </c>
      <c r="R745">
        <f>M745+IF(N745&gt;1,N(O745)*(N745-1),0)</f>
        <v/>
      </c>
      <c r="S745">
        <f>IFERROR(L745*MAX(N745,1)/R745*Q745*IF(ISBLANK(K733),1,K733),0)</f>
        <v/>
      </c>
      <c r="AB745" s="7" t="inlineStr">
        <is>
          <t>^TeslaWeapon, ^RA2MediumCannon, ^LunarNaxisUpgradedCannons</t>
        </is>
      </c>
    </row>
    <row r="746">
      <c r="A746" t="inlineStr">
        <is>
          <t>redalert2mod</t>
        </is>
      </c>
      <c r="B746" t="inlineStr">
        <is>
          <t>tkm_juggernaut</t>
        </is>
      </c>
      <c r="C746" t="inlineStr">
        <is>
          <t>Juggernaut</t>
        </is>
      </c>
      <c r="D746" s="6" t="inlineStr">
        <is>
          <t>HeavyInfantry</t>
        </is>
      </c>
      <c r="E746" s="6" t="n">
        <v>36000</v>
      </c>
      <c r="F746" s="6" t="n">
        <v>45</v>
      </c>
      <c r="G746" t="inlineStr">
        <is>
          <t>Plate</t>
        </is>
      </c>
      <c r="H746" s="6" t="n">
        <v>1</v>
      </c>
      <c r="I746" s="6" t="n">
        <v>1</v>
      </c>
      <c r="J746" s="6" t="n">
        <v>1</v>
      </c>
      <c r="K746" s="6" t="n"/>
      <c r="P746">
        <f>MAX(P747,P748)</f>
        <v/>
      </c>
      <c r="S746">
        <f>S747+S748</f>
        <v/>
      </c>
      <c r="T746">
        <f>(E746/100000+F746/100+(P746/1000)*J746/5+S746/200)*200*I746*H746</f>
        <v/>
      </c>
      <c r="U746">
        <f>((E746*F746/25000)+((P746/1000)*J746*S746/2.5))*I746*H746</f>
        <v/>
      </c>
      <c r="V746">
        <f>(E746*F746*(P746/1000)*J746*S746*I746*H746)/12500000</f>
        <v/>
      </c>
      <c r="W746">
        <f>(T746+U746+V746)/3</f>
        <v/>
      </c>
      <c r="X746" s="6" t="n">
        <v>650</v>
      </c>
      <c r="Y746">
        <f>IFERROR(W746-X746,"")</f>
        <v/>
      </c>
      <c r="Z746">
        <f>IFERROR(ABS(Y746)/MAX(X746,1),"")</f>
        <v/>
      </c>
      <c r="AA746">
        <f>IFERROR((X746-(((E746/100000+F746/100+S746/200)*200*I746*H746)+((E746*F746/25000)*I746*H746))/3)/(((J746/5)*200*I746*H746)+((J746*S746/2.5)*I746*H746)+((E746*F746*J746*S746*I746*H746)/12500000))/3*1000,"")</f>
        <v/>
      </c>
    </row>
    <row r="747">
      <c r="B747" s="7" t="inlineStr">
        <is>
          <t xml:space="preserve">  ↳ tkm_juggernaut</t>
        </is>
      </c>
      <c r="C747" s="7" t="inlineStr">
        <is>
          <t>Armament@PRIMARY</t>
        </is>
      </c>
      <c r="L747" s="6" t="n">
        <v>4000</v>
      </c>
      <c r="M747" s="6" t="n">
        <v>8</v>
      </c>
      <c r="N747" s="6" t="n">
        <v>1</v>
      </c>
      <c r="O747" s="6" t="n"/>
      <c r="P747" s="6" t="n">
        <v>4490</v>
      </c>
      <c r="Q747" s="6" t="n">
        <v>1</v>
      </c>
      <c r="R747">
        <f>M747+IF(N747&gt;1,N(O747)*(N747-1),0)</f>
        <v/>
      </c>
      <c r="S747">
        <f>IFERROR(L747*MAX(N747,1)/R747*Q747*IF(ISBLANK(K746),1,K746),0)</f>
        <v/>
      </c>
      <c r="AB747" s="7" t="inlineStr">
        <is>
          <t>^RA2Chaingun</t>
        </is>
      </c>
    </row>
    <row r="748">
      <c r="B748" s="7" t="inlineStr">
        <is>
          <t xml:space="preserve">  ↳ tkmjuggap</t>
        </is>
      </c>
      <c r="C748" s="7" t="inlineStr">
        <is>
          <t>Armament@PRIMARYUPGRADE</t>
        </is>
      </c>
      <c r="L748" s="6" t="n">
        <v>6000</v>
      </c>
      <c r="M748" s="6" t="n">
        <v>9</v>
      </c>
      <c r="N748" s="6" t="n">
        <v>3</v>
      </c>
      <c r="O748" s="6" t="n">
        <v>6</v>
      </c>
      <c r="P748" s="6" t="n">
        <v>4792</v>
      </c>
      <c r="Q748" s="6" t="n">
        <v>0.875</v>
      </c>
      <c r="R748">
        <f>M748+IF(N748&gt;1,N(O748)*(N748-1),0)</f>
        <v/>
      </c>
      <c r="S748">
        <f>IFERROR(L748*MAX(N748,1)/R748*Q748*IF(ISBLANK(K746),1,K746),0)</f>
        <v/>
      </c>
      <c r="AB748" s="7" t="inlineStr">
        <is>
          <t>^RA2Grenade, ^SmallArms</t>
        </is>
      </c>
    </row>
    <row r="749">
      <c r="B749" s="7" t="inlineStr">
        <is>
          <t xml:space="preserve">  ↳ tkm_juggernaut</t>
        </is>
      </c>
      <c r="C749" s="7" t="inlineStr">
        <is>
          <t>Armament@GARRISONED</t>
        </is>
      </c>
      <c r="L749" s="6" t="n">
        <v>4000</v>
      </c>
      <c r="M749" s="6" t="n">
        <v>8</v>
      </c>
      <c r="N749" s="6" t="n">
        <v>1</v>
      </c>
      <c r="O749" s="6" t="n"/>
      <c r="P749" s="6" t="n">
        <v>4490</v>
      </c>
      <c r="Q749" s="6" t="n">
        <v>1</v>
      </c>
      <c r="R749">
        <f>M749+IF(N749&gt;1,N(O749)*(N749-1),0)</f>
        <v/>
      </c>
      <c r="S749">
        <f>IFERROR(L749*MAX(N749,1)/R749*Q749*IF(ISBLANK(K746),1,K746),0)</f>
        <v/>
      </c>
      <c r="AB749" s="7" t="inlineStr">
        <is>
          <t>^RA2Chaingun</t>
        </is>
      </c>
    </row>
    <row r="750">
      <c r="B750" s="7" t="inlineStr">
        <is>
          <t xml:space="preserve">  ↳ tkmjuggap</t>
        </is>
      </c>
      <c r="C750" s="7" t="inlineStr">
        <is>
          <t>Armament@GARRISONEDUPGRADE</t>
        </is>
      </c>
      <c r="L750" s="6" t="n">
        <v>6000</v>
      </c>
      <c r="M750" s="6" t="n">
        <v>9</v>
      </c>
      <c r="N750" s="6" t="n">
        <v>3</v>
      </c>
      <c r="O750" s="6" t="n">
        <v>6</v>
      </c>
      <c r="P750" s="6" t="n">
        <v>4792</v>
      </c>
      <c r="Q750" s="6" t="n">
        <v>0.875</v>
      </c>
      <c r="R750">
        <f>M750+IF(N750&gt;1,N(O750)*(N750-1),0)</f>
        <v/>
      </c>
      <c r="S750">
        <f>IFERROR(L750*MAX(N750,1)/R750*Q750*IF(ISBLANK(K746),1,K746),0)</f>
        <v/>
      </c>
      <c r="AB750" s="7" t="inlineStr">
        <is>
          <t>^RA2Grenade, ^SmallArms</t>
        </is>
      </c>
    </row>
    <row r="751">
      <c r="A751" t="inlineStr">
        <is>
          <t>d2k</t>
        </is>
      </c>
      <c r="B751" t="inlineStr">
        <is>
          <t>ordos_chemicaltrooper</t>
        </is>
      </c>
      <c r="C751" t="inlineStr">
        <is>
          <t>Ordos Chemical Trooper</t>
        </is>
      </c>
      <c r="D751" s="6" t="inlineStr">
        <is>
          <t>HeavyInfantry</t>
        </is>
      </c>
      <c r="E751" s="6" t="n">
        <v>30000</v>
      </c>
      <c r="F751" s="6" t="n">
        <v>45</v>
      </c>
      <c r="G751" t="inlineStr">
        <is>
          <t>Plate</t>
        </is>
      </c>
      <c r="H751" s="6" t="n">
        <v>1</v>
      </c>
      <c r="I751" s="6" t="n">
        <v>0.8</v>
      </c>
      <c r="J751" s="6" t="n">
        <v>1</v>
      </c>
      <c r="K751" s="6" t="n"/>
      <c r="P751">
        <f>MAX(P752)</f>
        <v/>
      </c>
      <c r="S751">
        <f>S752</f>
        <v/>
      </c>
      <c r="T751">
        <f>(E751/100000+F751/100+(P751/1000)*J751/5+S751/200)*200*I751*H751</f>
        <v/>
      </c>
      <c r="U751">
        <f>((E751*F751/25000)+((P751/1000)*J751*S751/2.5))*I751*H751</f>
        <v/>
      </c>
      <c r="V751">
        <f>(E751*F751*(P751/1000)*J751*S751*I751*H751)/12500000</f>
        <v/>
      </c>
      <c r="W751">
        <f>(T751+U751+V751)/3</f>
        <v/>
      </c>
      <c r="X751" s="6" t="n">
        <v>400</v>
      </c>
      <c r="Y751">
        <f>IFERROR(W751-X751,"")</f>
        <v/>
      </c>
      <c r="Z751">
        <f>IFERROR(ABS(Y751)/MAX(X751,1),"")</f>
        <v/>
      </c>
      <c r="AA751">
        <f>IFERROR((X751-(((E751/100000+F751/100+S751/200)*200*I751*H751)+((E751*F751/25000)*I751*H751))/3)/(((J751/5)*200*I751*H751)+((J751*S751/2.5)*I751*H751)+((E751*F751*J751*S751*I751*H751)/12500000))/3*1000,"")</f>
        <v/>
      </c>
    </row>
    <row r="752">
      <c r="B752" s="7" t="inlineStr">
        <is>
          <t xml:space="preserve">  ↳ d2k_chemgun</t>
        </is>
      </c>
      <c r="C752" s="7" t="inlineStr">
        <is>
          <t>Armament@PRIMARY</t>
        </is>
      </c>
      <c r="L752" s="6" t="n">
        <v>30000</v>
      </c>
      <c r="M752" s="6" t="n">
        <v>75</v>
      </c>
      <c r="N752" s="6" t="n">
        <v>1</v>
      </c>
      <c r="O752" s="6" t="n"/>
      <c r="P752" s="6" t="n">
        <v>5177</v>
      </c>
      <c r="Q752" s="6" t="n">
        <v>0.75</v>
      </c>
      <c r="R752">
        <f>M752+IF(N752&gt;1,N(O752)*(N752-1),0)</f>
        <v/>
      </c>
      <c r="S752">
        <f>IFERROR(L752*MAX(N752,1)/R752*Q752*IF(ISBLANK(K751),1,K751),0)</f>
        <v/>
      </c>
      <c r="AB752" s="7" t="inlineStr">
        <is>
          <t>^LightChemicalWeapon</t>
        </is>
      </c>
    </row>
    <row r="753">
      <c r="B753" s="7" t="inlineStr">
        <is>
          <t xml:space="preserve">  ↳ d2k_chemgun</t>
        </is>
      </c>
      <c r="C753" s="7" t="inlineStr">
        <is>
          <t>Armament@GARRISONED</t>
        </is>
      </c>
      <c r="L753" s="6" t="n">
        <v>30000</v>
      </c>
      <c r="M753" s="6" t="n">
        <v>75</v>
      </c>
      <c r="N753" s="6" t="n">
        <v>1</v>
      </c>
      <c r="O753" s="6" t="n"/>
      <c r="P753" s="6" t="n">
        <v>5177</v>
      </c>
      <c r="Q753" s="6" t="n">
        <v>0.75</v>
      </c>
      <c r="R753">
        <f>M753+IF(N753&gt;1,N(O753)*(N753-1),0)</f>
        <v/>
      </c>
      <c r="S753">
        <f>IFERROR(L753*MAX(N753,1)/R753*Q753*IF(ISBLANK(K751),1,K751),0)</f>
        <v/>
      </c>
      <c r="AB753" s="7" t="inlineStr">
        <is>
          <t>^LightChemicalWeapon</t>
        </is>
      </c>
    </row>
    <row r="754">
      <c r="A754" t="inlineStr">
        <is>
          <t>d2k</t>
        </is>
      </c>
      <c r="B754" t="inlineStr">
        <is>
          <t>ixian_shockinfantry</t>
        </is>
      </c>
      <c r="C754" t="inlineStr">
        <is>
          <t>Shock Infantry</t>
        </is>
      </c>
      <c r="D754" s="6" t="inlineStr">
        <is>
          <t>HeavyInfantry</t>
        </is>
      </c>
      <c r="E754" s="6" t="n">
        <v>36000</v>
      </c>
      <c r="F754" s="6" t="n">
        <v>45</v>
      </c>
      <c r="G754" t="inlineStr">
        <is>
          <t>Plate</t>
        </is>
      </c>
      <c r="H754" s="6" t="n">
        <v>1</v>
      </c>
      <c r="I754" s="6" t="n">
        <v>1</v>
      </c>
      <c r="J754" s="6" t="n">
        <v>1</v>
      </c>
      <c r="K754" s="6" t="n"/>
      <c r="P754">
        <f>MAX(P755)</f>
        <v/>
      </c>
      <c r="S754">
        <f>S755</f>
        <v/>
      </c>
      <c r="T754">
        <f>(E754/100000+F754/100+(P754/1000)*J754/5+S754/200)*200*I754*H754</f>
        <v/>
      </c>
      <c r="U754">
        <f>((E754*F754/25000)+((P754/1000)*J754*S754/2.5))*I754*H754</f>
        <v/>
      </c>
      <c r="V754">
        <f>(E754*F754*(P754/1000)*J754*S754*I754*H754)/12500000</f>
        <v/>
      </c>
      <c r="W754">
        <f>(T754+U754+V754)/3</f>
        <v/>
      </c>
      <c r="X754" s="6" t="n">
        <v>500</v>
      </c>
      <c r="Y754">
        <f>IFERROR(W754-X754,"")</f>
        <v/>
      </c>
      <c r="Z754">
        <f>IFERROR(ABS(Y754)/MAX(X754,1),"")</f>
        <v/>
      </c>
      <c r="AA754">
        <f>IFERROR((X754-(((E754/100000+F754/100+S754/200)*200*I754*H754)+((E754*F754/25000)*I754*H754))/3)/(((J754/5)*200*I754*H754)+((J754*S754/2.5)*I754*H754)+((E754*F754*J754*S754*I754*H754)/12500000))/3*1000,"")</f>
        <v/>
      </c>
    </row>
    <row r="755">
      <c r="B755" s="7" t="inlineStr">
        <is>
          <t xml:space="preserve">  ↳ D2K_ShockGunInf</t>
        </is>
      </c>
      <c r="C755" s="7" t="inlineStr">
        <is>
          <t>Armament@PRIMARY</t>
        </is>
      </c>
      <c r="L755" s="6" t="n">
        <v>18000</v>
      </c>
      <c r="M755" s="6" t="n">
        <v>45</v>
      </c>
      <c r="N755" s="6" t="n">
        <v>1</v>
      </c>
      <c r="O755" s="6" t="n"/>
      <c r="P755" s="6" t="n">
        <v>5818</v>
      </c>
      <c r="Q755" s="6" t="n">
        <v>1.25</v>
      </c>
      <c r="R755">
        <f>M755+IF(N755&gt;1,N(O755)*(N755-1),0)</f>
        <v/>
      </c>
      <c r="S755">
        <f>IFERROR(L755*MAX(N755,1)/R755*Q755*IF(ISBLANK(K754),1,K754),0)</f>
        <v/>
      </c>
      <c r="AB755" s="7" t="inlineStr">
        <is>
          <t>^RailgunWeapon</t>
        </is>
      </c>
    </row>
    <row r="756">
      <c r="B756" s="7" t="inlineStr">
        <is>
          <t xml:space="preserve">  ↳ D2K_ShockGunInf</t>
        </is>
      </c>
      <c r="C756" s="7" t="inlineStr">
        <is>
          <t>Armament@GARRISONED</t>
        </is>
      </c>
      <c r="L756" s="6" t="n">
        <v>18000</v>
      </c>
      <c r="M756" s="6" t="n">
        <v>45</v>
      </c>
      <c r="N756" s="6" t="n">
        <v>1</v>
      </c>
      <c r="O756" s="6" t="n"/>
      <c r="P756" s="6" t="n">
        <v>5818</v>
      </c>
      <c r="Q756" s="6" t="n">
        <v>1.25</v>
      </c>
      <c r="R756">
        <f>M756+IF(N756&gt;1,N(O756)*(N756-1),0)</f>
        <v/>
      </c>
      <c r="S756">
        <f>IFERROR(L756*MAX(N756,1)/R756*Q756*IF(ISBLANK(K754),1,K754),0)</f>
        <v/>
      </c>
      <c r="AB756" s="7" t="inlineStr">
        <is>
          <t>^RailgunWeapon</t>
        </is>
      </c>
    </row>
    <row r="757">
      <c r="A757" t="inlineStr">
        <is>
          <t>d2k</t>
        </is>
      </c>
      <c r="B757" t="inlineStr">
        <is>
          <t>ixian_storminfantry</t>
        </is>
      </c>
      <c r="C757" t="inlineStr">
        <is>
          <t>Storm Infantry</t>
        </is>
      </c>
      <c r="D757" s="6" t="inlineStr">
        <is>
          <t>HeavyInfantry</t>
        </is>
      </c>
      <c r="E757" s="6" t="n">
        <v>44000</v>
      </c>
      <c r="F757" s="6" t="n">
        <v>44</v>
      </c>
      <c r="G757" t="inlineStr">
        <is>
          <t>Plate</t>
        </is>
      </c>
      <c r="H757" s="6" t="n">
        <v>1</v>
      </c>
      <c r="I757" s="6" t="n">
        <v>1</v>
      </c>
      <c r="J757" s="6" t="n">
        <v>1</v>
      </c>
      <c r="K757" s="6" t="n"/>
      <c r="P757">
        <f>MAX(P758)</f>
        <v/>
      </c>
      <c r="S757">
        <f>S758</f>
        <v/>
      </c>
      <c r="T757">
        <f>(E757/100000+F757/100+(P757/1000)*J757/5+S757/200)*200*I757*H757</f>
        <v/>
      </c>
      <c r="U757">
        <f>((E757*F757/25000)+((P757/1000)*J757*S757/2.5))*I757*H757</f>
        <v/>
      </c>
      <c r="V757">
        <f>(E757*F757*(P757/1000)*J757*S757*I757*H757)/12500000</f>
        <v/>
      </c>
      <c r="W757">
        <f>(T757+U757+V757)/3</f>
        <v/>
      </c>
      <c r="X757" s="6" t="n">
        <v>800</v>
      </c>
      <c r="Y757">
        <f>IFERROR(W757-X757,"")</f>
        <v/>
      </c>
      <c r="Z757">
        <f>IFERROR(ABS(Y757)/MAX(X757,1),"")</f>
        <v/>
      </c>
      <c r="AA757">
        <f>IFERROR((X757-(((E757/100000+F757/100+S757/200)*200*I757*H757)+((E757*F757/25000)*I757*H757))/3)/(((J757/5)*200*I757*H757)+((J757*S757/2.5)*I757*H757)+((E757*F757*J757*S757*I757*H757)/12500000))/3*1000,"")</f>
        <v/>
      </c>
    </row>
    <row r="758">
      <c r="B758" s="7" t="inlineStr">
        <is>
          <t xml:space="preserve">  ↳ D2K_StormGunInf</t>
        </is>
      </c>
      <c r="C758" s="7" t="inlineStr">
        <is>
          <t>Armament@PRIMARY</t>
        </is>
      </c>
      <c r="L758" s="6" t="n">
        <v>12000</v>
      </c>
      <c r="M758" s="6" t="n">
        <v>66</v>
      </c>
      <c r="N758" s="6" t="n">
        <v>1</v>
      </c>
      <c r="O758" s="6" t="n"/>
      <c r="P758" s="6" t="n">
        <v>6275</v>
      </c>
      <c r="Q758" s="6" t="n">
        <v>1.125</v>
      </c>
      <c r="R758">
        <f>M758+IF(N758&gt;1,N(O758)*(N758-1),0)</f>
        <v/>
      </c>
      <c r="S758">
        <f>IFERROR(L758*MAX(N758,1)/R758*Q758*IF(ISBLANK(K757),1,K757),0)</f>
        <v/>
      </c>
      <c r="AB758" s="7" t="inlineStr">
        <is>
          <t>^TeslaWeapon, ^RailgunWeapon</t>
        </is>
      </c>
    </row>
    <row r="759">
      <c r="B759" s="7" t="inlineStr">
        <is>
          <t xml:space="preserve">  ↳ D2K_StormGunInf</t>
        </is>
      </c>
      <c r="C759" s="7" t="inlineStr">
        <is>
          <t>Armament@GARRISONED</t>
        </is>
      </c>
      <c r="L759" s="6" t="n">
        <v>12000</v>
      </c>
      <c r="M759" s="6" t="n">
        <v>66</v>
      </c>
      <c r="N759" s="6" t="n">
        <v>1</v>
      </c>
      <c r="O759" s="6" t="n"/>
      <c r="P759" s="6" t="n">
        <v>6275</v>
      </c>
      <c r="Q759" s="6" t="n">
        <v>1.125</v>
      </c>
      <c r="R759">
        <f>M759+IF(N759&gt;1,N(O759)*(N759-1),0)</f>
        <v/>
      </c>
      <c r="S759">
        <f>IFERROR(L759*MAX(N759,1)/R759*Q759*IF(ISBLANK(K757),1,K757),0)</f>
        <v/>
      </c>
      <c r="AB759" s="7" t="inlineStr">
        <is>
          <t>^TeslaWeapon, ^RailgunWeapon</t>
        </is>
      </c>
    </row>
    <row r="760">
      <c r="A760" t="inlineStr">
        <is>
          <t>starcraft</t>
        </is>
      </c>
      <c r="B760" t="inlineStr">
        <is>
          <t>protoss_adept</t>
        </is>
      </c>
      <c r="C760" t="inlineStr">
        <is>
          <t>Adept</t>
        </is>
      </c>
      <c r="D760" s="6" t="inlineStr">
        <is>
          <t>HeavyInfantry</t>
        </is>
      </c>
      <c r="E760" s="6" t="n">
        <v>30000</v>
      </c>
      <c r="F760" s="6" t="n">
        <v>70</v>
      </c>
      <c r="G760" t="inlineStr">
        <is>
          <t>Plate</t>
        </is>
      </c>
      <c r="H760" s="6" t="n">
        <v>1</v>
      </c>
      <c r="I760" s="6" t="n">
        <v>1</v>
      </c>
      <c r="J760" s="6" t="n">
        <v>1</v>
      </c>
      <c r="K760" s="6" t="n"/>
      <c r="P760">
        <f>MAX(P761)</f>
        <v/>
      </c>
      <c r="S760">
        <f>S761</f>
        <v/>
      </c>
      <c r="T760">
        <f>(E760/100000+F760/100+(P760/1000)*J760/5+S760/200)*200*I760*H760</f>
        <v/>
      </c>
      <c r="U760">
        <f>((E760*F760/25000)+((P760/1000)*J760*S760/2.5))*I760*H760</f>
        <v/>
      </c>
      <c r="V760">
        <f>(E760*F760*(P760/1000)*J760*S760*I760*H760)/12500000</f>
        <v/>
      </c>
      <c r="W760">
        <f>(T760+U760+V760)/3</f>
        <v/>
      </c>
      <c r="X760" s="6" t="n">
        <v>650</v>
      </c>
      <c r="Y760">
        <f>IFERROR(W760-X760,"")</f>
        <v/>
      </c>
      <c r="Z760">
        <f>IFERROR(ABS(Y760)/MAX(X760,1),"")</f>
        <v/>
      </c>
      <c r="AA760">
        <f>IFERROR((X760-(((E760/100000+F760/100+S760/200)*200*I760*H760)+((E760*F760/25000)*I760*H760))/3)/(((J760/5)*200*I760*H760)+((J760*S760/2.5)*I760*H760)+((E760*F760*J760*S760*I760*H760)/12500000))/3*1000,"")</f>
        <v/>
      </c>
    </row>
    <row r="761">
      <c r="B761" s="7" t="inlineStr">
        <is>
          <t xml:space="preserve">  ↳ GlaveCanon</t>
        </is>
      </c>
      <c r="C761" s="7" t="inlineStr">
        <is>
          <t>Armament</t>
        </is>
      </c>
      <c r="L761" s="6" t="n">
        <v>8000</v>
      </c>
      <c r="M761" s="6" t="n">
        <v>40</v>
      </c>
      <c r="N761" s="6" t="n">
        <v>1</v>
      </c>
      <c r="O761" s="6" t="n"/>
      <c r="P761" s="6" t="n">
        <v>5250</v>
      </c>
      <c r="Q761" s="6" t="n">
        <v>1.125</v>
      </c>
      <c r="R761">
        <f>M761+IF(N761&gt;1,N(O761)*(N761-1),0)</f>
        <v/>
      </c>
      <c r="S761">
        <f>IFERROR(L761*MAX(N761,1)/R761*Q761*IF(ISBLANK(K760),1,K760),0)</f>
        <v/>
      </c>
      <c r="AB761" s="7" t="inlineStr">
        <is>
          <t>^Grenade, ^RailgunWeapon</t>
        </is>
      </c>
    </row>
    <row r="762">
      <c r="B762" s="7" t="inlineStr">
        <is>
          <t xml:space="preserve">  ↳ GlaveCanon</t>
        </is>
      </c>
      <c r="C762" s="7" t="inlineStr">
        <is>
          <t>Armament@GARRISONED</t>
        </is>
      </c>
      <c r="L762" s="6" t="n">
        <v>8000</v>
      </c>
      <c r="M762" s="6" t="n">
        <v>40</v>
      </c>
      <c r="N762" s="6" t="n">
        <v>1</v>
      </c>
      <c r="O762" s="6" t="n"/>
      <c r="P762" s="6" t="n">
        <v>5250</v>
      </c>
      <c r="Q762" s="6" t="n">
        <v>1.125</v>
      </c>
      <c r="R762">
        <f>M762+IF(N762&gt;1,N(O762)*(N762-1),0)</f>
        <v/>
      </c>
      <c r="S762">
        <f>IFERROR(L762*MAX(N762,1)/R762*Q762*IF(ISBLANK(K760),1,K760),0)</f>
        <v/>
      </c>
      <c r="AB762" s="7" t="inlineStr">
        <is>
          <t>^Grenade, ^RailgunWeapon</t>
        </is>
      </c>
    </row>
    <row r="763">
      <c r="A763" t="inlineStr">
        <is>
          <t>starcraft</t>
        </is>
      </c>
      <c r="B763" t="inlineStr">
        <is>
          <t>terran_marauder</t>
        </is>
      </c>
      <c r="C763" t="inlineStr">
        <is>
          <t>Marauder</t>
        </is>
      </c>
      <c r="D763" s="6" t="inlineStr">
        <is>
          <t>HeavyInfantry</t>
        </is>
      </c>
      <c r="E763" s="6" t="n">
        <v>90000</v>
      </c>
      <c r="F763" s="6" t="n">
        <v>45</v>
      </c>
      <c r="G763" t="inlineStr">
        <is>
          <t>Plate</t>
        </is>
      </c>
      <c r="H763" s="6" t="n">
        <v>1</v>
      </c>
      <c r="I763" s="6" t="n">
        <v>0.8</v>
      </c>
      <c r="J763" s="6" t="n">
        <v>1</v>
      </c>
      <c r="K763" s="6" t="n"/>
      <c r="P763">
        <f>MAX(P764)</f>
        <v/>
      </c>
      <c r="S763">
        <f>S764</f>
        <v/>
      </c>
      <c r="T763">
        <f>(E763/100000+F763/100+(P763/1000)*J763/5+S763/200)*200*I763*H763</f>
        <v/>
      </c>
      <c r="U763">
        <f>((E763*F763/25000)+((P763/1000)*J763*S763/2.5))*I763*H763</f>
        <v/>
      </c>
      <c r="V763">
        <f>(E763*F763*(P763/1000)*J763*S763*I763*H763)/12500000</f>
        <v/>
      </c>
      <c r="W763">
        <f>(T763+U763+V763)/3</f>
        <v/>
      </c>
      <c r="X763" s="6" t="n">
        <v>1000</v>
      </c>
      <c r="Y763">
        <f>IFERROR(W763-X763,"")</f>
        <v/>
      </c>
      <c r="Z763">
        <f>IFERROR(ABS(Y763)/MAX(X763,1),"")</f>
        <v/>
      </c>
      <c r="AA763">
        <f>IFERROR((X763-(((E763/100000+F763/100+S763/200)*200*I763*H763)+((E763*F763/25000)*I763*H763))/3)/(((J763/5)*200*I763*H763)+((J763*S763/2.5)*I763*H763)+((E763*F763*J763*S763*I763*H763)/12500000))/3*1000,"")</f>
        <v/>
      </c>
    </row>
    <row r="764">
      <c r="B764" s="7" t="inlineStr">
        <is>
          <t xml:space="preserve">  ↳ MarauderMissiles</t>
        </is>
      </c>
      <c r="C764" s="7" t="inlineStr">
        <is>
          <t>Armament@1</t>
        </is>
      </c>
      <c r="L764" s="6" t="n">
        <v>10000</v>
      </c>
      <c r="M764" s="6" t="n">
        <v>60</v>
      </c>
      <c r="N764" s="6" t="n">
        <v>1</v>
      </c>
      <c r="O764" s="6" t="n"/>
      <c r="P764" s="6" t="n">
        <v>7010</v>
      </c>
      <c r="Q764" s="6" t="n">
        <v>1.125</v>
      </c>
      <c r="R764">
        <f>M764+IF(N764&gt;1,N(O764)*(N764-1),0)</f>
        <v/>
      </c>
      <c r="S764">
        <f>IFERROR(L764*MAX(N764,1)/R764*Q764*IF(ISBLANK(K763),1,K763),0)</f>
        <v/>
      </c>
      <c r="AB764" s="7" t="inlineStr">
        <is>
          <t>^TankDestroyerCannon, ^HeavyCannon, ^MediumMissile</t>
        </is>
      </c>
    </row>
    <row r="765">
      <c r="B765" s="7" t="inlineStr">
        <is>
          <t xml:space="preserve">  ↳ MarauderMissiles</t>
        </is>
      </c>
      <c r="C765" s="7" t="inlineStr">
        <is>
          <t>Armament@GARRISONED1</t>
        </is>
      </c>
      <c r="L765" s="6" t="n">
        <v>10000</v>
      </c>
      <c r="M765" s="6" t="n">
        <v>60</v>
      </c>
      <c r="N765" s="6" t="n">
        <v>1</v>
      </c>
      <c r="O765" s="6" t="n"/>
      <c r="P765" s="6" t="n">
        <v>7010</v>
      </c>
      <c r="Q765" s="6" t="n">
        <v>1.125</v>
      </c>
      <c r="R765">
        <f>M765+IF(N765&gt;1,N(O765)*(N765-1),0)</f>
        <v/>
      </c>
      <c r="S765">
        <f>IFERROR(L765*MAX(N765,1)/R765*Q765*IF(ISBLANK(K763),1,K763),0)</f>
        <v/>
      </c>
      <c r="AB765" s="7" t="inlineStr">
        <is>
          <t>^TankDestroyerCannon, ^HeavyCannon, ^MediumMissile</t>
        </is>
      </c>
    </row>
    <row r="766">
      <c r="A766" t="inlineStr">
        <is>
          <t>warcraft2</t>
        </is>
      </c>
      <c r="B766" t="inlineStr">
        <is>
          <t>wc2_humans_dwarvenrifleman</t>
        </is>
      </c>
      <c r="C766" t="inlineStr">
        <is>
          <t>Dwarven Rifleman</t>
        </is>
      </c>
      <c r="D766" s="6" t="inlineStr">
        <is>
          <t>HeavyInfantry</t>
        </is>
      </c>
      <c r="E766" s="6" t="n">
        <v>24000</v>
      </c>
      <c r="F766" s="6" t="n">
        <v>64</v>
      </c>
      <c r="G766" t="inlineStr">
        <is>
          <t>Plate</t>
        </is>
      </c>
      <c r="H766" s="6" t="n">
        <v>1</v>
      </c>
      <c r="I766" s="6" t="n">
        <v>0.8</v>
      </c>
      <c r="J766" s="6" t="n">
        <v>1</v>
      </c>
      <c r="K766" s="6" t="n">
        <v>0.5</v>
      </c>
      <c r="P766">
        <f>MAX(P767)</f>
        <v/>
      </c>
      <c r="S766">
        <f>S767</f>
        <v/>
      </c>
      <c r="T766">
        <f>(E766/100000+F766/100+(P766/1000)*J766/5+S766/200)*200*I766*H766</f>
        <v/>
      </c>
      <c r="U766">
        <f>((E766*F766/25000)+((P766/1000)*J766*S766/2.5))*I766*H766</f>
        <v/>
      </c>
      <c r="V766">
        <f>(E766*F766*(P766/1000)*J766*S766*I766*H766)/12500000</f>
        <v/>
      </c>
      <c r="W766">
        <f>(T766+U766+V766)/3</f>
        <v/>
      </c>
      <c r="X766" s="6" t="n">
        <v>600</v>
      </c>
      <c r="Y766">
        <f>IFERROR(W766-X766,"")</f>
        <v/>
      </c>
      <c r="Z766">
        <f>IFERROR(ABS(Y766)/MAX(X766,1),"")</f>
        <v/>
      </c>
      <c r="AA766">
        <f>IFERROR((X766-(((E766/100000+F766/100+S766/200)*200*I766*H766)+((E766*F766/25000)*I766*H766))/3)/(((J766/5)*200*I766*H766)+((J766*S766/2.5)*I766*H766)+((E766*F766*J766*S766*I766*H766)/12500000))/3*1000,"")</f>
        <v/>
      </c>
    </row>
    <row r="767">
      <c r="B767" s="7" t="inlineStr">
        <is>
          <t xml:space="preserve">  ↳ wc2_dwarf_Rifle</t>
        </is>
      </c>
      <c r="C767" s="7" t="inlineStr">
        <is>
          <t>Armament</t>
        </is>
      </c>
      <c r="L767" s="6" t="n">
        <v>8000</v>
      </c>
      <c r="M767" s="6" t="n">
        <v>60</v>
      </c>
      <c r="N767" s="6" t="n">
        <v>1</v>
      </c>
      <c r="O767" s="6" t="n"/>
      <c r="P767" s="6" t="n">
        <v>6936</v>
      </c>
      <c r="Q767" s="6" t="n">
        <v>1.125</v>
      </c>
      <c r="R767">
        <f>M767+IF(N767&gt;1,N(O767)*(N767-1),0)</f>
        <v/>
      </c>
      <c r="S767">
        <f>IFERROR(L767*MAX(N767,1)/R767*Q767*IF(ISBLANK(K766),1,K766),0)</f>
        <v/>
      </c>
      <c r="AB767" s="7" t="inlineStr">
        <is>
          <t>^RailgunWeapon, ^MediumMissile, ^TankDestroyerCannon</t>
        </is>
      </c>
    </row>
    <row r="768">
      <c r="B768" s="7" t="inlineStr">
        <is>
          <t xml:space="preserve">  ↳ wc2_dwarf_Rifle</t>
        </is>
      </c>
      <c r="C768" s="7" t="inlineStr">
        <is>
          <t>Armament@GARRISONED</t>
        </is>
      </c>
      <c r="L768" s="6" t="n">
        <v>8000</v>
      </c>
      <c r="M768" s="6" t="n">
        <v>60</v>
      </c>
      <c r="N768" s="6" t="n">
        <v>1</v>
      </c>
      <c r="O768" s="6" t="n"/>
      <c r="P768" s="6" t="n">
        <v>6936</v>
      </c>
      <c r="Q768" s="6" t="n">
        <v>1.125</v>
      </c>
      <c r="R768">
        <f>M768+IF(N768&gt;1,N(O768)*(N768-1),0)</f>
        <v/>
      </c>
      <c r="S768">
        <f>IFERROR(L768*MAX(N768,1)/R768*Q768*IF(ISBLANK(K766),1,K766),0)</f>
        <v/>
      </c>
      <c r="AB768" s="7" t="inlineStr">
        <is>
          <t>^RailgunWeapon, ^MediumMissile, ^TankDestroyerCannon</t>
        </is>
      </c>
    </row>
    <row r="769">
      <c r="A769" s="4" t="inlineStr">
        <is>
          <t>MeleeInfantry</t>
        </is>
      </c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</row>
    <row r="770">
      <c r="A770" t="inlineStr">
        <is>
          <t>tiberiandawn</t>
        </is>
      </c>
      <c r="B770" t="inlineStr">
        <is>
          <t>td_nod_chemicalwarrior</t>
        </is>
      </c>
      <c r="C770" t="inlineStr">
        <is>
          <t>Chemical Warrior</t>
        </is>
      </c>
      <c r="D770" s="6" t="inlineStr">
        <is>
          <t>MeleeInfantry</t>
        </is>
      </c>
      <c r="E770" s="6" t="n">
        <v>48000</v>
      </c>
      <c r="F770" s="6" t="n">
        <v>48</v>
      </c>
      <c r="G770" t="inlineStr">
        <is>
          <t>Plate</t>
        </is>
      </c>
      <c r="H770" s="6" t="n">
        <v>0.75</v>
      </c>
      <c r="I770" s="6" t="n">
        <v>0.75</v>
      </c>
      <c r="J770" s="6" t="n">
        <v>1</v>
      </c>
      <c r="K770" s="6" t="n"/>
      <c r="P770">
        <f>MAX(P771)</f>
        <v/>
      </c>
      <c r="S770">
        <f>S771</f>
        <v/>
      </c>
      <c r="T770">
        <f>(E770/100000+F770/100+(P770/1000)*J770/5+S770/200)*200*I770*H770</f>
        <v/>
      </c>
      <c r="U770">
        <f>((E770*F770/25000)+((P770/1000)*J770*S770/2.5))*I770*H770</f>
        <v/>
      </c>
      <c r="V770">
        <f>(E770*F770*(P770/1000)*J770*S770*I770*H770)/12500000</f>
        <v/>
      </c>
      <c r="W770">
        <f>(T770+U770+V770)/3</f>
        <v/>
      </c>
      <c r="X770" s="6" t="n">
        <v>500</v>
      </c>
      <c r="Y770">
        <f>IFERROR(W770-X770,"")</f>
        <v/>
      </c>
      <c r="Z770">
        <f>IFERROR(ABS(Y770)/MAX(X770,1),"")</f>
        <v/>
      </c>
      <c r="AA770">
        <f>IFERROR((X770-(((E770/100000+F770/100+S770/200)*200*I770*H770)+((E770*F770/25000)*I770*H770))/3)/(((J770/5)*200*I770*H770)+((J770*S770/2.5)*I770*H770)+((E770*F770*J770*S770*I770*H770)/12500000))/3*1000,"")</f>
        <v/>
      </c>
    </row>
    <row r="771">
      <c r="B771" s="7" t="inlineStr">
        <is>
          <t xml:space="preserve">  ↳ Chemspray</t>
        </is>
      </c>
      <c r="C771" s="7" t="inlineStr">
        <is>
          <t>Armament</t>
        </is>
      </c>
      <c r="L771" s="6" t="n">
        <v>48000</v>
      </c>
      <c r="M771" s="6" t="n">
        <v>48</v>
      </c>
      <c r="N771" s="6" t="n">
        <v>1</v>
      </c>
      <c r="O771" s="6" t="n"/>
      <c r="P771" s="6" t="n">
        <v>3414</v>
      </c>
      <c r="Q771" s="6" t="n">
        <v>0.75</v>
      </c>
      <c r="R771">
        <f>M771+IF(N771&gt;1,N(O771)*(N771-1),0)</f>
        <v/>
      </c>
      <c r="S771">
        <f>IFERROR(L771*MAX(N771,1)/R771*Q771*IF(ISBLANK(K770),1,K770),0)</f>
        <v/>
      </c>
      <c r="AB771" s="7" t="inlineStr">
        <is>
          <t>^LightChemicalWeapon</t>
        </is>
      </c>
    </row>
    <row r="772">
      <c r="B772" s="7" t="inlineStr">
        <is>
          <t xml:space="preserve">  ↳ Chemspray</t>
        </is>
      </c>
      <c r="C772" s="7" t="inlineStr">
        <is>
          <t>Armament@GARRISONED</t>
        </is>
      </c>
      <c r="L772" s="6" t="n">
        <v>48000</v>
      </c>
      <c r="M772" s="6" t="n">
        <v>48</v>
      </c>
      <c r="N772" s="6" t="n">
        <v>1</v>
      </c>
      <c r="O772" s="6" t="n"/>
      <c r="P772" s="6" t="n">
        <v>3414</v>
      </c>
      <c r="Q772" s="6" t="n">
        <v>0.75</v>
      </c>
      <c r="R772">
        <f>M772+IF(N772&gt;1,N(O772)*(N772-1),0)</f>
        <v/>
      </c>
      <c r="S772">
        <f>IFERROR(L772*MAX(N772,1)/R772*Q772*IF(ISBLANK(K770),1,K770),0)</f>
        <v/>
      </c>
      <c r="AB772" s="7" t="inlineStr">
        <is>
          <t>^LightChemicalWeapon</t>
        </is>
      </c>
    </row>
    <row r="773">
      <c r="A773" t="inlineStr">
        <is>
          <t>tiberiandawn</t>
        </is>
      </c>
      <c r="B773" t="inlineStr">
        <is>
          <t>td_nod_flamethrower</t>
        </is>
      </c>
      <c r="C773" t="inlineStr">
        <is>
          <t>Nod Flamethrower</t>
        </is>
      </c>
      <c r="D773" s="6" t="inlineStr">
        <is>
          <t>MeleeInfantry</t>
        </is>
      </c>
      <c r="E773" s="6" t="n">
        <v>20000</v>
      </c>
      <c r="F773" s="6" t="n">
        <v>60</v>
      </c>
      <c r="G773" t="inlineStr">
        <is>
          <t>Plate</t>
        </is>
      </c>
      <c r="H773" s="6" t="n">
        <v>1</v>
      </c>
      <c r="I773" s="6" t="n">
        <v>0.75</v>
      </c>
      <c r="J773" s="6" t="n">
        <v>1</v>
      </c>
      <c r="K773" s="6" t="n"/>
      <c r="P773">
        <f>MAX(P774)</f>
        <v/>
      </c>
      <c r="S773">
        <f>S774</f>
        <v/>
      </c>
      <c r="T773">
        <f>(E773/100000+F773/100+(P773/1000)*J773/5+S773/200)*200*I773*H773</f>
        <v/>
      </c>
      <c r="U773">
        <f>((E773*F773/25000)+((P773/1000)*J773*S773/2.5))*I773*H773</f>
        <v/>
      </c>
      <c r="V773">
        <f>(E773*F773*(P773/1000)*J773*S773*I773*H773)/12500000</f>
        <v/>
      </c>
      <c r="W773">
        <f>(T773+U773+V773)/3</f>
        <v/>
      </c>
      <c r="X773" s="6" t="n">
        <v>200</v>
      </c>
      <c r="Y773">
        <f>IFERROR(W773-X773,"")</f>
        <v/>
      </c>
      <c r="Z773">
        <f>IFERROR(ABS(Y773)/MAX(X773,1),"")</f>
        <v/>
      </c>
      <c r="AA773">
        <f>IFERROR((X773-(((E773/100000+F773/100+S773/200)*200*I773*H773)+((E773*F773/25000)*I773*H773))/3)/(((J773/5)*200*I773*H773)+((J773*S773/2.5)*I773*H773)+((E773*F773*J773*S773*I773*H773)/12500000))/3*1000,"")</f>
        <v/>
      </c>
    </row>
    <row r="774">
      <c r="B774" s="7" t="inlineStr">
        <is>
          <t xml:space="preserve">  ↳ Flamethrower</t>
        </is>
      </c>
      <c r="C774" s="7" t="inlineStr">
        <is>
          <t>Armament</t>
        </is>
      </c>
      <c r="L774" s="6" t="n">
        <v>20000</v>
      </c>
      <c r="M774" s="6" t="n">
        <v>60</v>
      </c>
      <c r="N774" s="6" t="n">
        <v>1</v>
      </c>
      <c r="O774" s="6" t="n"/>
      <c r="P774" s="6" t="n">
        <v>2085</v>
      </c>
      <c r="Q774" s="6" t="n">
        <v>0.75</v>
      </c>
      <c r="R774">
        <f>M774+IF(N774&gt;1,N(O774)*(N774-1),0)</f>
        <v/>
      </c>
      <c r="S774">
        <f>IFERROR(L774*MAX(N774,1)/R774*Q774*IF(ISBLANK(K773),1,K773),0)</f>
        <v/>
      </c>
      <c r="AB774" s="7" t="inlineStr">
        <is>
          <t>^LightFlameWeapon</t>
        </is>
      </c>
    </row>
    <row r="775">
      <c r="B775" s="7" t="inlineStr">
        <is>
          <t xml:space="preserve">  ↳ Flamethrower</t>
        </is>
      </c>
      <c r="C775" s="7" t="inlineStr">
        <is>
          <t>Armament@GARRISONED</t>
        </is>
      </c>
      <c r="L775" s="6" t="n">
        <v>20000</v>
      </c>
      <c r="M775" s="6" t="n">
        <v>60</v>
      </c>
      <c r="N775" s="6" t="n">
        <v>1</v>
      </c>
      <c r="O775" s="6" t="n"/>
      <c r="P775" s="6" t="n">
        <v>2085</v>
      </c>
      <c r="Q775" s="6" t="n">
        <v>0.75</v>
      </c>
      <c r="R775">
        <f>M775+IF(N775&gt;1,N(O775)*(N775-1),0)</f>
        <v/>
      </c>
      <c r="S775">
        <f>IFERROR(L775*MAX(N775,1)/R775*Q775*IF(ISBLANK(K773),1,K773),0)</f>
        <v/>
      </c>
      <c r="AB775" s="7" t="inlineStr">
        <is>
          <t>^LightFlameWeapon</t>
        </is>
      </c>
    </row>
    <row r="776">
      <c r="A776" t="inlineStr">
        <is>
          <t>redalert</t>
        </is>
      </c>
      <c r="B776" t="inlineStr">
        <is>
          <t>japan_samurai</t>
        </is>
      </c>
      <c r="C776" t="inlineStr">
        <is>
          <t>Samurai</t>
        </is>
      </c>
      <c r="D776" s="6" t="inlineStr">
        <is>
          <t>MeleeInfantry</t>
        </is>
      </c>
      <c r="E776" s="6" t="n">
        <v>35000</v>
      </c>
      <c r="F776" s="6" t="n">
        <v>65</v>
      </c>
      <c r="G776" t="inlineStr">
        <is>
          <t>Plate</t>
        </is>
      </c>
      <c r="H776" s="6" t="n">
        <v>1</v>
      </c>
      <c r="I776" s="6" t="n">
        <v>0.75</v>
      </c>
      <c r="J776" s="6" t="n">
        <v>1</v>
      </c>
      <c r="K776" s="6" t="n"/>
      <c r="P776">
        <f>MAX(P777,P779)</f>
        <v/>
      </c>
      <c r="S776">
        <f>S777+S779</f>
        <v/>
      </c>
      <c r="T776">
        <f>(E776/100000+F776/100+(P776/1000)*J776/5+S776/200)*200*I776*H776</f>
        <v/>
      </c>
      <c r="U776">
        <f>((E776*F776/25000)+((P776/1000)*J776*S776/2.5))*I776*H776</f>
        <v/>
      </c>
      <c r="V776">
        <f>(E776*F776*(P776/1000)*J776*S776*I776*H776)/12500000</f>
        <v/>
      </c>
      <c r="W776">
        <f>(T776+U776+V776)/3</f>
        <v/>
      </c>
      <c r="X776" s="6" t="n">
        <v>300</v>
      </c>
      <c r="Y776">
        <f>IFERROR(W776-X776,"")</f>
        <v/>
      </c>
      <c r="Z776">
        <f>IFERROR(ABS(Y776)/MAX(X776,1),"")</f>
        <v/>
      </c>
      <c r="AA776">
        <f>IFERROR((X776-(((E776/100000+F776/100+S776/200)*200*I776*H776)+((E776*F776/25000)*I776*H776))/3)/(((J776/5)*200*I776*H776)+((J776*S776/2.5)*I776*H776)+((E776*F776*J776*S776*I776*H776)/12500000))/3*1000,"")</f>
        <v/>
      </c>
    </row>
    <row r="777">
      <c r="B777" s="7" t="inlineStr">
        <is>
          <t xml:space="preserve">  ↳ SamuraiBlade</t>
        </is>
      </c>
      <c r="C777" s="7" t="inlineStr">
        <is>
          <t>Armament@PRIMARY</t>
        </is>
      </c>
      <c r="L777" s="6" t="n">
        <v>10000</v>
      </c>
      <c r="M777" s="6" t="n">
        <v>20</v>
      </c>
      <c r="N777" s="6" t="n">
        <v>1</v>
      </c>
      <c r="O777" s="6" t="n"/>
      <c r="P777" s="6" t="n">
        <v>1637</v>
      </c>
      <c r="Q777" s="6" t="n">
        <v>1</v>
      </c>
      <c r="R777">
        <f>M777+IF(N777&gt;1,N(O777)*(N777-1),0)</f>
        <v/>
      </c>
      <c r="S777">
        <f>IFERROR(L777*MAX(N777,1)/R777*Q777*IF(ISBLANK(K776),1,K776),0)</f>
        <v/>
      </c>
      <c r="AB777" s="7" t="inlineStr">
        <is>
          <t>^SwordWeapon</t>
        </is>
      </c>
    </row>
    <row r="778">
      <c r="B778" s="7" t="inlineStr">
        <is>
          <t xml:space="preserve">  ↳ SamuraiBlade</t>
        </is>
      </c>
      <c r="C778" s="7" t="inlineStr">
        <is>
          <t>Armament@GARRISONED</t>
        </is>
      </c>
      <c r="L778" s="6" t="n">
        <v>10000</v>
      </c>
      <c r="M778" s="6" t="n">
        <v>20</v>
      </c>
      <c r="N778" s="6" t="n">
        <v>1</v>
      </c>
      <c r="O778" s="6" t="n"/>
      <c r="P778" s="6" t="n">
        <v>1637</v>
      </c>
      <c r="Q778" s="6" t="n">
        <v>1</v>
      </c>
      <c r="R778">
        <f>M778+IF(N778&gt;1,N(O778)*(N778-1),0)</f>
        <v/>
      </c>
      <c r="S778">
        <f>IFERROR(L778*MAX(N778,1)/R778*Q778*IF(ISBLANK(K776),1,K776),0)</f>
        <v/>
      </c>
      <c r="AB778" s="7" t="inlineStr">
        <is>
          <t>^SwordWeapon</t>
        </is>
      </c>
    </row>
    <row r="779">
      <c r="B779" s="7" t="inlineStr">
        <is>
          <t xml:space="preserve">  ↳ SamuraiBladeCharged</t>
        </is>
      </c>
      <c r="C779" s="7" t="inlineStr">
        <is>
          <t>Armament@Upgrade</t>
        </is>
      </c>
      <c r="L779" s="6" t="n">
        <v>10000</v>
      </c>
      <c r="M779" s="6" t="n">
        <v>20</v>
      </c>
      <c r="N779" s="6" t="n">
        <v>1</v>
      </c>
      <c r="O779" s="6" t="n"/>
      <c r="P779" s="6" t="n">
        <v>1637</v>
      </c>
      <c r="Q779" s="6" t="n">
        <v>1</v>
      </c>
      <c r="R779">
        <f>M779+IF(N779&gt;1,N(O779)*(N779-1),0)</f>
        <v/>
      </c>
      <c r="S779">
        <f>IFERROR(L779*MAX(N779,1)/R779*Q779*IF(ISBLANK(K776),1,K776),0)</f>
        <v/>
      </c>
      <c r="AB779" s="7" t="inlineStr">
        <is>
          <t>^TeslaWeapon, ^SwordWeapon</t>
        </is>
      </c>
    </row>
    <row r="780">
      <c r="B780" s="7" t="inlineStr">
        <is>
          <t xml:space="preserve">  ↳ SamuraiBladeCharged</t>
        </is>
      </c>
      <c r="C780" s="7" t="inlineStr">
        <is>
          <t>Armament@UpgradeGARRISONED</t>
        </is>
      </c>
      <c r="L780" s="6" t="n">
        <v>10000</v>
      </c>
      <c r="M780" s="6" t="n">
        <v>20</v>
      </c>
      <c r="N780" s="6" t="n">
        <v>1</v>
      </c>
      <c r="O780" s="6" t="n"/>
      <c r="P780" s="6" t="n">
        <v>1637</v>
      </c>
      <c r="Q780" s="6" t="n">
        <v>1</v>
      </c>
      <c r="R780">
        <f>M780+IF(N780&gt;1,N(O780)*(N780-1),0)</f>
        <v/>
      </c>
      <c r="S780">
        <f>IFERROR(L780*MAX(N780,1)/R780*Q780*IF(ISBLANK(K776),1,K776),0)</f>
        <v/>
      </c>
      <c r="AB780" s="7" t="inlineStr">
        <is>
          <t>^TeslaWeapon, ^SwordWeapon</t>
        </is>
      </c>
    </row>
    <row r="781">
      <c r="A781" t="inlineStr">
        <is>
          <t>tiberiansun</t>
        </is>
      </c>
      <c r="B781" t="inlineStr">
        <is>
          <t>ts_nod_chameleonspy</t>
        </is>
      </c>
      <c r="C781" t="inlineStr">
        <is>
          <t>Chameleon Spy</t>
        </is>
      </c>
      <c r="D781" s="6" t="inlineStr">
        <is>
          <t>MeleeInfantry</t>
        </is>
      </c>
      <c r="E781" s="6" t="n">
        <v>30000</v>
      </c>
      <c r="F781" s="6" t="n">
        <v>90</v>
      </c>
      <c r="G781" t="inlineStr">
        <is>
          <t>Plate</t>
        </is>
      </c>
      <c r="H781" s="6" t="n">
        <v>1</v>
      </c>
      <c r="I781" s="6" t="n">
        <v>1</v>
      </c>
      <c r="J781" s="6" t="n">
        <v>1</v>
      </c>
      <c r="K781" s="6" t="n"/>
      <c r="P781">
        <f>MAX(P782)</f>
        <v/>
      </c>
      <c r="S781">
        <f>S782</f>
        <v/>
      </c>
      <c r="T781">
        <f>(E781/100000+F781/100+(P781/1000)*J781/5+S781/200)*200*I781*H781</f>
        <v/>
      </c>
      <c r="U781">
        <f>((E781*F781/25000)+((P781/1000)*J781*S781/2.5))*I781*H781</f>
        <v/>
      </c>
      <c r="V781">
        <f>(E781*F781*(P781/1000)*J781*S781*I781*H781)/12500000</f>
        <v/>
      </c>
      <c r="W781">
        <f>(T781+U781+V781)/3</f>
        <v/>
      </c>
      <c r="X781" s="6" t="n">
        <v>500</v>
      </c>
      <c r="Y781">
        <f>IFERROR(W781-X781,"")</f>
        <v/>
      </c>
      <c r="Z781">
        <f>IFERROR(ABS(Y781)/MAX(X781,1),"")</f>
        <v/>
      </c>
      <c r="AA781">
        <f>IFERROR((X781-(((E781/100000+F781/100+S781/200)*200*I781*H781)+((E781*F781/25000)*I781*H781))/3)/(((J781/5)*200*I781*H781)+((J781*S781/2.5)*I781*H781)+((E781*F781*J781*S781*I781*H781)/12500000))/3*1000,"")</f>
        <v/>
      </c>
    </row>
    <row r="782">
      <c r="B782" s="7" t="inlineStr">
        <is>
          <t xml:space="preserve">  ↳ ChamBlade</t>
        </is>
      </c>
      <c r="C782" s="7" t="inlineStr">
        <is>
          <t>Armament@PRIMARY</t>
        </is>
      </c>
      <c r="L782" s="6" t="n">
        <v>50000</v>
      </c>
      <c r="M782" s="6" t="n">
        <v>52</v>
      </c>
      <c r="N782" s="6" t="n">
        <v>1</v>
      </c>
      <c r="O782" s="6" t="n"/>
      <c r="P782" s="6" t="n">
        <v>1538</v>
      </c>
      <c r="Q782" s="6" t="n">
        <v>0.75</v>
      </c>
      <c r="R782">
        <f>M782+IF(N782&gt;1,N(O782)*(N782-1),0)</f>
        <v/>
      </c>
      <c r="S782">
        <f>IFERROR(L782*MAX(N782,1)/R782*Q782*IF(ISBLANK(K781),1,K781),0)</f>
        <v/>
      </c>
      <c r="AB782" s="7" t="inlineStr">
        <is>
          <t>^SniperWeapon</t>
        </is>
      </c>
    </row>
    <row r="783">
      <c r="A783" t="inlineStr">
        <is>
          <t>tiberiansun</t>
        </is>
      </c>
      <c r="B783" t="inlineStr">
        <is>
          <t>ts_nod_shadowteam</t>
        </is>
      </c>
      <c r="C783" t="inlineStr">
        <is>
          <t>actor_ts_nod_shadowteam.name</t>
        </is>
      </c>
      <c r="D783" s="6" t="inlineStr">
        <is>
          <t>MeleeInfantry</t>
        </is>
      </c>
      <c r="E783" s="6" t="n">
        <v>30000</v>
      </c>
      <c r="F783" s="6" t="n">
        <v>60</v>
      </c>
      <c r="G783" t="inlineStr">
        <is>
          <t>Plate</t>
        </is>
      </c>
      <c r="H783" s="6" t="n">
        <v>1</v>
      </c>
      <c r="I783" s="6" t="n">
        <v>1</v>
      </c>
      <c r="J783" s="6" t="n">
        <v>1</v>
      </c>
      <c r="K783" s="6" t="n"/>
      <c r="P783">
        <f>MAX(P784,P786)</f>
        <v/>
      </c>
      <c r="S783">
        <f>S784+S786</f>
        <v/>
      </c>
      <c r="T783">
        <f>(E783/100000+F783/100+(P783/1000)*J783/5+S783/200)*200*I783*H783</f>
        <v/>
      </c>
      <c r="U783">
        <f>((E783*F783/25000)+((P783/1000)*J783*S783/2.5))*I783*H783</f>
        <v/>
      </c>
      <c r="V783">
        <f>(E783*F783*(P783/1000)*J783*S783*I783*H783)/12500000</f>
        <v/>
      </c>
      <c r="W783">
        <f>(T783+U783+V783)/3</f>
        <v/>
      </c>
      <c r="X783" s="6" t="n">
        <v>900</v>
      </c>
      <c r="Y783">
        <f>IFERROR(W783-X783,"")</f>
        <v/>
      </c>
      <c r="Z783">
        <f>IFERROR(ABS(Y783)/MAX(X783,1),"")</f>
        <v/>
      </c>
      <c r="AA783">
        <f>IFERROR((X783-(((E783/100000+F783/100+S783/200)*200*I783*H783)+((E783*F783/25000)*I783*H783))/3)/(((J783/5)*200*I783*H783)+((J783*S783/2.5)*I783*H783)+((E783*F783*J783*S783*I783*H783)/12500000))/3*1000,"")</f>
        <v/>
      </c>
    </row>
    <row r="784">
      <c r="B784" s="7" t="inlineStr">
        <is>
          <t xml:space="preserve">  ↳ TSShadowTeamPistols</t>
        </is>
      </c>
      <c r="C784" s="7" t="inlineStr">
        <is>
          <t>Armament@PRIMARY</t>
        </is>
      </c>
      <c r="L784" s="6" t="n">
        <v>7000</v>
      </c>
      <c r="M784" s="6" t="n">
        <v>12</v>
      </c>
      <c r="N784" s="6" t="n">
        <v>2</v>
      </c>
      <c r="O784" s="6" t="n">
        <v>3</v>
      </c>
      <c r="P784" s="6" t="n">
        <v>8000</v>
      </c>
      <c r="Q784" s="6" t="n">
        <v>0.75</v>
      </c>
      <c r="R784">
        <f>M784+IF(N784&gt;1,N(O784)*(N784-1),0)</f>
        <v/>
      </c>
      <c r="S784">
        <f>IFERROR(L784*MAX(N784,1)/R784*Q784*IF(ISBLANK(K783),1,K783),0)</f>
        <v/>
      </c>
      <c r="AB784" s="7" t="inlineStr">
        <is>
          <t>^SniperWeapon</t>
        </is>
      </c>
    </row>
    <row r="785">
      <c r="B785" s="7" t="inlineStr">
        <is>
          <t xml:space="preserve">  ↳ TSShadowTeamPistols</t>
        </is>
      </c>
      <c r="C785" s="7" t="inlineStr">
        <is>
          <t>Armament@GARRISONED</t>
        </is>
      </c>
      <c r="L785" s="6" t="n">
        <v>7000</v>
      </c>
      <c r="M785" s="6" t="n">
        <v>12</v>
      </c>
      <c r="N785" s="6" t="n">
        <v>2</v>
      </c>
      <c r="O785" s="6" t="n">
        <v>3</v>
      </c>
      <c r="P785" s="6" t="n">
        <v>8000</v>
      </c>
      <c r="Q785" s="6" t="n">
        <v>0.75</v>
      </c>
      <c r="R785">
        <f>M785+IF(N785&gt;1,N(O785)*(N785-1),0)</f>
        <v/>
      </c>
      <c r="S785">
        <f>IFERROR(L785*MAX(N785,1)/R785*Q785*IF(ISBLANK(K783),1,K783),0)</f>
        <v/>
      </c>
      <c r="AB785" s="7" t="inlineStr">
        <is>
          <t>^SniperWeapon</t>
        </is>
      </c>
    </row>
    <row r="786">
      <c r="B786" s="7" t="inlineStr">
        <is>
          <t xml:space="preserve">  ↳ TSShadowTeamAttach</t>
        </is>
      </c>
      <c r="C786" s="7" t="inlineStr">
        <is>
          <t>Armament@C4</t>
        </is>
      </c>
      <c r="L786" s="6" t="n"/>
      <c r="M786" s="6" t="n">
        <v>20</v>
      </c>
      <c r="N786" s="6" t="n">
        <v>1</v>
      </c>
      <c r="O786" s="6" t="n"/>
      <c r="P786" s="6" t="n">
        <v>2000</v>
      </c>
      <c r="Q786" s="6" t="n">
        <v>1</v>
      </c>
      <c r="R786">
        <f>M786+IF(N786&gt;1,N(O786)*(N786-1),0)</f>
        <v/>
      </c>
      <c r="S786">
        <f>IFERROR(L786*MAX(N786,1)/R786*Q786*IF(ISBLANK(K783),1,K783),0)</f>
        <v/>
      </c>
      <c r="AB786" s="7" t="inlineStr"/>
    </row>
    <row r="787">
      <c r="A787" t="inlineStr">
        <is>
          <t>tiberiansun</t>
        </is>
      </c>
      <c r="B787" t="inlineStr">
        <is>
          <t>ts_gdi_riottrooper</t>
        </is>
      </c>
      <c r="C787" t="inlineStr">
        <is>
          <t>Riot Trooper</t>
        </is>
      </c>
      <c r="D787" s="6" t="inlineStr">
        <is>
          <t>MeleeInfantry</t>
        </is>
      </c>
      <c r="E787" s="6" t="n">
        <v>54000</v>
      </c>
      <c r="F787" s="6" t="n">
        <v>60</v>
      </c>
      <c r="G787" t="inlineStr">
        <is>
          <t>Plate</t>
        </is>
      </c>
      <c r="H787" s="6" t="n">
        <v>1</v>
      </c>
      <c r="I787" s="6" t="n">
        <v>1</v>
      </c>
      <c r="J787" s="6" t="n">
        <v>1</v>
      </c>
      <c r="K787" s="6" t="n"/>
      <c r="P787">
        <f>MAX(P788)</f>
        <v/>
      </c>
      <c r="S787">
        <f>S788</f>
        <v/>
      </c>
      <c r="T787">
        <f>(E787/100000+F787/100+(P787/1000)*J787/5+S787/200)*200*I787*H787</f>
        <v/>
      </c>
      <c r="U787">
        <f>((E787*F787/25000)+((P787/1000)*J787*S787/2.5))*I787*H787</f>
        <v/>
      </c>
      <c r="V787">
        <f>(E787*F787*(P787/1000)*J787*S787*I787*H787)/12500000</f>
        <v/>
      </c>
      <c r="W787">
        <f>(T787+U787+V787)/3</f>
        <v/>
      </c>
      <c r="X787" s="6" t="n">
        <v>700</v>
      </c>
      <c r="Y787">
        <f>IFERROR(W787-X787,"")</f>
        <v/>
      </c>
      <c r="Z787">
        <f>IFERROR(ABS(Y787)/MAX(X787,1),"")</f>
        <v/>
      </c>
      <c r="AA787">
        <f>IFERROR((X787-(((E787/100000+F787/100+S787/200)*200*I787*H787)+((E787*F787/25000)*I787*H787))/3)/(((J787/5)*200*I787*H787)+((J787*S787/2.5)*I787*H787)+((E787*F787*J787*S787*I787*H787)/12500000))/3*1000,"")</f>
        <v/>
      </c>
    </row>
    <row r="788">
      <c r="B788" s="7" t="inlineStr">
        <is>
          <t xml:space="preserve">  ↳ TSShotgun</t>
        </is>
      </c>
      <c r="C788" s="7" t="inlineStr">
        <is>
          <t>Armament@PRIMARY</t>
        </is>
      </c>
      <c r="L788" s="6" t="n">
        <v>4000</v>
      </c>
      <c r="M788" s="6" t="n">
        <v>46</v>
      </c>
      <c r="N788" s="6" t="n">
        <v>1</v>
      </c>
      <c r="O788" s="6" t="n"/>
      <c r="P788" s="6" t="n">
        <v>4002</v>
      </c>
      <c r="Q788" s="6" t="n">
        <v>0.95</v>
      </c>
      <c r="R788">
        <f>M788+IF(N788&gt;1,N(O788)*(N788-1),0)</f>
        <v/>
      </c>
      <c r="S788">
        <f>IFERROR(L788*MAX(N788,1)/R788*Q788*IF(ISBLANK(K787),1,K787),0)</f>
        <v/>
      </c>
      <c r="AB788" s="7" t="inlineStr">
        <is>
          <t>^Grenade, ^ShrapnelWeapon, ^TankDestroyerCannon, ^MediumCannon, ^SmallArms, ^Chaingun</t>
        </is>
      </c>
    </row>
    <row r="789">
      <c r="B789" s="7" t="inlineStr">
        <is>
          <t xml:space="preserve">  ↳ TSShotgun</t>
        </is>
      </c>
      <c r="C789" s="7" t="inlineStr">
        <is>
          <t>Armament@GARRISONED</t>
        </is>
      </c>
      <c r="L789" s="6" t="n">
        <v>4000</v>
      </c>
      <c r="M789" s="6" t="n">
        <v>46</v>
      </c>
      <c r="N789" s="6" t="n">
        <v>1</v>
      </c>
      <c r="O789" s="6" t="n"/>
      <c r="P789" s="6" t="n">
        <v>4002</v>
      </c>
      <c r="Q789" s="6" t="n">
        <v>0.95</v>
      </c>
      <c r="R789">
        <f>M789+IF(N789&gt;1,N(O789)*(N789-1),0)</f>
        <v/>
      </c>
      <c r="S789">
        <f>IFERROR(L789*MAX(N789,1)/R789*Q789*IF(ISBLANK(K787),1,K787),0)</f>
        <v/>
      </c>
      <c r="AB789" s="7" t="inlineStr">
        <is>
          <t>^Grenade, ^ShrapnelWeapon, ^TankDestroyerCannon, ^MediumCannon, ^SmallArms, ^Chaingun</t>
        </is>
      </c>
    </row>
    <row r="790">
      <c r="A790" t="inlineStr">
        <is>
          <t>tiberiansun</t>
        </is>
      </c>
      <c r="B790" t="inlineStr">
        <is>
          <t>forgotten_chemsprayinfantry</t>
        </is>
      </c>
      <c r="C790" t="inlineStr">
        <is>
          <t>actor_forgotten_chemsprayinfantry.name</t>
        </is>
      </c>
      <c r="D790" s="6" t="inlineStr">
        <is>
          <t>MeleeInfantry</t>
        </is>
      </c>
      <c r="E790" s="6" t="n">
        <v>64000</v>
      </c>
      <c r="F790" s="6" t="n">
        <v>55</v>
      </c>
      <c r="G790" t="inlineStr">
        <is>
          <t>Plate</t>
        </is>
      </c>
      <c r="H790" s="6" t="n">
        <v>1</v>
      </c>
      <c r="I790" s="6" t="n">
        <v>1</v>
      </c>
      <c r="J790" s="6" t="n">
        <v>1</v>
      </c>
      <c r="K790" s="6" t="n"/>
      <c r="P790">
        <f>MAX(P791,P792)</f>
        <v/>
      </c>
      <c r="S790">
        <f>S791+S792</f>
        <v/>
      </c>
      <c r="T790">
        <f>(E790/100000+F790/100+(P790/1000)*J790/5+S790/200)*200*I790*H790</f>
        <v/>
      </c>
      <c r="U790">
        <f>((E790*F790/25000)+((P790/1000)*J790*S790/2.5))*I790*H790</f>
        <v/>
      </c>
      <c r="V790">
        <f>(E790*F790*(P790/1000)*J790*S790*I790*H790)/12500000</f>
        <v/>
      </c>
      <c r="W790">
        <f>(T790+U790+V790)/3</f>
        <v/>
      </c>
      <c r="X790" s="6" t="n">
        <v>700</v>
      </c>
      <c r="Y790">
        <f>IFERROR(W790-X790,"")</f>
        <v/>
      </c>
      <c r="Z790">
        <f>IFERROR(ABS(Y790)/MAX(X790,1),"")</f>
        <v/>
      </c>
      <c r="AA790">
        <f>IFERROR((X790-(((E790/100000+F790/100+S790/200)*200*I790*H790)+((E790*F790/25000)*I790*H790))/3)/(((J790/5)*200*I790*H790)+((J790*S790/2.5)*I790*H790)+((E790*F790*J790*S790*I790*H790)/12500000))/3*1000,"")</f>
        <v/>
      </c>
    </row>
    <row r="791">
      <c r="B791" s="7" t="inlineStr">
        <is>
          <t xml:space="preserve">  ↳ TSChemspray</t>
        </is>
      </c>
      <c r="C791" s="7" t="inlineStr">
        <is>
          <t>Armament@PRIMARY</t>
        </is>
      </c>
      <c r="L791" s="6" t="n">
        <v>32000</v>
      </c>
      <c r="M791" s="6" t="n">
        <v>55</v>
      </c>
      <c r="N791" s="6" t="n">
        <v>1</v>
      </c>
      <c r="O791" s="6" t="n"/>
      <c r="P791" s="6" t="n">
        <v>3183</v>
      </c>
      <c r="Q791" s="6" t="n">
        <v>0.875</v>
      </c>
      <c r="R791">
        <f>M791+IF(N791&gt;1,N(O791)*(N791-1),0)</f>
        <v/>
      </c>
      <c r="S791">
        <f>IFERROR(L791*MAX(N791,1)/R791*Q791*IF(ISBLANK(K790),1,K790),0)</f>
        <v/>
      </c>
      <c r="AB791" s="7" t="inlineStr">
        <is>
          <t>^LightChemicalWeapon, ^MediumChemicalWeapon</t>
        </is>
      </c>
    </row>
    <row r="792">
      <c r="B792" s="7" t="inlineStr">
        <is>
          <t xml:space="preserve">  ↳ TSChemsprayUp</t>
        </is>
      </c>
      <c r="C792" s="7" t="inlineStr">
        <is>
          <t>Armament@UPGRADE</t>
        </is>
      </c>
      <c r="L792" s="6" t="n">
        <v>32000</v>
      </c>
      <c r="M792" s="6" t="n">
        <v>55</v>
      </c>
      <c r="N792" s="6" t="n">
        <v>1</v>
      </c>
      <c r="O792" s="6" t="n"/>
      <c r="P792" s="6" t="n">
        <v>3183</v>
      </c>
      <c r="Q792" s="6" t="n">
        <v>1</v>
      </c>
      <c r="R792">
        <f>M792+IF(N792&gt;1,N(O792)*(N792-1),0)</f>
        <v/>
      </c>
      <c r="S792">
        <f>IFERROR(L792*MAX(N792,1)/R792*Q792*IF(ISBLANK(K790),1,K790),0)</f>
        <v/>
      </c>
      <c r="AB792" s="7" t="inlineStr">
        <is>
          <t>^LightChemicalWeapon, ^MediumChemicalWeapon, ^HeavyChemicalWeapon</t>
        </is>
      </c>
    </row>
    <row r="793">
      <c r="B793" s="7" t="inlineStr">
        <is>
          <t xml:space="preserve">  ↳ TSChemspray</t>
        </is>
      </c>
      <c r="C793" s="7" t="inlineStr">
        <is>
          <t>Armament@GARRISONED</t>
        </is>
      </c>
      <c r="L793" s="6" t="n">
        <v>32000</v>
      </c>
      <c r="M793" s="6" t="n">
        <v>55</v>
      </c>
      <c r="N793" s="6" t="n">
        <v>1</v>
      </c>
      <c r="O793" s="6" t="n"/>
      <c r="P793" s="6" t="n">
        <v>3183</v>
      </c>
      <c r="Q793" s="6" t="n">
        <v>0.875</v>
      </c>
      <c r="R793">
        <f>M793+IF(N793&gt;1,N(O793)*(N793-1),0)</f>
        <v/>
      </c>
      <c r="S793">
        <f>IFERROR(L793*MAX(N793,1)/R793*Q793*IF(ISBLANK(K790),1,K790),0)</f>
        <v/>
      </c>
      <c r="AB793" s="7" t="inlineStr">
        <is>
          <t>^LightChemicalWeapon, ^MediumChemicalWeapon</t>
        </is>
      </c>
    </row>
    <row r="794">
      <c r="B794" s="7" t="inlineStr">
        <is>
          <t xml:space="preserve">  ↳ TSChemsprayUP</t>
        </is>
      </c>
      <c r="C794" s="7" t="inlineStr">
        <is>
          <t>Armament@GARRISONEDUPGRADE</t>
        </is>
      </c>
      <c r="L794" s="6" t="n">
        <v>32000</v>
      </c>
      <c r="M794" s="6" t="n">
        <v>55</v>
      </c>
      <c r="N794" s="6" t="n">
        <v>1</v>
      </c>
      <c r="O794" s="6" t="n"/>
      <c r="P794" s="6" t="n">
        <v>3183</v>
      </c>
      <c r="Q794" s="6" t="n">
        <v>1</v>
      </c>
      <c r="R794">
        <f>M794+IF(N794&gt;1,N(O794)*(N794-1),0)</f>
        <v/>
      </c>
      <c r="S794">
        <f>IFERROR(L794*MAX(N794,1)/R794*Q794*IF(ISBLANK(K790),1,K790),0)</f>
        <v/>
      </c>
      <c r="AB794" s="7" t="inlineStr">
        <is>
          <t>^LightChemicalWeapon, ^MediumChemicalWeapon, ^HeavyChemicalWeapon</t>
        </is>
      </c>
    </row>
    <row r="795">
      <c r="A795" t="inlineStr">
        <is>
          <t>tiberiansun</t>
        </is>
      </c>
      <c r="B795" t="inlineStr">
        <is>
          <t>forgotten_runnershotgal</t>
        </is>
      </c>
      <c r="C795" t="inlineStr">
        <is>
          <t>actor_forgotten_runnershotgal.name</t>
        </is>
      </c>
      <c r="D795" s="6" t="inlineStr">
        <is>
          <t>MeleeInfantry</t>
        </is>
      </c>
      <c r="E795" s="6" t="n">
        <v>30000</v>
      </c>
      <c r="F795" s="6" t="n">
        <v>85</v>
      </c>
      <c r="G795" t="inlineStr">
        <is>
          <t>Plate</t>
        </is>
      </c>
      <c r="H795" s="6" t="n">
        <v>1</v>
      </c>
      <c r="I795" s="6" t="n">
        <v>1</v>
      </c>
      <c r="J795" s="6" t="n">
        <v>1</v>
      </c>
      <c r="K795" s="6" t="n"/>
      <c r="P795">
        <f>MAX(P796)</f>
        <v/>
      </c>
      <c r="S795">
        <f>S796</f>
        <v/>
      </c>
      <c r="T795">
        <f>(E795/100000+F795/100+(P795/1000)*J795/5+S795/200)*200*I795*H795</f>
        <v/>
      </c>
      <c r="U795">
        <f>((E795*F795/25000)+((P795/1000)*J795*S795/2.5))*I795*H795</f>
        <v/>
      </c>
      <c r="V795">
        <f>(E795*F795*(P795/1000)*J795*S795*I795*H795)/12500000</f>
        <v/>
      </c>
      <c r="W795">
        <f>(T795+U795+V795)/3</f>
        <v/>
      </c>
      <c r="X795" s="6" t="n">
        <v>750</v>
      </c>
      <c r="Y795">
        <f>IFERROR(W795-X795,"")</f>
        <v/>
      </c>
      <c r="Z795">
        <f>IFERROR(ABS(Y795)/MAX(X795,1),"")</f>
        <v/>
      </c>
      <c r="AA795">
        <f>IFERROR((X795-(((E795/100000+F795/100+S795/200)*200*I795*H795)+((E795*F795/25000)*I795*H795))/3)/(((J795/5)*200*I795*H795)+((J795*S795/2.5)*I795*H795)+((E795*F795*J795*S795*I795*H795)/12500000))/3*1000,"")</f>
        <v/>
      </c>
    </row>
    <row r="796">
      <c r="B796" s="7" t="inlineStr">
        <is>
          <t xml:space="preserve">  ↳ TSMutShotgun</t>
        </is>
      </c>
      <c r="C796" s="7" t="inlineStr">
        <is>
          <t>Armament@PRIMARY</t>
        </is>
      </c>
      <c r="L796" s="6" t="n">
        <v>4000</v>
      </c>
      <c r="M796" s="6" t="n">
        <v>32</v>
      </c>
      <c r="N796" s="6" t="n">
        <v>1</v>
      </c>
      <c r="O796" s="6" t="n"/>
      <c r="P796" s="6" t="n">
        <v>3112</v>
      </c>
      <c r="Q796" s="6" t="n">
        <v>0.95</v>
      </c>
      <c r="R796">
        <f>M796+IF(N796&gt;1,N(O796)*(N796-1),0)</f>
        <v/>
      </c>
      <c r="S796">
        <f>IFERROR(L796*MAX(N796,1)/R796*Q796*IF(ISBLANK(K795),1,K795),0)</f>
        <v/>
      </c>
      <c r="AB796" s="7" t="inlineStr">
        <is>
          <t>^Grenade, ^ShrapnelWeapon, ^TankDestroyerCannon, ^MediumCannon, ^SmallArms, ^Chaingun</t>
        </is>
      </c>
    </row>
    <row r="797">
      <c r="B797" s="7" t="inlineStr">
        <is>
          <t xml:space="preserve">  ↳ TSMutShotgun</t>
        </is>
      </c>
      <c r="C797" s="7" t="inlineStr">
        <is>
          <t>Armament@GARRISONED</t>
        </is>
      </c>
      <c r="L797" s="6" t="n">
        <v>4000</v>
      </c>
      <c r="M797" s="6" t="n">
        <v>32</v>
      </c>
      <c r="N797" s="6" t="n">
        <v>1</v>
      </c>
      <c r="O797" s="6" t="n"/>
      <c r="P797" s="6" t="n">
        <v>3112</v>
      </c>
      <c r="Q797" s="6" t="n">
        <v>0.95</v>
      </c>
      <c r="R797">
        <f>M797+IF(N797&gt;1,N(O797)*(N797-1),0)</f>
        <v/>
      </c>
      <c r="S797">
        <f>IFERROR(L797*MAX(N797,1)/R797*Q797*IF(ISBLANK(K795),1,K795),0)</f>
        <v/>
      </c>
      <c r="AB797" s="7" t="inlineStr">
        <is>
          <t>^Grenade, ^ShrapnelWeapon, ^TankDestroyerCannon, ^MediumCannon, ^SmallArms, ^Chaingun</t>
        </is>
      </c>
    </row>
    <row r="798">
      <c r="A798" t="inlineStr">
        <is>
          <t>tiberiansun</t>
        </is>
      </c>
      <c r="B798" t="inlineStr">
        <is>
          <t>forgotten_visceroid</t>
        </is>
      </c>
      <c r="C798" t="inlineStr">
        <is>
          <t>Spray'em</t>
        </is>
      </c>
      <c r="D798" s="6" t="inlineStr">
        <is>
          <t>MeleeInfantry</t>
        </is>
      </c>
      <c r="E798" s="6" t="n">
        <v>50000</v>
      </c>
      <c r="F798" s="6" t="n">
        <v>80</v>
      </c>
      <c r="G798" t="inlineStr">
        <is>
          <t>Plate</t>
        </is>
      </c>
      <c r="H798" s="6" t="n">
        <v>1</v>
      </c>
      <c r="I798" s="6" t="n">
        <v>1</v>
      </c>
      <c r="J798" s="6" t="n">
        <v>1</v>
      </c>
      <c r="K798" s="6" t="n"/>
      <c r="P798">
        <f>MAX(P799,P801)</f>
        <v/>
      </c>
      <c r="S798">
        <f>S799+S801</f>
        <v/>
      </c>
      <c r="T798">
        <f>(E798/100000+F798/100+(P798/1000)*J798/5+S798/200)*200*I798*H798</f>
        <v/>
      </c>
      <c r="U798">
        <f>((E798*F798/25000)+((P798/1000)*J798*S798/2.5))*I798*H798</f>
        <v/>
      </c>
      <c r="V798">
        <f>(E798*F798*(P798/1000)*J798*S798*I798*H798)/12500000</f>
        <v/>
      </c>
      <c r="W798">
        <f>(T798+U798+V798)/3</f>
        <v/>
      </c>
      <c r="X798" s="6" t="n">
        <v>500</v>
      </c>
      <c r="Y798">
        <f>IFERROR(W798-X798,"")</f>
        <v/>
      </c>
      <c r="Z798">
        <f>IFERROR(ABS(Y798)/MAX(X798,1),"")</f>
        <v/>
      </c>
      <c r="AA798">
        <f>IFERROR((X798-(((E798/100000+F798/100+S798/200)*200*I798*H798)+((E798*F798/25000)*I798*H798))/3)/(((J798/5)*200*I798*H798)+((J798*S798/2.5)*I798*H798)+((E798*F798*J798*S798*I798*H798)/12500000))/3*1000,"")</f>
        <v/>
      </c>
    </row>
    <row r="799">
      <c r="B799" s="7" t="inlineStr">
        <is>
          <t xml:space="preserve">  ↳ TSVisceroidSpray</t>
        </is>
      </c>
      <c r="C799" s="7" t="inlineStr">
        <is>
          <t>Armament@PRIMARY</t>
        </is>
      </c>
      <c r="L799" s="6" t="n">
        <v>10000</v>
      </c>
      <c r="M799" s="6" t="n">
        <v>25</v>
      </c>
      <c r="N799" s="6" t="n">
        <v>1</v>
      </c>
      <c r="O799" s="6" t="n"/>
      <c r="P799" s="6" t="n">
        <v>1618</v>
      </c>
      <c r="Q799" s="6" t="n">
        <v>0.875</v>
      </c>
      <c r="R799">
        <f>M799+IF(N799&gt;1,N(O799)*(N799-1),0)</f>
        <v/>
      </c>
      <c r="S799">
        <f>IFERROR(L799*MAX(N799,1)/R799*Q799*IF(ISBLANK(K798),1,K798),0)</f>
        <v/>
      </c>
      <c r="AB799" s="7" t="inlineStr">
        <is>
          <t>^LightChemicalWeapon, ^MediumChemicalWeapon</t>
        </is>
      </c>
    </row>
    <row r="800">
      <c r="B800" s="7" t="inlineStr">
        <is>
          <t xml:space="preserve">  ↳ TSVisceroidSpray</t>
        </is>
      </c>
      <c r="C800" s="7" t="inlineStr">
        <is>
          <t>Armament@GARRISONED</t>
        </is>
      </c>
      <c r="L800" s="6" t="n">
        <v>10000</v>
      </c>
      <c r="M800" s="6" t="n">
        <v>25</v>
      </c>
      <c r="N800" s="6" t="n">
        <v>1</v>
      </c>
      <c r="O800" s="6" t="n"/>
      <c r="P800" s="6" t="n">
        <v>1618</v>
      </c>
      <c r="Q800" s="6" t="n">
        <v>0.875</v>
      </c>
      <c r="R800">
        <f>M800+IF(N800&gt;1,N(O800)*(N800-1),0)</f>
        <v/>
      </c>
      <c r="S800">
        <f>IFERROR(L800*MAX(N800,1)/R800*Q800*IF(ISBLANK(K798),1,K798),0)</f>
        <v/>
      </c>
      <c r="AB800" s="7" t="inlineStr">
        <is>
          <t>^LightChemicalWeapon, ^MediumChemicalWeapon</t>
        </is>
      </c>
    </row>
    <row r="801">
      <c r="B801" s="7" t="inlineStr">
        <is>
          <t xml:space="preserve">  ↳ TSVisceroidSprayUP</t>
        </is>
      </c>
      <c r="C801" s="7" t="inlineStr">
        <is>
          <t>Armament@UPGRADE</t>
        </is>
      </c>
      <c r="L801" s="6" t="n">
        <v>10000</v>
      </c>
      <c r="M801" s="6" t="n">
        <v>25</v>
      </c>
      <c r="N801" s="6" t="n">
        <v>1</v>
      </c>
      <c r="O801" s="6" t="n"/>
      <c r="P801" s="6" t="n">
        <v>1618</v>
      </c>
      <c r="Q801" s="6" t="n">
        <v>1</v>
      </c>
      <c r="R801">
        <f>M801+IF(N801&gt;1,N(O801)*(N801-1),0)</f>
        <v/>
      </c>
      <c r="S801">
        <f>IFERROR(L801*MAX(N801,1)/R801*Q801*IF(ISBLANK(K798),1,K798),0)</f>
        <v/>
      </c>
      <c r="AB801" s="7" t="inlineStr">
        <is>
          <t>^LightChemicalWeapon, ^MediumChemicalWeapon, ^HeavyChemicalWeapon</t>
        </is>
      </c>
    </row>
    <row r="802">
      <c r="B802" s="7" t="inlineStr">
        <is>
          <t xml:space="preserve">  ↳ TSVisceroidSprayUP</t>
        </is>
      </c>
      <c r="C802" s="7" t="inlineStr">
        <is>
          <t>Armament@GARRISONEDUPGRADE</t>
        </is>
      </c>
      <c r="L802" s="6" t="n">
        <v>10000</v>
      </c>
      <c r="M802" s="6" t="n">
        <v>25</v>
      </c>
      <c r="N802" s="6" t="n">
        <v>1</v>
      </c>
      <c r="O802" s="6" t="n"/>
      <c r="P802" s="6" t="n">
        <v>1618</v>
      </c>
      <c r="Q802" s="6" t="n">
        <v>1</v>
      </c>
      <c r="R802">
        <f>M802+IF(N802&gt;1,N(O802)*(N802-1),0)</f>
        <v/>
      </c>
      <c r="S802">
        <f>IFERROR(L802*MAX(N802,1)/R802*Q802*IF(ISBLANK(K798),1,K798),0)</f>
        <v/>
      </c>
      <c r="AB802" s="7" t="inlineStr">
        <is>
          <t>^LightChemicalWeapon, ^MediumChemicalWeapon, ^HeavyChemicalWeapon</t>
        </is>
      </c>
    </row>
    <row r="803">
      <c r="A803" t="inlineStr">
        <is>
          <t>tiberiansun</t>
        </is>
      </c>
      <c r="B803" t="inlineStr">
        <is>
          <t>forgotten_zombiemutant</t>
        </is>
      </c>
      <c r="C803" t="inlineStr">
        <is>
          <t>actor_forgotten_zombiemutant.name</t>
        </is>
      </c>
      <c r="D803" s="6" t="inlineStr">
        <is>
          <t>MeleeInfantry</t>
        </is>
      </c>
      <c r="E803" s="6" t="n">
        <v>45000</v>
      </c>
      <c r="F803" s="6" t="n">
        <v>100</v>
      </c>
      <c r="G803" t="inlineStr">
        <is>
          <t>Plate</t>
        </is>
      </c>
      <c r="H803" s="6" t="n">
        <v>1</v>
      </c>
      <c r="I803" s="6" t="n">
        <v>1</v>
      </c>
      <c r="J803" s="6" t="n">
        <v>1</v>
      </c>
      <c r="K803" s="6" t="n"/>
      <c r="P803">
        <f>MAX(P804)</f>
        <v/>
      </c>
      <c r="S803">
        <f>S804</f>
        <v/>
      </c>
      <c r="T803">
        <f>(E803/100000+F803/100+(P803/1000)*J803/5+S803/200)*200*I803*H803</f>
        <v/>
      </c>
      <c r="U803">
        <f>((E803*F803/25000)+((P803/1000)*J803*S803/2.5))*I803*H803</f>
        <v/>
      </c>
      <c r="V803">
        <f>(E803*F803*(P803/1000)*J803*S803*I803*H803)/12500000</f>
        <v/>
      </c>
      <c r="W803">
        <f>(T803+U803+V803)/3</f>
        <v/>
      </c>
      <c r="X803" s="6" t="n">
        <v>500</v>
      </c>
      <c r="Y803">
        <f>IFERROR(W803-X803,"")</f>
        <v/>
      </c>
      <c r="Z803">
        <f>IFERROR(ABS(Y803)/MAX(X803,1),"")</f>
        <v/>
      </c>
      <c r="AA803">
        <f>IFERROR((X803-(((E803/100000+F803/100+S803/200)*200*I803*H803)+((E803*F803/25000)*I803*H803))/3)/(((J803/5)*200*I803*H803)+((J803*S803/2.5)*I803*H803)+((E803*F803*J803*S803*I803*H803)/12500000))/3*1000,"")</f>
        <v/>
      </c>
    </row>
    <row r="804">
      <c r="B804" s="7" t="inlineStr">
        <is>
          <t xml:space="preserve">  ↳ TSZombieAttack</t>
        </is>
      </c>
      <c r="C804" s="7" t="inlineStr">
        <is>
          <t>Armament@PRIMARY</t>
        </is>
      </c>
      <c r="L804" s="6" t="n">
        <v>16000</v>
      </c>
      <c r="M804" s="6" t="n">
        <v>20</v>
      </c>
      <c r="N804" s="6" t="n">
        <v>1</v>
      </c>
      <c r="O804" s="6" t="n"/>
      <c r="P804" s="6" t="n">
        <v>1127</v>
      </c>
      <c r="Q804" s="6" t="n">
        <v>1</v>
      </c>
      <c r="R804">
        <f>M804+IF(N804&gt;1,N(O804)*(N804-1),0)</f>
        <v/>
      </c>
      <c r="S804">
        <f>IFERROR(L804*MAX(N804,1)/R804*Q804*IF(ISBLANK(K803),1,K803),0)</f>
        <v/>
      </c>
      <c r="AB804" s="7" t="inlineStr">
        <is>
          <t>^SwordWeapon</t>
        </is>
      </c>
    </row>
    <row r="805">
      <c r="B805" s="7" t="inlineStr">
        <is>
          <t xml:space="preserve">  ↳ TSZombieAttack</t>
        </is>
      </c>
      <c r="C805" s="7" t="inlineStr">
        <is>
          <t>Armament@GARRISONED</t>
        </is>
      </c>
      <c r="L805" s="6" t="n">
        <v>16000</v>
      </c>
      <c r="M805" s="6" t="n">
        <v>20</v>
      </c>
      <c r="N805" s="6" t="n">
        <v>1</v>
      </c>
      <c r="O805" s="6" t="n"/>
      <c r="P805" s="6" t="n">
        <v>1127</v>
      </c>
      <c r="Q805" s="6" t="n">
        <v>1</v>
      </c>
      <c r="R805">
        <f>M805+IF(N805&gt;1,N(O805)*(N805-1),0)</f>
        <v/>
      </c>
      <c r="S805">
        <f>IFERROR(L805*MAX(N805,1)/R805*Q805*IF(ISBLANK(K803),1,K803),0)</f>
        <v/>
      </c>
      <c r="AB805" s="7" t="inlineStr">
        <is>
          <t>^SwordWeapon</t>
        </is>
      </c>
    </row>
    <row r="806">
      <c r="A806" t="inlineStr">
        <is>
          <t>shared</t>
        </is>
      </c>
      <c r="B806" t="inlineStr">
        <is>
          <t>YRSLAV</t>
        </is>
      </c>
      <c r="C806" t="inlineStr">
        <is>
          <t>Slave</t>
        </is>
      </c>
      <c r="D806" s="6" t="inlineStr">
        <is>
          <t>MeleeInfantry</t>
        </is>
      </c>
      <c r="E806" s="6" t="n">
        <v>10000</v>
      </c>
      <c r="F806" s="6" t="n">
        <v>60</v>
      </c>
      <c r="G806" t="inlineStr">
        <is>
          <t>Plate</t>
        </is>
      </c>
      <c r="H806" s="6" t="n">
        <v>1</v>
      </c>
      <c r="I806" s="6" t="n">
        <v>1</v>
      </c>
      <c r="J806" s="6" t="n">
        <v>1</v>
      </c>
      <c r="K806" s="6" t="n"/>
      <c r="P806">
        <f>MAX(P807)</f>
        <v/>
      </c>
      <c r="S806">
        <f>S807</f>
        <v/>
      </c>
      <c r="T806">
        <f>(E806/100000+F806/100+(P806/1000)*J806/5+S806/200)*200*I806*H806</f>
        <v/>
      </c>
      <c r="U806">
        <f>((E806*F806/25000)+((P806/1000)*J806*S806/2.5))*I806*H806</f>
        <v/>
      </c>
      <c r="V806">
        <f>(E806*F806*(P806/1000)*J806*S806*I806*H806)/12500000</f>
        <v/>
      </c>
      <c r="W806">
        <f>(T806+U806+V806)/3</f>
        <v/>
      </c>
      <c r="X806" s="6" t="n">
        <v>250</v>
      </c>
      <c r="Y806">
        <f>IFERROR(W806-X806,"")</f>
        <v/>
      </c>
      <c r="Z806">
        <f>IFERROR(ABS(Y806)/MAX(X806,1),"")</f>
        <v/>
      </c>
      <c r="AA806">
        <f>IFERROR((X806-(((E806/100000+F806/100+S806/200)*200*I806*H806)+((E806*F806/25000)*I806*H806))/3)/(((J806/5)*200*I806*H806)+((J806*S806/2.5)*I806*H806)+((E806*F806*J806*S806*I806*H806)/12500000))/3*1000,"")</f>
        <v/>
      </c>
    </row>
    <row r="807">
      <c r="B807" s="7" t="inlineStr">
        <is>
          <t xml:space="preserve">  ↳ RA2Shovel</t>
        </is>
      </c>
      <c r="C807" s="7" t="inlineStr">
        <is>
          <t>Armament@PRIMARY</t>
        </is>
      </c>
      <c r="L807" s="6" t="n">
        <v>2000</v>
      </c>
      <c r="M807" s="6" t="n">
        <v>30</v>
      </c>
      <c r="N807" s="6" t="n">
        <v>1</v>
      </c>
      <c r="O807" s="6" t="n"/>
      <c r="P807" s="6" t="n">
        <v>1500</v>
      </c>
      <c r="Q807" s="6" t="n">
        <v>1</v>
      </c>
      <c r="R807">
        <f>M807+IF(N807&gt;1,N(O807)*(N807-1),0)</f>
        <v/>
      </c>
      <c r="S807">
        <f>IFERROR(L807*MAX(N807,1)/R807*Q807*IF(ISBLANK(K806),1,K806),0)</f>
        <v/>
      </c>
      <c r="AB807" s="7" t="inlineStr">
        <is>
          <t>^SwordWeapon</t>
        </is>
      </c>
    </row>
    <row r="808">
      <c r="B808" s="7" t="inlineStr">
        <is>
          <t xml:space="preserve">  ↳ RA2Shovel</t>
        </is>
      </c>
      <c r="C808" s="7" t="inlineStr">
        <is>
          <t>Armament@GARRISONED</t>
        </is>
      </c>
      <c r="L808" s="6" t="n">
        <v>2000</v>
      </c>
      <c r="M808" s="6" t="n">
        <v>30</v>
      </c>
      <c r="N808" s="6" t="n">
        <v>1</v>
      </c>
      <c r="O808" s="6" t="n"/>
      <c r="P808" s="6" t="n">
        <v>1500</v>
      </c>
      <c r="Q808" s="6" t="n">
        <v>1</v>
      </c>
      <c r="R808">
        <f>M808+IF(N808&gt;1,N(O808)*(N808-1),0)</f>
        <v/>
      </c>
      <c r="S808">
        <f>IFERROR(L808*MAX(N808,1)/R808*Q808*IF(ISBLANK(K806),1,K806),0)</f>
        <v/>
      </c>
      <c r="AB808" s="7" t="inlineStr">
        <is>
          <t>^SwordWeapon</t>
        </is>
      </c>
    </row>
    <row r="809">
      <c r="A809" t="inlineStr">
        <is>
          <t>redalert2</t>
        </is>
      </c>
      <c r="B809" t="inlineStr">
        <is>
          <t>ra2_allies_seal</t>
        </is>
      </c>
      <c r="C809" t="inlineStr">
        <is>
          <t>SEAL</t>
        </is>
      </c>
      <c r="D809" s="6" t="inlineStr">
        <is>
          <t>MeleeInfantry</t>
        </is>
      </c>
      <c r="E809" s="6" t="n">
        <v>30000</v>
      </c>
      <c r="F809" s="6" t="n">
        <v>60</v>
      </c>
      <c r="G809" t="inlineStr">
        <is>
          <t>Plate</t>
        </is>
      </c>
      <c r="H809" s="6" t="n">
        <v>1</v>
      </c>
      <c r="I809" s="6" t="n">
        <v>0.75</v>
      </c>
      <c r="J809" s="6" t="n">
        <v>1.25</v>
      </c>
      <c r="K809" s="6" t="n">
        <v>2.25</v>
      </c>
      <c r="P809">
        <f>MAX(P810,P811,P814)</f>
        <v/>
      </c>
      <c r="S809">
        <f>S810+S811+S814</f>
        <v/>
      </c>
      <c r="T809">
        <f>(E809/100000+F809/100+(P809/1000)*J809/5+S809/200)*200*I809*H809</f>
        <v/>
      </c>
      <c r="U809">
        <f>((E809*F809/25000)+((P809/1000)*J809*S809/2.5))*I809*H809</f>
        <v/>
      </c>
      <c r="V809">
        <f>(E809*F809*(P809/1000)*J809*S809*I809*H809)/12500000</f>
        <v/>
      </c>
      <c r="W809">
        <f>(T809+U809+V809)/3</f>
        <v/>
      </c>
      <c r="X809" s="6" t="n">
        <v>900</v>
      </c>
      <c r="Y809">
        <f>IFERROR(W809-X809,"")</f>
        <v/>
      </c>
      <c r="Z809">
        <f>IFERROR(ABS(Y809)/MAX(X809,1),"")</f>
        <v/>
      </c>
      <c r="AA809">
        <f>IFERROR((X809-(((E809/100000+F809/100+S809/200)*200*I809*H809)+((E809*F809/25000)*I809*H809))/3)/(((J809/5)*200*I809*H809)+((J809*S809/2.5)*I809*H809)+((E809*F809*J809*S809*I809*H809)/12500000))/3*1000,"")</f>
        <v/>
      </c>
    </row>
    <row r="810">
      <c r="B810" s="7" t="inlineStr">
        <is>
          <t xml:space="preserve">  ↳ RA2MP5</t>
        </is>
      </c>
      <c r="C810" s="7" t="inlineStr">
        <is>
          <t>Armament@PRIMARY</t>
        </is>
      </c>
      <c r="L810" s="6" t="n">
        <v>2000</v>
      </c>
      <c r="M810" s="6" t="n">
        <v>10</v>
      </c>
      <c r="N810" s="6" t="n">
        <v>4</v>
      </c>
      <c r="O810" s="6" t="n">
        <v>3</v>
      </c>
      <c r="P810" s="6" t="n">
        <v>5000</v>
      </c>
      <c r="Q810" s="6" t="n">
        <v>0.75</v>
      </c>
      <c r="R810">
        <f>M810+IF(N810&gt;1,N(O810)*(N810-1),0)</f>
        <v/>
      </c>
      <c r="S810">
        <f>IFERROR(L810*MAX(N810,1)/R810*Q810*IF(ISBLANK(K809),1,K809),0)</f>
        <v/>
      </c>
      <c r="AB810" s="7" t="inlineStr">
        <is>
          <t>^SniperWeapon</t>
        </is>
      </c>
    </row>
    <row r="811">
      <c r="B811" s="7" t="inlineStr">
        <is>
          <t xml:space="preserve">  ↳ RA2MP5E</t>
        </is>
      </c>
      <c r="C811" s="7" t="inlineStr">
        <is>
          <t>Armament@ELITE</t>
        </is>
      </c>
      <c r="L811" s="6" t="n">
        <v>2000</v>
      </c>
      <c r="M811" s="6" t="n">
        <v>10</v>
      </c>
      <c r="N811" s="6" t="n">
        <v>8</v>
      </c>
      <c r="O811" s="6" t="n">
        <v>3</v>
      </c>
      <c r="P811" s="6" t="n">
        <v>6000</v>
      </c>
      <c r="Q811" s="6" t="n">
        <v>0.75</v>
      </c>
      <c r="R811">
        <f>M811+IF(N811&gt;1,N(O811)*(N811-1),0)</f>
        <v/>
      </c>
      <c r="S811">
        <f>IFERROR(L811*MAX(N811,1)/R811*Q811*IF(ISBLANK(K809),1,K809),0)</f>
        <v/>
      </c>
      <c r="AB811" s="7" t="inlineStr">
        <is>
          <t>^SniperWeapon</t>
        </is>
      </c>
    </row>
    <row r="812">
      <c r="B812" s="7" t="inlineStr">
        <is>
          <t xml:space="preserve">  ↳ RA2MP5</t>
        </is>
      </c>
      <c r="C812" s="7" t="inlineStr">
        <is>
          <t>Armament@GARRISONED</t>
        </is>
      </c>
      <c r="L812" s="6" t="n">
        <v>2000</v>
      </c>
      <c r="M812" s="6" t="n">
        <v>10</v>
      </c>
      <c r="N812" s="6" t="n">
        <v>4</v>
      </c>
      <c r="O812" s="6" t="n">
        <v>3</v>
      </c>
      <c r="P812" s="6" t="n">
        <v>5000</v>
      </c>
      <c r="Q812" s="6" t="n">
        <v>0.75</v>
      </c>
      <c r="R812">
        <f>M812+IF(N812&gt;1,N(O812)*(N812-1),0)</f>
        <v/>
      </c>
      <c r="S812">
        <f>IFERROR(L812*MAX(N812,1)/R812*Q812*IF(ISBLANK(K809),1,K809),0)</f>
        <v/>
      </c>
      <c r="AB812" s="7" t="inlineStr">
        <is>
          <t>^SniperWeapon</t>
        </is>
      </c>
    </row>
    <row r="813">
      <c r="B813" s="7" t="inlineStr">
        <is>
          <t xml:space="preserve">  ↳ RA2MP5E</t>
        </is>
      </c>
      <c r="C813" s="7" t="inlineStr">
        <is>
          <t>Armament@GARRISONEDELITE</t>
        </is>
      </c>
      <c r="L813" s="6" t="n">
        <v>2000</v>
      </c>
      <c r="M813" s="6" t="n">
        <v>10</v>
      </c>
      <c r="N813" s="6" t="n">
        <v>8</v>
      </c>
      <c r="O813" s="6" t="n">
        <v>3</v>
      </c>
      <c r="P813" s="6" t="n">
        <v>6000</v>
      </c>
      <c r="Q813" s="6" t="n">
        <v>0.75</v>
      </c>
      <c r="R813">
        <f>M813+IF(N813&gt;1,N(O813)*(N813-1),0)</f>
        <v/>
      </c>
      <c r="S813">
        <f>IFERROR(L813*MAX(N813,1)/R813*Q813*IF(ISBLANK(K809),1,K809),0)</f>
        <v/>
      </c>
      <c r="AB813" s="7" t="inlineStr">
        <is>
          <t>^SniperWeapon</t>
        </is>
      </c>
    </row>
    <row r="814">
      <c r="B814" s="7" t="inlineStr">
        <is>
          <t xml:space="preserve">  ↳ SEALAttach</t>
        </is>
      </c>
      <c r="C814" s="7" t="inlineStr">
        <is>
          <t>Armament@shipc4</t>
        </is>
      </c>
      <c r="L814" s="6" t="n"/>
      <c r="M814" s="6" t="n">
        <v>20</v>
      </c>
      <c r="N814" s="6" t="n">
        <v>1</v>
      </c>
      <c r="O814" s="6" t="n"/>
      <c r="P814" s="6" t="n">
        <v>2000</v>
      </c>
      <c r="Q814" s="6" t="n">
        <v>1</v>
      </c>
      <c r="R814">
        <f>M814+IF(N814&gt;1,N(O814)*(N814-1),0)</f>
        <v/>
      </c>
      <c r="S814">
        <f>IFERROR(L814*MAX(N814,1)/R814*Q814*IF(ISBLANK(K809),1,K809),0)</f>
        <v/>
      </c>
      <c r="AB814" s="7" t="inlineStr">
        <is>
          <t>TanyaAttach</t>
        </is>
      </c>
    </row>
    <row r="815">
      <c r="A815" t="inlineStr">
        <is>
          <t>redalert2</t>
        </is>
      </c>
      <c r="B815" t="inlineStr">
        <is>
          <t>ra2_soviets_crazyivan</t>
        </is>
      </c>
      <c r="C815" t="inlineStr">
        <is>
          <t>Crazy Ivan</t>
        </is>
      </c>
      <c r="D815" s="6" t="inlineStr">
        <is>
          <t>MeleeInfantry</t>
        </is>
      </c>
      <c r="E815" s="6" t="n">
        <v>10000</v>
      </c>
      <c r="F815" s="6" t="n">
        <v>100</v>
      </c>
      <c r="G815" t="inlineStr">
        <is>
          <t>Plate</t>
        </is>
      </c>
      <c r="H815" s="6" t="n">
        <v>1</v>
      </c>
      <c r="I815" s="6" t="n">
        <v>1</v>
      </c>
      <c r="J815" s="6" t="n">
        <v>1</v>
      </c>
      <c r="K815" s="6" t="n"/>
      <c r="P815">
        <f>MAX(P816,P817)</f>
        <v/>
      </c>
      <c r="S815">
        <f>S816+S817</f>
        <v/>
      </c>
      <c r="T815">
        <f>(E815/100000+F815/100+(P815/1000)*J815/5+S815/200)*200*I815*H815</f>
        <v/>
      </c>
      <c r="U815">
        <f>((E815*F815/25000)+((P815/1000)*J815*S815/2.5))*I815*H815</f>
        <v/>
      </c>
      <c r="V815">
        <f>(E815*F815*(P815/1000)*J815*S815*I815*H815)/12500000</f>
        <v/>
      </c>
      <c r="W815">
        <f>(T815+U815+V815)/3</f>
        <v/>
      </c>
      <c r="X815" s="6" t="n">
        <v>600</v>
      </c>
      <c r="Y815">
        <f>IFERROR(W815-X815,"")</f>
        <v/>
      </c>
      <c r="Z815">
        <f>IFERROR(ABS(Y815)/MAX(X815,1),"")</f>
        <v/>
      </c>
      <c r="AA815">
        <f>IFERROR((X815-(((E815/100000+F815/100+S815/200)*200*I815*H815)+((E815*F815/25000)*I815*H815))/3)/(((J815/5)*200*I815*H815)+((J815*S815/2.5)*I815*H815)+((E815*F815*J815*S815*I815*H815)/12500000))/3*1000,"")</f>
        <v/>
      </c>
    </row>
    <row r="816">
      <c r="B816" s="7" t="inlineStr">
        <is>
          <t xml:space="preserve">  ↳ IvanAttach</t>
        </is>
      </c>
      <c r="C816" s="7" t="inlineStr">
        <is>
          <t>Armament</t>
        </is>
      </c>
      <c r="L816" s="6" t="n"/>
      <c r="M816" s="6" t="n">
        <v>20</v>
      </c>
      <c r="N816" s="6" t="n">
        <v>1</v>
      </c>
      <c r="O816" s="6" t="n"/>
      <c r="P816" s="6" t="n">
        <v>2000</v>
      </c>
      <c r="Q816" s="6" t="n">
        <v>1</v>
      </c>
      <c r="R816">
        <f>M816+IF(N816&gt;1,N(O816)*(N816-1),0)</f>
        <v/>
      </c>
      <c r="S816">
        <f>IFERROR(L816*MAX(N816,1)/R816*Q816*IF(ISBLANK(K815),1,K815),0)</f>
        <v/>
      </c>
      <c r="AB816" s="7" t="inlineStr"/>
    </row>
    <row r="817">
      <c r="B817" s="7" t="inlineStr">
        <is>
          <t xml:space="preserve">  ↳ IvanAttachAir</t>
        </is>
      </c>
      <c r="C817" s="7" t="inlineStr">
        <is>
          <t>Armament@aa</t>
        </is>
      </c>
      <c r="L817" s="6" t="n"/>
      <c r="M817" s="6" t="n">
        <v>20</v>
      </c>
      <c r="N817" s="6" t="n">
        <v>1</v>
      </c>
      <c r="O817" s="6" t="n"/>
      <c r="P817" s="6" t="n">
        <v>2000</v>
      </c>
      <c r="Q817" s="6" t="n">
        <v>1</v>
      </c>
      <c r="R817">
        <f>M817+IF(N817&gt;1,N(O817)*(N817-1),0)</f>
        <v/>
      </c>
      <c r="S817">
        <f>IFERROR(L817*MAX(N817,1)/R817*Q817*IF(ISBLANK(K815),1,K815),0)</f>
        <v/>
      </c>
      <c r="AB817" s="7" t="inlineStr">
        <is>
          <t>IvanAttach</t>
        </is>
      </c>
    </row>
    <row r="818">
      <c r="A818" t="inlineStr">
        <is>
          <t>redalert2</t>
        </is>
      </c>
      <c r="B818" t="inlineStr">
        <is>
          <t>yuri_brute</t>
        </is>
      </c>
      <c r="C818" t="inlineStr">
        <is>
          <t>Brute</t>
        </is>
      </c>
      <c r="D818" s="6" t="inlineStr">
        <is>
          <t>MeleeInfantry</t>
        </is>
      </c>
      <c r="E818" s="6" t="n">
        <v>45000</v>
      </c>
      <c r="F818" s="6" t="n">
        <v>80</v>
      </c>
      <c r="G818" t="inlineStr">
        <is>
          <t>Plate</t>
        </is>
      </c>
      <c r="H818" s="6" t="n">
        <v>1</v>
      </c>
      <c r="I818" s="6" t="n">
        <v>0.75</v>
      </c>
      <c r="J818" s="6" t="n">
        <v>1</v>
      </c>
      <c r="K818" s="6" t="n"/>
      <c r="P818">
        <f>MAX(P819,P820)</f>
        <v/>
      </c>
      <c r="S818">
        <f>S819+S820</f>
        <v/>
      </c>
      <c r="T818">
        <f>(E818/100000+F818/100+(P818/1000)*J818/5+S818/200)*200*I818*H818</f>
        <v/>
      </c>
      <c r="U818">
        <f>((E818*F818/25000)+((P818/1000)*J818*S818/2.5))*I818*H818</f>
        <v/>
      </c>
      <c r="V818">
        <f>(E818*F818*(P818/1000)*J818*S818*I818*H818)/12500000</f>
        <v/>
      </c>
      <c r="W818">
        <f>(T818+U818+V818)/3</f>
        <v/>
      </c>
      <c r="X818" s="6" t="n">
        <v>400</v>
      </c>
      <c r="Y818">
        <f>IFERROR(W818-X818,"")</f>
        <v/>
      </c>
      <c r="Z818">
        <f>IFERROR(ABS(Y818)/MAX(X818,1),"")</f>
        <v/>
      </c>
      <c r="AA818">
        <f>IFERROR((X818-(((E818/100000+F818/100+S818/200)*200*I818*H818)+((E818*F818/25000)*I818*H818))/3)/(((J818/5)*200*I818*H818)+((J818*S818/2.5)*I818*H818)+((E818*F818*J818*S818*I818*H818)/12500000))/3*1000,"")</f>
        <v/>
      </c>
    </row>
    <row r="819">
      <c r="B819" s="7" t="inlineStr">
        <is>
          <t xml:space="preserve">  ↳ RA2BrutePunch</t>
        </is>
      </c>
      <c r="C819" s="7" t="inlineStr">
        <is>
          <t>Armament@PRIMARY</t>
        </is>
      </c>
      <c r="L819" s="6" t="n">
        <v>20000</v>
      </c>
      <c r="M819" s="6" t="n">
        <v>37</v>
      </c>
      <c r="N819" s="6" t="n">
        <v>1</v>
      </c>
      <c r="O819" s="6" t="n"/>
      <c r="P819" s="6" t="n">
        <v>1616</v>
      </c>
      <c r="Q819" s="6" t="n">
        <v>1</v>
      </c>
      <c r="R819">
        <f>M819+IF(N819&gt;1,N(O819)*(N819-1),0)</f>
        <v/>
      </c>
      <c r="S819">
        <f>IFERROR(L819*MAX(N819,1)/R819*Q819*IF(ISBLANK(K818),1,K818),0)</f>
        <v/>
      </c>
      <c r="AB819" s="7" t="inlineStr">
        <is>
          <t>^SwordWeapon</t>
        </is>
      </c>
    </row>
    <row r="820">
      <c r="B820" s="7" t="inlineStr">
        <is>
          <t xml:space="preserve">  ↳ RA2BrutePunchE</t>
        </is>
      </c>
      <c r="C820" s="7" t="inlineStr">
        <is>
          <t>Armament@ELITE</t>
        </is>
      </c>
      <c r="L820" s="6" t="n">
        <v>20000</v>
      </c>
      <c r="M820" s="6" t="n">
        <v>37</v>
      </c>
      <c r="N820" s="6" t="n">
        <v>2</v>
      </c>
      <c r="O820" s="6" t="n">
        <v>3</v>
      </c>
      <c r="P820" s="6" t="n">
        <v>1616</v>
      </c>
      <c r="Q820" s="6" t="n">
        <v>1</v>
      </c>
      <c r="R820">
        <f>M820+IF(N820&gt;1,N(O820)*(N820-1),0)</f>
        <v/>
      </c>
      <c r="S820">
        <f>IFERROR(L820*MAX(N820,1)/R820*Q820*IF(ISBLANK(K818),1,K818),0)</f>
        <v/>
      </c>
      <c r="AB820" s="7" t="inlineStr">
        <is>
          <t>^SwordWeapon</t>
        </is>
      </c>
    </row>
    <row r="821">
      <c r="A821" t="inlineStr">
        <is>
          <t>redalert2mod</t>
        </is>
      </c>
      <c r="B821" t="inlineStr">
        <is>
          <t>asianalliance_alligator</t>
        </is>
      </c>
      <c r="C821" t="inlineStr">
        <is>
          <t>Alligator</t>
        </is>
      </c>
      <c r="D821" s="6" t="inlineStr">
        <is>
          <t>MeleeInfantry</t>
        </is>
      </c>
      <c r="E821" s="6" t="n">
        <v>27000</v>
      </c>
      <c r="F821" s="6" t="n">
        <v>108</v>
      </c>
      <c r="G821" t="inlineStr">
        <is>
          <t>None</t>
        </is>
      </c>
      <c r="H821" s="6" t="n">
        <v>1</v>
      </c>
      <c r="I821" s="6" t="n">
        <v>0.75</v>
      </c>
      <c r="J821" s="6" t="n">
        <v>1</v>
      </c>
      <c r="K821" s="6" t="n"/>
      <c r="P821">
        <f>MAX(P822,P823)</f>
        <v/>
      </c>
      <c r="S821">
        <f>S822+S823</f>
        <v/>
      </c>
      <c r="T821">
        <f>(E821/100000+F821/100+(P821/1000)*J821/5+S821/200)*200*I821*H821</f>
        <v/>
      </c>
      <c r="U821">
        <f>((E821*F821/25000)+((P821/1000)*J821*S821/2.5))*I821*H821</f>
        <v/>
      </c>
      <c r="V821">
        <f>(E821*F821*(P821/1000)*J821*S821*I821*H821)/12500000</f>
        <v/>
      </c>
      <c r="W821">
        <f>(T821+U821+V821)/3</f>
        <v/>
      </c>
      <c r="X821" s="6" t="n">
        <v>300</v>
      </c>
      <c r="Y821">
        <f>IFERROR(W821-X821,"")</f>
        <v/>
      </c>
      <c r="Z821">
        <f>IFERROR(ABS(Y821)/MAX(X821,1),"")</f>
        <v/>
      </c>
      <c r="AA821">
        <f>IFERROR((X821-(((E821/100000+F821/100+S821/200)*200*I821*H821)+((E821*F821/25000)*I821*H821))/3)/(((J821/5)*200*I821*H821)+((J821*S821/2.5)*I821*H821)+((E821*F821*J821*S821*I821*H821)/12500000))/3*1000,"")</f>
        <v/>
      </c>
    </row>
    <row r="822">
      <c r="B822" s="7" t="inlineStr">
        <is>
          <t xml:space="preserve">  ↳ AsianCrocBite</t>
        </is>
      </c>
      <c r="C822" s="7" t="inlineStr">
        <is>
          <t>Armament@PRIMARY</t>
        </is>
      </c>
      <c r="L822" s="6" t="n">
        <v>16000</v>
      </c>
      <c r="M822" s="6" t="n">
        <v>39</v>
      </c>
      <c r="N822" s="6" t="n">
        <v>1</v>
      </c>
      <c r="O822" s="6" t="n"/>
      <c r="P822" s="6" t="n">
        <v>1345</v>
      </c>
      <c r="Q822" s="6" t="n">
        <v>1</v>
      </c>
      <c r="R822">
        <f>M822+IF(N822&gt;1,N(O822)*(N822-1),0)</f>
        <v/>
      </c>
      <c r="S822">
        <f>IFERROR(L822*MAX(N822,1)/R822*Q822*IF(ISBLANK(K821),1,K821),0)</f>
        <v/>
      </c>
      <c r="AB822" s="7" t="inlineStr">
        <is>
          <t>^SwordWeapon</t>
        </is>
      </c>
    </row>
    <row r="823">
      <c r="B823" s="7" t="inlineStr">
        <is>
          <t xml:space="preserve">  ↳ AsianCrocBiteE</t>
        </is>
      </c>
      <c r="C823" s="7" t="inlineStr">
        <is>
          <t>Armament@ELITE</t>
        </is>
      </c>
      <c r="L823" s="6" t="n">
        <v>16000</v>
      </c>
      <c r="M823" s="6" t="n">
        <v>39</v>
      </c>
      <c r="N823" s="6" t="n">
        <v>2</v>
      </c>
      <c r="O823" s="6" t="n">
        <v>3</v>
      </c>
      <c r="P823" s="6" t="n">
        <v>1345</v>
      </c>
      <c r="Q823" s="6" t="n">
        <v>1</v>
      </c>
      <c r="R823">
        <f>M823+IF(N823&gt;1,N(O823)*(N823-1),0)</f>
        <v/>
      </c>
      <c r="S823">
        <f>IFERROR(L823*MAX(N823,1)/R823*Q823*IF(ISBLANK(K821),1,K821),0)</f>
        <v/>
      </c>
      <c r="AB823" s="7" t="inlineStr">
        <is>
          <t>^SwordWeapon</t>
        </is>
      </c>
    </row>
    <row r="824">
      <c r="A824" t="inlineStr">
        <is>
          <t>redalert2mod</t>
        </is>
      </c>
      <c r="B824" t="inlineStr">
        <is>
          <t>asianalliance_japanesesamurai</t>
        </is>
      </c>
      <c r="C824" t="inlineStr">
        <is>
          <t>Japanese Samurai</t>
        </is>
      </c>
      <c r="D824" s="6" t="inlineStr">
        <is>
          <t>MeleeInfantry</t>
        </is>
      </c>
      <c r="E824" s="6" t="n">
        <v>40000</v>
      </c>
      <c r="F824" s="6" t="n">
        <v>72</v>
      </c>
      <c r="G824" t="inlineStr">
        <is>
          <t>Plate</t>
        </is>
      </c>
      <c r="H824" s="6" t="n">
        <v>1</v>
      </c>
      <c r="I824" s="6" t="n">
        <v>1</v>
      </c>
      <c r="J824" s="6" t="n">
        <v>1</v>
      </c>
      <c r="K824" s="6" t="n"/>
      <c r="P824">
        <f>MAX(P825,P826,P827)</f>
        <v/>
      </c>
      <c r="S824">
        <f>S825+S826+S827</f>
        <v/>
      </c>
      <c r="T824">
        <f>(E824/100000+F824/100+(P824/1000)*J824/5+S824/200)*200*I824*H824</f>
        <v/>
      </c>
      <c r="U824">
        <f>((E824*F824/25000)+((P824/1000)*J824*S824/2.5))*I824*H824</f>
        <v/>
      </c>
      <c r="V824">
        <f>(E824*F824*(P824/1000)*J824*S824*I824*H824)/12500000</f>
        <v/>
      </c>
      <c r="W824">
        <f>(T824+U824+V824)/3</f>
        <v/>
      </c>
      <c r="X824" s="6" t="n">
        <v>350</v>
      </c>
      <c r="Y824">
        <f>IFERROR(W824-X824,"")</f>
        <v/>
      </c>
      <c r="Z824">
        <f>IFERROR(ABS(Y824)/MAX(X824,1),"")</f>
        <v/>
      </c>
      <c r="AA824">
        <f>IFERROR((X824-(((E824/100000+F824/100+S824/200)*200*I824*H824)+((E824*F824/25000)*I824*H824))/3)/(((J824/5)*200*I824*H824)+((J824*S824/2.5)*I824*H824)+((E824*F824*J824*S824*I824*H824)/12500000))/3*1000,"")</f>
        <v/>
      </c>
    </row>
    <row r="825">
      <c r="B825" s="7" t="inlineStr">
        <is>
          <t xml:space="preserve">  ↳ AsianSamuraiSword1</t>
        </is>
      </c>
      <c r="C825" s="7" t="inlineStr">
        <is>
          <t>Armament@Sword1</t>
        </is>
      </c>
      <c r="L825" s="6" t="n">
        <v>20000</v>
      </c>
      <c r="M825" s="6" t="n">
        <v>40</v>
      </c>
      <c r="N825" s="6" t="n">
        <v>1</v>
      </c>
      <c r="O825" s="6" t="n"/>
      <c r="P825" s="6" t="n">
        <v>1579</v>
      </c>
      <c r="Q825" s="6" t="n">
        <v>1</v>
      </c>
      <c r="R825">
        <f>M825+IF(N825&gt;1,N(O825)*(N825-1),0)</f>
        <v/>
      </c>
      <c r="S825">
        <f>IFERROR(L825*MAX(N825,1)/R825*Q825*IF(ISBLANK(K824),1,K824),0)</f>
        <v/>
      </c>
      <c r="AB825" s="7" t="inlineStr">
        <is>
          <t>^SwordWeapon</t>
        </is>
      </c>
    </row>
    <row r="826">
      <c r="B826" s="7" t="inlineStr">
        <is>
          <t xml:space="preserve">  ↳ AsianSamuraiSword2</t>
        </is>
      </c>
      <c r="C826" s="7" t="inlineStr">
        <is>
          <t>Armament@Sword2</t>
        </is>
      </c>
      <c r="L826" s="6" t="n">
        <v>20000</v>
      </c>
      <c r="M826" s="6" t="n">
        <v>40</v>
      </c>
      <c r="N826" s="6" t="n">
        <v>2</v>
      </c>
      <c r="O826" s="6" t="n">
        <v>3</v>
      </c>
      <c r="P826" s="6" t="n">
        <v>1579</v>
      </c>
      <c r="Q826" s="6" t="n">
        <v>1</v>
      </c>
      <c r="R826">
        <f>M826+IF(N826&gt;1,N(O826)*(N826-1),0)</f>
        <v/>
      </c>
      <c r="S826">
        <f>IFERROR(L826*MAX(N826,1)/R826*Q826*IF(ISBLANK(K824),1,K824),0)</f>
        <v/>
      </c>
      <c r="AB826" s="7" t="inlineStr">
        <is>
          <t>^SwordWeapon</t>
        </is>
      </c>
    </row>
    <row r="827">
      <c r="B827" s="7" t="inlineStr">
        <is>
          <t xml:space="preserve">  ↳ AsianSamuraiSword3</t>
        </is>
      </c>
      <c r="C827" s="7" t="inlineStr">
        <is>
          <t>Armament@Sword3</t>
        </is>
      </c>
      <c r="L827" s="6" t="n">
        <v>20000</v>
      </c>
      <c r="M827" s="6" t="n">
        <v>40</v>
      </c>
      <c r="N827" s="6" t="n">
        <v>3</v>
      </c>
      <c r="O827" s="6" t="n">
        <v>3</v>
      </c>
      <c r="P827" s="6" t="n">
        <v>1579</v>
      </c>
      <c r="Q827" s="6" t="n">
        <v>1</v>
      </c>
      <c r="R827">
        <f>M827+IF(N827&gt;1,N(O827)*(N827-1),0)</f>
        <v/>
      </c>
      <c r="S827">
        <f>IFERROR(L827*MAX(N827,1)/R827*Q827*IF(ISBLANK(K824),1,K824),0)</f>
        <v/>
      </c>
      <c r="AB827" s="7" t="inlineStr">
        <is>
          <t>^SwordWeapon</t>
        </is>
      </c>
    </row>
    <row r="828">
      <c r="A828" t="inlineStr">
        <is>
          <t>redalert2mod</t>
        </is>
      </c>
      <c r="B828" t="inlineStr">
        <is>
          <t>latinsyndicate_terrorist</t>
        </is>
      </c>
      <c r="C828" t="inlineStr">
        <is>
          <t>Terrorist</t>
        </is>
      </c>
      <c r="D828" s="6" t="inlineStr">
        <is>
          <t>MeleeInfantry</t>
        </is>
      </c>
      <c r="E828" s="6" t="n">
        <v>15000</v>
      </c>
      <c r="F828" s="6" t="n">
        <v>75</v>
      </c>
      <c r="G828" t="inlineStr">
        <is>
          <t>Plate</t>
        </is>
      </c>
      <c r="H828" s="6" t="n">
        <v>1</v>
      </c>
      <c r="I828" s="6" t="n">
        <v>1</v>
      </c>
      <c r="J828" s="6" t="n">
        <v>1</v>
      </c>
      <c r="K828" s="6" t="n">
        <v>2</v>
      </c>
      <c r="P828">
        <f>MAX(P829)</f>
        <v/>
      </c>
      <c r="S828">
        <f>S829</f>
        <v/>
      </c>
      <c r="T828">
        <f>(E828/100000+F828/100+(P828/1000)*J828/5+S828/200)*200*I828*H828</f>
        <v/>
      </c>
      <c r="U828">
        <f>((E828*F828/25000)+((P828/1000)*J828*S828/2.5))*I828*H828</f>
        <v/>
      </c>
      <c r="V828">
        <f>(E828*F828*(P828/1000)*J828*S828*I828*H828)/12500000</f>
        <v/>
      </c>
      <c r="W828">
        <f>(T828+U828+V828)/3</f>
        <v/>
      </c>
      <c r="X828" s="6" t="n">
        <v>200</v>
      </c>
      <c r="Y828">
        <f>IFERROR(W828-X828,"")</f>
        <v/>
      </c>
      <c r="Z828">
        <f>IFERROR(ABS(Y828)/MAX(X828,1),"")</f>
        <v/>
      </c>
      <c r="AA828">
        <f>IFERROR((X828-(((E828/100000+F828/100+S828/200)*200*I828*H828)+((E828*F828/25000)*I828*H828))/3)/(((J828/5)*200*I828*H828)+((J828*S828/2.5)*I828*H828)+((E828*F828*J828*S828*I828*H828)/12500000))/3*1000,"")</f>
        <v/>
      </c>
    </row>
    <row r="829">
      <c r="B829" s="7" t="inlineStr">
        <is>
          <t xml:space="preserve">  ↳ SuicideBomberTargeting</t>
        </is>
      </c>
      <c r="C829" s="7" t="inlineStr">
        <is>
          <t>Armament@PRIMARY</t>
        </is>
      </c>
      <c r="L829" s="6" t="n"/>
      <c r="M829" s="6" t="n"/>
      <c r="N829" s="6" t="n">
        <v>1</v>
      </c>
      <c r="O829" s="6" t="n"/>
      <c r="P829" s="6" t="n">
        <v>1536</v>
      </c>
      <c r="Q829" s="6" t="n">
        <v>1</v>
      </c>
      <c r="R829">
        <f>M829+IF(N829&gt;1,N(O829)*(N829-1),0)</f>
        <v/>
      </c>
      <c r="S829">
        <f>IFERROR(L829*MAX(N829,1)/R829*Q829*IF(ISBLANK(K828),1,K828),0)</f>
        <v/>
      </c>
      <c r="AB829" s="7" t="inlineStr">
        <is>
          <t>DemoTruckTargeting</t>
        </is>
      </c>
    </row>
    <row r="830">
      <c r="A830" t="inlineStr">
        <is>
          <t>redalert2mod</t>
        </is>
      </c>
      <c r="B830" t="inlineStr">
        <is>
          <t>frank.nax</t>
        </is>
      </c>
      <c r="C830" t="inlineStr">
        <is>
          <t>Übermutant</t>
        </is>
      </c>
      <c r="D830" s="6" t="inlineStr">
        <is>
          <t>MeleeInfantry</t>
        </is>
      </c>
      <c r="E830" s="6" t="n">
        <v>85000</v>
      </c>
      <c r="F830" s="6" t="n">
        <v>61</v>
      </c>
      <c r="G830" t="inlineStr">
        <is>
          <t>Plate</t>
        </is>
      </c>
      <c r="H830" s="6" t="n">
        <v>1</v>
      </c>
      <c r="I830" s="6" t="n">
        <v>0.75</v>
      </c>
      <c r="J830" s="6" t="n">
        <v>1</v>
      </c>
      <c r="K830" s="6" t="n"/>
      <c r="P830">
        <f>MAX(P831,P832)</f>
        <v/>
      </c>
      <c r="S830">
        <f>S831+S832</f>
        <v/>
      </c>
      <c r="T830">
        <f>(E830/100000+F830/100+(P830/1000)*J830/5+S830/200)*200*I830*H830</f>
        <v/>
      </c>
      <c r="U830">
        <f>((E830*F830/25000)+((P830/1000)*J830*S830/2.5))*I830*H830</f>
        <v/>
      </c>
      <c r="V830">
        <f>(E830*F830*(P830/1000)*J830*S830*I830*H830)/12500000</f>
        <v/>
      </c>
      <c r="W830">
        <f>(T830+U830+V830)/3</f>
        <v/>
      </c>
      <c r="X830" s="6" t="n">
        <v>500</v>
      </c>
      <c r="Y830">
        <f>IFERROR(W830-X830,"")</f>
        <v/>
      </c>
      <c r="Z830">
        <f>IFERROR(ABS(Y830)/MAX(X830,1),"")</f>
        <v/>
      </c>
      <c r="AA830">
        <f>IFERROR((X830-(((E830/100000+F830/100+S830/200)*200*I830*H830)+((E830*F830/25000)*I830*H830))/3)/(((J830/5)*200*I830*H830)+((J830*S830/2.5)*I830*H830)+((E830*F830*J830*S830*I830*H830)/12500000))/3*1000,"")</f>
        <v/>
      </c>
    </row>
    <row r="831">
      <c r="B831" s="7" t="inlineStr">
        <is>
          <t xml:space="preserve">  ↳ RA2BrutePunch</t>
        </is>
      </c>
      <c r="C831" s="7" t="inlineStr">
        <is>
          <t>Armament@PRIMARY</t>
        </is>
      </c>
      <c r="L831" s="6" t="n">
        <v>20000</v>
      </c>
      <c r="M831" s="6" t="n">
        <v>37</v>
      </c>
      <c r="N831" s="6" t="n">
        <v>1</v>
      </c>
      <c r="O831" s="6" t="n"/>
      <c r="P831" s="6" t="n">
        <v>1616</v>
      </c>
      <c r="Q831" s="6" t="n">
        <v>1</v>
      </c>
      <c r="R831">
        <f>M831+IF(N831&gt;1,N(O831)*(N831-1),0)</f>
        <v/>
      </c>
      <c r="S831">
        <f>IFERROR(L831*MAX(N831,1)/R831*Q831*IF(ISBLANK(K830),1,K830),0)</f>
        <v/>
      </c>
      <c r="AB831" s="7" t="inlineStr">
        <is>
          <t>^SwordWeapon</t>
        </is>
      </c>
    </row>
    <row r="832">
      <c r="B832" s="7" t="inlineStr">
        <is>
          <t xml:space="preserve">  ↳ RA2BrutePunchE</t>
        </is>
      </c>
      <c r="C832" s="7" t="inlineStr">
        <is>
          <t>Armament@ELITE</t>
        </is>
      </c>
      <c r="L832" s="6" t="n">
        <v>20000</v>
      </c>
      <c r="M832" s="6" t="n">
        <v>37</v>
      </c>
      <c r="N832" s="6" t="n">
        <v>2</v>
      </c>
      <c r="O832" s="6" t="n">
        <v>3</v>
      </c>
      <c r="P832" s="6" t="n">
        <v>1616</v>
      </c>
      <c r="Q832" s="6" t="n">
        <v>1</v>
      </c>
      <c r="R832">
        <f>M832+IF(N832&gt;1,N(O832)*(N832-1),0)</f>
        <v/>
      </c>
      <c r="S832">
        <f>IFERROR(L832*MAX(N832,1)/R832*Q832*IF(ISBLANK(K830),1,K830),0)</f>
        <v/>
      </c>
      <c r="AB832" s="7" t="inlineStr">
        <is>
          <t>^SwordWeapon</t>
        </is>
      </c>
    </row>
    <row r="833">
      <c r="B833" s="7" t="inlineStr">
        <is>
          <t xml:space="preserve">  ↳ RA2BrutePunch</t>
        </is>
      </c>
      <c r="C833" s="7" t="inlineStr">
        <is>
          <t>Armament@GARRISONED</t>
        </is>
      </c>
      <c r="L833" s="6" t="n">
        <v>20000</v>
      </c>
      <c r="M833" s="6" t="n">
        <v>37</v>
      </c>
      <c r="N833" s="6" t="n">
        <v>1</v>
      </c>
      <c r="O833" s="6" t="n"/>
      <c r="P833" s="6" t="n">
        <v>1616</v>
      </c>
      <c r="Q833" s="6" t="n">
        <v>1</v>
      </c>
      <c r="R833">
        <f>M833+IF(N833&gt;1,N(O833)*(N833-1),0)</f>
        <v/>
      </c>
      <c r="S833">
        <f>IFERROR(L833*MAX(N833,1)/R833*Q833*IF(ISBLANK(K830),1,K830),0)</f>
        <v/>
      </c>
      <c r="AB833" s="7" t="inlineStr">
        <is>
          <t>^SwordWeapon</t>
        </is>
      </c>
    </row>
    <row r="834">
      <c r="A834" t="inlineStr">
        <is>
          <t>redalert2mod</t>
        </is>
      </c>
      <c r="B834" t="inlineStr">
        <is>
          <t>naxis_slave</t>
        </is>
      </c>
      <c r="C834" t="inlineStr">
        <is>
          <t>Slave</t>
        </is>
      </c>
      <c r="D834" s="6" t="inlineStr">
        <is>
          <t>MeleeInfantry</t>
        </is>
      </c>
      <c r="E834" s="6" t="n">
        <v>10000</v>
      </c>
      <c r="F834" s="6" t="n">
        <v>60</v>
      </c>
      <c r="G834" t="inlineStr">
        <is>
          <t>Plate</t>
        </is>
      </c>
      <c r="H834" s="6" t="n">
        <v>1</v>
      </c>
      <c r="I834" s="6" t="n">
        <v>1</v>
      </c>
      <c r="J834" s="6" t="n">
        <v>1</v>
      </c>
      <c r="K834" s="6" t="n"/>
      <c r="P834">
        <f>MAX(P835)</f>
        <v/>
      </c>
      <c r="S834">
        <f>S835</f>
        <v/>
      </c>
      <c r="T834">
        <f>(E834/100000+F834/100+(P834/1000)*J834/5+S834/200)*200*I834*H834</f>
        <v/>
      </c>
      <c r="U834">
        <f>((E834*F834/25000)+((P834/1000)*J834*S834/2.5))*I834*H834</f>
        <v/>
      </c>
      <c r="V834">
        <f>(E834*F834*(P834/1000)*J834*S834*I834*H834)/12500000</f>
        <v/>
      </c>
      <c r="W834">
        <f>(T834+U834+V834)/3</f>
        <v/>
      </c>
      <c r="X834" s="6" t="n">
        <v>250</v>
      </c>
      <c r="Y834">
        <f>IFERROR(W834-X834,"")</f>
        <v/>
      </c>
      <c r="Z834">
        <f>IFERROR(ABS(Y834)/MAX(X834,1),"")</f>
        <v/>
      </c>
      <c r="AA834">
        <f>IFERROR((X834-(((E834/100000+F834/100+S834/200)*200*I834*H834)+((E834*F834/25000)*I834*H834))/3)/(((J834/5)*200*I834*H834)+((J834*S834/2.5)*I834*H834)+((E834*F834*J834*S834*I834*H834)/12500000))/3*1000,"")</f>
        <v/>
      </c>
    </row>
    <row r="835">
      <c r="B835" s="7" t="inlineStr">
        <is>
          <t xml:space="preserve">  ↳ RA2Shovel</t>
        </is>
      </c>
      <c r="C835" s="7" t="inlineStr">
        <is>
          <t>Armament@PRIMARY</t>
        </is>
      </c>
      <c r="L835" s="6" t="n">
        <v>2000</v>
      </c>
      <c r="M835" s="6" t="n">
        <v>30</v>
      </c>
      <c r="N835" s="6" t="n">
        <v>1</v>
      </c>
      <c r="O835" s="6" t="n"/>
      <c r="P835" s="6" t="n">
        <v>1500</v>
      </c>
      <c r="Q835" s="6" t="n">
        <v>1</v>
      </c>
      <c r="R835">
        <f>M835+IF(N835&gt;1,N(O835)*(N835-1),0)</f>
        <v/>
      </c>
      <c r="S835">
        <f>IFERROR(L835*MAX(N835,1)/R835*Q835*IF(ISBLANK(K834),1,K834),0)</f>
        <v/>
      </c>
      <c r="AB835" s="7" t="inlineStr">
        <is>
          <t>^SwordWeapon</t>
        </is>
      </c>
    </row>
    <row r="836">
      <c r="B836" s="7" t="inlineStr">
        <is>
          <t xml:space="preserve">  ↳ RA2Shovel</t>
        </is>
      </c>
      <c r="C836" s="7" t="inlineStr">
        <is>
          <t>Armament@GARRISONED</t>
        </is>
      </c>
      <c r="L836" s="6" t="n">
        <v>2000</v>
      </c>
      <c r="M836" s="6" t="n">
        <v>30</v>
      </c>
      <c r="N836" s="6" t="n">
        <v>1</v>
      </c>
      <c r="O836" s="6" t="n"/>
      <c r="P836" s="6" t="n">
        <v>1500</v>
      </c>
      <c r="Q836" s="6" t="n">
        <v>1</v>
      </c>
      <c r="R836">
        <f>M836+IF(N836&gt;1,N(O836)*(N836-1),0)</f>
        <v/>
      </c>
      <c r="S836">
        <f>IFERROR(L836*MAX(N836,1)/R836*Q836*IF(ISBLANK(K834),1,K834),0)</f>
        <v/>
      </c>
      <c r="AB836" s="7" t="inlineStr">
        <is>
          <t>^SwordWeapon</t>
        </is>
      </c>
    </row>
    <row r="837">
      <c r="A837" t="inlineStr">
        <is>
          <t>redalert2mod</t>
        </is>
      </c>
      <c r="B837" t="inlineStr">
        <is>
          <t>futuretech_blackwidow</t>
        </is>
      </c>
      <c r="C837" t="inlineStr">
        <is>
          <t>Black Widow</t>
        </is>
      </c>
      <c r="D837" s="6" t="inlineStr">
        <is>
          <t>MeleeInfantry</t>
        </is>
      </c>
      <c r="E837" s="6" t="n">
        <v>25000</v>
      </c>
      <c r="F837" s="6" t="n">
        <v>75</v>
      </c>
      <c r="G837" t="inlineStr">
        <is>
          <t>Plate</t>
        </is>
      </c>
      <c r="H837" s="6" t="n">
        <v>0.75</v>
      </c>
      <c r="I837" s="6" t="n">
        <v>0.75</v>
      </c>
      <c r="J837" s="6" t="n">
        <v>1.25</v>
      </c>
      <c r="K837" s="6" t="n"/>
      <c r="P837">
        <f>MAX(P838,P839,P842)</f>
        <v/>
      </c>
      <c r="S837">
        <f>S838+S839+S842</f>
        <v/>
      </c>
      <c r="T837">
        <f>(E837/100000+F837/100+(P837/1000)*J837/5+S837/200)*200*I837*H837</f>
        <v/>
      </c>
      <c r="U837">
        <f>((E837*F837/25000)+((P837/1000)*J837*S837/2.5))*I837*H837</f>
        <v/>
      </c>
      <c r="V837">
        <f>(E837*F837*(P837/1000)*J837*S837*I837*H837)/12500000</f>
        <v/>
      </c>
      <c r="W837">
        <f>(T837+U837+V837)/3</f>
        <v/>
      </c>
      <c r="X837" s="6" t="n">
        <v>1200</v>
      </c>
      <c r="Y837">
        <f>IFERROR(W837-X837,"")</f>
        <v/>
      </c>
      <c r="Z837">
        <f>IFERROR(ABS(Y837)/MAX(X837,1),"")</f>
        <v/>
      </c>
      <c r="AA837">
        <f>IFERROR((X837-(((E837/100000+F837/100+S837/200)*200*I837*H837)+((E837*F837/25000)*I837*H837))/3)/(((J837/5)*200*I837*H837)+((J837*S837/2.5)*I837*H837)+((E837*F837*J837*S837*I837*H837)/12500000))/3*1000,"")</f>
        <v/>
      </c>
    </row>
    <row r="838">
      <c r="B838" s="7" t="inlineStr">
        <is>
          <t xml:space="preserve">  ↳ BlackWidowPistols</t>
        </is>
      </c>
      <c r="C838" s="7" t="inlineStr">
        <is>
          <t>Armament@PRIMARY</t>
        </is>
      </c>
      <c r="L838" s="6" t="n">
        <v>10000</v>
      </c>
      <c r="M838" s="6" t="n">
        <v>16</v>
      </c>
      <c r="N838" s="6" t="n">
        <v>2</v>
      </c>
      <c r="O838" s="6" t="n">
        <v>3</v>
      </c>
      <c r="P838" s="6" t="n">
        <v>9000</v>
      </c>
      <c r="Q838" s="6" t="n">
        <v>0.75</v>
      </c>
      <c r="R838">
        <f>M838+IF(N838&gt;1,N(O838)*(N838-1),0)</f>
        <v/>
      </c>
      <c r="S838">
        <f>IFERROR(L838*MAX(N838,1)/R838*Q838*IF(ISBLANK(K837),1,K837),0)</f>
        <v/>
      </c>
      <c r="AB838" s="7" t="inlineStr">
        <is>
          <t>^SniperWeapon</t>
        </is>
      </c>
    </row>
    <row r="839">
      <c r="B839" s="7" t="inlineStr">
        <is>
          <t xml:space="preserve">  ↳ BlackWidowPistolsE</t>
        </is>
      </c>
      <c r="C839" s="7" t="inlineStr">
        <is>
          <t>Armament@ELITE</t>
        </is>
      </c>
      <c r="L839" s="6" t="n">
        <v>10000</v>
      </c>
      <c r="M839" s="6" t="n">
        <v>16</v>
      </c>
      <c r="N839" s="6" t="n">
        <v>8</v>
      </c>
      <c r="O839" s="6" t="n">
        <v>3</v>
      </c>
      <c r="P839" s="6" t="n">
        <v>6000</v>
      </c>
      <c r="Q839" s="6" t="n">
        <v>0.75</v>
      </c>
      <c r="R839">
        <f>M839+IF(N839&gt;1,N(O839)*(N839-1),0)</f>
        <v/>
      </c>
      <c r="S839">
        <f>IFERROR(L839*MAX(N839,1)/R839*Q839*IF(ISBLANK(K837),1,K837),0)</f>
        <v/>
      </c>
      <c r="AB839" s="7" t="inlineStr">
        <is>
          <t>^SniperWeapon</t>
        </is>
      </c>
    </row>
    <row r="840">
      <c r="B840" s="7" t="inlineStr">
        <is>
          <t xml:space="preserve">  ↳ BlackWidowPistols</t>
        </is>
      </c>
      <c r="C840" s="7" t="inlineStr">
        <is>
          <t>Armament@GARRISONED</t>
        </is>
      </c>
      <c r="L840" s="6" t="n">
        <v>10000</v>
      </c>
      <c r="M840" s="6" t="n">
        <v>16</v>
      </c>
      <c r="N840" s="6" t="n">
        <v>2</v>
      </c>
      <c r="O840" s="6" t="n">
        <v>3</v>
      </c>
      <c r="P840" s="6" t="n">
        <v>9000</v>
      </c>
      <c r="Q840" s="6" t="n">
        <v>0.75</v>
      </c>
      <c r="R840">
        <f>M840+IF(N840&gt;1,N(O840)*(N840-1),0)</f>
        <v/>
      </c>
      <c r="S840">
        <f>IFERROR(L840*MAX(N840,1)/R840*Q840*IF(ISBLANK(K837),1,K837),0)</f>
        <v/>
      </c>
      <c r="AB840" s="7" t="inlineStr">
        <is>
          <t>^SniperWeapon</t>
        </is>
      </c>
    </row>
    <row r="841">
      <c r="B841" s="7" t="inlineStr">
        <is>
          <t xml:space="preserve">  ↳ BlackWidowPistolsE</t>
        </is>
      </c>
      <c r="C841" s="7" t="inlineStr">
        <is>
          <t>Armament@GARRISONEDELITE</t>
        </is>
      </c>
      <c r="L841" s="6" t="n">
        <v>10000</v>
      </c>
      <c r="M841" s="6" t="n">
        <v>16</v>
      </c>
      <c r="N841" s="6" t="n">
        <v>8</v>
      </c>
      <c r="O841" s="6" t="n">
        <v>3</v>
      </c>
      <c r="P841" s="6" t="n">
        <v>6000</v>
      </c>
      <c r="Q841" s="6" t="n">
        <v>0.75</v>
      </c>
      <c r="R841">
        <f>M841+IF(N841&gt;1,N(O841)*(N841-1),0)</f>
        <v/>
      </c>
      <c r="S841">
        <f>IFERROR(L841*MAX(N841,1)/R841*Q841*IF(ISBLANK(K837),1,K837),0)</f>
        <v/>
      </c>
      <c r="AB841" s="7" t="inlineStr">
        <is>
          <t>^SniperWeapon</t>
        </is>
      </c>
    </row>
    <row r="842">
      <c r="B842" s="7" t="inlineStr">
        <is>
          <t xml:space="preserve">  ↳ SEALAttach</t>
        </is>
      </c>
      <c r="C842" s="7" t="inlineStr">
        <is>
          <t>Armament@shipc4</t>
        </is>
      </c>
      <c r="L842" s="6" t="n"/>
      <c r="M842" s="6" t="n">
        <v>20</v>
      </c>
      <c r="N842" s="6" t="n">
        <v>1</v>
      </c>
      <c r="O842" s="6" t="n"/>
      <c r="P842" s="6" t="n">
        <v>2000</v>
      </c>
      <c r="Q842" s="6" t="n">
        <v>1</v>
      </c>
      <c r="R842">
        <f>M842+IF(N842&gt;1,N(O842)*(N842-1),0)</f>
        <v/>
      </c>
      <c r="S842">
        <f>IFERROR(L842*MAX(N842,1)/R842*Q842*IF(ISBLANK(K837),1,K837),0)</f>
        <v/>
      </c>
      <c r="AB842" s="7" t="inlineStr">
        <is>
          <t>TanyaAttach</t>
        </is>
      </c>
    </row>
    <row r="843">
      <c r="A843" t="inlineStr">
        <is>
          <t>redalert2mod</t>
        </is>
      </c>
      <c r="B843" t="inlineStr">
        <is>
          <t>futuretech_enforcer</t>
        </is>
      </c>
      <c r="C843" t="inlineStr">
        <is>
          <t>Enforcer</t>
        </is>
      </c>
      <c r="D843" s="6" t="inlineStr">
        <is>
          <t>MeleeInfantry</t>
        </is>
      </c>
      <c r="E843" s="6" t="n">
        <v>30000</v>
      </c>
      <c r="F843" s="6" t="n">
        <v>60</v>
      </c>
      <c r="G843" t="inlineStr">
        <is>
          <t>Plate</t>
        </is>
      </c>
      <c r="H843" s="6" t="n">
        <v>1</v>
      </c>
      <c r="I843" s="6" t="n">
        <v>1</v>
      </c>
      <c r="J843" s="6" t="n">
        <v>1</v>
      </c>
      <c r="K843" s="6" t="n"/>
      <c r="P843">
        <f>MAX(P844,P845,P847,P848,P850)</f>
        <v/>
      </c>
      <c r="S843">
        <f>S844+S845+S847+S848+S850</f>
        <v/>
      </c>
      <c r="T843">
        <f>(E843/100000+F843/100+(P843/1000)*J843/5+S843/200)*200*I843*H843</f>
        <v/>
      </c>
      <c r="U843">
        <f>((E843*F843/25000)+((P843/1000)*J843*S843/2.5))*I843*H843</f>
        <v/>
      </c>
      <c r="V843">
        <f>(E843*F843*(P843/1000)*J843*S843*I843*H843)/12500000</f>
        <v/>
      </c>
      <c r="W843">
        <f>(T843+U843+V843)/3</f>
        <v/>
      </c>
      <c r="X843" s="6" t="n">
        <v>300</v>
      </c>
      <c r="Y843">
        <f>IFERROR(W843-X843,"")</f>
        <v/>
      </c>
      <c r="Z843">
        <f>IFERROR(ABS(Y843)/MAX(X843,1),"")</f>
        <v/>
      </c>
      <c r="AA843">
        <f>IFERROR((X843-(((E843/100000+F843/100+S843/200)*200*I843*H843)+((E843*F843/25000)*I843*H843))/3)/(((J843/5)*200*I843*H843)+((J843*S843/2.5)*I843*H843)+((E843*F843*J843*S843*I843*H843)/12500000))/3*1000,"")</f>
        <v/>
      </c>
    </row>
    <row r="844">
      <c r="B844" s="7" t="inlineStr">
        <is>
          <t xml:space="preserve">  ↳ FutureEnforcerShotgun</t>
        </is>
      </c>
      <c r="C844" s="7" t="inlineStr">
        <is>
          <t>Armament@PRIMARY</t>
        </is>
      </c>
      <c r="L844" s="6" t="n">
        <v>2000</v>
      </c>
      <c r="M844" s="6" t="n">
        <v>40</v>
      </c>
      <c r="N844" s="6" t="n">
        <v>1</v>
      </c>
      <c r="O844" s="6" t="n"/>
      <c r="P844" s="6" t="n">
        <v>3000</v>
      </c>
      <c r="Q844" s="6" t="n">
        <v>0.95</v>
      </c>
      <c r="R844">
        <f>M844+IF(N844&gt;1,N(O844)*(N844-1),0)</f>
        <v/>
      </c>
      <c r="S844">
        <f>IFERROR(L844*MAX(N844,1)/R844*Q844*IF(ISBLANK(K843),1,K843),0)</f>
        <v/>
      </c>
      <c r="AB844" s="7" t="inlineStr">
        <is>
          <t>^Grenade, ^ShrapnelWeapon, ^TankDestroyerCannon, ^MediumCannon, ^SmallArms, ^Chaingun</t>
        </is>
      </c>
    </row>
    <row r="845">
      <c r="B845" s="7" t="inlineStr">
        <is>
          <t xml:space="preserve">  ↳ FutureEnforcerShotgunDeployed</t>
        </is>
      </c>
      <c r="C845" s="7" t="inlineStr">
        <is>
          <t>Armament@PRIMARY2</t>
        </is>
      </c>
      <c r="L845" s="6" t="n">
        <v>2000</v>
      </c>
      <c r="M845" s="6" t="n">
        <v>65</v>
      </c>
      <c r="N845" s="6" t="n">
        <v>1</v>
      </c>
      <c r="O845" s="6" t="n"/>
      <c r="P845" s="6" t="n">
        <v>6150</v>
      </c>
      <c r="Q845" s="6" t="n">
        <v>0.95</v>
      </c>
      <c r="R845">
        <f>M845+IF(N845&gt;1,N(O845)*(N845-1),0)</f>
        <v/>
      </c>
      <c r="S845">
        <f>IFERROR(L845*MAX(N845,1)/R845*Q845*IF(ISBLANK(K843),1,K843),0)</f>
        <v/>
      </c>
      <c r="AB845" s="7" t="inlineStr">
        <is>
          <t>^Grenade, ^ShrapnelWeapon, ^TankDestroyerCannon, ^MediumCannon, ^SmallArms, ^Chaingun</t>
        </is>
      </c>
    </row>
    <row r="846">
      <c r="B846" s="7" t="inlineStr">
        <is>
          <t xml:space="preserve">  ↳ FutureEnforcerShotgunDeployed</t>
        </is>
      </c>
      <c r="C846" s="7" t="inlineStr">
        <is>
          <t>Armament@GARRISONED</t>
        </is>
      </c>
      <c r="L846" s="6" t="n">
        <v>2000</v>
      </c>
      <c r="M846" s="6" t="n">
        <v>65</v>
      </c>
      <c r="N846" s="6" t="n">
        <v>1</v>
      </c>
      <c r="O846" s="6" t="n"/>
      <c r="P846" s="6" t="n">
        <v>6150</v>
      </c>
      <c r="Q846" s="6" t="n">
        <v>0.95</v>
      </c>
      <c r="R846">
        <f>M846+IF(N846&gt;1,N(O846)*(N846-1),0)</f>
        <v/>
      </c>
      <c r="S846">
        <f>IFERROR(L846*MAX(N846,1)/R846*Q846*IF(ISBLANK(K843),1,K843),0)</f>
        <v/>
      </c>
      <c r="AB846" s="7" t="inlineStr">
        <is>
          <t>^Grenade, ^ShrapnelWeapon, ^TankDestroyerCannon, ^MediumCannon, ^SmallArms, ^Chaingun</t>
        </is>
      </c>
    </row>
    <row r="847">
      <c r="B847" s="7" t="inlineStr">
        <is>
          <t xml:space="preserve">  ↳ FutureEnforcerShotgunE</t>
        </is>
      </c>
      <c r="C847" s="7" t="inlineStr">
        <is>
          <t>Armament@ELITE</t>
        </is>
      </c>
      <c r="L847" s="6" t="n">
        <v>2000</v>
      </c>
      <c r="M847" s="6" t="n">
        <v>40</v>
      </c>
      <c r="N847" s="6" t="n">
        <v>2</v>
      </c>
      <c r="O847" s="6" t="n">
        <v>3</v>
      </c>
      <c r="P847" s="6" t="n">
        <v>4000</v>
      </c>
      <c r="Q847" s="6" t="n">
        <v>0.95</v>
      </c>
      <c r="R847">
        <f>M847+IF(N847&gt;1,N(O847)*(N847-1),0)</f>
        <v/>
      </c>
      <c r="S847">
        <f>IFERROR(L847*MAX(N847,1)/R847*Q847*IF(ISBLANK(K843),1,K843),0)</f>
        <v/>
      </c>
      <c r="AB847" s="7" t="inlineStr">
        <is>
          <t>^Grenade, ^ShrapnelWeapon, ^TankDestroyerCannon, ^MediumCannon, ^SmallArms, ^Chaingun</t>
        </is>
      </c>
    </row>
    <row r="848">
      <c r="B848" s="7" t="inlineStr">
        <is>
          <t xml:space="preserve">  ↳ FutureEnforcerShotgunDeployedE</t>
        </is>
      </c>
      <c r="C848" s="7" t="inlineStr">
        <is>
          <t>Armament@ELITE2</t>
        </is>
      </c>
      <c r="L848" s="6" t="n">
        <v>2000</v>
      </c>
      <c r="M848" s="6" t="n">
        <v>65</v>
      </c>
      <c r="N848" s="6" t="n">
        <v>2</v>
      </c>
      <c r="O848" s="6" t="n">
        <v>3</v>
      </c>
      <c r="P848" s="6" t="n">
        <v>7150</v>
      </c>
      <c r="Q848" s="6" t="n">
        <v>0.95</v>
      </c>
      <c r="R848">
        <f>M848+IF(N848&gt;1,N(O848)*(N848-1),0)</f>
        <v/>
      </c>
      <c r="S848">
        <f>IFERROR(L848*MAX(N848,1)/R848*Q848*IF(ISBLANK(K843),1,K843),0)</f>
        <v/>
      </c>
      <c r="AB848" s="7" t="inlineStr">
        <is>
          <t>^Grenade, ^ShrapnelWeapon, ^TankDestroyerCannon, ^MediumCannon, ^SmallArms, ^Chaingun</t>
        </is>
      </c>
    </row>
    <row r="849">
      <c r="B849" s="7" t="inlineStr">
        <is>
          <t xml:space="preserve">  ↳ FutureEnforcerShotgunDeployedE</t>
        </is>
      </c>
      <c r="C849" s="7" t="inlineStr">
        <is>
          <t>Armament@GARRISONEDELITE</t>
        </is>
      </c>
      <c r="L849" s="6" t="n">
        <v>2000</v>
      </c>
      <c r="M849" s="6" t="n">
        <v>65</v>
      </c>
      <c r="N849" s="6" t="n">
        <v>2</v>
      </c>
      <c r="O849" s="6" t="n">
        <v>3</v>
      </c>
      <c r="P849" s="6" t="n">
        <v>7150</v>
      </c>
      <c r="Q849" s="6" t="n">
        <v>0.95</v>
      </c>
      <c r="R849">
        <f>M849+IF(N849&gt;1,N(O849)*(N849-1),0)</f>
        <v/>
      </c>
      <c r="S849">
        <f>IFERROR(L849*MAX(N849,1)/R849*Q849*IF(ISBLANK(K843),1,K843),0)</f>
        <v/>
      </c>
      <c r="AB849" s="7" t="inlineStr">
        <is>
          <t>^Grenade, ^ShrapnelWeapon, ^TankDestroyerCannon, ^MediumCannon, ^SmallArms, ^Chaingun</t>
        </is>
      </c>
    </row>
    <row r="850">
      <c r="B850" s="7" t="inlineStr">
        <is>
          <t xml:space="preserve">  ↳ aadeploytargeting.8c0</t>
        </is>
      </c>
      <c r="C850" s="7" t="inlineStr">
        <is>
          <t>Armament@BOTAA</t>
        </is>
      </c>
      <c r="L850" s="6" t="n"/>
      <c r="M850" s="6" t="n">
        <v>50</v>
      </c>
      <c r="N850" s="6" t="n">
        <v>1</v>
      </c>
      <c r="O850" s="6" t="n"/>
      <c r="P850" s="6" t="n">
        <v>8000</v>
      </c>
      <c r="Q850" s="6" t="n">
        <v>1</v>
      </c>
      <c r="R850">
        <f>M850+IF(N850&gt;1,N(O850)*(N850-1),0)</f>
        <v/>
      </c>
      <c r="S850">
        <f>IFERROR(L850*MAX(N850,1)/R850*Q850*IF(ISBLANK(K843),1,K843),0)</f>
        <v/>
      </c>
      <c r="AB850" s="7" t="inlineStr">
        <is>
          <t>^aadeploytargeting</t>
        </is>
      </c>
    </row>
    <row r="851">
      <c r="A851" t="inlineStr">
        <is>
          <t>redalert2mod</t>
        </is>
      </c>
      <c r="B851" t="inlineStr">
        <is>
          <t>tkm_spetsnaz</t>
        </is>
      </c>
      <c r="C851" t="inlineStr">
        <is>
          <t>Spetsnaz</t>
        </is>
      </c>
      <c r="D851" s="6" t="inlineStr">
        <is>
          <t>MeleeInfantry</t>
        </is>
      </c>
      <c r="E851" s="6" t="n">
        <v>50000</v>
      </c>
      <c r="F851" s="6" t="n">
        <v>100</v>
      </c>
      <c r="G851" t="inlineStr">
        <is>
          <t>Plate</t>
        </is>
      </c>
      <c r="H851" s="6" t="n">
        <v>1</v>
      </c>
      <c r="I851" s="6" t="n">
        <v>1</v>
      </c>
      <c r="J851" s="6" t="n">
        <v>1</v>
      </c>
      <c r="K851" s="6" t="n"/>
      <c r="P851">
        <f>MAX(P852,P854)</f>
        <v/>
      </c>
      <c r="S851">
        <f>S852+S854</f>
        <v/>
      </c>
      <c r="T851">
        <f>(E851/100000+F851/100+(P851/1000)*J851/5+S851/200)*200*I851*H851</f>
        <v/>
      </c>
      <c r="U851">
        <f>((E851*F851/25000)+((P851/1000)*J851*S851/2.5))*I851*H851</f>
        <v/>
      </c>
      <c r="V851">
        <f>(E851*F851*(P851/1000)*J851*S851*I851*H851)/12500000</f>
        <v/>
      </c>
      <c r="W851">
        <f>(T851+U851+V851)/3</f>
        <v/>
      </c>
      <c r="X851" s="6" t="n">
        <v>900</v>
      </c>
      <c r="Y851">
        <f>IFERROR(W851-X851,"")</f>
        <v/>
      </c>
      <c r="Z851">
        <f>IFERROR(ABS(Y851)/MAX(X851,1),"")</f>
        <v/>
      </c>
      <c r="AA851">
        <f>IFERROR((X851-(((E851/100000+F851/100+S851/200)*200*I851*H851)+((E851*F851/25000)*I851*H851))/3)/(((J851/5)*200*I851*H851)+((J851*S851/2.5)*I851*H851)+((E851*F851*J851*S851*I851*H851)/12500000))/3*1000,"")</f>
        <v/>
      </c>
    </row>
    <row r="852">
      <c r="B852" s="7" t="inlineStr">
        <is>
          <t xml:space="preserve">  ↳ tkmsmg</t>
        </is>
      </c>
      <c r="C852" s="7" t="inlineStr">
        <is>
          <t>Armament@PRIMARY</t>
        </is>
      </c>
      <c r="L852" s="6" t="n">
        <v>2000</v>
      </c>
      <c r="M852" s="6" t="n">
        <v>10</v>
      </c>
      <c r="N852" s="6" t="n">
        <v>5</v>
      </c>
      <c r="O852" s="6" t="n">
        <v>2</v>
      </c>
      <c r="P852" s="6" t="n">
        <v>5750</v>
      </c>
      <c r="Q852" s="6" t="n">
        <v>0.75</v>
      </c>
      <c r="R852">
        <f>M852+IF(N852&gt;1,N(O852)*(N852-1),0)</f>
        <v/>
      </c>
      <c r="S852">
        <f>IFERROR(L852*MAX(N852,1)/R852*Q852*IF(ISBLANK(K851),1,K851),0)</f>
        <v/>
      </c>
      <c r="AB852" s="7" t="inlineStr">
        <is>
          <t>^SniperWeapon</t>
        </is>
      </c>
    </row>
    <row r="853">
      <c r="B853" s="7" t="inlineStr">
        <is>
          <t xml:space="preserve">  ↳ tkmsmg</t>
        </is>
      </c>
      <c r="C853" s="7" t="inlineStr">
        <is>
          <t>Armament@GARRISONED</t>
        </is>
      </c>
      <c r="L853" s="6" t="n">
        <v>2000</v>
      </c>
      <c r="M853" s="6" t="n">
        <v>10</v>
      </c>
      <c r="N853" s="6" t="n">
        <v>5</v>
      </c>
      <c r="O853" s="6" t="n">
        <v>2</v>
      </c>
      <c r="P853" s="6" t="n">
        <v>5750</v>
      </c>
      <c r="Q853" s="6" t="n">
        <v>0.75</v>
      </c>
      <c r="R853">
        <f>M853+IF(N853&gt;1,N(O853)*(N853-1),0)</f>
        <v/>
      </c>
      <c r="S853">
        <f>IFERROR(L853*MAX(N853,1)/R853*Q853*IF(ISBLANK(K851),1,K851),0)</f>
        <v/>
      </c>
      <c r="AB853" s="7" t="inlineStr">
        <is>
          <t>^SniperWeapon</t>
        </is>
      </c>
    </row>
    <row r="854">
      <c r="B854" s="7" t="inlineStr">
        <is>
          <t xml:space="preserve">  ↳ SEALAttach</t>
        </is>
      </c>
      <c r="C854" s="7" t="inlineStr">
        <is>
          <t>Armament@shipc4</t>
        </is>
      </c>
      <c r="L854" s="6" t="n"/>
      <c r="M854" s="6" t="n">
        <v>20</v>
      </c>
      <c r="N854" s="6" t="n">
        <v>1</v>
      </c>
      <c r="O854" s="6" t="n"/>
      <c r="P854" s="6" t="n">
        <v>2000</v>
      </c>
      <c r="Q854" s="6" t="n">
        <v>1</v>
      </c>
      <c r="R854">
        <f>M854+IF(N854&gt;1,N(O854)*(N854-1),0)</f>
        <v/>
      </c>
      <c r="S854">
        <f>IFERROR(L854*MAX(N854,1)/R854*Q854*IF(ISBLANK(K851),1,K851),0)</f>
        <v/>
      </c>
      <c r="AB854" s="7" t="inlineStr">
        <is>
          <t>TanyaAttach</t>
        </is>
      </c>
    </row>
    <row r="855">
      <c r="A855" t="inlineStr">
        <is>
          <t>redalert2mod</t>
        </is>
      </c>
      <c r="B855" t="inlineStr">
        <is>
          <t>tkm_thermonaut</t>
        </is>
      </c>
      <c r="C855" t="inlineStr">
        <is>
          <t>Thermonaut</t>
        </is>
      </c>
      <c r="D855" s="6" t="inlineStr">
        <is>
          <t>MeleeInfantry</t>
        </is>
      </c>
      <c r="E855" s="6" t="n">
        <v>60000</v>
      </c>
      <c r="F855" s="6" t="n">
        <v>60</v>
      </c>
      <c r="G855" t="inlineStr">
        <is>
          <t>Plate</t>
        </is>
      </c>
      <c r="H855" s="6" t="n">
        <v>1</v>
      </c>
      <c r="I855" s="6" t="n">
        <v>1</v>
      </c>
      <c r="J855" s="6" t="n">
        <v>1</v>
      </c>
      <c r="K855" s="6" t="n"/>
      <c r="P855">
        <f>MAX(P856)</f>
        <v/>
      </c>
      <c r="S855">
        <f>S856</f>
        <v/>
      </c>
      <c r="T855">
        <f>(E855/100000+F855/100+(P855/1000)*J855/5+S855/200)*200*I855*H855</f>
        <v/>
      </c>
      <c r="U855">
        <f>((E855*F855/25000)+((P855/1000)*J855*S855/2.5))*I855*H855</f>
        <v/>
      </c>
      <c r="V855">
        <f>(E855*F855*(P855/1000)*J855*S855*I855*H855)/12500000</f>
        <v/>
      </c>
      <c r="W855">
        <f>(T855+U855+V855)/3</f>
        <v/>
      </c>
      <c r="X855" s="6" t="n">
        <v>500</v>
      </c>
      <c r="Y855">
        <f>IFERROR(W855-X855,"")</f>
        <v/>
      </c>
      <c r="Z855">
        <f>IFERROR(ABS(Y855)/MAX(X855,1),"")</f>
        <v/>
      </c>
      <c r="AA855">
        <f>IFERROR((X855-(((E855/100000+F855/100+S855/200)*200*I855*H855)+((E855*F855/25000)*I855*H855))/3)/(((J855/5)*200*I855*H855)+((J855*S855/2.5)*I855*H855)+((E855*F855*J855*S855*I855*H855)/12500000))/3*1000,"")</f>
        <v/>
      </c>
    </row>
    <row r="856">
      <c r="B856" s="7" t="inlineStr">
        <is>
          <t xml:space="preserve">  ↳ ThermoF</t>
        </is>
      </c>
      <c r="C856" s="7" t="inlineStr">
        <is>
          <t>Armament@PRIMARY</t>
        </is>
      </c>
      <c r="L856" s="6" t="n">
        <v>2000</v>
      </c>
      <c r="M856" s="6" t="n">
        <v>32</v>
      </c>
      <c r="N856" s="6" t="n">
        <v>13</v>
      </c>
      <c r="O856" s="6" t="n">
        <v>2</v>
      </c>
      <c r="P856" s="6" t="n">
        <v>3204</v>
      </c>
      <c r="Q856" s="6" t="n">
        <v>1</v>
      </c>
      <c r="R856">
        <f>M856+IF(N856&gt;1,N(O856)*(N856-1),0)</f>
        <v/>
      </c>
      <c r="S856">
        <f>IFERROR(L856*MAX(N856,1)/R856*Q856*IF(ISBLANK(K855),1,K855),0)</f>
        <v/>
      </c>
      <c r="AB856" s="7" t="inlineStr">
        <is>
          <t>^MediumFlameWeapon</t>
        </is>
      </c>
    </row>
    <row r="857">
      <c r="B857" s="7" t="inlineStr">
        <is>
          <t xml:space="preserve">  ↳ ThermoF</t>
        </is>
      </c>
      <c r="C857" s="7" t="inlineStr">
        <is>
          <t>Armament@GARRISONED</t>
        </is>
      </c>
      <c r="L857" s="6" t="n">
        <v>2000</v>
      </c>
      <c r="M857" s="6" t="n">
        <v>32</v>
      </c>
      <c r="N857" s="6" t="n">
        <v>13</v>
      </c>
      <c r="O857" s="6" t="n">
        <v>2</v>
      </c>
      <c r="P857" s="6" t="n">
        <v>3204</v>
      </c>
      <c r="Q857" s="6" t="n">
        <v>1</v>
      </c>
      <c r="R857">
        <f>M857+IF(N857&gt;1,N(O857)*(N857-1),0)</f>
        <v/>
      </c>
      <c r="S857">
        <f>IFERROR(L857*MAX(N857,1)/R857*Q857*IF(ISBLANK(K855),1,K855),0)</f>
        <v/>
      </c>
      <c r="AB857" s="7" t="inlineStr">
        <is>
          <t>^MediumFlameWeapon</t>
        </is>
      </c>
    </row>
    <row r="858">
      <c r="A858" t="inlineStr">
        <is>
          <t>redalert2mod</t>
        </is>
      </c>
      <c r="B858" t="inlineStr">
        <is>
          <t>tkmworker</t>
        </is>
      </c>
      <c r="C858" t="inlineStr">
        <is>
          <t>Worker</t>
        </is>
      </c>
      <c r="D858" s="6" t="inlineStr">
        <is>
          <t>MeleeInfantry</t>
        </is>
      </c>
      <c r="E858" s="6" t="n">
        <v>10000</v>
      </c>
      <c r="F858" s="6" t="n">
        <v>60</v>
      </c>
      <c r="G858" t="inlineStr">
        <is>
          <t>Plate</t>
        </is>
      </c>
      <c r="H858" s="6" t="n">
        <v>1</v>
      </c>
      <c r="I858" s="6" t="n">
        <v>1</v>
      </c>
      <c r="J858" s="6" t="n">
        <v>1</v>
      </c>
      <c r="K858" s="6" t="n"/>
      <c r="P858">
        <f>MAX(P859)</f>
        <v/>
      </c>
      <c r="S858">
        <f>S859</f>
        <v/>
      </c>
      <c r="T858">
        <f>(E858/100000+F858/100+(P858/1000)*J858/5+S858/200)*200*I858*H858</f>
        <v/>
      </c>
      <c r="U858">
        <f>((E858*F858/25000)+((P858/1000)*J858*S858/2.5))*I858*H858</f>
        <v/>
      </c>
      <c r="V858">
        <f>(E858*F858*(P858/1000)*J858*S858*I858*H858)/12500000</f>
        <v/>
      </c>
      <c r="W858">
        <f>(T858+U858+V858)/3</f>
        <v/>
      </c>
      <c r="X858" s="6" t="n">
        <v>250</v>
      </c>
      <c r="Y858">
        <f>IFERROR(W858-X858,"")</f>
        <v/>
      </c>
      <c r="Z858">
        <f>IFERROR(ABS(Y858)/MAX(X858,1),"")</f>
        <v/>
      </c>
      <c r="AA858">
        <f>IFERROR((X858-(((E858/100000+F858/100+S858/200)*200*I858*H858)+((E858*F858/25000)*I858*H858))/3)/(((J858/5)*200*I858*H858)+((J858*S858/2.5)*I858*H858)+((E858*F858*J858*S858*I858*H858)/12500000))/3*1000,"")</f>
        <v/>
      </c>
    </row>
    <row r="859">
      <c r="B859" s="7" t="inlineStr">
        <is>
          <t xml:space="preserve">  ↳ RA2Shovel</t>
        </is>
      </c>
      <c r="C859" s="7" t="inlineStr">
        <is>
          <t>Armament@PRIMARY</t>
        </is>
      </c>
      <c r="L859" s="6" t="n">
        <v>2000</v>
      </c>
      <c r="M859" s="6" t="n">
        <v>30</v>
      </c>
      <c r="N859" s="6" t="n">
        <v>1</v>
      </c>
      <c r="O859" s="6" t="n"/>
      <c r="P859" s="6" t="n">
        <v>1500</v>
      </c>
      <c r="Q859" s="6" t="n">
        <v>1</v>
      </c>
      <c r="R859">
        <f>M859+IF(N859&gt;1,N(O859)*(N859-1),0)</f>
        <v/>
      </c>
      <c r="S859">
        <f>IFERROR(L859*MAX(N859,1)/R859*Q859*IF(ISBLANK(K858),1,K858),0)</f>
        <v/>
      </c>
      <c r="AB859" s="7" t="inlineStr">
        <is>
          <t>^SwordWeapon</t>
        </is>
      </c>
    </row>
    <row r="860">
      <c r="B860" s="7" t="inlineStr">
        <is>
          <t xml:space="preserve">  ↳ RA2Shovel</t>
        </is>
      </c>
      <c r="C860" s="7" t="inlineStr">
        <is>
          <t>Armament@GARRISONED</t>
        </is>
      </c>
      <c r="L860" s="6" t="n">
        <v>2000</v>
      </c>
      <c r="M860" s="6" t="n">
        <v>30</v>
      </c>
      <c r="N860" s="6" t="n">
        <v>1</v>
      </c>
      <c r="O860" s="6" t="n"/>
      <c r="P860" s="6" t="n">
        <v>1500</v>
      </c>
      <c r="Q860" s="6" t="n">
        <v>1</v>
      </c>
      <c r="R860">
        <f>M860+IF(N860&gt;1,N(O860)*(N860-1),0)</f>
        <v/>
      </c>
      <c r="S860">
        <f>IFERROR(L860*MAX(N860,1)/R860*Q860*IF(ISBLANK(K858),1,K858),0)</f>
        <v/>
      </c>
      <c r="AB860" s="7" t="inlineStr">
        <is>
          <t>^SwordWeapon</t>
        </is>
      </c>
    </row>
    <row r="861">
      <c r="A861" t="inlineStr">
        <is>
          <t>d2k</t>
        </is>
      </c>
      <c r="B861" t="inlineStr">
        <is>
          <t>ordos_contaminator</t>
        </is>
      </c>
      <c r="C861" t="inlineStr">
        <is>
          <t>Contaminator</t>
        </is>
      </c>
      <c r="D861" s="6" t="inlineStr">
        <is>
          <t>MeleeInfantry</t>
        </is>
      </c>
      <c r="E861" s="6" t="n">
        <v>75000</v>
      </c>
      <c r="F861" s="6" t="n">
        <v>60</v>
      </c>
      <c r="G861" t="inlineStr">
        <is>
          <t>Plate</t>
        </is>
      </c>
      <c r="H861" s="6" t="n">
        <v>1</v>
      </c>
      <c r="I861" s="6" t="n">
        <v>0.75</v>
      </c>
      <c r="J861" s="6" t="n">
        <v>1.25</v>
      </c>
      <c r="K861" s="6" t="n"/>
      <c r="P861">
        <f>MAX(P862)</f>
        <v/>
      </c>
      <c r="S861">
        <f>S862</f>
        <v/>
      </c>
      <c r="T861">
        <f>(E861/100000+F861/100+(P861/1000)*J861/5+S861/200)*200*I861*H861</f>
        <v/>
      </c>
      <c r="U861">
        <f>((E861*F861/25000)+((P861/1000)*J861*S861/2.5))*I861*H861</f>
        <v/>
      </c>
      <c r="V861">
        <f>(E861*F861*(P861/1000)*J861*S861*I861*H861)/12500000</f>
        <v/>
      </c>
      <c r="W861">
        <f>(T861+U861+V861)/3</f>
        <v/>
      </c>
      <c r="X861" s="6" t="n">
        <v>500</v>
      </c>
      <c r="Y861">
        <f>IFERROR(W861-X861,"")</f>
        <v/>
      </c>
      <c r="Z861">
        <f>IFERROR(ABS(Y861)/MAX(X861,1),"")</f>
        <v/>
      </c>
      <c r="AA861">
        <f>IFERROR((X861-(((E861/100000+F861/100+S861/200)*200*I861*H861)+((E861*F861/25000)*I861*H861))/3)/(((J861/5)*200*I861*H861)+((J861*S861/2.5)*I861*H861)+((E861*F861*J861*S861*I861*H861)/12500000))/3*1000,"")</f>
        <v/>
      </c>
    </row>
    <row r="862">
      <c r="B862" s="7" t="inlineStr">
        <is>
          <t xml:space="preserve">  ↳ contaminator_attack</t>
        </is>
      </c>
      <c r="C862" s="7" t="inlineStr">
        <is>
          <t>Armament</t>
        </is>
      </c>
      <c r="L862" s="6" t="n">
        <v>10000</v>
      </c>
      <c r="M862" s="6" t="n">
        <v>20</v>
      </c>
      <c r="N862" s="6" t="n">
        <v>1</v>
      </c>
      <c r="O862" s="6" t="n"/>
      <c r="P862" s="6" t="n">
        <v>2000</v>
      </c>
      <c r="Q862" s="6" t="n">
        <v>1</v>
      </c>
      <c r="R862">
        <f>M862+IF(N862&gt;1,N(O862)*(N862-1),0)</f>
        <v/>
      </c>
      <c r="S862">
        <f>IFERROR(L862*MAX(N862,1)/R862*Q862*IF(ISBLANK(K861),1,K861),0)</f>
        <v/>
      </c>
      <c r="AB862" s="7" t="inlineStr">
        <is>
          <t>^SwordWeapon</t>
        </is>
      </c>
    </row>
    <row r="863">
      <c r="B863" s="7" t="inlineStr">
        <is>
          <t xml:space="preserve">  ↳ contaminator_attack</t>
        </is>
      </c>
      <c r="C863" s="7" t="inlineStr">
        <is>
          <t>Armament@GARRISONED</t>
        </is>
      </c>
      <c r="L863" s="6" t="n">
        <v>10000</v>
      </c>
      <c r="M863" s="6" t="n">
        <v>20</v>
      </c>
      <c r="N863" s="6" t="n">
        <v>1</v>
      </c>
      <c r="O863" s="6" t="n"/>
      <c r="P863" s="6" t="n">
        <v>2000</v>
      </c>
      <c r="Q863" s="6" t="n">
        <v>1</v>
      </c>
      <c r="R863">
        <f>M863+IF(N863&gt;1,N(O863)*(N863-1),0)</f>
        <v/>
      </c>
      <c r="S863">
        <f>IFERROR(L863*MAX(N863,1)/R863*Q863*IF(ISBLANK(K861),1,K861),0)</f>
        <v/>
      </c>
      <c r="AB863" s="7" t="inlineStr">
        <is>
          <t>^SwordWeapon</t>
        </is>
      </c>
    </row>
    <row r="864">
      <c r="A864" t="inlineStr">
        <is>
          <t>d2k</t>
        </is>
      </c>
      <c r="B864" t="inlineStr">
        <is>
          <t>apparition.ixian</t>
        </is>
      </c>
      <c r="C864" t="inlineStr">
        <is>
          <t>Apparition</t>
        </is>
      </c>
      <c r="D864" s="6" t="inlineStr">
        <is>
          <t>MeleeInfantry</t>
        </is>
      </c>
      <c r="E864" s="6" t="n">
        <v>37500</v>
      </c>
      <c r="F864" s="6" t="n">
        <v>160</v>
      </c>
      <c r="G864" t="inlineStr">
        <is>
          <t>Plate</t>
        </is>
      </c>
      <c r="H864" s="6" t="n">
        <v>1</v>
      </c>
      <c r="I864" s="6" t="n">
        <v>1</v>
      </c>
      <c r="J864" s="6" t="n">
        <v>1</v>
      </c>
      <c r="K864" s="6" t="n"/>
      <c r="P864">
        <f>MAX(P865,P866)</f>
        <v/>
      </c>
      <c r="S864">
        <f>S865+S866</f>
        <v/>
      </c>
      <c r="T864">
        <f>(E864/100000+F864/100+(P864/1000)*J864/5+S864/200)*200*I864*H864</f>
        <v/>
      </c>
      <c r="U864">
        <f>((E864*F864/25000)+((P864/1000)*J864*S864/2.5))*I864*H864</f>
        <v/>
      </c>
      <c r="V864">
        <f>(E864*F864*(P864/1000)*J864*S864*I864*H864)/12500000</f>
        <v/>
      </c>
      <c r="W864">
        <f>(T864+U864+V864)/3</f>
        <v/>
      </c>
      <c r="X864" s="6" t="n">
        <v>2000</v>
      </c>
      <c r="Y864">
        <f>IFERROR(W864-X864,"")</f>
        <v/>
      </c>
      <c r="Z864">
        <f>IFERROR(ABS(Y864)/MAX(X864,1),"")</f>
        <v/>
      </c>
      <c r="AA864">
        <f>IFERROR((X864-(((E864/100000+F864/100+S864/200)*200*I864*H864)+((E864*F864/25000)*I864*H864))/3)/(((J864/5)*200*I864*H864)+((J864*S864/2.5)*I864*H864)+((E864*F864*J864*S864*I864*H864)/12500000))/3*1000,"")</f>
        <v/>
      </c>
    </row>
    <row r="865">
      <c r="B865" s="7" t="inlineStr">
        <is>
          <t xml:space="preserve">  ↳ d2k_basq</t>
        </is>
      </c>
      <c r="C865" s="7" t="inlineStr">
        <is>
          <t>Armament</t>
        </is>
      </c>
      <c r="L865" s="6" t="n">
        <v>8000</v>
      </c>
      <c r="M865" s="6" t="n">
        <v>25</v>
      </c>
      <c r="N865" s="6" t="n">
        <v>1</v>
      </c>
      <c r="O865" s="6" t="n"/>
      <c r="P865" s="6" t="n">
        <v>3333</v>
      </c>
      <c r="Q865" s="6" t="n">
        <v>1</v>
      </c>
      <c r="R865">
        <f>M865+IF(N865&gt;1,N(O865)*(N865-1),0)</f>
        <v/>
      </c>
      <c r="S865">
        <f>IFERROR(L865*MAX(N865,1)/R865*Q865*IF(ISBLANK(K864),1,K864),0)</f>
        <v/>
      </c>
      <c r="AB865" s="7" t="inlineStr">
        <is>
          <t>^LightFlameWeapon, ^MediumChemicalWeapon, ^FlakWeapon, ^HeavyCannon</t>
        </is>
      </c>
    </row>
    <row r="866">
      <c r="B866" s="7" t="inlineStr">
        <is>
          <t xml:space="preserve">  ↳ d2k_basq_AA</t>
        </is>
      </c>
      <c r="C866" s="7" t="inlineStr">
        <is>
          <t>Armament@aa</t>
        </is>
      </c>
      <c r="L866" s="6" t="n">
        <v>8000</v>
      </c>
      <c r="M866" s="6" t="n">
        <v>25</v>
      </c>
      <c r="N866" s="6" t="n">
        <v>1</v>
      </c>
      <c r="O866" s="6" t="n"/>
      <c r="P866" s="6" t="n">
        <v>6666</v>
      </c>
      <c r="Q866" s="6" t="n">
        <v>1</v>
      </c>
      <c r="R866">
        <f>M866+IF(N866&gt;1,N(O866)*(N866-1),0)</f>
        <v/>
      </c>
      <c r="S866">
        <f>IFERROR(L866*MAX(N866,1)/R866*Q866*IF(ISBLANK(K864),1,K864),0)</f>
        <v/>
      </c>
      <c r="AB866" s="7" t="inlineStr">
        <is>
          <t>^LightFlameWeapon, ^MediumChemicalWeapon, ^FlakWeapon, ^HeavyCannon</t>
        </is>
      </c>
    </row>
    <row r="867">
      <c r="A867" t="inlineStr">
        <is>
          <t>d2k</t>
        </is>
      </c>
      <c r="B867" t="inlineStr">
        <is>
          <t>heavy_inf.ixian</t>
        </is>
      </c>
      <c r="C867" t="inlineStr">
        <is>
          <t>Rashidan</t>
        </is>
      </c>
      <c r="D867" s="6" t="inlineStr">
        <is>
          <t>MeleeInfantry</t>
        </is>
      </c>
      <c r="E867" s="6" t="n">
        <v>32000</v>
      </c>
      <c r="F867" s="6" t="n">
        <v>50</v>
      </c>
      <c r="G867" t="inlineStr">
        <is>
          <t>Plate</t>
        </is>
      </c>
      <c r="H867" s="6" t="n">
        <v>1</v>
      </c>
      <c r="I867" s="6" t="n">
        <v>1</v>
      </c>
      <c r="J867" s="6" t="n">
        <v>1</v>
      </c>
      <c r="K867" s="6" t="n"/>
      <c r="P867">
        <f>MAX(P868,P869)</f>
        <v/>
      </c>
      <c r="S867">
        <f>S868+S869</f>
        <v/>
      </c>
      <c r="T867">
        <f>(E867/100000+F867/100+(P867/1000)*J867/5+S867/200)*200*I867*H867</f>
        <v/>
      </c>
      <c r="U867">
        <f>((E867*F867/25000)+((P867/1000)*J867*S867/2.5))*I867*H867</f>
        <v/>
      </c>
      <c r="V867">
        <f>(E867*F867*(P867/1000)*J867*S867*I867*H867)/12500000</f>
        <v/>
      </c>
      <c r="W867">
        <f>(T867+U867+V867)/3</f>
        <v/>
      </c>
      <c r="X867" s="6" t="n">
        <v>400</v>
      </c>
      <c r="Y867">
        <f>IFERROR(W867-X867,"")</f>
        <v/>
      </c>
      <c r="Z867">
        <f>IFERROR(ABS(Y867)/MAX(X867,1),"")</f>
        <v/>
      </c>
      <c r="AA867">
        <f>IFERROR((X867-(((E867/100000+F867/100+S867/200)*200*I867*H867)+((E867*F867/25000)*I867*H867))/3)/(((J867/5)*200*I867*H867)+((J867*S867/2.5)*I867*H867)+((E867*F867*J867*S867*I867*H867)/12500000))/3*1000,"")</f>
        <v/>
      </c>
    </row>
    <row r="868">
      <c r="B868" s="7" t="inlineStr">
        <is>
          <t xml:space="preserve">  ↳ RashinanGun</t>
        </is>
      </c>
      <c r="C868" s="7" t="inlineStr">
        <is>
          <t>Armament@PRIMARY</t>
        </is>
      </c>
      <c r="L868" s="6" t="n">
        <v>2000</v>
      </c>
      <c r="M868" s="6" t="n">
        <v>69</v>
      </c>
      <c r="N868" s="6" t="n">
        <v>4</v>
      </c>
      <c r="O868" s="6" t="n">
        <v>0</v>
      </c>
      <c r="P868" s="6" t="n">
        <v>3800</v>
      </c>
      <c r="Q868" s="6" t="n">
        <v>0.875</v>
      </c>
      <c r="R868">
        <f>M868+IF(N868&gt;1,N(O868)*(N868-1),0)</f>
        <v/>
      </c>
      <c r="S868">
        <f>IFERROR(L868*MAX(N868,1)/R868*Q868*IF(ISBLANK(K867),1,K867),0)</f>
        <v/>
      </c>
      <c r="AB868" s="7" t="inlineStr">
        <is>
          <t>^LightMissile, ^MediumMissile, ^SmallArms, ^Chaingun</t>
        </is>
      </c>
    </row>
    <row r="869">
      <c r="B869" s="7" t="inlineStr">
        <is>
          <t xml:space="preserve">  ↳ RashinanGun_upgrade</t>
        </is>
      </c>
      <c r="C869" s="7" t="inlineStr">
        <is>
          <t>Armament@Upgrade</t>
        </is>
      </c>
      <c r="L869" s="6" t="n">
        <v>2000</v>
      </c>
      <c r="M869" s="6" t="n">
        <v>69</v>
      </c>
      <c r="N869" s="6" t="n">
        <v>4</v>
      </c>
      <c r="O869" s="6" t="n">
        <v>0</v>
      </c>
      <c r="P869" s="6" t="n">
        <v>3800</v>
      </c>
      <c r="Q869" s="6" t="n">
        <v>1.035714285714286</v>
      </c>
      <c r="R869">
        <f>M869+IF(N869&gt;1,N(O869)*(N869-1),0)</f>
        <v/>
      </c>
      <c r="S869">
        <f>IFERROR(L869*MAX(N869,1)/R869*Q869*IF(ISBLANK(K867),1,K867),0)</f>
        <v/>
      </c>
      <c r="AB869" s="7" t="inlineStr">
        <is>
          <t>^HeavyMissile, ^HeavyCannon, ^LightMissile, ^MediumMissile, ^SmallArms, ^Chaingun, ^HeavyMachineGunProjectile</t>
        </is>
      </c>
    </row>
    <row r="870">
      <c r="B870" s="7" t="inlineStr">
        <is>
          <t xml:space="preserve">  ↳ RashinanGun</t>
        </is>
      </c>
      <c r="C870" s="7" t="inlineStr">
        <is>
          <t>Armament@GARRISONED</t>
        </is>
      </c>
      <c r="L870" s="6" t="n">
        <v>2000</v>
      </c>
      <c r="M870" s="6" t="n">
        <v>69</v>
      </c>
      <c r="N870" s="6" t="n">
        <v>4</v>
      </c>
      <c r="O870" s="6" t="n">
        <v>0</v>
      </c>
      <c r="P870" s="6" t="n">
        <v>3800</v>
      </c>
      <c r="Q870" s="6" t="n">
        <v>0.875</v>
      </c>
      <c r="R870">
        <f>M870+IF(N870&gt;1,N(O870)*(N870-1),0)</f>
        <v/>
      </c>
      <c r="S870">
        <f>IFERROR(L870*MAX(N870,1)/R870*Q870*IF(ISBLANK(K867),1,K867),0)</f>
        <v/>
      </c>
      <c r="AB870" s="7" t="inlineStr">
        <is>
          <t>^LightMissile, ^MediumMissile, ^SmallArms, ^Chaingun</t>
        </is>
      </c>
    </row>
    <row r="871">
      <c r="B871" s="7" t="inlineStr">
        <is>
          <t xml:space="preserve">  ↳ RashinanGun_upgrade</t>
        </is>
      </c>
      <c r="C871" s="7" t="inlineStr">
        <is>
          <t>Armament@UpgradeGARRISONED</t>
        </is>
      </c>
      <c r="L871" s="6" t="n">
        <v>2000</v>
      </c>
      <c r="M871" s="6" t="n">
        <v>69</v>
      </c>
      <c r="N871" s="6" t="n">
        <v>4</v>
      </c>
      <c r="O871" s="6" t="n">
        <v>0</v>
      </c>
      <c r="P871" s="6" t="n">
        <v>3800</v>
      </c>
      <c r="Q871" s="6" t="n">
        <v>1.035714285714286</v>
      </c>
      <c r="R871">
        <f>M871+IF(N871&gt;1,N(O871)*(N871-1),0)</f>
        <v/>
      </c>
      <c r="S871">
        <f>IFERROR(L871*MAX(N871,1)/R871*Q871*IF(ISBLANK(K867),1,K867),0)</f>
        <v/>
      </c>
      <c r="AB871" s="7" t="inlineStr">
        <is>
          <t>^HeavyMissile, ^HeavyCannon, ^LightMissile, ^MediumMissile, ^SmallArms, ^Chaingun, ^HeavyMachineGunProjectile</t>
        </is>
      </c>
    </row>
    <row r="872">
      <c r="A872" t="inlineStr">
        <is>
          <t>starcraft</t>
        </is>
      </c>
      <c r="B872" t="inlineStr">
        <is>
          <t>protoss_amaranth</t>
        </is>
      </c>
      <c r="C872" t="inlineStr">
        <is>
          <t>Amaranth</t>
        </is>
      </c>
      <c r="D872" s="6" t="inlineStr">
        <is>
          <t>MeleeInfantry</t>
        </is>
      </c>
      <c r="E872" s="6" t="n">
        <v>70000</v>
      </c>
      <c r="F872" s="6" t="n">
        <v>70</v>
      </c>
      <c r="G872" t="inlineStr">
        <is>
          <t>Plate</t>
        </is>
      </c>
      <c r="H872" s="6" t="n">
        <v>1</v>
      </c>
      <c r="I872" s="6" t="n">
        <v>0.75</v>
      </c>
      <c r="J872" s="6" t="n">
        <v>1.25</v>
      </c>
      <c r="K872" s="6" t="n"/>
      <c r="P872">
        <f>MAX(P873)</f>
        <v/>
      </c>
      <c r="S872">
        <f>S873</f>
        <v/>
      </c>
      <c r="T872">
        <f>(E872/100000+F872/100+(P872/1000)*J872/5+S872/200)*200*I872*H872</f>
        <v/>
      </c>
      <c r="U872">
        <f>((E872*F872/25000)+((P872/1000)*J872*S872/2.5))*I872*H872</f>
        <v/>
      </c>
      <c r="V872">
        <f>(E872*F872*(P872/1000)*J872*S872*I872*H872)/12500000</f>
        <v/>
      </c>
      <c r="W872">
        <f>(T872+U872+V872)/3</f>
        <v/>
      </c>
      <c r="X872" s="6" t="n">
        <v>1200</v>
      </c>
      <c r="Y872">
        <f>IFERROR(W872-X872,"")</f>
        <v/>
      </c>
      <c r="Z872">
        <f>IFERROR(ABS(Y872)/MAX(X872,1),"")</f>
        <v/>
      </c>
      <c r="AA872">
        <f>IFERROR((X872-(((E872/100000+F872/100+S872/200)*200*I872*H872)+((E872*F872/25000)*I872*H872))/3)/(((J872/5)*200*I872*H872)+((J872*S872/2.5)*I872*H872)+((E872*F872*J872*S872*I872*H872)/12500000))/3*1000,"")</f>
        <v/>
      </c>
    </row>
    <row r="873">
      <c r="B873" s="7" t="inlineStr">
        <is>
          <t xml:space="preserve">  ↳ WarpBladeAmaranth</t>
        </is>
      </c>
      <c r="C873" s="7" t="inlineStr">
        <is>
          <t>Armament</t>
        </is>
      </c>
      <c r="L873" s="6" t="n">
        <v>30000</v>
      </c>
      <c r="M873" s="6" t="n">
        <v>20</v>
      </c>
      <c r="N873" s="6" t="n">
        <v>1</v>
      </c>
      <c r="O873" s="6" t="n"/>
      <c r="P873" s="6" t="n">
        <v>1840</v>
      </c>
      <c r="Q873" s="6" t="n">
        <v>1</v>
      </c>
      <c r="R873">
        <f>M873+IF(N873&gt;1,N(O873)*(N873-1),0)</f>
        <v/>
      </c>
      <c r="S873">
        <f>IFERROR(L873*MAX(N873,1)/R873*Q873*IF(ISBLANK(K872),1,K872),0)</f>
        <v/>
      </c>
      <c r="AB873" s="7" t="inlineStr">
        <is>
          <t>^SwordWeapon</t>
        </is>
      </c>
    </row>
    <row r="874">
      <c r="A874" t="inlineStr">
        <is>
          <t>starcraft</t>
        </is>
      </c>
      <c r="B874" t="inlineStr">
        <is>
          <t>protoss_darktemplar</t>
        </is>
      </c>
      <c r="C874" t="inlineStr">
        <is>
          <t>Dark Templar</t>
        </is>
      </c>
      <c r="D874" s="6" t="inlineStr">
        <is>
          <t>MeleeInfantry</t>
        </is>
      </c>
      <c r="E874" s="6" t="n">
        <v>50000</v>
      </c>
      <c r="F874" s="6" t="n">
        <v>75</v>
      </c>
      <c r="G874" t="inlineStr">
        <is>
          <t>Plate</t>
        </is>
      </c>
      <c r="H874" s="6" t="n">
        <v>1</v>
      </c>
      <c r="I874" s="6" t="n">
        <v>0.75</v>
      </c>
      <c r="J874" s="6" t="n">
        <v>1.25</v>
      </c>
      <c r="K874" s="6" t="n"/>
      <c r="P874">
        <f>MAX(P875)</f>
        <v/>
      </c>
      <c r="S874">
        <f>S875</f>
        <v/>
      </c>
      <c r="T874">
        <f>(E874/100000+F874/100+(P874/1000)*J874/5+S874/200)*200*I874*H874</f>
        <v/>
      </c>
      <c r="U874">
        <f>((E874*F874/25000)+((P874/1000)*J874*S874/2.5))*I874*H874</f>
        <v/>
      </c>
      <c r="V874">
        <f>(E874*F874*(P874/1000)*J874*S874*I874*H874)/12500000</f>
        <v/>
      </c>
      <c r="W874">
        <f>(T874+U874+V874)/3</f>
        <v/>
      </c>
      <c r="X874" s="6" t="n">
        <v>600</v>
      </c>
      <c r="Y874">
        <f>IFERROR(W874-X874,"")</f>
        <v/>
      </c>
      <c r="Z874">
        <f>IFERROR(ABS(Y874)/MAX(X874,1),"")</f>
        <v/>
      </c>
      <c r="AA874">
        <f>IFERROR((X874-(((E874/100000+F874/100+S874/200)*200*I874*H874)+((E874*F874/25000)*I874*H874))/3)/(((J874/5)*200*I874*H874)+((J874*S874/2.5)*I874*H874)+((E874*F874*J874*S874*I874*H874)/12500000))/3*1000,"")</f>
        <v/>
      </c>
    </row>
    <row r="875">
      <c r="B875" s="7" t="inlineStr">
        <is>
          <t xml:space="preserve">  ↳ WarpBlade</t>
        </is>
      </c>
      <c r="C875" s="7" t="inlineStr">
        <is>
          <t>Armament</t>
        </is>
      </c>
      <c r="L875" s="6" t="n">
        <v>20000</v>
      </c>
      <c r="M875" s="6" t="n">
        <v>25</v>
      </c>
      <c r="N875" s="6" t="n">
        <v>1</v>
      </c>
      <c r="O875" s="6" t="n"/>
      <c r="P875" s="6" t="n">
        <v>1600</v>
      </c>
      <c r="Q875" s="6" t="n">
        <v>1</v>
      </c>
      <c r="R875">
        <f>M875+IF(N875&gt;1,N(O875)*(N875-1),0)</f>
        <v/>
      </c>
      <c r="S875">
        <f>IFERROR(L875*MAX(N875,1)/R875*Q875*IF(ISBLANK(K874),1,K874),0)</f>
        <v/>
      </c>
      <c r="AB875" s="7" t="inlineStr">
        <is>
          <t>^SwordWeapon</t>
        </is>
      </c>
    </row>
    <row r="876">
      <c r="A876" t="inlineStr">
        <is>
          <t>starcraft</t>
        </is>
      </c>
      <c r="B876" t="inlineStr">
        <is>
          <t>protoss_legionnaire</t>
        </is>
      </c>
      <c r="C876" t="inlineStr">
        <is>
          <t>Legionnaire</t>
        </is>
      </c>
      <c r="D876" s="6" t="inlineStr">
        <is>
          <t>MeleeInfantry</t>
        </is>
      </c>
      <c r="E876" s="6" t="n">
        <v>60000</v>
      </c>
      <c r="F876" s="6" t="n">
        <v>60</v>
      </c>
      <c r="G876" t="inlineStr">
        <is>
          <t>Plate</t>
        </is>
      </c>
      <c r="H876" s="6" t="n">
        <v>1</v>
      </c>
      <c r="I876" s="6" t="n">
        <v>0.75</v>
      </c>
      <c r="J876" s="6" t="n">
        <v>1</v>
      </c>
      <c r="K876" s="6" t="n"/>
      <c r="P876">
        <f>MAX(P877)</f>
        <v/>
      </c>
      <c r="S876">
        <f>S877</f>
        <v/>
      </c>
      <c r="T876">
        <f>(E876/100000+F876/100+(P876/1000)*J876/5+S876/200)*200*I876*H876</f>
        <v/>
      </c>
      <c r="U876">
        <f>((E876*F876/25000)+((P876/1000)*J876*S876/2.5))*I876*H876</f>
        <v/>
      </c>
      <c r="V876">
        <f>(E876*F876*(P876/1000)*J876*S876*I876*H876)/12500000</f>
        <v/>
      </c>
      <c r="W876">
        <f>(T876+U876+V876)/3</f>
        <v/>
      </c>
      <c r="X876" s="6" t="n">
        <v>700</v>
      </c>
      <c r="Y876">
        <f>IFERROR(W876-X876,"")</f>
        <v/>
      </c>
      <c r="Z876">
        <f>IFERROR(ABS(Y876)/MAX(X876,1),"")</f>
        <v/>
      </c>
      <c r="AA876">
        <f>IFERROR((X876-(((E876/100000+F876/100+S876/200)*200*I876*H876)+((E876*F876/25000)*I876*H876))/3)/(((J876/5)*200*I876*H876)+((J876*S876/2.5)*I876*H876)+((E876*F876*J876*S876*I876*H876)/12500000))/3*1000,"")</f>
        <v/>
      </c>
    </row>
    <row r="877">
      <c r="B877" s="7" t="inlineStr">
        <is>
          <t xml:space="preserve">  ↳ psi_spear</t>
        </is>
      </c>
      <c r="C877" s="7" t="inlineStr">
        <is>
          <t>Armament</t>
        </is>
      </c>
      <c r="L877" s="6" t="n">
        <v>32000</v>
      </c>
      <c r="M877" s="6" t="n">
        <v>26</v>
      </c>
      <c r="N877" s="6" t="n">
        <v>1</v>
      </c>
      <c r="O877" s="6" t="n"/>
      <c r="P877" s="6" t="n">
        <v>1337</v>
      </c>
      <c r="Q877" s="6" t="n">
        <v>1</v>
      </c>
      <c r="R877">
        <f>M877+IF(N877&gt;1,N(O877)*(N877-1),0)</f>
        <v/>
      </c>
      <c r="S877">
        <f>IFERROR(L877*MAX(N877,1)/R877*Q877*IF(ISBLANK(K876),1,K876),0)</f>
        <v/>
      </c>
      <c r="AB877" s="7" t="inlineStr">
        <is>
          <t>^SwordWeapon</t>
        </is>
      </c>
    </row>
    <row r="878">
      <c r="A878" t="inlineStr">
        <is>
          <t>starcraft</t>
        </is>
      </c>
      <c r="B878" t="inlineStr">
        <is>
          <t>protoss_zealot</t>
        </is>
      </c>
      <c r="C878" t="inlineStr">
        <is>
          <t>Zealot</t>
        </is>
      </c>
      <c r="D878" s="6" t="inlineStr">
        <is>
          <t>MeleeInfantry</t>
        </is>
      </c>
      <c r="E878" s="6" t="n">
        <v>40000</v>
      </c>
      <c r="F878" s="6" t="n">
        <v>70</v>
      </c>
      <c r="G878" t="inlineStr">
        <is>
          <t>Plate</t>
        </is>
      </c>
      <c r="H878" s="6" t="n">
        <v>1</v>
      </c>
      <c r="I878" s="6" t="n">
        <v>0.75</v>
      </c>
      <c r="J878" s="6" t="n">
        <v>1</v>
      </c>
      <c r="K878" s="6" t="n"/>
      <c r="P878">
        <f>MAX(P879)</f>
        <v/>
      </c>
      <c r="S878">
        <f>S879</f>
        <v/>
      </c>
      <c r="T878">
        <f>(E878/100000+F878/100+(P878/1000)*J878/5+S878/200)*200*I878*H878</f>
        <v/>
      </c>
      <c r="U878">
        <f>((E878*F878/25000)+((P878/1000)*J878*S878/2.5))*I878*H878</f>
        <v/>
      </c>
      <c r="V878">
        <f>(E878*F878*(P878/1000)*J878*S878*I878*H878)/12500000</f>
        <v/>
      </c>
      <c r="W878">
        <f>(T878+U878+V878)/3</f>
        <v/>
      </c>
      <c r="X878" s="6" t="n">
        <v>300</v>
      </c>
      <c r="Y878">
        <f>IFERROR(W878-X878,"")</f>
        <v/>
      </c>
      <c r="Z878">
        <f>IFERROR(ABS(Y878)/MAX(X878,1),"")</f>
        <v/>
      </c>
      <c r="AA878">
        <f>IFERROR((X878-(((E878/100000+F878/100+S878/200)*200*I878*H878)+((E878*F878/25000)*I878*H878))/3)/(((J878/5)*200*I878*H878)+((J878*S878/2.5)*I878*H878)+((E878*F878*J878*S878*I878*H878)/12500000))/3*1000,"")</f>
        <v/>
      </c>
    </row>
    <row r="879">
      <c r="B879" s="7" t="inlineStr">
        <is>
          <t xml:space="preserve">  ↳ psi_blades</t>
        </is>
      </c>
      <c r="C879" s="7" t="inlineStr">
        <is>
          <t>Armament</t>
        </is>
      </c>
      <c r="L879" s="6" t="n">
        <v>8000</v>
      </c>
      <c r="M879" s="6" t="n">
        <v>30</v>
      </c>
      <c r="N879" s="6" t="n">
        <v>2</v>
      </c>
      <c r="O879" s="6" t="n">
        <v>6</v>
      </c>
      <c r="P879" s="6" t="n">
        <v>1335</v>
      </c>
      <c r="Q879" s="6" t="n">
        <v>1</v>
      </c>
      <c r="R879">
        <f>M879+IF(N879&gt;1,N(O879)*(N879-1),0)</f>
        <v/>
      </c>
      <c r="S879">
        <f>IFERROR(L879*MAX(N879,1)/R879*Q879*IF(ISBLANK(K878),1,K878),0)</f>
        <v/>
      </c>
      <c r="AB879" s="7" t="inlineStr">
        <is>
          <t>^SwordWeapon</t>
        </is>
      </c>
    </row>
    <row r="880">
      <c r="A880" t="inlineStr">
        <is>
          <t>starcraft</t>
        </is>
      </c>
      <c r="B880" t="inlineStr">
        <is>
          <t>zerg_infestedterranbomber</t>
        </is>
      </c>
      <c r="C880" t="inlineStr">
        <is>
          <t>Infested Terran Bomber</t>
        </is>
      </c>
      <c r="D880" s="6" t="inlineStr">
        <is>
          <t>MeleeInfantry</t>
        </is>
      </c>
      <c r="E880" s="6" t="n">
        <v>60000</v>
      </c>
      <c r="F880" s="6" t="n">
        <v>90</v>
      </c>
      <c r="G880" t="inlineStr">
        <is>
          <t>Plate</t>
        </is>
      </c>
      <c r="H880" s="6" t="n">
        <v>1</v>
      </c>
      <c r="I880" s="6" t="n">
        <v>1</v>
      </c>
      <c r="J880" s="6" t="n">
        <v>1</v>
      </c>
      <c r="K880" s="6" t="n"/>
      <c r="P880">
        <f>MAX(P881)</f>
        <v/>
      </c>
      <c r="S880">
        <f>S881</f>
        <v/>
      </c>
      <c r="T880">
        <f>(E880/100000+F880/100+(P880/1000)*J880/5+S880/200)*200*I880*H880</f>
        <v/>
      </c>
      <c r="U880">
        <f>((E880*F880/25000)+((P880/1000)*J880*S880/2.5))*I880*H880</f>
        <v/>
      </c>
      <c r="V880">
        <f>(E880*F880*(P880/1000)*J880*S880*I880*H880)/12500000</f>
        <v/>
      </c>
      <c r="W880">
        <f>(T880+U880+V880)/3</f>
        <v/>
      </c>
      <c r="X880" s="6" t="n">
        <v>400</v>
      </c>
      <c r="Y880">
        <f>IFERROR(W880-X880,"")</f>
        <v/>
      </c>
      <c r="Z880">
        <f>IFERROR(ABS(Y880)/MAX(X880,1),"")</f>
        <v/>
      </c>
      <c r="AA880">
        <f>IFERROR((X880-(((E880/100000+F880/100+S880/200)*200*I880*H880)+((E880*F880/25000)*I880*H880))/3)/(((J880/5)*200*I880*H880)+((J880*S880/2.5)*I880*H880)+((E880*F880*J880*S880*I880*H880)/12500000))/3*1000,"")</f>
        <v/>
      </c>
    </row>
    <row r="881">
      <c r="B881" s="7" t="inlineStr">
        <is>
          <t xml:space="preserve">  ↳ DemoTruckTargeting</t>
        </is>
      </c>
      <c r="C881" s="7" t="inlineStr">
        <is>
          <t>Armament@PRIMARY</t>
        </is>
      </c>
      <c r="L881" s="6" t="n"/>
      <c r="M881" s="6" t="n"/>
      <c r="N881" s="6" t="n">
        <v>1</v>
      </c>
      <c r="O881" s="6" t="n"/>
      <c r="P881" s="6" t="n">
        <v>2000</v>
      </c>
      <c r="Q881" s="6" t="n">
        <v>1</v>
      </c>
      <c r="R881">
        <f>M881+IF(N881&gt;1,N(O881)*(N881-1),0)</f>
        <v/>
      </c>
      <c r="S881">
        <f>IFERROR(L881*MAX(N881,1)/R881*Q881*IF(ISBLANK(K880),1,K880),0)</f>
        <v/>
      </c>
      <c r="AB881" s="7" t="inlineStr"/>
    </row>
    <row r="882">
      <c r="A882" t="inlineStr">
        <is>
          <t>starcraft</t>
        </is>
      </c>
      <c r="B882" t="inlineStr">
        <is>
          <t>zerg_talon</t>
        </is>
      </c>
      <c r="C882" t="inlineStr">
        <is>
          <t>Talon</t>
        </is>
      </c>
      <c r="D882" s="6" t="inlineStr">
        <is>
          <t>MeleeInfantry</t>
        </is>
      </c>
      <c r="E882" s="6" t="n">
        <v>32000</v>
      </c>
      <c r="F882" s="6" t="n">
        <v>160</v>
      </c>
      <c r="G882" t="inlineStr">
        <is>
          <t>Plate</t>
        </is>
      </c>
      <c r="H882" s="6" t="n">
        <v>1</v>
      </c>
      <c r="I882" s="6" t="n">
        <v>0.75</v>
      </c>
      <c r="J882" s="6" t="n">
        <v>1</v>
      </c>
      <c r="K882" s="6" t="n"/>
      <c r="P882">
        <f>MAX(P883)</f>
        <v/>
      </c>
      <c r="S882">
        <f>S883</f>
        <v/>
      </c>
      <c r="T882">
        <f>(E882/100000+F882/100+(P882/1000)*J882/5+S882/200)*200*I882*H882</f>
        <v/>
      </c>
      <c r="U882">
        <f>((E882*F882/25000)+((P882/1000)*J882*S882/2.5))*I882*H882</f>
        <v/>
      </c>
      <c r="V882">
        <f>(E882*F882*(P882/1000)*J882*S882*I882*H882)/12500000</f>
        <v/>
      </c>
      <c r="W882">
        <f>(T882+U882+V882)/3</f>
        <v/>
      </c>
      <c r="X882" s="6" t="n">
        <v>300</v>
      </c>
      <c r="Y882">
        <f>IFERROR(W882-X882,"")</f>
        <v/>
      </c>
      <c r="Z882">
        <f>IFERROR(ABS(Y882)/MAX(X882,1),"")</f>
        <v/>
      </c>
      <c r="AA882">
        <f>IFERROR((X882-(((E882/100000+F882/100+S882/200)*200*I882*H882)+((E882*F882/25000)*I882*H882))/3)/(((J882/5)*200*I882*H882)+((J882*S882/2.5)*I882*H882)+((E882*F882*J882*S882*I882*H882)/12500000))/3*1000,"")</f>
        <v/>
      </c>
    </row>
    <row r="883">
      <c r="B883" s="7" t="inlineStr">
        <is>
          <t xml:space="preserve">  ↳ TalonClaw</t>
        </is>
      </c>
      <c r="C883" s="7" t="inlineStr">
        <is>
          <t>Armament</t>
        </is>
      </c>
      <c r="L883" s="6" t="n">
        <v>6000</v>
      </c>
      <c r="M883" s="6" t="n">
        <v>15</v>
      </c>
      <c r="N883" s="6" t="n">
        <v>1</v>
      </c>
      <c r="O883" s="6" t="n"/>
      <c r="P883" s="6" t="n">
        <v>1680</v>
      </c>
      <c r="Q883" s="6" t="n">
        <v>1</v>
      </c>
      <c r="R883">
        <f>M883+IF(N883&gt;1,N(O883)*(N883-1),0)</f>
        <v/>
      </c>
      <c r="S883">
        <f>IFERROR(L883*MAX(N883,1)/R883*Q883*IF(ISBLANK(K882),1,K882),0)</f>
        <v/>
      </c>
      <c r="AB883" s="7" t="inlineStr">
        <is>
          <t>^SwordWeapon</t>
        </is>
      </c>
    </row>
    <row r="884">
      <c r="A884" t="inlineStr">
        <is>
          <t>starcraft</t>
        </is>
      </c>
      <c r="B884" t="inlineStr">
        <is>
          <t>zerg_zergling</t>
        </is>
      </c>
      <c r="C884" t="inlineStr">
        <is>
          <t>Zergling</t>
        </is>
      </c>
      <c r="D884" s="6" t="inlineStr">
        <is>
          <t>MeleeInfantry</t>
        </is>
      </c>
      <c r="E884" s="6" t="n">
        <v>11000</v>
      </c>
      <c r="F884" s="6" t="n">
        <v>110</v>
      </c>
      <c r="G884" t="inlineStr">
        <is>
          <t>Plate</t>
        </is>
      </c>
      <c r="H884" s="6" t="n">
        <v>1</v>
      </c>
      <c r="I884" s="6" t="n">
        <v>0.75</v>
      </c>
      <c r="J884" s="6" t="n">
        <v>1</v>
      </c>
      <c r="K884" s="6" t="n">
        <v>1.5</v>
      </c>
      <c r="P884">
        <f>MAX(P885)</f>
        <v/>
      </c>
      <c r="S884">
        <f>S885</f>
        <v/>
      </c>
      <c r="T884">
        <f>(E884/100000+F884/100+(P884/1000)*J884/5+S884/200)*200*I884*H884</f>
        <v/>
      </c>
      <c r="U884">
        <f>((E884*F884/25000)+((P884/1000)*J884*S884/2.5))*I884*H884</f>
        <v/>
      </c>
      <c r="V884">
        <f>(E884*F884*(P884/1000)*J884*S884*I884*H884)/12500000</f>
        <v/>
      </c>
      <c r="W884">
        <f>(T884+U884+V884)/3</f>
        <v/>
      </c>
      <c r="X884" s="6" t="n">
        <v>200</v>
      </c>
      <c r="Y884">
        <f>IFERROR(W884-X884,"")</f>
        <v/>
      </c>
      <c r="Z884">
        <f>IFERROR(ABS(Y884)/MAX(X884,1),"")</f>
        <v/>
      </c>
      <c r="AA884">
        <f>IFERROR((X884-(((E884/100000+F884/100+S884/200)*200*I884*H884)+((E884*F884/25000)*I884*H884))/3)/(((J884/5)*200*I884*H884)+((J884*S884/2.5)*I884*H884)+((E884*F884*J884*S884*I884*H884)/12500000))/3*1000,"")</f>
        <v/>
      </c>
    </row>
    <row r="885">
      <c r="B885" s="7" t="inlineStr">
        <is>
          <t xml:space="preserve">  ↳ ZerglingClaw</t>
        </is>
      </c>
      <c r="C885" s="7" t="inlineStr">
        <is>
          <t>Armament</t>
        </is>
      </c>
      <c r="L885" s="6" t="n">
        <v>2000</v>
      </c>
      <c r="M885" s="6" t="n">
        <v>11</v>
      </c>
      <c r="N885" s="6" t="n">
        <v>1</v>
      </c>
      <c r="O885" s="6" t="n"/>
      <c r="P885" s="6" t="n">
        <v>1350</v>
      </c>
      <c r="Q885" s="6" t="n">
        <v>1</v>
      </c>
      <c r="R885">
        <f>M885+IF(N885&gt;1,N(O885)*(N885-1),0)</f>
        <v/>
      </c>
      <c r="S885">
        <f>IFERROR(L885*MAX(N885,1)/R885*Q885*IF(ISBLANK(K884),1,K884),0)</f>
        <v/>
      </c>
      <c r="AB885" s="7" t="inlineStr">
        <is>
          <t>^SwordWeapon</t>
        </is>
      </c>
    </row>
    <row r="886">
      <c r="A886" t="inlineStr">
        <is>
          <t>starcraft</t>
        </is>
      </c>
      <c r="B886" t="inlineStr">
        <is>
          <t>terran_firebat</t>
        </is>
      </c>
      <c r="C886" t="inlineStr">
        <is>
          <t>Firebat</t>
        </is>
      </c>
      <c r="D886" s="6" t="inlineStr">
        <is>
          <t>MeleeInfantry</t>
        </is>
      </c>
      <c r="E886" s="6" t="n">
        <v>52000</v>
      </c>
      <c r="F886" s="6" t="n">
        <v>52</v>
      </c>
      <c r="G886" t="inlineStr">
        <is>
          <t>Plate</t>
        </is>
      </c>
      <c r="H886" s="6" t="n">
        <v>1</v>
      </c>
      <c r="I886" s="6" t="n">
        <v>0.75</v>
      </c>
      <c r="J886" s="6" t="n">
        <v>1</v>
      </c>
      <c r="K886" s="6" t="n">
        <v>0.5</v>
      </c>
      <c r="P886">
        <f>MAX(P887,P888)</f>
        <v/>
      </c>
      <c r="S886">
        <f>S887+S888</f>
        <v/>
      </c>
      <c r="T886">
        <f>(E886/100000+F886/100+(P886/1000)*J886/5+S886/200)*200*I886*H886</f>
        <v/>
      </c>
      <c r="U886">
        <f>((E886*F886/25000)+((P886/1000)*J886*S886/2.5))*I886*H886</f>
        <v/>
      </c>
      <c r="V886">
        <f>(E886*F886*(P886/1000)*J886*S886*I886*H886)/12500000</f>
        <v/>
      </c>
      <c r="W886">
        <f>(T886+U886+V886)/3</f>
        <v/>
      </c>
      <c r="X886" s="6" t="n">
        <v>500</v>
      </c>
      <c r="Y886">
        <f>IFERROR(W886-X886,"")</f>
        <v/>
      </c>
      <c r="Z886">
        <f>IFERROR(ABS(Y886)/MAX(X886,1),"")</f>
        <v/>
      </c>
      <c r="AA886">
        <f>IFERROR((X886-(((E886/100000+F886/100+S886/200)*200*I886*H886)+((E886*F886/25000)*I886*H886))/3)/(((J886/5)*200*I886*H886)+((J886*S886/2.5)*I886*H886)+((E886*F886*J886*S886*I886*H886)/12500000))/3*1000,"")</f>
        <v/>
      </c>
    </row>
    <row r="887">
      <c r="B887" s="7" t="inlineStr">
        <is>
          <t xml:space="preserve">  ↳ FirebatF</t>
        </is>
      </c>
      <c r="C887" s="7" t="inlineStr">
        <is>
          <t>Armament@1</t>
        </is>
      </c>
      <c r="L887" s="6" t="n">
        <v>2000</v>
      </c>
      <c r="M887" s="6" t="n">
        <v>28</v>
      </c>
      <c r="N887" s="6" t="n">
        <v>13</v>
      </c>
      <c r="O887" s="6" t="n">
        <v>2</v>
      </c>
      <c r="P887" s="6" t="n">
        <v>3400</v>
      </c>
      <c r="Q887" s="6" t="n">
        <v>1</v>
      </c>
      <c r="R887">
        <f>M887+IF(N887&gt;1,N(O887)*(N887-1),0)</f>
        <v/>
      </c>
      <c r="S887">
        <f>IFERROR(L887*MAX(N887,1)/R887*Q887*IF(ISBLANK(K886),1,K886),0)</f>
        <v/>
      </c>
      <c r="AB887" s="7" t="inlineStr">
        <is>
          <t>^MediumFlameWeapon</t>
        </is>
      </c>
    </row>
    <row r="888">
      <c r="B888" s="7" t="inlineStr">
        <is>
          <t xml:space="preserve">  ↳ FirebatF</t>
        </is>
      </c>
      <c r="C888" s="7" t="inlineStr">
        <is>
          <t>Armament@2</t>
        </is>
      </c>
      <c r="L888" s="6" t="n">
        <v>2000</v>
      </c>
      <c r="M888" s="6" t="n">
        <v>28</v>
      </c>
      <c r="N888" s="6" t="n">
        <v>13</v>
      </c>
      <c r="O888" s="6" t="n">
        <v>2</v>
      </c>
      <c r="P888" s="6" t="n">
        <v>3400</v>
      </c>
      <c r="Q888" s="6" t="n">
        <v>1</v>
      </c>
      <c r="R888">
        <f>M888+IF(N888&gt;1,N(O888)*(N888-1),0)</f>
        <v/>
      </c>
      <c r="S888">
        <f>IFERROR(L888*MAX(N888,1)/R888*Q888*IF(ISBLANK(K886),1,K886),0)</f>
        <v/>
      </c>
      <c r="AB888" s="7" t="inlineStr">
        <is>
          <t>^MediumFlameWeapon</t>
        </is>
      </c>
    </row>
    <row r="889">
      <c r="B889" s="7" t="inlineStr">
        <is>
          <t xml:space="preserve">  ↳ FirebatF</t>
        </is>
      </c>
      <c r="C889" s="7" t="inlineStr">
        <is>
          <t>Armament@GARRISONED1</t>
        </is>
      </c>
      <c r="L889" s="6" t="n">
        <v>2000</v>
      </c>
      <c r="M889" s="6" t="n">
        <v>28</v>
      </c>
      <c r="N889" s="6" t="n">
        <v>13</v>
      </c>
      <c r="O889" s="6" t="n">
        <v>2</v>
      </c>
      <c r="P889" s="6" t="n">
        <v>3400</v>
      </c>
      <c r="Q889" s="6" t="n">
        <v>1</v>
      </c>
      <c r="R889">
        <f>M889+IF(N889&gt;1,N(O889)*(N889-1),0)</f>
        <v/>
      </c>
      <c r="S889">
        <f>IFERROR(L889*MAX(N889,1)/R889*Q889*IF(ISBLANK(K886),1,K886),0)</f>
        <v/>
      </c>
      <c r="AB889" s="7" t="inlineStr">
        <is>
          <t>^MediumFlameWeapon</t>
        </is>
      </c>
    </row>
    <row r="890">
      <c r="B890" s="7" t="inlineStr">
        <is>
          <t xml:space="preserve">  ↳ FirebatF</t>
        </is>
      </c>
      <c r="C890" s="7" t="inlineStr">
        <is>
          <t>Armament@GARRISONED2</t>
        </is>
      </c>
      <c r="L890" s="6" t="n">
        <v>2000</v>
      </c>
      <c r="M890" s="6" t="n">
        <v>28</v>
      </c>
      <c r="N890" s="6" t="n">
        <v>13</v>
      </c>
      <c r="O890" s="6" t="n">
        <v>2</v>
      </c>
      <c r="P890" s="6" t="n">
        <v>3400</v>
      </c>
      <c r="Q890" s="6" t="n">
        <v>1</v>
      </c>
      <c r="R890">
        <f>M890+IF(N890&gt;1,N(O890)*(N890-1),0)</f>
        <v/>
      </c>
      <c r="S890">
        <f>IFERROR(L890*MAX(N890,1)/R890*Q890*IF(ISBLANK(K886),1,K886),0)</f>
        <v/>
      </c>
      <c r="AB890" s="7" t="inlineStr">
        <is>
          <t>^MediumFlameWeapon</t>
        </is>
      </c>
    </row>
    <row r="891">
      <c r="A891" t="inlineStr">
        <is>
          <t>starcraft</t>
        </is>
      </c>
      <c r="B891" t="inlineStr">
        <is>
          <t>terran_harakan</t>
        </is>
      </c>
      <c r="C891" t="inlineStr">
        <is>
          <t>Harakan</t>
        </is>
      </c>
      <c r="D891" s="6" t="inlineStr">
        <is>
          <t>MeleeInfantry</t>
        </is>
      </c>
      <c r="E891" s="6" t="n">
        <v>78000</v>
      </c>
      <c r="F891" s="6" t="n">
        <v>56</v>
      </c>
      <c r="G891" t="inlineStr">
        <is>
          <t>Plate</t>
        </is>
      </c>
      <c r="H891" s="6" t="n">
        <v>1</v>
      </c>
      <c r="I891" s="6" t="n">
        <v>0.75</v>
      </c>
      <c r="J891" s="6" t="n">
        <v>1</v>
      </c>
      <c r="K891" s="6" t="n">
        <v>0.25</v>
      </c>
      <c r="P891">
        <f>MAX(P892,P893)</f>
        <v/>
      </c>
      <c r="S891">
        <f>S892+S893</f>
        <v/>
      </c>
      <c r="T891">
        <f>(E891/100000+F891/100+(P891/1000)*J891/5+S891/200)*200*I891*H891</f>
        <v/>
      </c>
      <c r="U891">
        <f>((E891*F891/25000)+((P891/1000)*J891*S891/2.5))*I891*H891</f>
        <v/>
      </c>
      <c r="V891">
        <f>(E891*F891*(P891/1000)*J891*S891*I891*H891)/12500000</f>
        <v/>
      </c>
      <c r="W891">
        <f>(T891+U891+V891)/3</f>
        <v/>
      </c>
      <c r="X891" s="6" t="n">
        <v>700</v>
      </c>
      <c r="Y891">
        <f>IFERROR(W891-X891,"")</f>
        <v/>
      </c>
      <c r="Z891">
        <f>IFERROR(ABS(Y891)/MAX(X891,1),"")</f>
        <v/>
      </c>
      <c r="AA891">
        <f>IFERROR((X891-(((E891/100000+F891/100+S891/200)*200*I891*H891)+((E891*F891/25000)*I891*H891))/3)/(((J891/5)*200*I891*H891)+((J891*S891/2.5)*I891*H891)+((E891*F891*J891*S891*I891*H891)/12500000))/3*1000,"")</f>
        <v/>
      </c>
    </row>
    <row r="892">
      <c r="B892" s="7" t="inlineStr">
        <is>
          <t xml:space="preserve">  ↳ HarakanF</t>
        </is>
      </c>
      <c r="C892" s="7" t="inlineStr">
        <is>
          <t>Armament@1</t>
        </is>
      </c>
      <c r="L892" s="6" t="n">
        <v>2000</v>
      </c>
      <c r="M892" s="6" t="n">
        <v>47</v>
      </c>
      <c r="N892" s="6" t="n">
        <v>20</v>
      </c>
      <c r="O892" s="6" t="n">
        <v>2</v>
      </c>
      <c r="P892" s="6" t="n">
        <v>4185</v>
      </c>
      <c r="Q892" s="6" t="n">
        <v>1.125</v>
      </c>
      <c r="R892">
        <f>M892+IF(N892&gt;1,N(O892)*(N892-1),0)</f>
        <v/>
      </c>
      <c r="S892">
        <f>IFERROR(L892*MAX(N892,1)/R892*Q892*IF(ISBLANK(K891),1,K891),0)</f>
        <v/>
      </c>
      <c r="AB892" s="7" t="inlineStr">
        <is>
          <t>^HeavyFlameWeapon, ^MediumFlameWeapon</t>
        </is>
      </c>
    </row>
    <row r="893">
      <c r="B893" s="7" t="inlineStr">
        <is>
          <t xml:space="preserve">  ↳ HarakanF</t>
        </is>
      </c>
      <c r="C893" s="7" t="inlineStr">
        <is>
          <t>Armament@2</t>
        </is>
      </c>
      <c r="L893" s="6" t="n">
        <v>2000</v>
      </c>
      <c r="M893" s="6" t="n">
        <v>47</v>
      </c>
      <c r="N893" s="6" t="n">
        <v>20</v>
      </c>
      <c r="O893" s="6" t="n">
        <v>2</v>
      </c>
      <c r="P893" s="6" t="n">
        <v>4185</v>
      </c>
      <c r="Q893" s="6" t="n">
        <v>1.125</v>
      </c>
      <c r="R893">
        <f>M893+IF(N893&gt;1,N(O893)*(N893-1),0)</f>
        <v/>
      </c>
      <c r="S893">
        <f>IFERROR(L893*MAX(N893,1)/R893*Q893*IF(ISBLANK(K891),1,K891),0)</f>
        <v/>
      </c>
      <c r="AB893" s="7" t="inlineStr">
        <is>
          <t>^HeavyFlameWeapon, ^MediumFlameWeapon</t>
        </is>
      </c>
    </row>
    <row r="894">
      <c r="B894" s="7" t="inlineStr">
        <is>
          <t xml:space="preserve">  ↳ HarakanF</t>
        </is>
      </c>
      <c r="C894" s="7" t="inlineStr">
        <is>
          <t>Armament@GARRISONED1</t>
        </is>
      </c>
      <c r="L894" s="6" t="n">
        <v>2000</v>
      </c>
      <c r="M894" s="6" t="n">
        <v>47</v>
      </c>
      <c r="N894" s="6" t="n">
        <v>20</v>
      </c>
      <c r="O894" s="6" t="n">
        <v>2</v>
      </c>
      <c r="P894" s="6" t="n">
        <v>4185</v>
      </c>
      <c r="Q894" s="6" t="n">
        <v>1.125</v>
      </c>
      <c r="R894">
        <f>M894+IF(N894&gt;1,N(O894)*(N894-1),0)</f>
        <v/>
      </c>
      <c r="S894">
        <f>IFERROR(L894*MAX(N894,1)/R894*Q894*IF(ISBLANK(K891),1,K891),0)</f>
        <v/>
      </c>
      <c r="AB894" s="7" t="inlineStr">
        <is>
          <t>^HeavyFlameWeapon, ^MediumFlameWeapon</t>
        </is>
      </c>
    </row>
    <row r="895">
      <c r="B895" s="7" t="inlineStr">
        <is>
          <t xml:space="preserve">  ↳ HarakanF</t>
        </is>
      </c>
      <c r="C895" s="7" t="inlineStr">
        <is>
          <t>Armament@GARRISONED2</t>
        </is>
      </c>
      <c r="L895" s="6" t="n">
        <v>2000</v>
      </c>
      <c r="M895" s="6" t="n">
        <v>47</v>
      </c>
      <c r="N895" s="6" t="n">
        <v>20</v>
      </c>
      <c r="O895" s="6" t="n">
        <v>2</v>
      </c>
      <c r="P895" s="6" t="n">
        <v>4185</v>
      </c>
      <c r="Q895" s="6" t="n">
        <v>1.125</v>
      </c>
      <c r="R895">
        <f>M895+IF(N895&gt;1,N(O895)*(N895-1),0)</f>
        <v/>
      </c>
      <c r="S895">
        <f>IFERROR(L895*MAX(N895,1)/R895*Q895*IF(ISBLANK(K891),1,K891),0)</f>
        <v/>
      </c>
      <c r="AB895" s="7" t="inlineStr">
        <is>
          <t>^HeavyFlameWeapon, ^MediumFlameWeapon</t>
        </is>
      </c>
    </row>
    <row r="896">
      <c r="A896" t="inlineStr">
        <is>
          <t>warcraft2</t>
        </is>
      </c>
      <c r="B896" t="inlineStr">
        <is>
          <t>wc2_orcs_grunt</t>
        </is>
      </c>
      <c r="C896" t="inlineStr">
        <is>
          <t>Grunt</t>
        </is>
      </c>
      <c r="D896" s="6" t="inlineStr">
        <is>
          <t>MeleeInfantry</t>
        </is>
      </c>
      <c r="E896" s="6" t="n">
        <v>65000</v>
      </c>
      <c r="F896" s="6" t="n">
        <v>65</v>
      </c>
      <c r="G896" t="inlineStr">
        <is>
          <t>Plate</t>
        </is>
      </c>
      <c r="H896" s="6" t="n">
        <v>1</v>
      </c>
      <c r="I896" s="6" t="n">
        <v>0.75</v>
      </c>
      <c r="J896" s="6" t="n">
        <v>1</v>
      </c>
      <c r="K896" s="6" t="n">
        <v>1.3</v>
      </c>
      <c r="P896">
        <f>MAX(P897)</f>
        <v/>
      </c>
      <c r="S896">
        <f>S897</f>
        <v/>
      </c>
      <c r="T896">
        <f>(E896/100000+F896/100+(P896/1000)*J896/5+S896/200)*200*I896*H896</f>
        <v/>
      </c>
      <c r="U896">
        <f>((E896*F896/25000)+((P896/1000)*J896*S896/2.5))*I896*H896</f>
        <v/>
      </c>
      <c r="V896">
        <f>(E896*F896*(P896/1000)*J896*S896*I896*H896)/12500000</f>
        <v/>
      </c>
      <c r="W896">
        <f>(T896+U896+V896)/3</f>
        <v/>
      </c>
      <c r="X896" s="6" t="n">
        <v>600</v>
      </c>
      <c r="Y896">
        <f>IFERROR(W896-X896,"")</f>
        <v/>
      </c>
      <c r="Z896">
        <f>IFERROR(ABS(Y896)/MAX(X896,1),"")</f>
        <v/>
      </c>
      <c r="AA896">
        <f>IFERROR((X896-(((E896/100000+F896/100+S896/200)*200*I896*H896)+((E896*F896/25000)*I896*H896))/3)/(((J896/5)*200*I896*H896)+((J896*S896/2.5)*I896*H896)+((E896*F896*J896*S896*I896*H896)/12500000))/3*1000,"")</f>
        <v/>
      </c>
    </row>
    <row r="897">
      <c r="B897" s="7" t="inlineStr">
        <is>
          <t xml:space="preserve">  ↳ wc2gruntslice</t>
        </is>
      </c>
      <c r="C897" s="7" t="inlineStr">
        <is>
          <t>Armament</t>
        </is>
      </c>
      <c r="L897" s="6" t="n">
        <v>16000</v>
      </c>
      <c r="M897" s="6" t="n">
        <v>18</v>
      </c>
      <c r="N897" s="6" t="n">
        <v>1</v>
      </c>
      <c r="O897" s="6" t="n"/>
      <c r="P897" s="6" t="n">
        <v>1555</v>
      </c>
      <c r="Q897" s="6" t="n">
        <v>1</v>
      </c>
      <c r="R897">
        <f>M897+IF(N897&gt;1,N(O897)*(N897-1),0)</f>
        <v/>
      </c>
      <c r="S897">
        <f>IFERROR(L897*MAX(N897,1)/R897*Q897*IF(ISBLANK(K896),1,K896),0)</f>
        <v/>
      </c>
      <c r="AB897" s="7" t="inlineStr">
        <is>
          <t>^SwordWeapon</t>
        </is>
      </c>
    </row>
    <row r="898">
      <c r="A898" t="inlineStr">
        <is>
          <t>warcraft2</t>
        </is>
      </c>
      <c r="B898" t="inlineStr">
        <is>
          <t>wc2_orcs_warcraft3grunt</t>
        </is>
      </c>
      <c r="C898" t="inlineStr">
        <is>
          <t>Warcraft 3 Grunt</t>
        </is>
      </c>
      <c r="D898" s="6" t="inlineStr">
        <is>
          <t>MeleeInfantry</t>
        </is>
      </c>
      <c r="E898" s="6" t="n">
        <v>120000</v>
      </c>
      <c r="F898" s="6" t="n">
        <v>70</v>
      </c>
      <c r="G898" t="inlineStr">
        <is>
          <t>Plate</t>
        </is>
      </c>
      <c r="H898" s="6" t="n">
        <v>1</v>
      </c>
      <c r="I898" s="6" t="n">
        <v>1</v>
      </c>
      <c r="J898" s="6" t="n">
        <v>1</v>
      </c>
      <c r="K898" s="6" t="n">
        <v>1.3</v>
      </c>
      <c r="P898">
        <f>MAX(P899)</f>
        <v/>
      </c>
      <c r="S898">
        <f>S899</f>
        <v/>
      </c>
      <c r="T898">
        <f>(E898/100000+F898/100+(P898/1000)*J898/5+S898/200)*200*I898*H898</f>
        <v/>
      </c>
      <c r="U898">
        <f>((E898*F898/25000)+((P898/1000)*J898*S898/2.5))*I898*H898</f>
        <v/>
      </c>
      <c r="V898">
        <f>(E898*F898*(P898/1000)*J898*S898*I898*H898)/12500000</f>
        <v/>
      </c>
      <c r="W898">
        <f>(T898+U898+V898)/3</f>
        <v/>
      </c>
      <c r="X898" s="6" t="n">
        <v>1100</v>
      </c>
      <c r="Y898">
        <f>IFERROR(W898-X898,"")</f>
        <v/>
      </c>
      <c r="Z898">
        <f>IFERROR(ABS(Y898)/MAX(X898,1),"")</f>
        <v/>
      </c>
      <c r="AA898">
        <f>IFERROR((X898-(((E898/100000+F898/100+S898/200)*200*I898*H898)+((E898*F898/25000)*I898*H898))/3)/(((J898/5)*200*I898*H898)+((J898*S898/2.5)*I898*H898)+((E898*F898*J898*S898*I898*H898)/12500000))/3*1000,"")</f>
        <v/>
      </c>
    </row>
    <row r="899">
      <c r="B899" s="7" t="inlineStr">
        <is>
          <t xml:space="preserve">  ↳ wc2gruntslice2</t>
        </is>
      </c>
      <c r="C899" s="7" t="inlineStr">
        <is>
          <t>Armament</t>
        </is>
      </c>
      <c r="L899" s="6" t="n">
        <v>24000</v>
      </c>
      <c r="M899" s="6" t="n">
        <v>18</v>
      </c>
      <c r="N899" s="6" t="n">
        <v>1</v>
      </c>
      <c r="O899" s="6" t="n"/>
      <c r="P899" s="6" t="n">
        <v>1600</v>
      </c>
      <c r="Q899" s="6" t="n">
        <v>1</v>
      </c>
      <c r="R899">
        <f>M899+IF(N899&gt;1,N(O899)*(N899-1),0)</f>
        <v/>
      </c>
      <c r="S899">
        <f>IFERROR(L899*MAX(N899,1)/R899*Q899*IF(ISBLANK(K898),1,K898),0)</f>
        <v/>
      </c>
      <c r="AB899" s="7" t="inlineStr">
        <is>
          <t>^SwordWeapon</t>
        </is>
      </c>
    </row>
    <row r="900">
      <c r="A900" t="inlineStr">
        <is>
          <t>warcraft2</t>
        </is>
      </c>
      <c r="B900" t="inlineStr">
        <is>
          <t>wc2_humans_footman</t>
        </is>
      </c>
      <c r="C900" t="inlineStr">
        <is>
          <t>Footman</t>
        </is>
      </c>
      <c r="D900" s="6" t="inlineStr">
        <is>
          <t>MeleeInfantry</t>
        </is>
      </c>
      <c r="E900" s="6" t="n">
        <v>50000</v>
      </c>
      <c r="F900" s="6" t="n">
        <v>75</v>
      </c>
      <c r="G900" t="inlineStr">
        <is>
          <t>Plate</t>
        </is>
      </c>
      <c r="H900" s="6" t="n">
        <v>1</v>
      </c>
      <c r="I900" s="6" t="n">
        <v>0.75</v>
      </c>
      <c r="J900" s="6" t="n">
        <v>1</v>
      </c>
      <c r="K900" s="6" t="n">
        <v>1.3</v>
      </c>
      <c r="P900">
        <f>MAX(P901)</f>
        <v/>
      </c>
      <c r="S900">
        <f>S901</f>
        <v/>
      </c>
      <c r="T900">
        <f>(E900/100000+F900/100+(P900/1000)*J900/5+S900/200)*200*I900*H900</f>
        <v/>
      </c>
      <c r="U900">
        <f>((E900*F900/25000)+((P900/1000)*J900*S900/2.5))*I900*H900</f>
        <v/>
      </c>
      <c r="V900">
        <f>(E900*F900*(P900/1000)*J900*S900*I900*H900)/12500000</f>
        <v/>
      </c>
      <c r="W900">
        <f>(T900+U900+V900)/3</f>
        <v/>
      </c>
      <c r="X900" s="6" t="n">
        <v>500</v>
      </c>
      <c r="Y900">
        <f>IFERROR(W900-X900,"")</f>
        <v/>
      </c>
      <c r="Z900">
        <f>IFERROR(ABS(Y900)/MAX(X900,1),"")</f>
        <v/>
      </c>
      <c r="AA900">
        <f>IFERROR((X900-(((E900/100000+F900/100+S900/200)*200*I900*H900)+((E900*F900/25000)*I900*H900))/3)/(((J900/5)*200*I900*H900)+((J900*S900/2.5)*I900*H900)+((E900*F900*J900*S900*I900*H900)/12500000))/3*1000,"")</f>
        <v/>
      </c>
    </row>
    <row r="901">
      <c r="B901" s="7" t="inlineStr">
        <is>
          <t xml:space="preserve">  ↳ wc2footmanslice</t>
        </is>
      </c>
      <c r="C901" s="7" t="inlineStr">
        <is>
          <t>Armament</t>
        </is>
      </c>
      <c r="L901" s="6" t="n">
        <v>12000</v>
      </c>
      <c r="M901" s="6" t="n">
        <v>15</v>
      </c>
      <c r="N901" s="6" t="n">
        <v>1</v>
      </c>
      <c r="O901" s="6" t="n"/>
      <c r="P901" s="6" t="n">
        <v>1333</v>
      </c>
      <c r="Q901" s="6" t="n">
        <v>1</v>
      </c>
      <c r="R901">
        <f>M901+IF(N901&gt;1,N(O901)*(N901-1),0)</f>
        <v/>
      </c>
      <c r="S901">
        <f>IFERROR(L901*MAX(N901,1)/R901*Q901*IF(ISBLANK(K900),1,K900),0)</f>
        <v/>
      </c>
      <c r="AB901" s="7" t="inlineStr">
        <is>
          <t>^SwordWeapon</t>
        </is>
      </c>
    </row>
    <row r="902">
      <c r="A902" t="inlineStr">
        <is>
          <t>warcraft2</t>
        </is>
      </c>
      <c r="B902" t="inlineStr">
        <is>
          <t>wc2_humans_militiapeasant</t>
        </is>
      </c>
      <c r="C902" t="inlineStr">
        <is>
          <t>Militia Peasant</t>
        </is>
      </c>
      <c r="D902" s="6" t="inlineStr">
        <is>
          <t>MeleeInfantry</t>
        </is>
      </c>
      <c r="E902" s="6" t="n">
        <v>20000</v>
      </c>
      <c r="F902" s="6" t="n">
        <v>90</v>
      </c>
      <c r="G902" t="inlineStr">
        <is>
          <t>Light</t>
        </is>
      </c>
      <c r="H902" s="6" t="n">
        <v>1</v>
      </c>
      <c r="I902" s="6" t="n">
        <v>1</v>
      </c>
      <c r="J902" s="6" t="n">
        <v>1</v>
      </c>
      <c r="K902" s="6" t="n"/>
      <c r="P902">
        <f>MAX(P903)</f>
        <v/>
      </c>
      <c r="S902">
        <f>S903</f>
        <v/>
      </c>
      <c r="T902">
        <f>(E902/100000+F902/100+(P902/1000)*J902/5+S902/200)*200*I902*H902</f>
        <v/>
      </c>
      <c r="U902">
        <f>((E902*F902/25000)+((P902/1000)*J902*S902/2.5))*I902*H902</f>
        <v/>
      </c>
      <c r="V902">
        <f>(E902*F902*(P902/1000)*J902*S902*I902*H902)/12500000</f>
        <v/>
      </c>
      <c r="W902">
        <f>(T902+U902+V902)/3</f>
        <v/>
      </c>
      <c r="X902" s="6" t="n">
        <v>300</v>
      </c>
      <c r="Y902">
        <f>IFERROR(W902-X902,"")</f>
        <v/>
      </c>
      <c r="Z902">
        <f>IFERROR(ABS(Y902)/MAX(X902,1),"")</f>
        <v/>
      </c>
      <c r="AA902">
        <f>IFERROR((X902-(((E902/100000+F902/100+S902/200)*200*I902*H902)+((E902*F902/25000)*I902*H902))/3)/(((J902/5)*200*I902*H902)+((J902*S902/2.5)*I902*H902)+((E902*F902*J902*S902*I902*H902)/12500000))/3*1000,"")</f>
        <v/>
      </c>
    </row>
    <row r="903">
      <c r="B903" s="7" t="inlineStr">
        <is>
          <t xml:space="preserve">  ↳ wc2footmanslice</t>
        </is>
      </c>
      <c r="C903" s="7" t="inlineStr">
        <is>
          <t>Armament</t>
        </is>
      </c>
      <c r="L903" s="6" t="n">
        <v>12000</v>
      </c>
      <c r="M903" s="6" t="n">
        <v>15</v>
      </c>
      <c r="N903" s="6" t="n">
        <v>1</v>
      </c>
      <c r="O903" s="6" t="n"/>
      <c r="P903" s="6" t="n">
        <v>1333</v>
      </c>
      <c r="Q903" s="6" t="n">
        <v>1</v>
      </c>
      <c r="R903">
        <f>M903+IF(N903&gt;1,N(O903)*(N903-1),0)</f>
        <v/>
      </c>
      <c r="S903">
        <f>IFERROR(L903*MAX(N903,1)/R903*Q903*IF(ISBLANK(K902),1,K902),0)</f>
        <v/>
      </c>
      <c r="AB903" s="7" t="inlineStr">
        <is>
          <t>^SwordWeapon</t>
        </is>
      </c>
    </row>
    <row r="904">
      <c r="A904" t="inlineStr">
        <is>
          <t>warcraft2</t>
        </is>
      </c>
      <c r="B904" t="inlineStr">
        <is>
          <t>wc2_humans_warcraft3footman</t>
        </is>
      </c>
      <c r="C904" t="inlineStr">
        <is>
          <t>Warcraft 3 Footman</t>
        </is>
      </c>
      <c r="D904" s="6" t="inlineStr">
        <is>
          <t>MeleeInfantry</t>
        </is>
      </c>
      <c r="E904" s="6" t="n">
        <v>80000</v>
      </c>
      <c r="F904" s="6" t="n">
        <v>85</v>
      </c>
      <c r="G904" t="inlineStr">
        <is>
          <t>Plate</t>
        </is>
      </c>
      <c r="H904" s="6" t="n">
        <v>1</v>
      </c>
      <c r="I904" s="6" t="n">
        <v>1</v>
      </c>
      <c r="J904" s="6" t="n">
        <v>1</v>
      </c>
      <c r="K904" s="6" t="n">
        <v>1.3</v>
      </c>
      <c r="P904">
        <f>MAX(P905)</f>
        <v/>
      </c>
      <c r="S904">
        <f>S905</f>
        <v/>
      </c>
      <c r="T904">
        <f>(E904/100000+F904/100+(P904/1000)*J904/5+S904/200)*200*I904*H904</f>
        <v/>
      </c>
      <c r="U904">
        <f>((E904*F904/25000)+((P904/1000)*J904*S904/2.5))*I904*H904</f>
        <v/>
      </c>
      <c r="V904">
        <f>(E904*F904*(P904/1000)*J904*S904*I904*H904)/12500000</f>
        <v/>
      </c>
      <c r="W904">
        <f>(T904+U904+V904)/3</f>
        <v/>
      </c>
      <c r="X904" s="6" t="n">
        <v>900</v>
      </c>
      <c r="Y904">
        <f>IFERROR(W904-X904,"")</f>
        <v/>
      </c>
      <c r="Z904">
        <f>IFERROR(ABS(Y904)/MAX(X904,1),"")</f>
        <v/>
      </c>
      <c r="AA904">
        <f>IFERROR((X904-(((E904/100000+F904/100+S904/200)*200*I904*H904)+((E904*F904/25000)*I904*H904))/3)/(((J904/5)*200*I904*H904)+((J904*S904/2.5)*I904*H904)+((E904*F904*J904*S904*I904*H904)/12500000))/3*1000,"")</f>
        <v/>
      </c>
    </row>
    <row r="905">
      <c r="B905" s="7" t="inlineStr">
        <is>
          <t xml:space="preserve">  ↳ wc2footmanslice2</t>
        </is>
      </c>
      <c r="C905" s="7" t="inlineStr">
        <is>
          <t>Armament</t>
        </is>
      </c>
      <c r="L905" s="6" t="n">
        <v>18000</v>
      </c>
      <c r="M905" s="6" t="n">
        <v>15</v>
      </c>
      <c r="N905" s="6" t="n">
        <v>1</v>
      </c>
      <c r="O905" s="6" t="n"/>
      <c r="P905" s="6" t="n">
        <v>1533</v>
      </c>
      <c r="Q905" s="6" t="n">
        <v>1</v>
      </c>
      <c r="R905">
        <f>M905+IF(N905&gt;1,N(O905)*(N905-1),0)</f>
        <v/>
      </c>
      <c r="S905">
        <f>IFERROR(L905*MAX(N905,1)/R905*Q905*IF(ISBLANK(K904),1,K904),0)</f>
        <v/>
      </c>
      <c r="AB905" s="7" t="inlineStr">
        <is>
          <t>^SwordWeapon</t>
        </is>
      </c>
    </row>
    <row r="906">
      <c r="A906" s="4" t="inlineStr">
        <is>
          <t>Dog</t>
        </is>
      </c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</row>
    <row r="907">
      <c r="A907" t="inlineStr">
        <is>
          <t>redalert</t>
        </is>
      </c>
      <c r="B907" t="inlineStr">
        <is>
          <t>ra1_soviets_attackdog</t>
        </is>
      </c>
      <c r="C907" t="inlineStr">
        <is>
          <t>actor_dog.name</t>
        </is>
      </c>
      <c r="D907" s="6" t="inlineStr">
        <is>
          <t>Dog</t>
        </is>
      </c>
      <c r="E907" s="6" t="n">
        <v>5000</v>
      </c>
      <c r="F907" s="6" t="n">
        <v>100</v>
      </c>
      <c r="G907" t="inlineStr">
        <is>
          <t>None</t>
        </is>
      </c>
      <c r="H907" s="6" t="n">
        <v>1</v>
      </c>
      <c r="I907" s="6" t="n">
        <v>1</v>
      </c>
      <c r="J907" s="6" t="n">
        <v>1</v>
      </c>
      <c r="K907" s="6" t="n"/>
      <c r="P907">
        <f>MAX(P908)</f>
        <v/>
      </c>
      <c r="S907">
        <f>S908</f>
        <v/>
      </c>
      <c r="T907">
        <f>(E907/100000+F907/100+(P907/1000)*J907/5+S907/200)*200*I907*H907</f>
        <v/>
      </c>
      <c r="U907">
        <f>((E907*F907/25000)+((P907/1000)*J907*S907/2.5))*I907*H907</f>
        <v/>
      </c>
      <c r="V907">
        <f>(E907*F907*(P907/1000)*J907*S907*I907*H907)/12500000</f>
        <v/>
      </c>
      <c r="W907">
        <f>(T907+U907+V907)/3</f>
        <v/>
      </c>
      <c r="X907" s="6" t="n">
        <v>200</v>
      </c>
      <c r="Y907">
        <f>IFERROR(W907-X907,"")</f>
        <v/>
      </c>
      <c r="Z907">
        <f>IFERROR(ABS(Y907)/MAX(X907,1),"")</f>
        <v/>
      </c>
      <c r="AA907">
        <f>IFERROR((X907-(((E907/100000+F907/100+S907/200)*200*I907*H907)+((E907*F907/25000)*I907*H907))/3)/(((J907/5)*200*I907*H907)+((J907*S907/2.5)*I907*H907)+((E907*F907*J907*S907*I907*H907)/12500000))/3*1000,"")</f>
        <v/>
      </c>
    </row>
    <row r="908">
      <c r="B908" s="7" t="inlineStr">
        <is>
          <t xml:space="preserve">  ↳ DogJaw</t>
        </is>
      </c>
      <c r="C908" s="7" t="inlineStr">
        <is>
          <t>Armament</t>
        </is>
      </c>
      <c r="L908" s="6" t="n">
        <v>100000</v>
      </c>
      <c r="M908" s="6" t="n">
        <v>10</v>
      </c>
      <c r="N908" s="6" t="n">
        <v>1</v>
      </c>
      <c r="O908" s="6" t="n"/>
      <c r="P908" s="6" t="n">
        <v>2000</v>
      </c>
      <c r="Q908" s="6" t="n">
        <v>1</v>
      </c>
      <c r="R908">
        <f>M908+IF(N908&gt;1,N(O908)*(N908-1),0)</f>
        <v/>
      </c>
      <c r="S908">
        <f>IFERROR(L908*MAX(N908,1)/R908*Q908*IF(ISBLANK(K907),1,K907),0)</f>
        <v/>
      </c>
      <c r="AB908" s="7" t="inlineStr"/>
    </row>
    <row r="909">
      <c r="A909" t="inlineStr">
        <is>
          <t>redalert</t>
        </is>
      </c>
      <c r="B909" t="inlineStr">
        <is>
          <t>ra1_soviets_cyberdog</t>
        </is>
      </c>
      <c r="C909" t="inlineStr">
        <is>
          <t>Cyberdog</t>
        </is>
      </c>
      <c r="D909" s="6" t="inlineStr">
        <is>
          <t>Dog</t>
        </is>
      </c>
      <c r="E909" s="6" t="n">
        <v>50000</v>
      </c>
      <c r="F909" s="6" t="n">
        <v>100</v>
      </c>
      <c r="G909" t="inlineStr">
        <is>
          <t>Plate</t>
        </is>
      </c>
      <c r="H909" s="6" t="n">
        <v>1</v>
      </c>
      <c r="I909" s="6" t="n">
        <v>1</v>
      </c>
      <c r="J909" s="6" t="n">
        <v>1</v>
      </c>
      <c r="K909" s="6" t="n"/>
      <c r="P909">
        <f>MAX(P910)</f>
        <v/>
      </c>
      <c r="S909">
        <f>S910</f>
        <v/>
      </c>
      <c r="T909">
        <f>(E909/100000+F909/100+(P909/1000)*J909/5+S909/200)*200*I909*H909</f>
        <v/>
      </c>
      <c r="U909">
        <f>((E909*F909/25000)+((P909/1000)*J909*S909/2.5))*I909*H909</f>
        <v/>
      </c>
      <c r="V909">
        <f>(E909*F909*(P909/1000)*J909*S909*I909*H909)/12500000</f>
        <v/>
      </c>
      <c r="W909">
        <f>(T909+U909+V909)/3</f>
        <v/>
      </c>
      <c r="X909" s="6" t="n">
        <v>1000</v>
      </c>
      <c r="Y909">
        <f>IFERROR(W909-X909,"")</f>
        <v/>
      </c>
      <c r="Z909">
        <f>IFERROR(ABS(Y909)/MAX(X909,1),"")</f>
        <v/>
      </c>
      <c r="AA909">
        <f>IFERROR((X909-(((E909/100000+F909/100+S909/200)*200*I909*H909)+((E909*F909/25000)*I909*H909))/3)/(((J909/5)*200*I909*H909)+((J909*S909/2.5)*I909*H909)+((E909*F909*J909*S909*I909*H909)/12500000))/3*1000,"")</f>
        <v/>
      </c>
    </row>
    <row r="910">
      <c r="B910" s="7" t="inlineStr">
        <is>
          <t xml:space="preserve">  ↳ CyberneticDogJaw</t>
        </is>
      </c>
      <c r="C910" s="7" t="inlineStr">
        <is>
          <t>Armament</t>
        </is>
      </c>
      <c r="L910" s="6" t="n">
        <v>100000</v>
      </c>
      <c r="M910" s="6" t="n">
        <v>10</v>
      </c>
      <c r="N910" s="6" t="n">
        <v>1</v>
      </c>
      <c r="O910" s="6" t="n"/>
      <c r="P910" s="6" t="n">
        <v>2500</v>
      </c>
      <c r="Q910" s="6" t="n">
        <v>1</v>
      </c>
      <c r="R910">
        <f>M910+IF(N910&gt;1,N(O910)*(N910-1),0)</f>
        <v/>
      </c>
      <c r="S910">
        <f>IFERROR(L910*MAX(N910,1)/R910*Q910*IF(ISBLANK(K909),1,K909),0)</f>
        <v/>
      </c>
      <c r="AB910" s="7" t="inlineStr"/>
    </row>
    <row r="911">
      <c r="A911" t="inlineStr">
        <is>
          <t>redalert2</t>
        </is>
      </c>
      <c r="B911" t="inlineStr">
        <is>
          <t>ra2_allies_attackdog</t>
        </is>
      </c>
      <c r="C911" t="inlineStr">
        <is>
          <t>Attack Dog</t>
        </is>
      </c>
      <c r="D911" s="6" t="inlineStr">
        <is>
          <t>Dog</t>
        </is>
      </c>
      <c r="E911" s="6" t="n">
        <v>5000</v>
      </c>
      <c r="F911" s="6" t="n">
        <v>100</v>
      </c>
      <c r="G911" t="inlineStr">
        <is>
          <t>None</t>
        </is>
      </c>
      <c r="H911" s="6" t="n">
        <v>1</v>
      </c>
      <c r="I911" s="6" t="n">
        <v>1</v>
      </c>
      <c r="J911" s="6" t="n">
        <v>1</v>
      </c>
      <c r="K911" s="6" t="n"/>
      <c r="P911">
        <f>MAX(P912)</f>
        <v/>
      </c>
      <c r="S911">
        <f>S912</f>
        <v/>
      </c>
      <c r="T911">
        <f>(E911/100000+F911/100+(P911/1000)*J911/5+S911/200)*200*I911*H911</f>
        <v/>
      </c>
      <c r="U911">
        <f>((E911*F911/25000)+((P911/1000)*J911*S911/2.5))*I911*H911</f>
        <v/>
      </c>
      <c r="V911">
        <f>(E911*F911*(P911/1000)*J911*S911*I911*H911)/12500000</f>
        <v/>
      </c>
      <c r="W911">
        <f>(T911+U911+V911)/3</f>
        <v/>
      </c>
      <c r="X911" s="6" t="n">
        <v>200</v>
      </c>
      <c r="Y911">
        <f>IFERROR(W911-X911,"")</f>
        <v/>
      </c>
      <c r="Z911">
        <f>IFERROR(ABS(Y911)/MAX(X911,1),"")</f>
        <v/>
      </c>
      <c r="AA911">
        <f>IFERROR((X911-(((E911/100000+F911/100+S911/200)*200*I911*H911)+((E911*F911/25000)*I911*H911))/3)/(((J911/5)*200*I911*H911)+((J911*S911/2.5)*I911*H911)+((E911*F911*J911*S911*I911*H911)/12500000))/3*1000,"")</f>
        <v/>
      </c>
    </row>
    <row r="912">
      <c r="B912" s="7" t="inlineStr">
        <is>
          <t xml:space="preserve">  ↳ DogJaw</t>
        </is>
      </c>
      <c r="C912" s="7" t="inlineStr">
        <is>
          <t>Armament</t>
        </is>
      </c>
      <c r="L912" s="6" t="n">
        <v>100000</v>
      </c>
      <c r="M912" s="6" t="n">
        <v>10</v>
      </c>
      <c r="N912" s="6" t="n">
        <v>1</v>
      </c>
      <c r="O912" s="6" t="n"/>
      <c r="P912" s="6" t="n">
        <v>2000</v>
      </c>
      <c r="Q912" s="6" t="n">
        <v>1</v>
      </c>
      <c r="R912">
        <f>M912+IF(N912&gt;1,N(O912)*(N912-1),0)</f>
        <v/>
      </c>
      <c r="S912">
        <f>IFERROR(L912*MAX(N912,1)/R912*Q912*IF(ISBLANK(K911),1,K911),0)</f>
        <v/>
      </c>
      <c r="AB912" s="7" t="inlineStr"/>
    </row>
    <row r="913">
      <c r="A913" t="inlineStr">
        <is>
          <t>redalert2</t>
        </is>
      </c>
      <c r="B913" t="inlineStr">
        <is>
          <t>ra2_soviets_attackdog</t>
        </is>
      </c>
      <c r="C913" t="inlineStr">
        <is>
          <t>Attack Dog</t>
        </is>
      </c>
      <c r="D913" s="6" t="inlineStr">
        <is>
          <t>Dog</t>
        </is>
      </c>
      <c r="E913" s="6" t="n">
        <v>5000</v>
      </c>
      <c r="F913" s="6" t="n">
        <v>100</v>
      </c>
      <c r="G913" t="inlineStr">
        <is>
          <t>None</t>
        </is>
      </c>
      <c r="H913" s="6" t="n">
        <v>1</v>
      </c>
      <c r="I913" s="6" t="n">
        <v>1</v>
      </c>
      <c r="J913" s="6" t="n">
        <v>1</v>
      </c>
      <c r="K913" s="6" t="n"/>
      <c r="P913">
        <f>MAX(P914)</f>
        <v/>
      </c>
      <c r="S913">
        <f>S914</f>
        <v/>
      </c>
      <c r="T913">
        <f>(E913/100000+F913/100+(P913/1000)*J913/5+S913/200)*200*I913*H913</f>
        <v/>
      </c>
      <c r="U913">
        <f>((E913*F913/25000)+((P913/1000)*J913*S913/2.5))*I913*H913</f>
        <v/>
      </c>
      <c r="V913">
        <f>(E913*F913*(P913/1000)*J913*S913*I913*H913)/12500000</f>
        <v/>
      </c>
      <c r="W913">
        <f>(T913+U913+V913)/3</f>
        <v/>
      </c>
      <c r="X913" s="6" t="n">
        <v>200</v>
      </c>
      <c r="Y913">
        <f>IFERROR(W913-X913,"")</f>
        <v/>
      </c>
      <c r="Z913">
        <f>IFERROR(ABS(Y913)/MAX(X913,1),"")</f>
        <v/>
      </c>
      <c r="AA913">
        <f>IFERROR((X913-(((E913/100000+F913/100+S913/200)*200*I913*H913)+((E913*F913/25000)*I913*H913))/3)/(((J913/5)*200*I913*H913)+((J913*S913/2.5)*I913*H913)+((E913*F913*J913*S913*I913*H913)/12500000))/3*1000,"")</f>
        <v/>
      </c>
    </row>
    <row r="914">
      <c r="B914" s="7" t="inlineStr">
        <is>
          <t xml:space="preserve">  ↳ DogJaw</t>
        </is>
      </c>
      <c r="C914" s="7" t="inlineStr">
        <is>
          <t>Armament</t>
        </is>
      </c>
      <c r="L914" s="6" t="n">
        <v>100000</v>
      </c>
      <c r="M914" s="6" t="n">
        <v>10</v>
      </c>
      <c r="N914" s="6" t="n">
        <v>1</v>
      </c>
      <c r="O914" s="6" t="n"/>
      <c r="P914" s="6" t="n">
        <v>2000</v>
      </c>
      <c r="Q914" s="6" t="n">
        <v>1</v>
      </c>
      <c r="R914">
        <f>M914+IF(N914&gt;1,N(O914)*(N914-1),0)</f>
        <v/>
      </c>
      <c r="S914">
        <f>IFERROR(L914*MAX(N914,1)/R914*Q914*IF(ISBLANK(K913),1,K913),0)</f>
        <v/>
      </c>
      <c r="AB914" s="7" t="inlineStr"/>
    </row>
    <row r="915">
      <c r="A915" s="4" t="inlineStr">
        <is>
          <t>SniperInfantry</t>
        </is>
      </c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</row>
    <row r="916">
      <c r="A916" t="inlineStr">
        <is>
          <t>tiberiandawn</t>
        </is>
      </c>
      <c r="B916" t="inlineStr">
        <is>
          <t>td_gdi_heavysniper</t>
        </is>
      </c>
      <c r="C916" t="inlineStr">
        <is>
          <t>GDI Heavy Sniper</t>
        </is>
      </c>
      <c r="D916" s="6" t="inlineStr">
        <is>
          <t>SniperInfantry</t>
        </is>
      </c>
      <c r="E916" s="6" t="n">
        <v>25000</v>
      </c>
      <c r="F916" s="6" t="n">
        <v>78</v>
      </c>
      <c r="G916" t="inlineStr">
        <is>
          <t>Flak</t>
        </is>
      </c>
      <c r="H916" s="6" t="n">
        <v>1</v>
      </c>
      <c r="I916" s="6" t="n">
        <v>1</v>
      </c>
      <c r="J916" s="6" t="n">
        <v>1</v>
      </c>
      <c r="K916" s="6" t="n"/>
      <c r="P916">
        <f>MAX(P917)</f>
        <v/>
      </c>
      <c r="S916">
        <f>S917</f>
        <v/>
      </c>
      <c r="T916">
        <f>(E916/100000+F916/100+(P916/1000)*J916/5+S916/200)*200*I916*H916</f>
        <v/>
      </c>
      <c r="U916">
        <f>((E916*F916/25000)+((P916/1000)*J916*S916/2.5))*I916*H916</f>
        <v/>
      </c>
      <c r="V916">
        <f>(E916*F916*(P916/1000)*J916*S916*I916*H916)/12500000</f>
        <v/>
      </c>
      <c r="W916">
        <f>(T916+U916+V916)/3</f>
        <v/>
      </c>
      <c r="X916" s="6" t="n">
        <v>700</v>
      </c>
      <c r="Y916">
        <f>IFERROR(W916-X916,"")</f>
        <v/>
      </c>
      <c r="Z916">
        <f>IFERROR(ABS(Y916)/MAX(X916,1),"")</f>
        <v/>
      </c>
      <c r="AA916">
        <f>IFERROR((X916-(((E916/100000+F916/100+S916/200)*200*I916*H916)+((E916*F916/25000)*I916*H916))/3)/(((J916/5)*200*I916*H916)+((J916*S916/2.5)*I916*H916)+((E916*F916*J916*S916*I916*H916)/12500000))/3*1000,"")</f>
        <v/>
      </c>
    </row>
    <row r="917">
      <c r="B917" s="7" t="inlineStr">
        <is>
          <t xml:space="preserve">  ↳ GDISniperRifle</t>
        </is>
      </c>
      <c r="C917" s="7" t="inlineStr">
        <is>
          <t>Armament</t>
        </is>
      </c>
      <c r="L917" s="6" t="n">
        <v>8000</v>
      </c>
      <c r="M917" s="6" t="n">
        <v>75</v>
      </c>
      <c r="N917" s="6" t="n">
        <v>1</v>
      </c>
      <c r="O917" s="6" t="n"/>
      <c r="P917" s="6" t="n">
        <v>8655</v>
      </c>
      <c r="Q917" s="6" t="n">
        <v>0.9375</v>
      </c>
      <c r="R917">
        <f>M917+IF(N917&gt;1,N(O917)*(N917-1),0)</f>
        <v/>
      </c>
      <c r="S917">
        <f>IFERROR(L917*MAX(N917,1)/R917*Q917*IF(ISBLANK(K916),1,K916),0)</f>
        <v/>
      </c>
      <c r="AB917" s="7" t="inlineStr">
        <is>
          <t>^SmallArms, ^Grenade, ^FlakWeapon, ^Chaingun</t>
        </is>
      </c>
    </row>
    <row r="918">
      <c r="B918" s="7" t="inlineStr">
        <is>
          <t xml:space="preserve">  ↳ GDISniperRifle</t>
        </is>
      </c>
      <c r="C918" s="7" t="inlineStr">
        <is>
          <t>Armament@GARRISONED</t>
        </is>
      </c>
      <c r="L918" s="6" t="n">
        <v>8000</v>
      </c>
      <c r="M918" s="6" t="n">
        <v>75</v>
      </c>
      <c r="N918" s="6" t="n">
        <v>1</v>
      </c>
      <c r="O918" s="6" t="n"/>
      <c r="P918" s="6" t="n">
        <v>8655</v>
      </c>
      <c r="Q918" s="6" t="n">
        <v>0.9375</v>
      </c>
      <c r="R918">
        <f>M918+IF(N918&gt;1,N(O918)*(N918-1),0)</f>
        <v/>
      </c>
      <c r="S918">
        <f>IFERROR(L918*MAX(N918,1)/R918*Q918*IF(ISBLANK(K916),1,K916),0)</f>
        <v/>
      </c>
      <c r="AB918" s="7" t="inlineStr">
        <is>
          <t>^SmallArms, ^Grenade, ^FlakWeapon, ^Chaingun</t>
        </is>
      </c>
    </row>
    <row r="919">
      <c r="A919" t="inlineStr">
        <is>
          <t>redalert</t>
        </is>
      </c>
      <c r="B919" t="inlineStr">
        <is>
          <t>japan_archermaiden</t>
        </is>
      </c>
      <c r="C919" t="inlineStr">
        <is>
          <t>Archer Maiden</t>
        </is>
      </c>
      <c r="D919" s="6" t="inlineStr">
        <is>
          <t>SniperInfantry</t>
        </is>
      </c>
      <c r="E919" s="6" t="n">
        <v>20000</v>
      </c>
      <c r="F919" s="6" t="n">
        <v>72</v>
      </c>
      <c r="G919" t="inlineStr">
        <is>
          <t>Flak</t>
        </is>
      </c>
      <c r="H919" s="6" t="n">
        <v>1</v>
      </c>
      <c r="I919" s="6" t="n">
        <v>0.75</v>
      </c>
      <c r="J919" s="6" t="n">
        <v>1</v>
      </c>
      <c r="K919" s="6" t="n"/>
      <c r="P919">
        <f>MAX(P920,P922)</f>
        <v/>
      </c>
      <c r="S919">
        <f>S920+S922</f>
        <v/>
      </c>
      <c r="T919">
        <f>(E919/100000+F919/100+(P919/1000)*J919/5+S919/200)*200*I919*H919</f>
        <v/>
      </c>
      <c r="U919">
        <f>((E919*F919/25000)+((P919/1000)*J919*S919/2.5))*I919*H919</f>
        <v/>
      </c>
      <c r="V919">
        <f>(E919*F919*(P919/1000)*J919*S919*I919*H919)/12500000</f>
        <v/>
      </c>
      <c r="W919">
        <f>(T919+U919+V919)/3</f>
        <v/>
      </c>
      <c r="X919" s="6" t="n">
        <v>500</v>
      </c>
      <c r="Y919">
        <f>IFERROR(W919-X919,"")</f>
        <v/>
      </c>
      <c r="Z919">
        <f>IFERROR(ABS(Y919)/MAX(X919,1),"")</f>
        <v/>
      </c>
      <c r="AA919">
        <f>IFERROR((X919-(((E919/100000+F919/100+S919/200)*200*I919*H919)+((E919*F919/25000)*I919*H919))/3)/(((J919/5)*200*I919*H919)+((J919*S919/2.5)*I919*H919)+((E919*F919*J919*S919*I919*H919)/12500000))/3*1000,"")</f>
        <v/>
      </c>
    </row>
    <row r="920">
      <c r="B920" s="7" t="inlineStr">
        <is>
          <t xml:space="preserve">  ↳ JapanMaidenBow</t>
        </is>
      </c>
      <c r="C920" s="7" t="inlineStr">
        <is>
          <t>Armament@PRIMARY</t>
        </is>
      </c>
      <c r="L920" s="6" t="n">
        <v>40000</v>
      </c>
      <c r="M920" s="6" t="n">
        <v>100</v>
      </c>
      <c r="N920" s="6" t="n">
        <v>1</v>
      </c>
      <c r="O920" s="6" t="n"/>
      <c r="P920" s="6" t="n">
        <v>7500</v>
      </c>
      <c r="Q920" s="6" t="n">
        <v>1</v>
      </c>
      <c r="R920">
        <f>M920+IF(N920&gt;1,N(O920)*(N920-1),0)</f>
        <v/>
      </c>
      <c r="S920">
        <f>IFERROR(L920*MAX(N920,1)/R920*Q920*IF(ISBLANK(K919),1,K919),0)</f>
        <v/>
      </c>
      <c r="AB920" s="7" t="inlineStr">
        <is>
          <t>^ArrowWeapon</t>
        </is>
      </c>
    </row>
    <row r="921">
      <c r="B921" s="7" t="inlineStr">
        <is>
          <t xml:space="preserve">  ↳ JapanMaidenBow</t>
        </is>
      </c>
      <c r="C921" s="7" t="inlineStr">
        <is>
          <t>Armament@GARRISONED</t>
        </is>
      </c>
      <c r="L921" s="6" t="n">
        <v>40000</v>
      </c>
      <c r="M921" s="6" t="n">
        <v>100</v>
      </c>
      <c r="N921" s="6" t="n">
        <v>1</v>
      </c>
      <c r="O921" s="6" t="n"/>
      <c r="P921" s="6" t="n">
        <v>7500</v>
      </c>
      <c r="Q921" s="6" t="n">
        <v>1</v>
      </c>
      <c r="R921">
        <f>M921+IF(N921&gt;1,N(O921)*(N921-1),0)</f>
        <v/>
      </c>
      <c r="S921">
        <f>IFERROR(L921*MAX(N921,1)/R921*Q921*IF(ISBLANK(K919),1,K919),0)</f>
        <v/>
      </c>
      <c r="AB921" s="7" t="inlineStr">
        <is>
          <t>^ArrowWeapon</t>
        </is>
      </c>
    </row>
    <row r="922">
      <c r="B922" s="7" t="inlineStr">
        <is>
          <t xml:space="preserve">  ↳ JapanMaidenBowEnergized</t>
        </is>
      </c>
      <c r="C922" s="7" t="inlineStr">
        <is>
          <t>Armament@Upgrade</t>
        </is>
      </c>
      <c r="L922" s="6" t="n">
        <v>6000</v>
      </c>
      <c r="M922" s="6" t="n">
        <v>100</v>
      </c>
      <c r="N922" s="6" t="n">
        <v>1</v>
      </c>
      <c r="O922" s="6" t="n"/>
      <c r="P922" s="6" t="n">
        <v>7500</v>
      </c>
      <c r="Q922" s="6" t="n">
        <v>1</v>
      </c>
      <c r="R922">
        <f>M922+IF(N922&gt;1,N(O922)*(N922-1),0)</f>
        <v/>
      </c>
      <c r="S922">
        <f>IFERROR(L922*MAX(N922,1)/R922*Q922*IF(ISBLANK(K919),1,K919),0)</f>
        <v/>
      </c>
      <c r="AB922" s="7" t="inlineStr">
        <is>
          <t>^MediumFlameWeapon, ^MediumChemicalWeapon, ^ShrapnelWeapon, ^MediumMissile, ^TeslaWeapon, ^ArrowWeapon</t>
        </is>
      </c>
    </row>
    <row r="923">
      <c r="B923" s="7" t="inlineStr">
        <is>
          <t xml:space="preserve">  ↳ JapanMaidenBowEnergized</t>
        </is>
      </c>
      <c r="C923" s="7" t="inlineStr">
        <is>
          <t>Armament@UpgradeGARRISONED</t>
        </is>
      </c>
      <c r="L923" s="6" t="n">
        <v>6000</v>
      </c>
      <c r="M923" s="6" t="n">
        <v>100</v>
      </c>
      <c r="N923" s="6" t="n">
        <v>1</v>
      </c>
      <c r="O923" s="6" t="n"/>
      <c r="P923" s="6" t="n">
        <v>7500</v>
      </c>
      <c r="Q923" s="6" t="n">
        <v>1</v>
      </c>
      <c r="R923">
        <f>M923+IF(N923&gt;1,N(O923)*(N923-1),0)</f>
        <v/>
      </c>
      <c r="S923">
        <f>IFERROR(L923*MAX(N923,1)/R923*Q923*IF(ISBLANK(K919),1,K919),0)</f>
        <v/>
      </c>
      <c r="AB923" s="7" t="inlineStr">
        <is>
          <t>^MediumFlameWeapon, ^MediumChemicalWeapon, ^ShrapnelWeapon, ^MediumMissile, ^TeslaWeapon, ^ArrowWeapon</t>
        </is>
      </c>
    </row>
    <row r="924">
      <c r="A924" t="inlineStr">
        <is>
          <t>redalert</t>
        </is>
      </c>
      <c r="B924" t="inlineStr">
        <is>
          <t>ra1_soviets_commissar</t>
        </is>
      </c>
      <c r="C924" t="inlineStr">
        <is>
          <t>Commissar</t>
        </is>
      </c>
      <c r="D924" s="6" t="inlineStr">
        <is>
          <t>SniperInfantry</t>
        </is>
      </c>
      <c r="E924" s="6" t="n">
        <v>30000</v>
      </c>
      <c r="F924" s="6" t="n">
        <v>70</v>
      </c>
      <c r="G924" t="inlineStr">
        <is>
          <t>Flak</t>
        </is>
      </c>
      <c r="H924" s="6" t="n">
        <v>1</v>
      </c>
      <c r="I924" s="6" t="n">
        <v>1</v>
      </c>
      <c r="J924" s="6" t="n">
        <v>1</v>
      </c>
      <c r="K924" s="6" t="n"/>
      <c r="P924">
        <f>MAX(P925)</f>
        <v/>
      </c>
      <c r="S924">
        <f>S925</f>
        <v/>
      </c>
      <c r="T924">
        <f>(E924/100000+F924/100+(P924/1000)*J924/5+S924/200)*200*I924*H924</f>
        <v/>
      </c>
      <c r="U924">
        <f>((E924*F924/25000)+((P924/1000)*J924*S924/2.5))*I924*H924</f>
        <v/>
      </c>
      <c r="V924">
        <f>(E924*F924*(P924/1000)*J924*S924*I924*H924)/12500000</f>
        <v/>
      </c>
      <c r="W924">
        <f>(T924+U924+V924)/3</f>
        <v/>
      </c>
      <c r="X924" s="6" t="n">
        <v>700</v>
      </c>
      <c r="Y924">
        <f>IFERROR(W924-X924,"")</f>
        <v/>
      </c>
      <c r="Z924">
        <f>IFERROR(ABS(Y924)/MAX(X924,1),"")</f>
        <v/>
      </c>
      <c r="AA924">
        <f>IFERROR((X924-(((E924/100000+F924/100+S924/200)*200*I924*H924)+((E924*F924/25000)*I924*H924))/3)/(((J924/5)*200*I924*H924)+((J924*S924/2.5)*I924*H924)+((E924*F924*J924*S924*I924*H924)/12500000))/3*1000,"")</f>
        <v/>
      </c>
    </row>
    <row r="925">
      <c r="B925" s="7" t="inlineStr">
        <is>
          <t xml:space="preserve">  ↳ CommissarPistol</t>
        </is>
      </c>
      <c r="C925" s="7" t="inlineStr">
        <is>
          <t>Armament@PRIMARY</t>
        </is>
      </c>
      <c r="L925" s="6" t="n">
        <v>10000</v>
      </c>
      <c r="M925" s="6" t="n">
        <v>20</v>
      </c>
      <c r="N925" s="6" t="n">
        <v>1</v>
      </c>
      <c r="O925" s="6" t="n"/>
      <c r="P925" s="6" t="n">
        <v>6770</v>
      </c>
      <c r="Q925" s="6" t="n">
        <v>0.75</v>
      </c>
      <c r="R925">
        <f>M925+IF(N925&gt;1,N(O925)*(N925-1),0)</f>
        <v/>
      </c>
      <c r="S925">
        <f>IFERROR(L925*MAX(N925,1)/R925*Q925*IF(ISBLANK(K924),1,K924),0)</f>
        <v/>
      </c>
      <c r="AB925" s="7" t="inlineStr">
        <is>
          <t>^SniperWeapon</t>
        </is>
      </c>
    </row>
    <row r="926">
      <c r="B926" s="7" t="inlineStr">
        <is>
          <t xml:space="preserve">  ↳ CommissarPistol</t>
        </is>
      </c>
      <c r="C926" s="7" t="inlineStr">
        <is>
          <t>Armament@GARRISONED</t>
        </is>
      </c>
      <c r="L926" s="6" t="n">
        <v>10000</v>
      </c>
      <c r="M926" s="6" t="n">
        <v>20</v>
      </c>
      <c r="N926" s="6" t="n">
        <v>1</v>
      </c>
      <c r="O926" s="6" t="n"/>
      <c r="P926" s="6" t="n">
        <v>6770</v>
      </c>
      <c r="Q926" s="6" t="n">
        <v>0.75</v>
      </c>
      <c r="R926">
        <f>M926+IF(N926&gt;1,N(O926)*(N926-1),0)</f>
        <v/>
      </c>
      <c r="S926">
        <f>IFERROR(L926*MAX(N926,1)/R926*Q926*IF(ISBLANK(K924),1,K924),0)</f>
        <v/>
      </c>
      <c r="AB926" s="7" t="inlineStr">
        <is>
          <t>^SniperWeapon</t>
        </is>
      </c>
    </row>
    <row r="927">
      <c r="A927" t="inlineStr">
        <is>
          <t>redalert</t>
        </is>
      </c>
      <c r="B927" t="inlineStr">
        <is>
          <t>ra1_allies_alliedsniper</t>
        </is>
      </c>
      <c r="C927" t="inlineStr">
        <is>
          <t>Allied Sniper</t>
        </is>
      </c>
      <c r="D927" s="6" t="inlineStr">
        <is>
          <t>SniperInfantry</t>
        </is>
      </c>
      <c r="E927" s="6" t="n">
        <v>10000</v>
      </c>
      <c r="F927" s="6" t="n">
        <v>60</v>
      </c>
      <c r="G927" t="inlineStr">
        <is>
          <t>Flak</t>
        </is>
      </c>
      <c r="H927" s="6" t="n">
        <v>1</v>
      </c>
      <c r="I927" s="6" t="n">
        <v>0.75</v>
      </c>
      <c r="J927" s="6" t="n">
        <v>1.25</v>
      </c>
      <c r="K927" s="6" t="n"/>
      <c r="P927">
        <f>MAX(P928,P930)</f>
        <v/>
      </c>
      <c r="S927">
        <f>S928+S930</f>
        <v/>
      </c>
      <c r="T927">
        <f>(E927/100000+F927/100+(P927/1000)*J927/5+S927/200)*200*I927*H927</f>
        <v/>
      </c>
      <c r="U927">
        <f>((E927*F927/25000)+((P927/1000)*J927*S927/2.5))*I927*H927</f>
        <v/>
      </c>
      <c r="V927">
        <f>(E927*F927*(P927/1000)*J927*S927*I927*H927)/12500000</f>
        <v/>
      </c>
      <c r="W927">
        <f>(T927+U927+V927)/3</f>
        <v/>
      </c>
      <c r="X927" s="6" t="n">
        <v>500</v>
      </c>
      <c r="Y927">
        <f>IFERROR(W927-X927,"")</f>
        <v/>
      </c>
      <c r="Z927">
        <f>IFERROR(ABS(Y927)/MAX(X927,1),"")</f>
        <v/>
      </c>
      <c r="AA927">
        <f>IFERROR((X927-(((E927/100000+F927/100+S927/200)*200*I927*H927)+((E927*F927/25000)*I927*H927))/3)/(((J927/5)*200*I927*H927)+((J927*S927/2.5)*I927*H927)+((E927*F927*J927*S927*I927*H927)/12500000))/3*1000,"")</f>
        <v/>
      </c>
    </row>
    <row r="928">
      <c r="B928" s="7" t="inlineStr">
        <is>
          <t xml:space="preserve">  ↳ LightSniper</t>
        </is>
      </c>
      <c r="C928" s="7" t="inlineStr">
        <is>
          <t>Armament@PRIMARY</t>
        </is>
      </c>
      <c r="L928" s="6" t="n">
        <v>30000</v>
      </c>
      <c r="M928" s="6" t="n">
        <v>100</v>
      </c>
      <c r="N928" s="6" t="n">
        <v>1</v>
      </c>
      <c r="O928" s="6" t="n"/>
      <c r="P928" s="6" t="n">
        <v>9153</v>
      </c>
      <c r="Q928" s="6" t="n">
        <v>0.75</v>
      </c>
      <c r="R928">
        <f>M928+IF(N928&gt;1,N(O928)*(N928-1),0)</f>
        <v/>
      </c>
      <c r="S928">
        <f>IFERROR(L928*MAX(N928,1)/R928*Q928*IF(ISBLANK(K927),1,K927),0)</f>
        <v/>
      </c>
      <c r="AB928" s="7" t="inlineStr">
        <is>
          <t>^SniperWeapon</t>
        </is>
      </c>
    </row>
    <row r="929">
      <c r="B929" s="7" t="inlineStr">
        <is>
          <t xml:space="preserve">  ↳ LightSniper</t>
        </is>
      </c>
      <c r="C929" s="7" t="inlineStr">
        <is>
          <t>Armament@GARRISONED</t>
        </is>
      </c>
      <c r="L929" s="6" t="n">
        <v>30000</v>
      </c>
      <c r="M929" s="6" t="n">
        <v>100</v>
      </c>
      <c r="N929" s="6" t="n">
        <v>1</v>
      </c>
      <c r="O929" s="6" t="n"/>
      <c r="P929" s="6" t="n">
        <v>9153</v>
      </c>
      <c r="Q929" s="6" t="n">
        <v>0.75</v>
      </c>
      <c r="R929">
        <f>M929+IF(N929&gt;1,N(O929)*(N929-1),0)</f>
        <v/>
      </c>
      <c r="S929">
        <f>IFERROR(L929*MAX(N929,1)/R929*Q929*IF(ISBLANK(K927),1,K927),0)</f>
        <v/>
      </c>
      <c r="AB929" s="7" t="inlineStr">
        <is>
          <t>^SniperWeapon</t>
        </is>
      </c>
    </row>
    <row r="930">
      <c r="B930" s="7" t="inlineStr">
        <is>
          <t xml:space="preserve">  ↳ CryoLightSniper</t>
        </is>
      </c>
      <c r="C930" s="7" t="inlineStr">
        <is>
          <t>Armament@Upgrade</t>
        </is>
      </c>
      <c r="L930" s="6" t="n">
        <v>30000</v>
      </c>
      <c r="M930" s="6" t="n">
        <v>100</v>
      </c>
      <c r="N930" s="6" t="n">
        <v>1</v>
      </c>
      <c r="O930" s="6" t="n"/>
      <c r="P930" s="6" t="n">
        <v>9153</v>
      </c>
      <c r="Q930" s="6" t="n">
        <v>0.75</v>
      </c>
      <c r="R930">
        <f>M930+IF(N930&gt;1,N(O930)*(N930-1),0)</f>
        <v/>
      </c>
      <c r="S930">
        <f>IFERROR(L930*MAX(N930,1)/R930*Q930*IF(ISBLANK(K927),1,K927),0)</f>
        <v/>
      </c>
      <c r="AB930" s="7" t="inlineStr">
        <is>
          <t>^SniperWeapon, ^CryoMissileProjectile</t>
        </is>
      </c>
    </row>
    <row r="931">
      <c r="B931" s="7" t="inlineStr">
        <is>
          <t xml:space="preserve">  ↳ CryoLightSniper</t>
        </is>
      </c>
      <c r="C931" s="7" t="inlineStr">
        <is>
          <t>Armament@UpgradeGARRISONED</t>
        </is>
      </c>
      <c r="L931" s="6" t="n">
        <v>30000</v>
      </c>
      <c r="M931" s="6" t="n">
        <v>100</v>
      </c>
      <c r="N931" s="6" t="n">
        <v>1</v>
      </c>
      <c r="O931" s="6" t="n"/>
      <c r="P931" s="6" t="n">
        <v>9153</v>
      </c>
      <c r="Q931" s="6" t="n">
        <v>0.75</v>
      </c>
      <c r="R931">
        <f>M931+IF(N931&gt;1,N(O931)*(N931-1),0)</f>
        <v/>
      </c>
      <c r="S931">
        <f>IFERROR(L931*MAX(N931,1)/R931*Q931*IF(ISBLANK(K927),1,K927),0)</f>
        <v/>
      </c>
      <c r="AB931" s="7" t="inlineStr">
        <is>
          <t>^SniperWeapon, ^CryoMissileProjectile</t>
        </is>
      </c>
    </row>
    <row r="932">
      <c r="A932" t="inlineStr">
        <is>
          <t>tiberiansun</t>
        </is>
      </c>
      <c r="B932" t="inlineStr">
        <is>
          <t>ts_nod_engineer</t>
        </is>
      </c>
      <c r="C932" t="inlineStr">
        <is>
          <t>Engineer</t>
        </is>
      </c>
      <c r="D932" s="6" t="inlineStr">
        <is>
          <t>SniperInfantry</t>
        </is>
      </c>
      <c r="E932" s="6" t="n">
        <v>10000</v>
      </c>
      <c r="F932" s="6" t="n">
        <v>55</v>
      </c>
      <c r="G932" t="inlineStr">
        <is>
          <t>Flak</t>
        </is>
      </c>
      <c r="H932" s="6" t="n">
        <v>1</v>
      </c>
      <c r="I932" s="6" t="n">
        <v>1</v>
      </c>
      <c r="J932" s="6" t="n">
        <v>1</v>
      </c>
      <c r="K932" s="6" t="n"/>
      <c r="P932">
        <f>MAX(P933,P934,P935)</f>
        <v/>
      </c>
      <c r="S932">
        <f>S933+S934+S935</f>
        <v/>
      </c>
      <c r="T932">
        <f>(E932/100000+F932/100+(P932/1000)*J932/5+S932/200)*200*I932*H932</f>
        <v/>
      </c>
      <c r="U932">
        <f>((E932*F932/25000)+((P932/1000)*J932*S932/2.5))*I932*H932</f>
        <v/>
      </c>
      <c r="V932">
        <f>(E932*F932*(P932/1000)*J932*S932*I932*H932)/12500000</f>
        <v/>
      </c>
      <c r="W932">
        <f>(T932+U932+V932)/3</f>
        <v/>
      </c>
      <c r="X932" s="6" t="n">
        <v>600</v>
      </c>
      <c r="Y932">
        <f>IFERROR(W932-X932,"")</f>
        <v/>
      </c>
      <c r="Z932">
        <f>IFERROR(ABS(Y932)/MAX(X932,1),"")</f>
        <v/>
      </c>
      <c r="AA932">
        <f>IFERROR((X932-(((E932/100000+F932/100+S932/200)*200*I932*H932)+((E932*F932/25000)*I932*H932))/3)/(((J932/5)*200*I932*H932)+((J932*S932/2.5)*I932*H932)+((E932*F932*J932*S932*I932*H932)/12500000))/3*1000,"")</f>
        <v/>
      </c>
    </row>
    <row r="933">
      <c r="B933" s="7" t="inlineStr">
        <is>
          <t xml:space="preserve">  ↳ DefuseKit</t>
        </is>
      </c>
      <c r="C933" s="7" t="inlineStr">
        <is>
          <t>Armament@defuse</t>
        </is>
      </c>
      <c r="L933" s="6" t="n"/>
      <c r="M933" s="6" t="n">
        <v>20</v>
      </c>
      <c r="N933" s="6" t="n">
        <v>1</v>
      </c>
      <c r="O933" s="6" t="n"/>
      <c r="P933" s="6" t="n">
        <v>1536</v>
      </c>
      <c r="Q933" s="6" t="n">
        <v>1</v>
      </c>
      <c r="R933">
        <f>M933+IF(N933&gt;1,N(O933)*(N933-1),0)</f>
        <v/>
      </c>
      <c r="S933">
        <f>IFERROR(L933*MAX(N933,1)/R933*Q933*IF(ISBLANK(K932),1,K932),0)</f>
        <v/>
      </c>
      <c r="AB933" s="7" t="inlineStr">
        <is>
          <t>^RemovesIvanBombs, ^RemovesTerrorDrone</t>
        </is>
      </c>
    </row>
    <row r="934">
      <c r="B934" s="7" t="inlineStr">
        <is>
          <t xml:space="preserve">  ↳ LeechDisinfect</t>
        </is>
      </c>
      <c r="C934" s="7" t="inlineStr">
        <is>
          <t>Armament@leechdisinfect</t>
        </is>
      </c>
      <c r="L934" s="6" t="n"/>
      <c r="M934" s="6" t="n">
        <v>100</v>
      </c>
      <c r="N934" s="6" t="n">
        <v>1</v>
      </c>
      <c r="O934" s="6" t="n"/>
      <c r="P934" s="6" t="n">
        <v>1536</v>
      </c>
      <c r="Q934" s="6" t="n">
        <v>1</v>
      </c>
      <c r="R934">
        <f>M934+IF(N934&gt;1,N(O934)*(N934-1),0)</f>
        <v/>
      </c>
      <c r="S934">
        <f>IFERROR(L934*MAX(N934,1)/R934*Q934*IF(ISBLANK(K932),1,K932),0)</f>
        <v/>
      </c>
      <c r="AB934" s="7" t="inlineStr"/>
    </row>
    <row r="935">
      <c r="B935" s="7" t="inlineStr">
        <is>
          <t xml:space="preserve">  ↳ TSEngineerPistol</t>
        </is>
      </c>
      <c r="C935" s="7" t="inlineStr">
        <is>
          <t>Armament@PRIMARY</t>
        </is>
      </c>
      <c r="L935" s="6" t="n">
        <v>20000</v>
      </c>
      <c r="M935" s="6" t="n">
        <v>25</v>
      </c>
      <c r="N935" s="6" t="n">
        <v>1</v>
      </c>
      <c r="O935" s="6" t="n"/>
      <c r="P935" s="6" t="n">
        <v>4303</v>
      </c>
      <c r="Q935" s="6" t="n">
        <v>0.75</v>
      </c>
      <c r="R935">
        <f>M935+IF(N935&gt;1,N(O935)*(N935-1),0)</f>
        <v/>
      </c>
      <c r="S935">
        <f>IFERROR(L935*MAX(N935,1)/R935*Q935*IF(ISBLANK(K932),1,K932),0)</f>
        <v/>
      </c>
      <c r="AB935" s="7" t="inlineStr">
        <is>
          <t>^SniperWeapon</t>
        </is>
      </c>
    </row>
    <row r="936">
      <c r="B936" s="7" t="inlineStr">
        <is>
          <t xml:space="preserve">  ↳ TSEngineerPistol</t>
        </is>
      </c>
      <c r="C936" s="7" t="inlineStr">
        <is>
          <t>Armament@GARRISONED</t>
        </is>
      </c>
      <c r="L936" s="6" t="n">
        <v>20000</v>
      </c>
      <c r="M936" s="6" t="n">
        <v>25</v>
      </c>
      <c r="N936" s="6" t="n">
        <v>1</v>
      </c>
      <c r="O936" s="6" t="n"/>
      <c r="P936" s="6" t="n">
        <v>4303</v>
      </c>
      <c r="Q936" s="6" t="n">
        <v>0.75</v>
      </c>
      <c r="R936">
        <f>M936+IF(N936&gt;1,N(O936)*(N936-1),0)</f>
        <v/>
      </c>
      <c r="S936">
        <f>IFERROR(L936*MAX(N936,1)/R936*Q936*IF(ISBLANK(K932),1,K932),0)</f>
        <v/>
      </c>
      <c r="AB936" s="7" t="inlineStr">
        <is>
          <t>^SniperWeapon</t>
        </is>
      </c>
    </row>
    <row r="937">
      <c r="A937" t="inlineStr">
        <is>
          <t>tiberiansun</t>
        </is>
      </c>
      <c r="B937" t="inlineStr">
        <is>
          <t>ts_gdi_engineer</t>
        </is>
      </c>
      <c r="C937" t="inlineStr">
        <is>
          <t>Engineer</t>
        </is>
      </c>
      <c r="D937" s="6" t="inlineStr">
        <is>
          <t>SniperInfantry</t>
        </is>
      </c>
      <c r="E937" s="6" t="n">
        <v>10000</v>
      </c>
      <c r="F937" s="6" t="n">
        <v>55</v>
      </c>
      <c r="G937" t="inlineStr">
        <is>
          <t>Flak</t>
        </is>
      </c>
      <c r="H937" s="6" t="n">
        <v>1</v>
      </c>
      <c r="I937" s="6" t="n">
        <v>1</v>
      </c>
      <c r="J937" s="6" t="n">
        <v>1</v>
      </c>
      <c r="K937" s="6" t="n"/>
      <c r="P937">
        <f>MAX(P938,P939,P940)</f>
        <v/>
      </c>
      <c r="S937">
        <f>S938+S939+S940</f>
        <v/>
      </c>
      <c r="T937">
        <f>(E937/100000+F937/100+(P937/1000)*J937/5+S937/200)*200*I937*H937</f>
        <v/>
      </c>
      <c r="U937">
        <f>((E937*F937/25000)+((P937/1000)*J937*S937/2.5))*I937*H937</f>
        <v/>
      </c>
      <c r="V937">
        <f>(E937*F937*(P937/1000)*J937*S937*I937*H937)/12500000</f>
        <v/>
      </c>
      <c r="W937">
        <f>(T937+U937+V937)/3</f>
        <v/>
      </c>
      <c r="X937" s="6" t="n">
        <v>600</v>
      </c>
      <c r="Y937">
        <f>IFERROR(W937-X937,"")</f>
        <v/>
      </c>
      <c r="Z937">
        <f>IFERROR(ABS(Y937)/MAX(X937,1),"")</f>
        <v/>
      </c>
      <c r="AA937">
        <f>IFERROR((X937-(((E937/100000+F937/100+S937/200)*200*I937*H937)+((E937*F937/25000)*I937*H937))/3)/(((J937/5)*200*I937*H937)+((J937*S937/2.5)*I937*H937)+((E937*F937*J937*S937*I937*H937)/12500000))/3*1000,"")</f>
        <v/>
      </c>
    </row>
    <row r="938">
      <c r="B938" s="7" t="inlineStr">
        <is>
          <t xml:space="preserve">  ↳ DefuseKit</t>
        </is>
      </c>
      <c r="C938" s="7" t="inlineStr">
        <is>
          <t>Armament@defuse</t>
        </is>
      </c>
      <c r="L938" s="6" t="n"/>
      <c r="M938" s="6" t="n">
        <v>20</v>
      </c>
      <c r="N938" s="6" t="n">
        <v>1</v>
      </c>
      <c r="O938" s="6" t="n"/>
      <c r="P938" s="6" t="n">
        <v>1536</v>
      </c>
      <c r="Q938" s="6" t="n">
        <v>1</v>
      </c>
      <c r="R938">
        <f>M938+IF(N938&gt;1,N(O938)*(N938-1),0)</f>
        <v/>
      </c>
      <c r="S938">
        <f>IFERROR(L938*MAX(N938,1)/R938*Q938*IF(ISBLANK(K937),1,K937),0)</f>
        <v/>
      </c>
      <c r="AB938" s="7" t="inlineStr">
        <is>
          <t>^RemovesIvanBombs, ^RemovesTerrorDrone</t>
        </is>
      </c>
    </row>
    <row r="939">
      <c r="B939" s="7" t="inlineStr">
        <is>
          <t xml:space="preserve">  ↳ LeechDisinfect</t>
        </is>
      </c>
      <c r="C939" s="7" t="inlineStr">
        <is>
          <t>Armament@leechdisinfect</t>
        </is>
      </c>
      <c r="L939" s="6" t="n"/>
      <c r="M939" s="6" t="n">
        <v>100</v>
      </c>
      <c r="N939" s="6" t="n">
        <v>1</v>
      </c>
      <c r="O939" s="6" t="n"/>
      <c r="P939" s="6" t="n">
        <v>1536</v>
      </c>
      <c r="Q939" s="6" t="n">
        <v>1</v>
      </c>
      <c r="R939">
        <f>M939+IF(N939&gt;1,N(O939)*(N939-1),0)</f>
        <v/>
      </c>
      <c r="S939">
        <f>IFERROR(L939*MAX(N939,1)/R939*Q939*IF(ISBLANK(K937),1,K937),0)</f>
        <v/>
      </c>
      <c r="AB939" s="7" t="inlineStr"/>
    </row>
    <row r="940">
      <c r="B940" s="7" t="inlineStr">
        <is>
          <t xml:space="preserve">  ↳ TSEngineerPistol</t>
        </is>
      </c>
      <c r="C940" s="7" t="inlineStr">
        <is>
          <t>Armament@PRIMARY</t>
        </is>
      </c>
      <c r="L940" s="6" t="n">
        <v>20000</v>
      </c>
      <c r="M940" s="6" t="n">
        <v>25</v>
      </c>
      <c r="N940" s="6" t="n">
        <v>1</v>
      </c>
      <c r="O940" s="6" t="n"/>
      <c r="P940" s="6" t="n">
        <v>4303</v>
      </c>
      <c r="Q940" s="6" t="n">
        <v>0.75</v>
      </c>
      <c r="R940">
        <f>M940+IF(N940&gt;1,N(O940)*(N940-1),0)</f>
        <v/>
      </c>
      <c r="S940">
        <f>IFERROR(L940*MAX(N940,1)/R940*Q940*IF(ISBLANK(K937),1,K937),0)</f>
        <v/>
      </c>
      <c r="AB940" s="7" t="inlineStr">
        <is>
          <t>^SniperWeapon</t>
        </is>
      </c>
    </row>
    <row r="941">
      <c r="B941" s="7" t="inlineStr">
        <is>
          <t xml:space="preserve">  ↳ TSEngineerPistol</t>
        </is>
      </c>
      <c r="C941" s="7" t="inlineStr">
        <is>
          <t>Armament@GARRISONED</t>
        </is>
      </c>
      <c r="L941" s="6" t="n">
        <v>20000</v>
      </c>
      <c r="M941" s="6" t="n">
        <v>25</v>
      </c>
      <c r="N941" s="6" t="n">
        <v>1</v>
      </c>
      <c r="O941" s="6" t="n"/>
      <c r="P941" s="6" t="n">
        <v>4303</v>
      </c>
      <c r="Q941" s="6" t="n">
        <v>0.75</v>
      </c>
      <c r="R941">
        <f>M941+IF(N941&gt;1,N(O941)*(N941-1),0)</f>
        <v/>
      </c>
      <c r="S941">
        <f>IFERROR(L941*MAX(N941,1)/R941*Q941*IF(ISBLANK(K937),1,K937),0)</f>
        <v/>
      </c>
      <c r="AB941" s="7" t="inlineStr">
        <is>
          <t>^SniperWeapon</t>
        </is>
      </c>
    </row>
    <row r="942">
      <c r="A942" t="inlineStr">
        <is>
          <t>tiberiansun</t>
        </is>
      </c>
      <c r="B942" t="inlineStr">
        <is>
          <t>forgotten_engineer</t>
        </is>
      </c>
      <c r="C942" t="inlineStr">
        <is>
          <t>actor_forgotten_engineer.name</t>
        </is>
      </c>
      <c r="D942" s="6" t="inlineStr">
        <is>
          <t>SniperInfantry</t>
        </is>
      </c>
      <c r="E942" s="6" t="n">
        <v>10000</v>
      </c>
      <c r="F942" s="6" t="n">
        <v>55</v>
      </c>
      <c r="G942" t="inlineStr">
        <is>
          <t>Flak</t>
        </is>
      </c>
      <c r="H942" s="6" t="n">
        <v>1</v>
      </c>
      <c r="I942" s="6" t="n">
        <v>1</v>
      </c>
      <c r="J942" s="6" t="n">
        <v>1</v>
      </c>
      <c r="K942" s="6" t="n"/>
      <c r="P942">
        <f>MAX(P943,P944,P945)</f>
        <v/>
      </c>
      <c r="S942">
        <f>S943+S944+S945</f>
        <v/>
      </c>
      <c r="T942">
        <f>(E942/100000+F942/100+(P942/1000)*J942/5+S942/200)*200*I942*H942</f>
        <v/>
      </c>
      <c r="U942">
        <f>((E942*F942/25000)+((P942/1000)*J942*S942/2.5))*I942*H942</f>
        <v/>
      </c>
      <c r="V942">
        <f>(E942*F942*(P942/1000)*J942*S942*I942*H942)/12500000</f>
        <v/>
      </c>
      <c r="W942">
        <f>(T942+U942+V942)/3</f>
        <v/>
      </c>
      <c r="X942" s="6" t="n">
        <v>600</v>
      </c>
      <c r="Y942">
        <f>IFERROR(W942-X942,"")</f>
        <v/>
      </c>
      <c r="Z942">
        <f>IFERROR(ABS(Y942)/MAX(X942,1),"")</f>
        <v/>
      </c>
      <c r="AA942">
        <f>IFERROR((X942-(((E942/100000+F942/100+S942/200)*200*I942*H942)+((E942*F942/25000)*I942*H942))/3)/(((J942/5)*200*I942*H942)+((J942*S942/2.5)*I942*H942)+((E942*F942*J942*S942*I942*H942)/12500000))/3*1000,"")</f>
        <v/>
      </c>
    </row>
    <row r="943">
      <c r="B943" s="7" t="inlineStr">
        <is>
          <t xml:space="preserve">  ↳ DefuseKit</t>
        </is>
      </c>
      <c r="C943" s="7" t="inlineStr">
        <is>
          <t>Armament@defuse</t>
        </is>
      </c>
      <c r="L943" s="6" t="n"/>
      <c r="M943" s="6" t="n">
        <v>20</v>
      </c>
      <c r="N943" s="6" t="n">
        <v>1</v>
      </c>
      <c r="O943" s="6" t="n"/>
      <c r="P943" s="6" t="n">
        <v>1536</v>
      </c>
      <c r="Q943" s="6" t="n">
        <v>1</v>
      </c>
      <c r="R943">
        <f>M943+IF(N943&gt;1,N(O943)*(N943-1),0)</f>
        <v/>
      </c>
      <c r="S943">
        <f>IFERROR(L943*MAX(N943,1)/R943*Q943*IF(ISBLANK(K942),1,K942),0)</f>
        <v/>
      </c>
      <c r="AB943" s="7" t="inlineStr">
        <is>
          <t>^RemovesIvanBombs, ^RemovesTerrorDrone</t>
        </is>
      </c>
    </row>
    <row r="944">
      <c r="B944" s="7" t="inlineStr">
        <is>
          <t xml:space="preserve">  ↳ LeechDisinfect</t>
        </is>
      </c>
      <c r="C944" s="7" t="inlineStr">
        <is>
          <t>Armament@leechdisinfect</t>
        </is>
      </c>
      <c r="L944" s="6" t="n"/>
      <c r="M944" s="6" t="n">
        <v>100</v>
      </c>
      <c r="N944" s="6" t="n">
        <v>1</v>
      </c>
      <c r="O944" s="6" t="n"/>
      <c r="P944" s="6" t="n">
        <v>1536</v>
      </c>
      <c r="Q944" s="6" t="n">
        <v>1</v>
      </c>
      <c r="R944">
        <f>M944+IF(N944&gt;1,N(O944)*(N944-1),0)</f>
        <v/>
      </c>
      <c r="S944">
        <f>IFERROR(L944*MAX(N944,1)/R944*Q944*IF(ISBLANK(K942),1,K942),0)</f>
        <v/>
      </c>
      <c r="AB944" s="7" t="inlineStr"/>
    </row>
    <row r="945">
      <c r="B945" s="7" t="inlineStr">
        <is>
          <t xml:space="preserve">  ↳ TSEngineerPistol</t>
        </is>
      </c>
      <c r="C945" s="7" t="inlineStr">
        <is>
          <t>Armament@PRIMARY</t>
        </is>
      </c>
      <c r="L945" s="6" t="n">
        <v>20000</v>
      </c>
      <c r="M945" s="6" t="n">
        <v>25</v>
      </c>
      <c r="N945" s="6" t="n">
        <v>1</v>
      </c>
      <c r="O945" s="6" t="n"/>
      <c r="P945" s="6" t="n">
        <v>4303</v>
      </c>
      <c r="Q945" s="6" t="n">
        <v>0.75</v>
      </c>
      <c r="R945">
        <f>M945+IF(N945&gt;1,N(O945)*(N945-1),0)</f>
        <v/>
      </c>
      <c r="S945">
        <f>IFERROR(L945*MAX(N945,1)/R945*Q945*IF(ISBLANK(K942),1,K942),0)</f>
        <v/>
      </c>
      <c r="AB945" s="7" t="inlineStr">
        <is>
          <t>^SniperWeapon</t>
        </is>
      </c>
    </row>
    <row r="946">
      <c r="B946" s="7" t="inlineStr">
        <is>
          <t xml:space="preserve">  ↳ TSEngineerPistol</t>
        </is>
      </c>
      <c r="C946" s="7" t="inlineStr">
        <is>
          <t>Armament@GARRISONED</t>
        </is>
      </c>
      <c r="L946" s="6" t="n">
        <v>20000</v>
      </c>
      <c r="M946" s="6" t="n">
        <v>25</v>
      </c>
      <c r="N946" s="6" t="n">
        <v>1</v>
      </c>
      <c r="O946" s="6" t="n"/>
      <c r="P946" s="6" t="n">
        <v>4303</v>
      </c>
      <c r="Q946" s="6" t="n">
        <v>0.75</v>
      </c>
      <c r="R946">
        <f>M946+IF(N946&gt;1,N(O946)*(N946-1),0)</f>
        <v/>
      </c>
      <c r="S946">
        <f>IFERROR(L946*MAX(N946,1)/R946*Q946*IF(ISBLANK(K942),1,K942),0)</f>
        <v/>
      </c>
      <c r="AB946" s="7" t="inlineStr">
        <is>
          <t>^SniperWeapon</t>
        </is>
      </c>
    </row>
    <row r="947">
      <c r="A947" t="inlineStr">
        <is>
          <t>tiberiansun</t>
        </is>
      </c>
      <c r="B947" t="inlineStr">
        <is>
          <t>forgotten_mutantsniper</t>
        </is>
      </c>
      <c r="C947" t="inlineStr">
        <is>
          <t>actor_forgotten_mutantsniper.name</t>
        </is>
      </c>
      <c r="D947" s="6" t="inlineStr">
        <is>
          <t>SniperInfantry</t>
        </is>
      </c>
      <c r="E947" s="6" t="n">
        <v>10000</v>
      </c>
      <c r="F947" s="6" t="n">
        <v>70</v>
      </c>
      <c r="G947" t="inlineStr">
        <is>
          <t>Flak</t>
        </is>
      </c>
      <c r="H947" s="6" t="n">
        <v>1</v>
      </c>
      <c r="I947" s="6" t="n">
        <v>1</v>
      </c>
      <c r="J947" s="6" t="n">
        <v>1</v>
      </c>
      <c r="K947" s="6" t="n"/>
      <c r="P947">
        <f>MAX(P948)</f>
        <v/>
      </c>
      <c r="S947">
        <f>S948</f>
        <v/>
      </c>
      <c r="T947">
        <f>(E947/100000+F947/100+(P947/1000)*J947/5+S947/200)*200*I947*H947</f>
        <v/>
      </c>
      <c r="U947">
        <f>((E947*F947/25000)+((P947/1000)*J947*S947/2.5))*I947*H947</f>
        <v/>
      </c>
      <c r="V947">
        <f>(E947*F947*(P947/1000)*J947*S947*I947*H947)/12500000</f>
        <v/>
      </c>
      <c r="W947">
        <f>(T947+U947+V947)/3</f>
        <v/>
      </c>
      <c r="X947" s="6" t="n">
        <v>650</v>
      </c>
      <c r="Y947">
        <f>IFERROR(W947-X947,"")</f>
        <v/>
      </c>
      <c r="Z947">
        <f>IFERROR(ABS(Y947)/MAX(X947,1),"")</f>
        <v/>
      </c>
      <c r="AA947">
        <f>IFERROR((X947-(((E947/100000+F947/100+S947/200)*200*I947*H947)+((E947*F947/25000)*I947*H947))/3)/(((J947/5)*200*I947*H947)+((J947*S947/2.5)*I947*H947)+((E947*F947*J947*S947*I947*H947)/12500000))/3*1000,"")</f>
        <v/>
      </c>
    </row>
    <row r="948">
      <c r="B948" s="7" t="inlineStr">
        <is>
          <t xml:space="preserve">  ↳ TSSniper</t>
        </is>
      </c>
      <c r="C948" s="7" t="inlineStr">
        <is>
          <t>Armament@PRIMARY</t>
        </is>
      </c>
      <c r="L948" s="6" t="n">
        <v>10000</v>
      </c>
      <c r="M948" s="6" t="n">
        <v>25</v>
      </c>
      <c r="N948" s="6" t="n">
        <v>1</v>
      </c>
      <c r="O948" s="6" t="n"/>
      <c r="P948" s="6" t="n">
        <v>9557</v>
      </c>
      <c r="Q948" s="6" t="n">
        <v>0.75</v>
      </c>
      <c r="R948">
        <f>M948+IF(N948&gt;1,N(O948)*(N948-1),0)</f>
        <v/>
      </c>
      <c r="S948">
        <f>IFERROR(L948*MAX(N948,1)/R948*Q948*IF(ISBLANK(K947),1,K947),0)</f>
        <v/>
      </c>
      <c r="AB948" s="7" t="inlineStr">
        <is>
          <t>^SniperWeapon</t>
        </is>
      </c>
    </row>
    <row r="949">
      <c r="B949" s="7" t="inlineStr">
        <is>
          <t xml:space="preserve">  ↳ TSSniper</t>
        </is>
      </c>
      <c r="C949" s="7" t="inlineStr">
        <is>
          <t>Armament@GARRISONED</t>
        </is>
      </c>
      <c r="L949" s="6" t="n">
        <v>10000</v>
      </c>
      <c r="M949" s="6" t="n">
        <v>25</v>
      </c>
      <c r="N949" s="6" t="n">
        <v>1</v>
      </c>
      <c r="O949" s="6" t="n"/>
      <c r="P949" s="6" t="n">
        <v>9557</v>
      </c>
      <c r="Q949" s="6" t="n">
        <v>0.75</v>
      </c>
      <c r="R949">
        <f>M949+IF(N949&gt;1,N(O949)*(N949-1),0)</f>
        <v/>
      </c>
      <c r="S949">
        <f>IFERROR(L949*MAX(N949,1)/R949*Q949*IF(ISBLANK(K947),1,K947),0)</f>
        <v/>
      </c>
      <c r="AB949" s="7" t="inlineStr">
        <is>
          <t>^SniperWeapon</t>
        </is>
      </c>
    </row>
    <row r="950">
      <c r="A950" t="inlineStr">
        <is>
          <t>tiberiansun</t>
        </is>
      </c>
      <c r="B950" t="inlineStr">
        <is>
          <t>forgotten_mutantsniper_r4</t>
        </is>
      </c>
      <c r="C950" t="inlineStr">
        <is>
          <t>actor_forgotten_mutantsniper.name</t>
        </is>
      </c>
      <c r="D950" s="6" t="inlineStr">
        <is>
          <t>SniperInfantry</t>
        </is>
      </c>
      <c r="E950" s="6" t="n">
        <v>10000</v>
      </c>
      <c r="F950" s="6" t="n">
        <v>70</v>
      </c>
      <c r="G950" t="inlineStr">
        <is>
          <t>Flak</t>
        </is>
      </c>
      <c r="H950" s="6" t="n">
        <v>1</v>
      </c>
      <c r="I950" s="6" t="n">
        <v>1</v>
      </c>
      <c r="J950" s="6" t="n">
        <v>1</v>
      </c>
      <c r="K950" s="6" t="n"/>
      <c r="P950">
        <f>MAX(P951)</f>
        <v/>
      </c>
      <c r="S950">
        <f>S951</f>
        <v/>
      </c>
      <c r="T950">
        <f>(E950/100000+F950/100+(P950/1000)*J950/5+S950/200)*200*I950*H950</f>
        <v/>
      </c>
      <c r="U950">
        <f>((E950*F950/25000)+((P950/1000)*J950*S950/2.5))*I950*H950</f>
        <v/>
      </c>
      <c r="V950">
        <f>(E950*F950*(P950/1000)*J950*S950*I950*H950)/12500000</f>
        <v/>
      </c>
      <c r="W950">
        <f>(T950+U950+V950)/3</f>
        <v/>
      </c>
      <c r="X950" s="6" t="n">
        <v>650</v>
      </c>
      <c r="Y950">
        <f>IFERROR(W950-X950,"")</f>
        <v/>
      </c>
      <c r="Z950">
        <f>IFERROR(ABS(Y950)/MAX(X950,1),"")</f>
        <v/>
      </c>
      <c r="AA950">
        <f>IFERROR((X950-(((E950/100000+F950/100+S950/200)*200*I950*H950)+((E950*F950/25000)*I950*H950))/3)/(((J950/5)*200*I950*H950)+((J950*S950/2.5)*I950*H950)+((E950*F950*J950*S950*I950*H950)/12500000))/3*1000,"")</f>
        <v/>
      </c>
    </row>
    <row r="951">
      <c r="B951" s="7" t="inlineStr">
        <is>
          <t xml:space="preserve">  ↳ TSSniper</t>
        </is>
      </c>
      <c r="C951" s="7" t="inlineStr">
        <is>
          <t>Armament@PRIMARY</t>
        </is>
      </c>
      <c r="L951" s="6" t="n">
        <v>10000</v>
      </c>
      <c r="M951" s="6" t="n">
        <v>25</v>
      </c>
      <c r="N951" s="6" t="n">
        <v>1</v>
      </c>
      <c r="O951" s="6" t="n"/>
      <c r="P951" s="6" t="n">
        <v>9557</v>
      </c>
      <c r="Q951" s="6" t="n">
        <v>0.75</v>
      </c>
      <c r="R951">
        <f>M951+IF(N951&gt;1,N(O951)*(N951-1),0)</f>
        <v/>
      </c>
      <c r="S951">
        <f>IFERROR(L951*MAX(N951,1)/R951*Q951*IF(ISBLANK(K950),1,K950),0)</f>
        <v/>
      </c>
      <c r="AB951" s="7" t="inlineStr">
        <is>
          <t>^SniperWeapon</t>
        </is>
      </c>
    </row>
    <row r="952">
      <c r="B952" s="7" t="inlineStr">
        <is>
          <t xml:space="preserve">  ↳ TSSniper</t>
        </is>
      </c>
      <c r="C952" s="7" t="inlineStr">
        <is>
          <t>Armament@GARRISONED</t>
        </is>
      </c>
      <c r="L952" s="6" t="n">
        <v>10000</v>
      </c>
      <c r="M952" s="6" t="n">
        <v>25</v>
      </c>
      <c r="N952" s="6" t="n">
        <v>1</v>
      </c>
      <c r="O952" s="6" t="n"/>
      <c r="P952" s="6" t="n">
        <v>9557</v>
      </c>
      <c r="Q952" s="6" t="n">
        <v>0.75</v>
      </c>
      <c r="R952">
        <f>M952+IF(N952&gt;1,N(O952)*(N952-1),0)</f>
        <v/>
      </c>
      <c r="S952">
        <f>IFERROR(L952*MAX(N952,1)/R952*Q952*IF(ISBLANK(K950),1,K950),0)</f>
        <v/>
      </c>
      <c r="AB952" s="7" t="inlineStr">
        <is>
          <t>^SniperWeapon</t>
        </is>
      </c>
    </row>
    <row r="953">
      <c r="A953" t="inlineStr">
        <is>
          <t>tiberiansun</t>
        </is>
      </c>
      <c r="B953" t="inlineStr">
        <is>
          <t>forgotten_mutantsniper_sp</t>
        </is>
      </c>
      <c r="C953" t="inlineStr">
        <is>
          <t>actor_forgotten_mutantsniper.name</t>
        </is>
      </c>
      <c r="D953" s="6" t="inlineStr">
        <is>
          <t>SniperInfantry</t>
        </is>
      </c>
      <c r="E953" s="6" t="n">
        <v>10000</v>
      </c>
      <c r="F953" s="6" t="n">
        <v>70</v>
      </c>
      <c r="G953" t="inlineStr">
        <is>
          <t>Flak</t>
        </is>
      </c>
      <c r="H953" s="6" t="n">
        <v>1</v>
      </c>
      <c r="I953" s="6" t="n">
        <v>1</v>
      </c>
      <c r="J953" s="6" t="n">
        <v>1</v>
      </c>
      <c r="K953" s="6" t="n"/>
      <c r="P953">
        <f>MAX(P954)</f>
        <v/>
      </c>
      <c r="S953">
        <f>S954</f>
        <v/>
      </c>
      <c r="T953">
        <f>(E953/100000+F953/100+(P953/1000)*J953/5+S953/200)*200*I953*H953</f>
        <v/>
      </c>
      <c r="U953">
        <f>((E953*F953/25000)+((P953/1000)*J953*S953/2.5))*I953*H953</f>
        <v/>
      </c>
      <c r="V953">
        <f>(E953*F953*(P953/1000)*J953*S953*I953*H953)/12500000</f>
        <v/>
      </c>
      <c r="W953">
        <f>(T953+U953+V953)/3</f>
        <v/>
      </c>
      <c r="X953" s="6" t="n">
        <v>650</v>
      </c>
      <c r="Y953">
        <f>IFERROR(W953-X953,"")</f>
        <v/>
      </c>
      <c r="Z953">
        <f>IFERROR(ABS(Y953)/MAX(X953,1),"")</f>
        <v/>
      </c>
      <c r="AA953">
        <f>IFERROR((X953-(((E953/100000+F953/100+S953/200)*200*I953*H953)+((E953*F953/25000)*I953*H953))/3)/(((J953/5)*200*I953*H953)+((J953*S953/2.5)*I953*H953)+((E953*F953*J953*S953*I953*H953)/12500000))/3*1000,"")</f>
        <v/>
      </c>
    </row>
    <row r="954">
      <c r="B954" s="7" t="inlineStr">
        <is>
          <t xml:space="preserve">  ↳ TSSniper</t>
        </is>
      </c>
      <c r="C954" s="7" t="inlineStr">
        <is>
          <t>Armament@PRIMARY</t>
        </is>
      </c>
      <c r="L954" s="6" t="n">
        <v>10000</v>
      </c>
      <c r="M954" s="6" t="n">
        <v>25</v>
      </c>
      <c r="N954" s="6" t="n">
        <v>1</v>
      </c>
      <c r="O954" s="6" t="n"/>
      <c r="P954" s="6" t="n">
        <v>9557</v>
      </c>
      <c r="Q954" s="6" t="n">
        <v>0.75</v>
      </c>
      <c r="R954">
        <f>M954+IF(N954&gt;1,N(O954)*(N954-1),0)</f>
        <v/>
      </c>
      <c r="S954">
        <f>IFERROR(L954*MAX(N954,1)/R954*Q954*IF(ISBLANK(K953),1,K953),0)</f>
        <v/>
      </c>
      <c r="AB954" s="7" t="inlineStr">
        <is>
          <t>^SniperWeapon</t>
        </is>
      </c>
    </row>
    <row r="955">
      <c r="B955" s="7" t="inlineStr">
        <is>
          <t xml:space="preserve">  ↳ TSSniper</t>
        </is>
      </c>
      <c r="C955" s="7" t="inlineStr">
        <is>
          <t>Armament@GARRISONED</t>
        </is>
      </c>
      <c r="L955" s="6" t="n">
        <v>10000</v>
      </c>
      <c r="M955" s="6" t="n">
        <v>25</v>
      </c>
      <c r="N955" s="6" t="n">
        <v>1</v>
      </c>
      <c r="O955" s="6" t="n"/>
      <c r="P955" s="6" t="n">
        <v>9557</v>
      </c>
      <c r="Q955" s="6" t="n">
        <v>0.75</v>
      </c>
      <c r="R955">
        <f>M955+IF(N955&gt;1,N(O955)*(N955-1),0)</f>
        <v/>
      </c>
      <c r="S955">
        <f>IFERROR(L955*MAX(N955,1)/R955*Q955*IF(ISBLANK(K953),1,K953),0)</f>
        <v/>
      </c>
      <c r="AB955" s="7" t="inlineStr">
        <is>
          <t>^SniperWeapon</t>
        </is>
      </c>
    </row>
    <row r="956">
      <c r="A956" t="inlineStr">
        <is>
          <t>redalert2</t>
        </is>
      </c>
      <c r="B956" t="inlineStr">
        <is>
          <t>ra2_allies_sniper</t>
        </is>
      </c>
      <c r="C956" t="inlineStr">
        <is>
          <t>Sniper</t>
        </is>
      </c>
      <c r="D956" s="6" t="inlineStr">
        <is>
          <t>SniperInfantry</t>
        </is>
      </c>
      <c r="E956" s="6" t="n">
        <v>22000</v>
      </c>
      <c r="F956" s="6" t="n">
        <v>56</v>
      </c>
      <c r="G956" t="inlineStr">
        <is>
          <t>Flak</t>
        </is>
      </c>
      <c r="H956" s="6" t="n">
        <v>1</v>
      </c>
      <c r="I956" s="6" t="n">
        <v>1</v>
      </c>
      <c r="J956" s="6" t="n">
        <v>1</v>
      </c>
      <c r="K956" s="6" t="n"/>
      <c r="P956">
        <f>MAX(P957,P958)</f>
        <v/>
      </c>
      <c r="S956">
        <f>S957+S958</f>
        <v/>
      </c>
      <c r="T956">
        <f>(E956/100000+F956/100+(P956/1000)*J956/5+S956/200)*200*I956*H956</f>
        <v/>
      </c>
      <c r="U956">
        <f>((E956*F956/25000)+((P956/1000)*J956*S956/2.5))*I956*H956</f>
        <v/>
      </c>
      <c r="V956">
        <f>(E956*F956*(P956/1000)*J956*S956*I956*H956)/12500000</f>
        <v/>
      </c>
      <c r="W956">
        <f>(T956+U956+V956)/3</f>
        <v/>
      </c>
      <c r="X956" s="6" t="n">
        <v>800</v>
      </c>
      <c r="Y956">
        <f>IFERROR(W956-X956,"")</f>
        <v/>
      </c>
      <c r="Z956">
        <f>IFERROR(ABS(Y956)/MAX(X956,1),"")</f>
        <v/>
      </c>
      <c r="AA956">
        <f>IFERROR((X956-(((E956/100000+F956/100+S956/200)*200*I956*H956)+((E956*F956/25000)*I956*H956))/3)/(((J956/5)*200*I956*H956)+((J956*S956/2.5)*I956*H956)+((E956*F956*J956*S956*I956*H956)/12500000))/3*1000,"")</f>
        <v/>
      </c>
    </row>
    <row r="957">
      <c r="B957" s="7" t="inlineStr">
        <is>
          <t xml:space="preserve">  ↳ RA2AWP</t>
        </is>
      </c>
      <c r="C957" s="7" t="inlineStr">
        <is>
          <t>Armament@PRIMARY</t>
        </is>
      </c>
      <c r="L957" s="6" t="n">
        <v>44000</v>
      </c>
      <c r="M957" s="6" t="n">
        <v>54</v>
      </c>
      <c r="N957" s="6" t="n">
        <v>1</v>
      </c>
      <c r="O957" s="6" t="n"/>
      <c r="P957" s="6" t="n">
        <v>10000</v>
      </c>
      <c r="Q957" s="6" t="n">
        <v>0.75</v>
      </c>
      <c r="R957">
        <f>M957+IF(N957&gt;1,N(O957)*(N957-1),0)</f>
        <v/>
      </c>
      <c r="S957">
        <f>IFERROR(L957*MAX(N957,1)/R957*Q957*IF(ISBLANK(K956),1,K956),0)</f>
        <v/>
      </c>
      <c r="AB957" s="7" t="inlineStr">
        <is>
          <t>^SniperWeapon</t>
        </is>
      </c>
    </row>
    <row r="958">
      <c r="B958" s="7" t="inlineStr">
        <is>
          <t xml:space="preserve">  ↳ RA2AWPE</t>
        </is>
      </c>
      <c r="C958" s="7" t="inlineStr">
        <is>
          <t>Armament@ELITE</t>
        </is>
      </c>
      <c r="L958" s="6" t="n">
        <v>88000</v>
      </c>
      <c r="M958" s="6" t="n">
        <v>54</v>
      </c>
      <c r="N958" s="6" t="n">
        <v>1</v>
      </c>
      <c r="O958" s="6" t="n"/>
      <c r="P958" s="6" t="n">
        <v>12345</v>
      </c>
      <c r="Q958" s="6" t="n">
        <v>0.75</v>
      </c>
      <c r="R958">
        <f>M958+IF(N958&gt;1,N(O958)*(N958-1),0)</f>
        <v/>
      </c>
      <c r="S958">
        <f>IFERROR(L958*MAX(N958,1)/R958*Q958*IF(ISBLANK(K956),1,K956),0)</f>
        <v/>
      </c>
      <c r="AB958" s="7" t="inlineStr">
        <is>
          <t>^SniperWeapon</t>
        </is>
      </c>
    </row>
    <row r="959">
      <c r="B959" s="7" t="inlineStr">
        <is>
          <t xml:space="preserve">  ↳ RA2AWP</t>
        </is>
      </c>
      <c r="C959" s="7" t="inlineStr">
        <is>
          <t>Armament@GARRISONED</t>
        </is>
      </c>
      <c r="L959" s="6" t="n">
        <v>44000</v>
      </c>
      <c r="M959" s="6" t="n">
        <v>54</v>
      </c>
      <c r="N959" s="6" t="n">
        <v>1</v>
      </c>
      <c r="O959" s="6" t="n"/>
      <c r="P959" s="6" t="n">
        <v>10000</v>
      </c>
      <c r="Q959" s="6" t="n">
        <v>0.75</v>
      </c>
      <c r="R959">
        <f>M959+IF(N959&gt;1,N(O959)*(N959-1),0)</f>
        <v/>
      </c>
      <c r="S959">
        <f>IFERROR(L959*MAX(N959,1)/R959*Q959*IF(ISBLANK(K956),1,K956),0)</f>
        <v/>
      </c>
      <c r="AB959" s="7" t="inlineStr">
        <is>
          <t>^SniperWeapon</t>
        </is>
      </c>
    </row>
    <row r="960">
      <c r="B960" s="7" t="inlineStr">
        <is>
          <t xml:space="preserve">  ↳ RA2AWPE</t>
        </is>
      </c>
      <c r="C960" s="7" t="inlineStr">
        <is>
          <t>Armament@GARRISONEDELITE</t>
        </is>
      </c>
      <c r="L960" s="6" t="n">
        <v>88000</v>
      </c>
      <c r="M960" s="6" t="n">
        <v>54</v>
      </c>
      <c r="N960" s="6" t="n">
        <v>1</v>
      </c>
      <c r="O960" s="6" t="n"/>
      <c r="P960" s="6" t="n">
        <v>12345</v>
      </c>
      <c r="Q960" s="6" t="n">
        <v>0.75</v>
      </c>
      <c r="R960">
        <f>M960+IF(N960&gt;1,N(O960)*(N960-1),0)</f>
        <v/>
      </c>
      <c r="S960">
        <f>IFERROR(L960*MAX(N960,1)/R960*Q960*IF(ISBLANK(K956),1,K956),0)</f>
        <v/>
      </c>
      <c r="AB960" s="7" t="inlineStr">
        <is>
          <t>^SniperWeapon</t>
        </is>
      </c>
    </row>
    <row r="961">
      <c r="A961" t="inlineStr">
        <is>
          <t>redalert2</t>
        </is>
      </c>
      <c r="B961" t="inlineStr">
        <is>
          <t>yuri_virus</t>
        </is>
      </c>
      <c r="C961" t="inlineStr">
        <is>
          <t>Virus</t>
        </is>
      </c>
      <c r="D961" s="6" t="inlineStr">
        <is>
          <t>SniperInfantry</t>
        </is>
      </c>
      <c r="E961" s="6" t="n">
        <v>12000</v>
      </c>
      <c r="F961" s="6" t="n">
        <v>52</v>
      </c>
      <c r="G961" t="inlineStr">
        <is>
          <t>Flak</t>
        </is>
      </c>
      <c r="H961" s="6" t="n">
        <v>1</v>
      </c>
      <c r="I961" s="6" t="n">
        <v>0.75</v>
      </c>
      <c r="J961" s="6" t="n">
        <v>1.25</v>
      </c>
      <c r="K961" s="6" t="n"/>
      <c r="P961">
        <f>MAX(P962,P963,P964,P965)</f>
        <v/>
      </c>
      <c r="S961">
        <f>S962+S963+S964+S965</f>
        <v/>
      </c>
      <c r="T961">
        <f>(E961/100000+F961/100+(P961/1000)*J961/5+S961/200)*200*I961*H961</f>
        <v/>
      </c>
      <c r="U961">
        <f>((E961*F961/25000)+((P961/1000)*J961*S961/2.5))*I961*H961</f>
        <v/>
      </c>
      <c r="V961">
        <f>(E961*F961*(P961/1000)*J961*S961*I961*H961)/12500000</f>
        <v/>
      </c>
      <c r="W961">
        <f>(T961+U961+V961)/3</f>
        <v/>
      </c>
      <c r="X961" s="6" t="n">
        <v>700</v>
      </c>
      <c r="Y961">
        <f>IFERROR(W961-X961,"")</f>
        <v/>
      </c>
      <c r="Z961">
        <f>IFERROR(ABS(Y961)/MAX(X961,1),"")</f>
        <v/>
      </c>
      <c r="AA961">
        <f>IFERROR((X961-(((E961/100000+F961/100+S961/200)*200*I961*H961)+((E961*F961/25000)*I961*H961))/3)/(((J961/5)*200*I961*H961)+((J961*S961/2.5)*I961*H961)+((E961*F961*J961*S961*I961*H961)/12500000))/3*1000,"")</f>
        <v/>
      </c>
    </row>
    <row r="962">
      <c r="B962" s="7" t="inlineStr">
        <is>
          <t xml:space="preserve">  ↳ RA2Virusgun</t>
        </is>
      </c>
      <c r="C962" s="7" t="inlineStr">
        <is>
          <t>Armament@PRIMARY</t>
        </is>
      </c>
      <c r="L962" s="6" t="n">
        <v>12000</v>
      </c>
      <c r="M962" s="6" t="n">
        <v>74</v>
      </c>
      <c r="N962" s="6" t="n">
        <v>1</v>
      </c>
      <c r="O962" s="6" t="n"/>
      <c r="P962" s="6" t="n">
        <v>9999</v>
      </c>
      <c r="Q962" s="6" t="n">
        <v>1</v>
      </c>
      <c r="R962">
        <f>M962+IF(N962&gt;1,N(O962)*(N962-1),0)</f>
        <v/>
      </c>
      <c r="S962">
        <f>IFERROR(L962*MAX(N962,1)/R962*Q962*IF(ISBLANK(K961),1,K961),0)</f>
        <v/>
      </c>
      <c r="AB962" s="7" t="inlineStr">
        <is>
          <t>^HeavyChemicalWeapon, ^SniperWeapon</t>
        </is>
      </c>
    </row>
    <row r="963">
      <c r="B963" s="7" t="inlineStr">
        <is>
          <t xml:space="preserve">  ↳ RA2Virusgun2</t>
        </is>
      </c>
      <c r="C963" s="7" t="inlineStr">
        <is>
          <t>Armament@PRIMARY2</t>
        </is>
      </c>
      <c r="L963" s="6" t="n">
        <v>12000</v>
      </c>
      <c r="M963" s="6" t="n">
        <v>74</v>
      </c>
      <c r="N963" s="6" t="n">
        <v>1</v>
      </c>
      <c r="O963" s="6" t="n"/>
      <c r="P963" s="6" t="n">
        <v>9999</v>
      </c>
      <c r="Q963" s="6" t="n">
        <v>1</v>
      </c>
      <c r="R963">
        <f>M963+IF(N963&gt;1,N(O963)*(N963-1),0)</f>
        <v/>
      </c>
      <c r="S963">
        <f>IFERROR(L963*MAX(N963,1)/R963*Q963*IF(ISBLANK(K961),1,K961),0)</f>
        <v/>
      </c>
      <c r="AB963" s="7" t="inlineStr">
        <is>
          <t>^FlakWeapon, ^HeavyChemicalWeapon, ^SniperWeapon</t>
        </is>
      </c>
    </row>
    <row r="964">
      <c r="B964" s="7" t="inlineStr">
        <is>
          <t xml:space="preserve">  ↳ RA2Virusgun3</t>
        </is>
      </c>
      <c r="C964" s="7" t="inlineStr">
        <is>
          <t>Armament@PRIMARY3</t>
        </is>
      </c>
      <c r="L964" s="6" t="n">
        <v>12000</v>
      </c>
      <c r="M964" s="6" t="n">
        <v>74</v>
      </c>
      <c r="N964" s="6" t="n">
        <v>1</v>
      </c>
      <c r="O964" s="6" t="n"/>
      <c r="P964" s="6" t="n">
        <v>9999</v>
      </c>
      <c r="Q964" s="6" t="n">
        <v>1</v>
      </c>
      <c r="R964">
        <f>M964+IF(N964&gt;1,N(O964)*(N964-1),0)</f>
        <v/>
      </c>
      <c r="S964">
        <f>IFERROR(L964*MAX(N964,1)/R964*Q964*IF(ISBLANK(K961),1,K961),0)</f>
        <v/>
      </c>
      <c r="AB964" s="7" t="inlineStr">
        <is>
          <t>^MediumMissile, ^FlakWeapon, ^HeavyChemicalWeapon, ^SniperWeapon</t>
        </is>
      </c>
    </row>
    <row r="965">
      <c r="B965" s="7" t="inlineStr">
        <is>
          <t xml:space="preserve">  ↳ RA2VirusgunE</t>
        </is>
      </c>
      <c r="C965" s="7" t="inlineStr">
        <is>
          <t>Armament@ELITE</t>
        </is>
      </c>
      <c r="L965" s="6" t="n">
        <v>12000</v>
      </c>
      <c r="M965" s="6" t="n">
        <v>74</v>
      </c>
      <c r="N965" s="6" t="n">
        <v>1</v>
      </c>
      <c r="O965" s="6" t="n"/>
      <c r="P965" s="6" t="n">
        <v>11111</v>
      </c>
      <c r="Q965" s="6" t="n">
        <v>1</v>
      </c>
      <c r="R965">
        <f>M965+IF(N965&gt;1,N(O965)*(N965-1),0)</f>
        <v/>
      </c>
      <c r="S965">
        <f>IFERROR(L965*MAX(N965,1)/R965*Q965*IF(ISBLANK(K961),1,K961),0)</f>
        <v/>
      </c>
      <c r="AB965" s="7" t="inlineStr">
        <is>
          <t>^MediumMissile, ^FlakWeapon, ^HeavyChemicalWeapon, ^SniperWeapon</t>
        </is>
      </c>
    </row>
    <row r="966">
      <c r="B966" s="7" t="inlineStr">
        <is>
          <t xml:space="preserve">  ↳ RA2Virusgun</t>
        </is>
      </c>
      <c r="C966" s="7" t="inlineStr">
        <is>
          <t>Armament@GARRISONED</t>
        </is>
      </c>
      <c r="L966" s="6" t="n">
        <v>12000</v>
      </c>
      <c r="M966" s="6" t="n">
        <v>74</v>
      </c>
      <c r="N966" s="6" t="n">
        <v>1</v>
      </c>
      <c r="O966" s="6" t="n"/>
      <c r="P966" s="6" t="n">
        <v>9999</v>
      </c>
      <c r="Q966" s="6" t="n">
        <v>1</v>
      </c>
      <c r="R966">
        <f>M966+IF(N966&gt;1,N(O966)*(N966-1),0)</f>
        <v/>
      </c>
      <c r="S966">
        <f>IFERROR(L966*MAX(N966,1)/R966*Q966*IF(ISBLANK(K961),1,K961),0)</f>
        <v/>
      </c>
      <c r="AB966" s="7" t="inlineStr">
        <is>
          <t>^HeavyChemicalWeapon, ^SniperWeapon</t>
        </is>
      </c>
    </row>
    <row r="967">
      <c r="B967" s="7" t="inlineStr">
        <is>
          <t xml:space="preserve">  ↳ RA2Virusgun2</t>
        </is>
      </c>
      <c r="C967" s="7" t="inlineStr">
        <is>
          <t>Armament@GARRISONED2</t>
        </is>
      </c>
      <c r="L967" s="6" t="n">
        <v>12000</v>
      </c>
      <c r="M967" s="6" t="n">
        <v>74</v>
      </c>
      <c r="N967" s="6" t="n">
        <v>1</v>
      </c>
      <c r="O967" s="6" t="n"/>
      <c r="P967" s="6" t="n">
        <v>9999</v>
      </c>
      <c r="Q967" s="6" t="n">
        <v>1</v>
      </c>
      <c r="R967">
        <f>M967+IF(N967&gt;1,N(O967)*(N967-1),0)</f>
        <v/>
      </c>
      <c r="S967">
        <f>IFERROR(L967*MAX(N967,1)/R967*Q967*IF(ISBLANK(K961),1,K961),0)</f>
        <v/>
      </c>
      <c r="AB967" s="7" t="inlineStr">
        <is>
          <t>^FlakWeapon, ^HeavyChemicalWeapon, ^SniperWeapon</t>
        </is>
      </c>
    </row>
    <row r="968">
      <c r="B968" s="7" t="inlineStr">
        <is>
          <t xml:space="preserve">  ↳ RA2Virusgun3</t>
        </is>
      </c>
      <c r="C968" s="7" t="inlineStr">
        <is>
          <t>Armament@GARRISONED3</t>
        </is>
      </c>
      <c r="L968" s="6" t="n">
        <v>12000</v>
      </c>
      <c r="M968" s="6" t="n">
        <v>74</v>
      </c>
      <c r="N968" s="6" t="n">
        <v>1</v>
      </c>
      <c r="O968" s="6" t="n"/>
      <c r="P968" s="6" t="n">
        <v>9999</v>
      </c>
      <c r="Q968" s="6" t="n">
        <v>1</v>
      </c>
      <c r="R968">
        <f>M968+IF(N968&gt;1,N(O968)*(N968-1),0)</f>
        <v/>
      </c>
      <c r="S968">
        <f>IFERROR(L968*MAX(N968,1)/R968*Q968*IF(ISBLANK(K961),1,K961),0)</f>
        <v/>
      </c>
      <c r="AB968" s="7" t="inlineStr">
        <is>
          <t>^MediumMissile, ^FlakWeapon, ^HeavyChemicalWeapon, ^SniperWeapon</t>
        </is>
      </c>
    </row>
    <row r="969">
      <c r="B969" s="7" t="inlineStr">
        <is>
          <t xml:space="preserve">  ↳ RA2VirusgunE</t>
        </is>
      </c>
      <c r="C969" s="7" t="inlineStr">
        <is>
          <t>Armament@GARRISONEDELITE</t>
        </is>
      </c>
      <c r="L969" s="6" t="n">
        <v>12000</v>
      </c>
      <c r="M969" s="6" t="n">
        <v>74</v>
      </c>
      <c r="N969" s="6" t="n">
        <v>1</v>
      </c>
      <c r="O969" s="6" t="n"/>
      <c r="P969" s="6" t="n">
        <v>11111</v>
      </c>
      <c r="Q969" s="6" t="n">
        <v>1</v>
      </c>
      <c r="R969">
        <f>M969+IF(N969&gt;1,N(O969)*(N969-1),0)</f>
        <v/>
      </c>
      <c r="S969">
        <f>IFERROR(L969*MAX(N969,1)/R969*Q969*IF(ISBLANK(K961),1,K961),0)</f>
        <v/>
      </c>
      <c r="AB969" s="7" t="inlineStr">
        <is>
          <t>^MediumMissile, ^FlakWeapon, ^HeavyChemicalWeapon, ^SniperWeapon</t>
        </is>
      </c>
    </row>
    <row r="970">
      <c r="A970" t="inlineStr">
        <is>
          <t>redalert2mod</t>
        </is>
      </c>
      <c r="B970" t="inlineStr">
        <is>
          <t>asianalliance_asdf</t>
        </is>
      </c>
      <c r="C970" t="inlineStr">
        <is>
          <t>ASDF</t>
        </is>
      </c>
      <c r="D970" s="6" t="inlineStr">
        <is>
          <t>SniperInfantry</t>
        </is>
      </c>
      <c r="E970" s="6" t="n">
        <v>40000</v>
      </c>
      <c r="F970" s="6" t="n">
        <v>60</v>
      </c>
      <c r="G970" t="inlineStr">
        <is>
          <t>Flak</t>
        </is>
      </c>
      <c r="H970" s="6" t="n">
        <v>1</v>
      </c>
      <c r="I970" s="6" t="n">
        <v>0.75</v>
      </c>
      <c r="J970" s="6" t="n">
        <v>1.25</v>
      </c>
      <c r="K970" s="6" t="n"/>
      <c r="P970">
        <f>MAX(P971,P972,P973)</f>
        <v/>
      </c>
      <c r="S970">
        <f>S971+S972+S973</f>
        <v/>
      </c>
      <c r="T970">
        <f>(E970/100000+F970/100+(P970/1000)*J970/5+S970/200)*200*I970*H970</f>
        <v/>
      </c>
      <c r="U970">
        <f>((E970*F970/25000)+((P970/1000)*J970*S970/2.5))*I970*H970</f>
        <v/>
      </c>
      <c r="V970">
        <f>(E970*F970*(P970/1000)*J970*S970*I970*H970)/12500000</f>
        <v/>
      </c>
      <c r="W970">
        <f>(T970+U970+V970)/3</f>
        <v/>
      </c>
      <c r="X970" s="6" t="n">
        <v>1000</v>
      </c>
      <c r="Y970">
        <f>IFERROR(W970-X970,"")</f>
        <v/>
      </c>
      <c r="Z970">
        <f>IFERROR(ABS(Y970)/MAX(X970,1),"")</f>
        <v/>
      </c>
      <c r="AA970">
        <f>IFERROR((X970-(((E970/100000+F970/100+S970/200)*200*I970*H970)+((E970*F970/25000)*I970*H970))/3)/(((J970/5)*200*I970*H970)+((J970*S970/2.5)*I970*H970)+((E970*F970*J970*S970*I970*H970)/12500000))/3*1000,"")</f>
        <v/>
      </c>
    </row>
    <row r="971">
      <c r="B971" s="7" t="inlineStr">
        <is>
          <t xml:space="preserve">  ↳ ASDFGun</t>
        </is>
      </c>
      <c r="C971" s="7" t="inlineStr">
        <is>
          <t>Armament@PRIMARY</t>
        </is>
      </c>
      <c r="L971" s="6" t="n">
        <v>2000</v>
      </c>
      <c r="M971" s="6" t="n">
        <v>16</v>
      </c>
      <c r="N971" s="6" t="n">
        <v>3</v>
      </c>
      <c r="O971" s="6" t="n">
        <v>2</v>
      </c>
      <c r="P971" s="6" t="n">
        <v>7250</v>
      </c>
      <c r="Q971" s="6" t="n">
        <v>0.875</v>
      </c>
      <c r="R971">
        <f>M971+IF(N971&gt;1,N(O971)*(N971-1),0)</f>
        <v/>
      </c>
      <c r="S971">
        <f>IFERROR(L971*MAX(N971,1)/R971*Q971*IF(ISBLANK(K970),1,K970),0)</f>
        <v/>
      </c>
      <c r="AB971" s="7" t="inlineStr">
        <is>
          <t>^RA2SmallArms, ^RA2Chaingun</t>
        </is>
      </c>
    </row>
    <row r="972">
      <c r="B972" s="7" t="inlineStr">
        <is>
          <t xml:space="preserve">  ↳ ASDFGun2</t>
        </is>
      </c>
      <c r="C972" s="7" t="inlineStr">
        <is>
          <t>Armament@Upgrade</t>
        </is>
      </c>
      <c r="L972" s="6" t="n">
        <v>2000</v>
      </c>
      <c r="M972" s="6" t="n">
        <v>16</v>
      </c>
      <c r="N972" s="6" t="n">
        <v>3</v>
      </c>
      <c r="O972" s="6" t="n">
        <v>2</v>
      </c>
      <c r="P972" s="6" t="n">
        <v>7250</v>
      </c>
      <c r="Q972" s="6" t="n">
        <v>1</v>
      </c>
      <c r="R972">
        <f>M972+IF(N972&gt;1,N(O972)*(N972-1),0)</f>
        <v/>
      </c>
      <c r="S972">
        <f>IFERROR(L972*MAX(N972,1)/R972*Q972*IF(ISBLANK(K970),1,K970),0)</f>
        <v/>
      </c>
      <c r="AB972" s="7" t="inlineStr">
        <is>
          <t>^RailgunWeapon, ^RA2SmallArms, ^RA2Chaingun</t>
        </is>
      </c>
    </row>
    <row r="973">
      <c r="B973" s="7" t="inlineStr">
        <is>
          <t xml:space="preserve">  ↳ ASDFKamikazeTargeting</t>
        </is>
      </c>
      <c r="C973" s="7" t="inlineStr">
        <is>
          <t>Armament@SECONDARY</t>
        </is>
      </c>
      <c r="L973" s="6" t="n"/>
      <c r="M973" s="6" t="n">
        <v>100</v>
      </c>
      <c r="N973" s="6" t="n">
        <v>1</v>
      </c>
      <c r="O973" s="6" t="n"/>
      <c r="P973" s="6" t="n">
        <v>7250</v>
      </c>
      <c r="Q973" s="6" t="n">
        <v>1</v>
      </c>
      <c r="R973">
        <f>M973+IF(N973&gt;1,N(O973)*(N973-1),0)</f>
        <v/>
      </c>
      <c r="S973">
        <f>IFERROR(L973*MAX(N973,1)/R973*Q973*IF(ISBLANK(K970),1,K970),0)</f>
        <v/>
      </c>
      <c r="AB973" s="7" t="inlineStr"/>
    </row>
    <row r="974">
      <c r="B974" s="7" t="inlineStr">
        <is>
          <t xml:space="preserve">  ↳ ASDFGun</t>
        </is>
      </c>
      <c r="C974" s="7" t="inlineStr">
        <is>
          <t>Armament@GARRISONED</t>
        </is>
      </c>
      <c r="L974" s="6" t="n">
        <v>2000</v>
      </c>
      <c r="M974" s="6" t="n">
        <v>16</v>
      </c>
      <c r="N974" s="6" t="n">
        <v>3</v>
      </c>
      <c r="O974" s="6" t="n">
        <v>2</v>
      </c>
      <c r="P974" s="6" t="n">
        <v>7250</v>
      </c>
      <c r="Q974" s="6" t="n">
        <v>0.875</v>
      </c>
      <c r="R974">
        <f>M974+IF(N974&gt;1,N(O974)*(N974-1),0)</f>
        <v/>
      </c>
      <c r="S974">
        <f>IFERROR(L974*MAX(N974,1)/R974*Q974*IF(ISBLANK(K970),1,K970),0)</f>
        <v/>
      </c>
      <c r="AB974" s="7" t="inlineStr">
        <is>
          <t>^RA2SmallArms, ^RA2Chaingun</t>
        </is>
      </c>
    </row>
    <row r="975">
      <c r="B975" s="7" t="inlineStr">
        <is>
          <t xml:space="preserve">  ↳ ASDFGun2</t>
        </is>
      </c>
      <c r="C975" s="7" t="inlineStr">
        <is>
          <t>Armament@UpgradeGARRISONED</t>
        </is>
      </c>
      <c r="L975" s="6" t="n">
        <v>2000</v>
      </c>
      <c r="M975" s="6" t="n">
        <v>16</v>
      </c>
      <c r="N975" s="6" t="n">
        <v>3</v>
      </c>
      <c r="O975" s="6" t="n">
        <v>2</v>
      </c>
      <c r="P975" s="6" t="n">
        <v>7250</v>
      </c>
      <c r="Q975" s="6" t="n">
        <v>1</v>
      </c>
      <c r="R975">
        <f>M975+IF(N975&gt;1,N(O975)*(N975-1),0)</f>
        <v/>
      </c>
      <c r="S975">
        <f>IFERROR(L975*MAX(N975,1)/R975*Q975*IF(ISBLANK(K970),1,K970),0)</f>
        <v/>
      </c>
      <c r="AB975" s="7" t="inlineStr">
        <is>
          <t>^RailgunWeapon, ^RA2SmallArms, ^RA2Chaingun</t>
        </is>
      </c>
    </row>
    <row r="976">
      <c r="A976" t="inlineStr">
        <is>
          <t>redalert2mod</t>
        </is>
      </c>
      <c r="B976" t="inlineStr">
        <is>
          <t>asianalliance_shinobi</t>
        </is>
      </c>
      <c r="C976" t="inlineStr">
        <is>
          <t>Shinobi</t>
        </is>
      </c>
      <c r="D976" s="6" t="inlineStr">
        <is>
          <t>SniperInfantry</t>
        </is>
      </c>
      <c r="E976" s="6" t="n">
        <v>20000</v>
      </c>
      <c r="F976" s="6" t="n">
        <v>60</v>
      </c>
      <c r="G976" t="inlineStr">
        <is>
          <t>Flak</t>
        </is>
      </c>
      <c r="H976" s="6" t="n">
        <v>1</v>
      </c>
      <c r="I976" s="6" t="n">
        <v>0.75</v>
      </c>
      <c r="J976" s="6" t="n">
        <v>1</v>
      </c>
      <c r="K976" s="6" t="n"/>
      <c r="P976">
        <f>MAX(P977,P978)</f>
        <v/>
      </c>
      <c r="S976">
        <f>S977+S978</f>
        <v/>
      </c>
      <c r="T976">
        <f>(E976/100000+F976/100+(P976/1000)*J976/5+S976/200)*200*I976*H976</f>
        <v/>
      </c>
      <c r="U976">
        <f>((E976*F976/25000)+((P976/1000)*J976*S976/2.5))*I976*H976</f>
        <v/>
      </c>
      <c r="V976">
        <f>(E976*F976*(P976/1000)*J976*S976*I976*H976)/12500000</f>
        <v/>
      </c>
      <c r="W976">
        <f>(T976+U976+V976)/3</f>
        <v/>
      </c>
      <c r="X976" s="6" t="n">
        <v>750</v>
      </c>
      <c r="Y976">
        <f>IFERROR(W976-X976,"")</f>
        <v/>
      </c>
      <c r="Z976">
        <f>IFERROR(ABS(Y976)/MAX(X976,1),"")</f>
        <v/>
      </c>
      <c r="AA976">
        <f>IFERROR((X976-(((E976/100000+F976/100+S976/200)*200*I976*H976)+((E976*F976/25000)*I976*H976))/3)/(((J976/5)*200*I976*H976)+((J976*S976/2.5)*I976*H976)+((E976*F976*J976*S976*I976*H976)/12500000))/3*1000,"")</f>
        <v/>
      </c>
    </row>
    <row r="977">
      <c r="B977" s="7" t="inlineStr">
        <is>
          <t xml:space="preserve">  ↳ AsianNinjaStar</t>
        </is>
      </c>
      <c r="C977" s="7" t="inlineStr">
        <is>
          <t>Armament@PRIMARY</t>
        </is>
      </c>
      <c r="L977" s="6" t="n">
        <v>20000</v>
      </c>
      <c r="M977" s="6" t="n">
        <v>25</v>
      </c>
      <c r="N977" s="6" t="n">
        <v>1</v>
      </c>
      <c r="O977" s="6" t="n"/>
      <c r="P977" s="6" t="n">
        <v>4560</v>
      </c>
      <c r="Q977" s="6" t="n">
        <v>1</v>
      </c>
      <c r="R977">
        <f>M977+IF(N977&gt;1,N(O977)*(N977-1),0)</f>
        <v/>
      </c>
      <c r="S977">
        <f>IFERROR(L977*MAX(N977,1)/R977*Q977*IF(ISBLANK(K976),1,K976),0)</f>
        <v/>
      </c>
      <c r="AB977" s="7" t="inlineStr">
        <is>
          <t>^SwordWeapon</t>
        </is>
      </c>
    </row>
    <row r="978">
      <c r="B978" s="7" t="inlineStr">
        <is>
          <t xml:space="preserve">  ↳ AsianNinjaStarE</t>
        </is>
      </c>
      <c r="C978" s="7" t="inlineStr">
        <is>
          <t>Armament@ELITE</t>
        </is>
      </c>
      <c r="L978" s="6" t="n">
        <v>20000</v>
      </c>
      <c r="M978" s="6" t="n">
        <v>25</v>
      </c>
      <c r="N978" s="6" t="n">
        <v>2</v>
      </c>
      <c r="O978" s="6" t="n">
        <v>3</v>
      </c>
      <c r="P978" s="6" t="n">
        <v>5560</v>
      </c>
      <c r="Q978" s="6" t="n">
        <v>1</v>
      </c>
      <c r="R978">
        <f>M978+IF(N978&gt;1,N(O978)*(N978-1),0)</f>
        <v/>
      </c>
      <c r="S978">
        <f>IFERROR(L978*MAX(N978,1)/R978*Q978*IF(ISBLANK(K976),1,K976),0)</f>
        <v/>
      </c>
      <c r="AB978" s="7" t="inlineStr">
        <is>
          <t>^SwordWeapon</t>
        </is>
      </c>
    </row>
    <row r="979">
      <c r="B979" s="7" t="inlineStr">
        <is>
          <t xml:space="preserve">  ↳ AsianNinjaStar</t>
        </is>
      </c>
      <c r="C979" s="7" t="inlineStr">
        <is>
          <t>Armament@GARRISONED</t>
        </is>
      </c>
      <c r="L979" s="6" t="n">
        <v>20000</v>
      </c>
      <c r="M979" s="6" t="n">
        <v>25</v>
      </c>
      <c r="N979" s="6" t="n">
        <v>1</v>
      </c>
      <c r="O979" s="6" t="n"/>
      <c r="P979" s="6" t="n">
        <v>4560</v>
      </c>
      <c r="Q979" s="6" t="n">
        <v>1</v>
      </c>
      <c r="R979">
        <f>M979+IF(N979&gt;1,N(O979)*(N979-1),0)</f>
        <v/>
      </c>
      <c r="S979">
        <f>IFERROR(L979*MAX(N979,1)/R979*Q979*IF(ISBLANK(K976),1,K976),0)</f>
        <v/>
      </c>
      <c r="AB979" s="7" t="inlineStr">
        <is>
          <t>^SwordWeapon</t>
        </is>
      </c>
    </row>
    <row r="980">
      <c r="B980" s="7" t="inlineStr">
        <is>
          <t xml:space="preserve">  ↳ AsianNinjaStarE</t>
        </is>
      </c>
      <c r="C980" s="7" t="inlineStr">
        <is>
          <t>Armament@GARRISONEDELITE</t>
        </is>
      </c>
      <c r="L980" s="6" t="n">
        <v>20000</v>
      </c>
      <c r="M980" s="6" t="n">
        <v>25</v>
      </c>
      <c r="N980" s="6" t="n">
        <v>2</v>
      </c>
      <c r="O980" s="6" t="n">
        <v>3</v>
      </c>
      <c r="P980" s="6" t="n">
        <v>5560</v>
      </c>
      <c r="Q980" s="6" t="n">
        <v>1</v>
      </c>
      <c r="R980">
        <f>M980+IF(N980&gt;1,N(O980)*(N980-1),0)</f>
        <v/>
      </c>
      <c r="S980">
        <f>IFERROR(L980*MAX(N980,1)/R980*Q980*IF(ISBLANK(K976),1,K976),0)</f>
        <v/>
      </c>
      <c r="AB980" s="7" t="inlineStr">
        <is>
          <t>^SwordWeapon</t>
        </is>
      </c>
    </row>
    <row r="981">
      <c r="A981" t="inlineStr">
        <is>
          <t>redalert2mod</t>
        </is>
      </c>
      <c r="B981" t="inlineStr">
        <is>
          <t>latinsyndicate_narco</t>
        </is>
      </c>
      <c r="C981" t="inlineStr">
        <is>
          <t>Narco</t>
        </is>
      </c>
      <c r="D981" s="6" t="inlineStr">
        <is>
          <t>SniperInfantry</t>
        </is>
      </c>
      <c r="E981" s="6" t="n">
        <v>28000</v>
      </c>
      <c r="F981" s="6" t="n">
        <v>70</v>
      </c>
      <c r="G981" t="inlineStr">
        <is>
          <t>Flak</t>
        </is>
      </c>
      <c r="H981" s="6" t="n">
        <v>1</v>
      </c>
      <c r="I981" s="6" t="n">
        <v>0.75</v>
      </c>
      <c r="J981" s="6" t="n">
        <v>1</v>
      </c>
      <c r="K981" s="6" t="n">
        <v>0.5</v>
      </c>
      <c r="P981">
        <f>MAX(P982,P983,P984,P985)</f>
        <v/>
      </c>
      <c r="S981">
        <f>S982+S983+S984+S985</f>
        <v/>
      </c>
      <c r="T981">
        <f>(E981/100000+F981/100+(P981/1000)*J981/5+S981/200)*200*I981*H981</f>
        <v/>
      </c>
      <c r="U981">
        <f>((E981*F981/25000)+((P981/1000)*J981*S981/2.5))*I981*H981</f>
        <v/>
      </c>
      <c r="V981">
        <f>(E981*F981*(P981/1000)*J981*S981*I981*H981)/12500000</f>
        <v/>
      </c>
      <c r="W981">
        <f>(T981+U981+V981)/3</f>
        <v/>
      </c>
      <c r="X981" s="6" t="n">
        <v>900</v>
      </c>
      <c r="Y981">
        <f>IFERROR(W981-X981,"")</f>
        <v/>
      </c>
      <c r="Z981">
        <f>IFERROR(ABS(Y981)/MAX(X981,1),"")</f>
        <v/>
      </c>
      <c r="AA981">
        <f>IFERROR((X981-(((E981/100000+F981/100+S981/200)*200*I981*H981)+((E981*F981/25000)*I981*H981))/3)/(((J981/5)*200*I981*H981)+((J981*S981/2.5)*I981*H981)+((E981*F981*J981*S981*I981*H981)/12500000))/3*1000,"")</f>
        <v/>
      </c>
    </row>
    <row r="982">
      <c r="B982" s="7" t="inlineStr">
        <is>
          <t xml:space="preserve">  ↳ NarcoGrenade</t>
        </is>
      </c>
      <c r="C982" s="7" t="inlineStr">
        <is>
          <t>Armament@Grenade</t>
        </is>
      </c>
      <c r="L982" s="6" t="n">
        <v>70000</v>
      </c>
      <c r="M982" s="6" t="n">
        <v>77</v>
      </c>
      <c r="N982" s="6" t="n">
        <v>1</v>
      </c>
      <c r="O982" s="6" t="n"/>
      <c r="P982" s="6" t="n">
        <v>6300</v>
      </c>
      <c r="Q982" s="6" t="n">
        <v>1</v>
      </c>
      <c r="R982">
        <f>M982+IF(N982&gt;1,N(O982)*(N982-1),0)</f>
        <v/>
      </c>
      <c r="S982">
        <f>IFERROR(L982*MAX(N982,1)/R982*Q982*IF(ISBLANK(K981),1,K981),0)</f>
        <v/>
      </c>
      <c r="AB982" s="7" t="inlineStr">
        <is>
          <t>^Grenade</t>
        </is>
      </c>
    </row>
    <row r="983">
      <c r="B983" s="7" t="inlineStr">
        <is>
          <t xml:space="preserve">  ↳ NarcoGrenadeE</t>
        </is>
      </c>
      <c r="C983" s="7" t="inlineStr">
        <is>
          <t>Armament@GrenadeELITE</t>
        </is>
      </c>
      <c r="L983" s="6" t="n">
        <v>70000</v>
      </c>
      <c r="M983" s="6" t="n">
        <v>77</v>
      </c>
      <c r="N983" s="6" t="n">
        <v>2</v>
      </c>
      <c r="O983" s="6" t="n">
        <v>3</v>
      </c>
      <c r="P983" s="6" t="n">
        <v>7300</v>
      </c>
      <c r="Q983" s="6" t="n">
        <v>1</v>
      </c>
      <c r="R983">
        <f>M983+IF(N983&gt;1,N(O983)*(N983-1),0)</f>
        <v/>
      </c>
      <c r="S983">
        <f>IFERROR(L983*MAX(N983,1)/R983*Q983*IF(ISBLANK(K981),1,K981),0)</f>
        <v/>
      </c>
      <c r="AB983" s="7" t="inlineStr">
        <is>
          <t>^Grenade</t>
        </is>
      </c>
    </row>
    <row r="984">
      <c r="B984" s="7" t="inlineStr">
        <is>
          <t xml:space="preserve">  ↳ RA2NarcoPistol</t>
        </is>
      </c>
      <c r="C984" s="7" t="inlineStr">
        <is>
          <t>Armament@Pistol</t>
        </is>
      </c>
      <c r="L984" s="6" t="n">
        <v>20000</v>
      </c>
      <c r="M984" s="6" t="n">
        <v>22</v>
      </c>
      <c r="N984" s="6" t="n">
        <v>1</v>
      </c>
      <c r="O984" s="6" t="n"/>
      <c r="P984" s="6" t="n">
        <v>6300</v>
      </c>
      <c r="Q984" s="6" t="n">
        <v>0.75</v>
      </c>
      <c r="R984">
        <f>M984+IF(N984&gt;1,N(O984)*(N984-1),0)</f>
        <v/>
      </c>
      <c r="S984">
        <f>IFERROR(L984*MAX(N984,1)/R984*Q984*IF(ISBLANK(K981),1,K981),0)</f>
        <v/>
      </c>
      <c r="AB984" s="7" t="inlineStr">
        <is>
          <t>^SniperWeapon</t>
        </is>
      </c>
    </row>
    <row r="985">
      <c r="B985" s="7" t="inlineStr">
        <is>
          <t xml:space="preserve">  ↳ RA2NarcoPistolsE</t>
        </is>
      </c>
      <c r="C985" s="7" t="inlineStr">
        <is>
          <t>Armament@PistolELITE</t>
        </is>
      </c>
      <c r="L985" s="6" t="n">
        <v>20000</v>
      </c>
      <c r="M985" s="6" t="n">
        <v>22</v>
      </c>
      <c r="N985" s="6" t="n">
        <v>2</v>
      </c>
      <c r="O985" s="6" t="n">
        <v>3</v>
      </c>
      <c r="P985" s="6" t="n">
        <v>7300</v>
      </c>
      <c r="Q985" s="6" t="n">
        <v>0.75</v>
      </c>
      <c r="R985">
        <f>M985+IF(N985&gt;1,N(O985)*(N985-1),0)</f>
        <v/>
      </c>
      <c r="S985">
        <f>IFERROR(L985*MAX(N985,1)/R985*Q985*IF(ISBLANK(K981),1,K981),0)</f>
        <v/>
      </c>
      <c r="AB985" s="7" t="inlineStr">
        <is>
          <t>^SniperWeapon</t>
        </is>
      </c>
    </row>
    <row r="986">
      <c r="B986" s="7" t="inlineStr">
        <is>
          <t xml:space="preserve">  ↳ NarcoGrenade</t>
        </is>
      </c>
      <c r="C986" s="7" t="inlineStr">
        <is>
          <t>Armament@GrenadeGARRISONED</t>
        </is>
      </c>
      <c r="L986" s="6" t="n">
        <v>70000</v>
      </c>
      <c r="M986" s="6" t="n">
        <v>77</v>
      </c>
      <c r="N986" s="6" t="n">
        <v>1</v>
      </c>
      <c r="O986" s="6" t="n"/>
      <c r="P986" s="6" t="n">
        <v>6300</v>
      </c>
      <c r="Q986" s="6" t="n">
        <v>1</v>
      </c>
      <c r="R986">
        <f>M986+IF(N986&gt;1,N(O986)*(N986-1),0)</f>
        <v/>
      </c>
      <c r="S986">
        <f>IFERROR(L986*MAX(N986,1)/R986*Q986*IF(ISBLANK(K981),1,K981),0)</f>
        <v/>
      </c>
      <c r="AB986" s="7" t="inlineStr">
        <is>
          <t>^Grenade</t>
        </is>
      </c>
    </row>
    <row r="987">
      <c r="B987" s="7" t="inlineStr">
        <is>
          <t xml:space="preserve">  ↳ NarcoGrenadeE</t>
        </is>
      </c>
      <c r="C987" s="7" t="inlineStr">
        <is>
          <t>Armament@GrenadeGARRISONEDELITE</t>
        </is>
      </c>
      <c r="L987" s="6" t="n">
        <v>70000</v>
      </c>
      <c r="M987" s="6" t="n">
        <v>77</v>
      </c>
      <c r="N987" s="6" t="n">
        <v>2</v>
      </c>
      <c r="O987" s="6" t="n">
        <v>3</v>
      </c>
      <c r="P987" s="6" t="n">
        <v>7300</v>
      </c>
      <c r="Q987" s="6" t="n">
        <v>1</v>
      </c>
      <c r="R987">
        <f>M987+IF(N987&gt;1,N(O987)*(N987-1),0)</f>
        <v/>
      </c>
      <c r="S987">
        <f>IFERROR(L987*MAX(N987,1)/R987*Q987*IF(ISBLANK(K981),1,K981),0)</f>
        <v/>
      </c>
      <c r="AB987" s="7" t="inlineStr">
        <is>
          <t>^Grenade</t>
        </is>
      </c>
    </row>
    <row r="988">
      <c r="B988" s="7" t="inlineStr">
        <is>
          <t xml:space="preserve">  ↳ RA2NarcoPistol</t>
        </is>
      </c>
      <c r="C988" s="7" t="inlineStr">
        <is>
          <t>Armament@PistolGARRISONED</t>
        </is>
      </c>
      <c r="L988" s="6" t="n">
        <v>20000</v>
      </c>
      <c r="M988" s="6" t="n">
        <v>22</v>
      </c>
      <c r="N988" s="6" t="n">
        <v>1</v>
      </c>
      <c r="O988" s="6" t="n"/>
      <c r="P988" s="6" t="n">
        <v>6300</v>
      </c>
      <c r="Q988" s="6" t="n">
        <v>0.75</v>
      </c>
      <c r="R988">
        <f>M988+IF(N988&gt;1,N(O988)*(N988-1),0)</f>
        <v/>
      </c>
      <c r="S988">
        <f>IFERROR(L988*MAX(N988,1)/R988*Q988*IF(ISBLANK(K981),1,K981),0)</f>
        <v/>
      </c>
      <c r="AB988" s="7" t="inlineStr">
        <is>
          <t>^SniperWeapon</t>
        </is>
      </c>
    </row>
    <row r="989">
      <c r="B989" s="7" t="inlineStr">
        <is>
          <t xml:space="preserve">  ↳ RA2NarcoPistolsE</t>
        </is>
      </c>
      <c r="C989" s="7" t="inlineStr">
        <is>
          <t>Armament@PistolGARRISONEDELITE</t>
        </is>
      </c>
      <c r="L989" s="6" t="n">
        <v>20000</v>
      </c>
      <c r="M989" s="6" t="n">
        <v>22</v>
      </c>
      <c r="N989" s="6" t="n">
        <v>2</v>
      </c>
      <c r="O989" s="6" t="n">
        <v>3</v>
      </c>
      <c r="P989" s="6" t="n">
        <v>7300</v>
      </c>
      <c r="Q989" s="6" t="n">
        <v>0.75</v>
      </c>
      <c r="R989">
        <f>M989+IF(N989&gt;1,N(O989)*(N989-1),0)</f>
        <v/>
      </c>
      <c r="S989">
        <f>IFERROR(L989*MAX(N989,1)/R989*Q989*IF(ISBLANK(K981),1,K981),0)</f>
        <v/>
      </c>
      <c r="AB989" s="7" t="inlineStr">
        <is>
          <t>^SniperWeapon</t>
        </is>
      </c>
    </row>
    <row r="990">
      <c r="A990" t="inlineStr">
        <is>
          <t>redalert2mod</t>
        </is>
      </c>
      <c r="B990" t="inlineStr">
        <is>
          <t>naxis_naximercenarysniper</t>
        </is>
      </c>
      <c r="C990" t="inlineStr">
        <is>
          <t>Naxi Mercenary Sniper</t>
        </is>
      </c>
      <c r="D990" s="6" t="inlineStr">
        <is>
          <t>SniperInfantry</t>
        </is>
      </c>
      <c r="E990" s="6" t="n">
        <v>8000</v>
      </c>
      <c r="F990" s="6" t="n">
        <v>60</v>
      </c>
      <c r="G990" t="inlineStr">
        <is>
          <t>Flak</t>
        </is>
      </c>
      <c r="H990" s="6" t="n">
        <v>1</v>
      </c>
      <c r="I990" s="6" t="n">
        <v>1</v>
      </c>
      <c r="J990" s="6" t="n">
        <v>1</v>
      </c>
      <c r="K990" s="6" t="n"/>
      <c r="P990">
        <f>MAX(P991,P992)</f>
        <v/>
      </c>
      <c r="S990">
        <f>S991+S992</f>
        <v/>
      </c>
      <c r="T990">
        <f>(E990/100000+F990/100+(P990/1000)*J990/5+S990/200)*200*I990*H990</f>
        <v/>
      </c>
      <c r="U990">
        <f>((E990*F990/25000)+((P990/1000)*J990*S990/2.5))*I990*H990</f>
        <v/>
      </c>
      <c r="V990">
        <f>(E990*F990*(P990/1000)*J990*S990*I990*H990)/12500000</f>
        <v/>
      </c>
      <c r="W990">
        <f>(T990+U990+V990)/3</f>
        <v/>
      </c>
      <c r="X990" s="6" t="n">
        <v>250</v>
      </c>
      <c r="Y990">
        <f>IFERROR(W990-X990,"")</f>
        <v/>
      </c>
      <c r="Z990">
        <f>IFERROR(ABS(Y990)/MAX(X990,1),"")</f>
        <v/>
      </c>
      <c r="AA990">
        <f>IFERROR((X990-(((E990/100000+F990/100+S990/200)*200*I990*H990)+((E990*F990/25000)*I990*H990))/3)/(((J990/5)*200*I990*H990)+((J990*S990/2.5)*I990*H990)+((E990*F990*J990*S990*I990*H990)/12500000))/3*1000,"")</f>
        <v/>
      </c>
    </row>
    <row r="991">
      <c r="B991" s="7" t="inlineStr">
        <is>
          <t xml:space="preserve">  ↳ NaxiSniper</t>
        </is>
      </c>
      <c r="C991" s="7" t="inlineStr">
        <is>
          <t>Armament@PRIMARY</t>
        </is>
      </c>
      <c r="L991" s="6" t="n">
        <v>24000</v>
      </c>
      <c r="M991" s="6" t="n">
        <v>120</v>
      </c>
      <c r="N991" s="6" t="n">
        <v>1</v>
      </c>
      <c r="O991" s="6" t="n"/>
      <c r="P991" s="6" t="n">
        <v>7777</v>
      </c>
      <c r="Q991" s="6" t="n">
        <v>0.75</v>
      </c>
      <c r="R991">
        <f>M991+IF(N991&gt;1,N(O991)*(N991-1),0)</f>
        <v/>
      </c>
      <c r="S991">
        <f>IFERROR(L991*MAX(N991,1)/R991*Q991*IF(ISBLANK(K990),1,K990),0)</f>
        <v/>
      </c>
      <c r="AB991" s="7" t="inlineStr">
        <is>
          <t>^SniperWeapon</t>
        </is>
      </c>
    </row>
    <row r="992">
      <c r="B992" s="7" t="inlineStr">
        <is>
          <t xml:space="preserve">  ↳ NaxiSniperE</t>
        </is>
      </c>
      <c r="C992" s="7" t="inlineStr">
        <is>
          <t>Armament@ELITE</t>
        </is>
      </c>
      <c r="L992" s="6" t="n">
        <v>24000</v>
      </c>
      <c r="M992" s="6" t="n">
        <v>120</v>
      </c>
      <c r="N992" s="6" t="n">
        <v>2</v>
      </c>
      <c r="O992" s="6" t="n">
        <v>3</v>
      </c>
      <c r="P992" s="6" t="n">
        <v>8888</v>
      </c>
      <c r="Q992" s="6" t="n">
        <v>0.75</v>
      </c>
      <c r="R992">
        <f>M992+IF(N992&gt;1,N(O992)*(N992-1),0)</f>
        <v/>
      </c>
      <c r="S992">
        <f>IFERROR(L992*MAX(N992,1)/R992*Q992*IF(ISBLANK(K990),1,K990),0)</f>
        <v/>
      </c>
      <c r="AB992" s="7" t="inlineStr">
        <is>
          <t>^SniperWeapon</t>
        </is>
      </c>
    </row>
    <row r="993">
      <c r="B993" s="7" t="inlineStr">
        <is>
          <t xml:space="preserve">  ↳ NaxiSniper</t>
        </is>
      </c>
      <c r="C993" s="7" t="inlineStr">
        <is>
          <t>Armament@GARRISONED</t>
        </is>
      </c>
      <c r="L993" s="6" t="n">
        <v>24000</v>
      </c>
      <c r="M993" s="6" t="n">
        <v>120</v>
      </c>
      <c r="N993" s="6" t="n">
        <v>1</v>
      </c>
      <c r="O993" s="6" t="n"/>
      <c r="P993" s="6" t="n">
        <v>7777</v>
      </c>
      <c r="Q993" s="6" t="n">
        <v>0.75</v>
      </c>
      <c r="R993">
        <f>M993+IF(N993&gt;1,N(O993)*(N993-1),0)</f>
        <v/>
      </c>
      <c r="S993">
        <f>IFERROR(L993*MAX(N993,1)/R993*Q993*IF(ISBLANK(K990),1,K990),0)</f>
        <v/>
      </c>
      <c r="AB993" s="7" t="inlineStr">
        <is>
          <t>^SniperWeapon</t>
        </is>
      </c>
    </row>
    <row r="994">
      <c r="B994" s="7" t="inlineStr">
        <is>
          <t xml:space="preserve">  ↳ NaxiSniperE</t>
        </is>
      </c>
      <c r="C994" s="7" t="inlineStr">
        <is>
          <t>Armament@GARRISONEDELITE</t>
        </is>
      </c>
      <c r="L994" s="6" t="n">
        <v>24000</v>
      </c>
      <c r="M994" s="6" t="n">
        <v>120</v>
      </c>
      <c r="N994" s="6" t="n">
        <v>2</v>
      </c>
      <c r="O994" s="6" t="n">
        <v>3</v>
      </c>
      <c r="P994" s="6" t="n">
        <v>8888</v>
      </c>
      <c r="Q994" s="6" t="n">
        <v>0.75</v>
      </c>
      <c r="R994">
        <f>M994+IF(N994&gt;1,N(O994)*(N994-1),0)</f>
        <v/>
      </c>
      <c r="S994">
        <f>IFERROR(L994*MAX(N994,1)/R994*Q994*IF(ISBLANK(K990),1,K990),0)</f>
        <v/>
      </c>
      <c r="AB994" s="7" t="inlineStr">
        <is>
          <t>^SniperWeapon</t>
        </is>
      </c>
    </row>
    <row r="995">
      <c r="A995" t="inlineStr">
        <is>
          <t>redalert2mod</t>
        </is>
      </c>
      <c r="B995" t="inlineStr">
        <is>
          <t>tkm_sniper</t>
        </is>
      </c>
      <c r="C995" t="inlineStr">
        <is>
          <t>Sniper</t>
        </is>
      </c>
      <c r="D995" s="6" t="inlineStr">
        <is>
          <t>SniperInfantry</t>
        </is>
      </c>
      <c r="E995" s="6" t="n">
        <v>20000</v>
      </c>
      <c r="F995" s="6" t="n">
        <v>60</v>
      </c>
      <c r="G995" t="inlineStr">
        <is>
          <t>Flak</t>
        </is>
      </c>
      <c r="H995" s="6" t="n">
        <v>1</v>
      </c>
      <c r="I995" s="6" t="n">
        <v>1</v>
      </c>
      <c r="J995" s="6" t="n">
        <v>1</v>
      </c>
      <c r="K995" s="6" t="n"/>
      <c r="P995">
        <f>MAX(P996)</f>
        <v/>
      </c>
      <c r="S995">
        <f>S996</f>
        <v/>
      </c>
      <c r="T995">
        <f>(E995/100000+F995/100+(P995/1000)*J995/5+S995/200)*200*I995*H995</f>
        <v/>
      </c>
      <c r="U995">
        <f>((E995*F995/25000)+((P995/1000)*J995*S995/2.5))*I995*H995</f>
        <v/>
      </c>
      <c r="V995">
        <f>(E995*F995*(P995/1000)*J995*S995*I995*H995)/12500000</f>
        <v/>
      </c>
      <c r="W995">
        <f>(T995+U995+V995)/3</f>
        <v/>
      </c>
      <c r="X995" s="6" t="n">
        <v>600</v>
      </c>
      <c r="Y995">
        <f>IFERROR(W995-X995,"")</f>
        <v/>
      </c>
      <c r="Z995">
        <f>IFERROR(ABS(Y995)/MAX(X995,1),"")</f>
        <v/>
      </c>
      <c r="AA995">
        <f>IFERROR((X995-(((E995/100000+F995/100+S995/200)*200*I995*H995)+((E995*F995/25000)*I995*H995))/3)/(((J995/5)*200*I995*H995)+((J995*S995/2.5)*I995*H995)+((E995*F995*J995*S995*I995*H995)/12500000))/3*1000,"")</f>
        <v/>
      </c>
    </row>
    <row r="996">
      <c r="B996" s="7" t="inlineStr">
        <is>
          <t xml:space="preserve">  ↳ tkmawp</t>
        </is>
      </c>
      <c r="C996" s="7" t="inlineStr">
        <is>
          <t>Armament@PRIMARY</t>
        </is>
      </c>
      <c r="L996" s="6" t="n">
        <v>44000</v>
      </c>
      <c r="M996" s="6" t="n">
        <v>55</v>
      </c>
      <c r="N996" s="6" t="n">
        <v>1</v>
      </c>
      <c r="O996" s="6" t="n"/>
      <c r="P996" s="6" t="n">
        <v>10021</v>
      </c>
      <c r="Q996" s="6" t="n">
        <v>0.75</v>
      </c>
      <c r="R996">
        <f>M996+IF(N996&gt;1,N(O996)*(N996-1),0)</f>
        <v/>
      </c>
      <c r="S996">
        <f>IFERROR(L996*MAX(N996,1)/R996*Q996*IF(ISBLANK(K995),1,K995),0)</f>
        <v/>
      </c>
      <c r="AB996" s="7" t="inlineStr">
        <is>
          <t>^SniperWeapon</t>
        </is>
      </c>
    </row>
    <row r="997">
      <c r="B997" s="7" t="inlineStr">
        <is>
          <t xml:space="preserve">  ↳ tkmawp</t>
        </is>
      </c>
      <c r="C997" s="7" t="inlineStr">
        <is>
          <t>Armament@GARRISONED</t>
        </is>
      </c>
      <c r="L997" s="6" t="n">
        <v>44000</v>
      </c>
      <c r="M997" s="6" t="n">
        <v>55</v>
      </c>
      <c r="N997" s="6" t="n">
        <v>1</v>
      </c>
      <c r="O997" s="6" t="n"/>
      <c r="P997" s="6" t="n">
        <v>10021</v>
      </c>
      <c r="Q997" s="6" t="n">
        <v>0.75</v>
      </c>
      <c r="R997">
        <f>M997+IF(N997&gt;1,N(O997)*(N997-1),0)</f>
        <v/>
      </c>
      <c r="S997">
        <f>IFERROR(L997*MAX(N997,1)/R997*Q997*IF(ISBLANK(K995),1,K995),0)</f>
        <v/>
      </c>
      <c r="AB997" s="7" t="inlineStr">
        <is>
          <t>^SniperWeapon</t>
        </is>
      </c>
    </row>
    <row r="998">
      <c r="A998" t="inlineStr">
        <is>
          <t>starcraft</t>
        </is>
      </c>
      <c r="B998" t="inlineStr">
        <is>
          <t>terran_ghost</t>
        </is>
      </c>
      <c r="C998" t="inlineStr">
        <is>
          <t>Ghost</t>
        </is>
      </c>
      <c r="D998" s="6" t="inlineStr">
        <is>
          <t>SniperInfantry</t>
        </is>
      </c>
      <c r="E998" s="6" t="n">
        <v>45000</v>
      </c>
      <c r="F998" s="6" t="n">
        <v>75</v>
      </c>
      <c r="G998" t="inlineStr">
        <is>
          <t>Flak</t>
        </is>
      </c>
      <c r="H998" s="6" t="n">
        <v>0.75</v>
      </c>
      <c r="I998" s="6" t="n">
        <v>0.75</v>
      </c>
      <c r="J998" s="6" t="n">
        <v>1</v>
      </c>
      <c r="K998" s="6" t="n"/>
      <c r="P998">
        <f>MAX(P999,P1000)</f>
        <v/>
      </c>
      <c r="S998">
        <f>S999+S1000</f>
        <v/>
      </c>
      <c r="T998">
        <f>(E998/100000+F998/100+(P998/1000)*J998/5+S998/200)*200*I998*H998</f>
        <v/>
      </c>
      <c r="U998">
        <f>((E998*F998/25000)+((P998/1000)*J998*S998/2.5))*I998*H998</f>
        <v/>
      </c>
      <c r="V998">
        <f>(E998*F998*(P998/1000)*J998*S998*I998*H998)/12500000</f>
        <v/>
      </c>
      <c r="W998">
        <f>(T998+U998+V998)/3</f>
        <v/>
      </c>
      <c r="X998" s="6" t="n">
        <v>700</v>
      </c>
      <c r="Y998">
        <f>IFERROR(W998-X998,"")</f>
        <v/>
      </c>
      <c r="Z998">
        <f>IFERROR(ABS(Y998)/MAX(X998,1),"")</f>
        <v/>
      </c>
      <c r="AA998">
        <f>IFERROR((X998-(((E998/100000+F998/100+S998/200)*200*I998*H998)+((E998*F998/25000)*I998*H998))/3)/(((J998/5)*200*I998*H998)+((J998*S998/2.5)*I998*H998)+((E998*F998*J998*S998*I998*H998)/12500000))/3*1000,"")</f>
        <v/>
      </c>
    </row>
    <row r="999">
      <c r="B999" s="7" t="inlineStr">
        <is>
          <t xml:space="preserve">  ↳ GhostSniperLockdown</t>
        </is>
      </c>
      <c r="C999" s="7" t="inlineStr">
        <is>
          <t>Armament@lockdown</t>
        </is>
      </c>
      <c r="L999" s="6" t="n">
        <v>4000</v>
      </c>
      <c r="M999" s="6" t="n">
        <v>44</v>
      </c>
      <c r="N999" s="6" t="n">
        <v>1</v>
      </c>
      <c r="O999" s="6" t="n"/>
      <c r="P999" s="6" t="n">
        <v>8428</v>
      </c>
      <c r="Q999" s="6" t="n">
        <v>1</v>
      </c>
      <c r="R999">
        <f>M999+IF(N999&gt;1,N(O999)*(N999-1),0)</f>
        <v/>
      </c>
      <c r="S999">
        <f>IFERROR(L999*MAX(N999,1)/R999*Q999*IF(ISBLANK(K998),1,K998),0)</f>
        <v/>
      </c>
      <c r="AB999" s="7" t="inlineStr">
        <is>
          <t>^TeslaChargedWeapon, ^MediumMissile, ^HeavyCannon, ^SmallArms, ^FlakWeapon, ^Chaingun</t>
        </is>
      </c>
    </row>
    <row r="1000">
      <c r="B1000" s="7" t="inlineStr">
        <is>
          <t xml:space="preserve">  ↳ GhostSniper</t>
        </is>
      </c>
      <c r="C1000" s="7" t="inlineStr">
        <is>
          <t>Armament@PRIMARY</t>
        </is>
      </c>
      <c r="L1000" s="6" t="n">
        <v>2000</v>
      </c>
      <c r="M1000" s="6" t="n">
        <v>22</v>
      </c>
      <c r="N1000" s="6" t="n">
        <v>1</v>
      </c>
      <c r="O1000" s="6" t="n"/>
      <c r="P1000" s="6" t="n">
        <v>8428</v>
      </c>
      <c r="Q1000" s="6" t="n">
        <v>1</v>
      </c>
      <c r="R1000">
        <f>M1000+IF(N1000&gt;1,N(O1000)*(N1000-1),0)</f>
        <v/>
      </c>
      <c r="S1000">
        <f>IFERROR(L1000*MAX(N1000,1)/R1000*Q1000*IF(ISBLANK(K998),1,K998),0)</f>
        <v/>
      </c>
      <c r="AB1000" s="7" t="inlineStr">
        <is>
          <t>^MediumMissile, ^HeavyCannon, ^SmallArms, ^FlakWeapon, ^Chaingun</t>
        </is>
      </c>
    </row>
    <row r="1001">
      <c r="B1001" s="7" t="inlineStr">
        <is>
          <t xml:space="preserve">  ↳ GhostSniper</t>
        </is>
      </c>
      <c r="C1001" s="7" t="inlineStr">
        <is>
          <t>Armament@GARRISONED</t>
        </is>
      </c>
      <c r="L1001" s="6" t="n">
        <v>2000</v>
      </c>
      <c r="M1001" s="6" t="n">
        <v>22</v>
      </c>
      <c r="N1001" s="6" t="n">
        <v>1</v>
      </c>
      <c r="O1001" s="6" t="n"/>
      <c r="P1001" s="6" t="n">
        <v>8428</v>
      </c>
      <c r="Q1001" s="6" t="n">
        <v>1</v>
      </c>
      <c r="R1001">
        <f>M1001+IF(N1001&gt;1,N(O1001)*(N1001-1),0)</f>
        <v/>
      </c>
      <c r="S1001">
        <f>IFERROR(L1001*MAX(N1001,1)/R1001*Q1001*IF(ISBLANK(K998),1,K998),0)</f>
        <v/>
      </c>
      <c r="AB1001" s="7" t="inlineStr">
        <is>
          <t>^MediumMissile, ^HeavyCannon, ^SmallArms, ^FlakWeapon, ^Chaingun</t>
        </is>
      </c>
    </row>
    <row r="1002">
      <c r="A1002" t="inlineStr">
        <is>
          <t>starcraft</t>
        </is>
      </c>
      <c r="B1002" t="inlineStr">
        <is>
          <t>terran_reaper</t>
        </is>
      </c>
      <c r="C1002" t="inlineStr">
        <is>
          <t>Reaper</t>
        </is>
      </c>
      <c r="D1002" s="6" t="inlineStr">
        <is>
          <t>SniperInfantry</t>
        </is>
      </c>
      <c r="E1002" s="6" t="n">
        <v>60000</v>
      </c>
      <c r="F1002" s="6" t="n">
        <v>120</v>
      </c>
      <c r="G1002" t="inlineStr">
        <is>
          <t>Flak</t>
        </is>
      </c>
      <c r="H1002" s="6" t="n">
        <v>1</v>
      </c>
      <c r="I1002" s="6" t="n">
        <v>0.5</v>
      </c>
      <c r="J1002" s="6" t="n">
        <v>2</v>
      </c>
      <c r="K1002" s="6" t="n"/>
      <c r="P1002">
        <f>MAX(P1003,P1004,P1005)</f>
        <v/>
      </c>
      <c r="S1002">
        <f>S1003+S1004+S1005</f>
        <v/>
      </c>
      <c r="T1002">
        <f>(E1002/100000+F1002/100+(P1002/1000)*J1002/5+S1002/200)*200*I1002*H1002</f>
        <v/>
      </c>
      <c r="U1002">
        <f>((E1002*F1002/25000)+((P1002/1000)*J1002*S1002/2.5))*I1002*H1002</f>
        <v/>
      </c>
      <c r="V1002">
        <f>(E1002*F1002*(P1002/1000)*J1002*S1002*I1002*H1002)/12500000</f>
        <v/>
      </c>
      <c r="W1002">
        <f>(T1002+U1002+V1002)/3</f>
        <v/>
      </c>
      <c r="X1002" s="6" t="n">
        <v>600</v>
      </c>
      <c r="Y1002">
        <f>IFERROR(W1002-X1002,"")</f>
        <v/>
      </c>
      <c r="Z1002">
        <f>IFERROR(ABS(Y1002)/MAX(X1002,1),"")</f>
        <v/>
      </c>
      <c r="AA1002">
        <f>IFERROR((X1002-(((E1002/100000+F1002/100+S1002/200)*200*I1002*H1002)+((E1002*F1002/25000)*I1002*H1002))/3)/(((J1002/5)*200*I1002*H1002)+((J1002*S1002/2.5)*I1002*H1002)+((E1002*F1002*J1002*S1002*I1002*H1002)/12500000))/3*1000,"")</f>
        <v/>
      </c>
    </row>
    <row r="1003">
      <c r="B1003" s="7" t="inlineStr">
        <is>
          <t xml:space="preserve">  ↳ ReaperPistols</t>
        </is>
      </c>
      <c r="C1003" s="7" t="inlineStr">
        <is>
          <t>Armament@PRIMARY</t>
        </is>
      </c>
      <c r="L1003" s="6" t="n">
        <v>4000</v>
      </c>
      <c r="M1003" s="6" t="n">
        <v>22</v>
      </c>
      <c r="N1003" s="6" t="n">
        <v>1</v>
      </c>
      <c r="O1003" s="6" t="n"/>
      <c r="P1003" s="6" t="n">
        <v>4375</v>
      </c>
      <c r="Q1003" s="6" t="n">
        <v>0.75</v>
      </c>
      <c r="R1003">
        <f>M1003+IF(N1003&gt;1,N(O1003)*(N1003-1),0)</f>
        <v/>
      </c>
      <c r="S1003">
        <f>IFERROR(L1003*MAX(N1003,1)/R1003*Q1003*IF(ISBLANK(K1002),1,K1002),0)</f>
        <v/>
      </c>
      <c r="AB1003" s="7" t="inlineStr">
        <is>
          <t>^SniperWeapon</t>
        </is>
      </c>
    </row>
    <row r="1004">
      <c r="B1004" s="7" t="inlineStr">
        <is>
          <t xml:space="preserve">  ↳ ReaperPistols</t>
        </is>
      </c>
      <c r="C1004" s="7" t="inlineStr">
        <is>
          <t>Armament@SECONDARY</t>
        </is>
      </c>
      <c r="L1004" s="6" t="n">
        <v>4000</v>
      </c>
      <c r="M1004" s="6" t="n">
        <v>22</v>
      </c>
      <c r="N1004" s="6" t="n">
        <v>1</v>
      </c>
      <c r="O1004" s="6" t="n"/>
      <c r="P1004" s="6" t="n">
        <v>4375</v>
      </c>
      <c r="Q1004" s="6" t="n">
        <v>0.75</v>
      </c>
      <c r="R1004">
        <f>M1004+IF(N1004&gt;1,N(O1004)*(N1004-1),0)</f>
        <v/>
      </c>
      <c r="S1004">
        <f>IFERROR(L1004*MAX(N1004,1)/R1004*Q1004*IF(ISBLANK(K1002),1,K1002),0)</f>
        <v/>
      </c>
      <c r="AB1004" s="7" t="inlineStr">
        <is>
          <t>^SniperWeapon</t>
        </is>
      </c>
    </row>
    <row r="1005">
      <c r="B1005" s="7" t="inlineStr">
        <is>
          <t xml:space="preserve">  ↳ ReaperGrenade</t>
        </is>
      </c>
      <c r="C1005" s="7" t="inlineStr">
        <is>
          <t>Armament@Grenade</t>
        </is>
      </c>
      <c r="L1005" s="6" t="n">
        <v>4000</v>
      </c>
      <c r="M1005" s="6" t="n">
        <v>45</v>
      </c>
      <c r="N1005" s="6" t="n">
        <v>1</v>
      </c>
      <c r="O1005" s="6" t="n"/>
      <c r="P1005" s="6" t="n">
        <v>4375</v>
      </c>
      <c r="Q1005" s="6" t="n">
        <v>1.083333333333333</v>
      </c>
      <c r="R1005">
        <f>M1005+IF(N1005&gt;1,N(O1005)*(N1005-1),0)</f>
        <v/>
      </c>
      <c r="S1005">
        <f>IFERROR(L1005*MAX(N1005,1)/R1005*Q1005*IF(ISBLANK(K1002),1,K1002),0)</f>
        <v/>
      </c>
      <c r="AB1005" s="7" t="inlineStr">
        <is>
          <t>^Grenade, ^ShrapnelWeapon, ^HeavyCannon</t>
        </is>
      </c>
    </row>
    <row r="1006">
      <c r="B1006" s="7" t="inlineStr">
        <is>
          <t xml:space="preserve">  ↳ ReaperPistols</t>
        </is>
      </c>
      <c r="C1006" s="7" t="inlineStr">
        <is>
          <t>Armament@GARRISONED1</t>
        </is>
      </c>
      <c r="L1006" s="6" t="n">
        <v>4000</v>
      </c>
      <c r="M1006" s="6" t="n">
        <v>22</v>
      </c>
      <c r="N1006" s="6" t="n">
        <v>1</v>
      </c>
      <c r="O1006" s="6" t="n"/>
      <c r="P1006" s="6" t="n">
        <v>4375</v>
      </c>
      <c r="Q1006" s="6" t="n">
        <v>0.75</v>
      </c>
      <c r="R1006">
        <f>M1006+IF(N1006&gt;1,N(O1006)*(N1006-1),0)</f>
        <v/>
      </c>
      <c r="S1006">
        <f>IFERROR(L1006*MAX(N1006,1)/R1006*Q1006*IF(ISBLANK(K1002),1,K1002),0)</f>
        <v/>
      </c>
      <c r="AB1006" s="7" t="inlineStr">
        <is>
          <t>^SniperWeapon</t>
        </is>
      </c>
    </row>
    <row r="1007">
      <c r="B1007" s="7" t="inlineStr">
        <is>
          <t xml:space="preserve">  ↳ ReaperPistols</t>
        </is>
      </c>
      <c r="C1007" s="7" t="inlineStr">
        <is>
          <t>Armament@GARRISONED2</t>
        </is>
      </c>
      <c r="L1007" s="6" t="n">
        <v>4000</v>
      </c>
      <c r="M1007" s="6" t="n">
        <v>22</v>
      </c>
      <c r="N1007" s="6" t="n">
        <v>1</v>
      </c>
      <c r="O1007" s="6" t="n"/>
      <c r="P1007" s="6" t="n">
        <v>4375</v>
      </c>
      <c r="Q1007" s="6" t="n">
        <v>0.75</v>
      </c>
      <c r="R1007">
        <f>M1007+IF(N1007&gt;1,N(O1007)*(N1007-1),0)</f>
        <v/>
      </c>
      <c r="S1007">
        <f>IFERROR(L1007*MAX(N1007,1)/R1007*Q1007*IF(ISBLANK(K1002),1,K1002),0)</f>
        <v/>
      </c>
      <c r="AB1007" s="7" t="inlineStr">
        <is>
          <t>^SniperWeapon</t>
        </is>
      </c>
    </row>
    <row r="1008">
      <c r="B1008" s="7" t="inlineStr">
        <is>
          <t xml:space="preserve">  ↳ ReaperGrenade</t>
        </is>
      </c>
      <c r="C1008" s="7" t="inlineStr">
        <is>
          <t>Armament@GARRISONEDGrenade</t>
        </is>
      </c>
      <c r="L1008" s="6" t="n">
        <v>4000</v>
      </c>
      <c r="M1008" s="6" t="n">
        <v>45</v>
      </c>
      <c r="N1008" s="6" t="n">
        <v>1</v>
      </c>
      <c r="O1008" s="6" t="n"/>
      <c r="P1008" s="6" t="n">
        <v>4375</v>
      </c>
      <c r="Q1008" s="6" t="n">
        <v>1.083333333333333</v>
      </c>
      <c r="R1008">
        <f>M1008+IF(N1008&gt;1,N(O1008)*(N1008-1),0)</f>
        <v/>
      </c>
      <c r="S1008">
        <f>IFERROR(L1008*MAX(N1008,1)/R1008*Q1008*IF(ISBLANK(K1002),1,K1002),0)</f>
        <v/>
      </c>
      <c r="AB1008" s="7" t="inlineStr">
        <is>
          <t>^Grenade, ^ShrapnelWeapon, ^HeavyCannon</t>
        </is>
      </c>
    </row>
    <row r="1009">
      <c r="A1009" t="inlineStr">
        <is>
          <t>starcraft</t>
        </is>
      </c>
      <c r="B1009" t="inlineStr">
        <is>
          <t>terran_specter</t>
        </is>
      </c>
      <c r="C1009" t="inlineStr">
        <is>
          <t>Specter</t>
        </is>
      </c>
      <c r="D1009" s="6" t="inlineStr">
        <is>
          <t>SniperInfantry</t>
        </is>
      </c>
      <c r="E1009" s="6" t="n">
        <v>50000</v>
      </c>
      <c r="F1009" s="6" t="n">
        <v>80</v>
      </c>
      <c r="G1009" t="inlineStr">
        <is>
          <t>Flak</t>
        </is>
      </c>
      <c r="H1009" s="6" t="n">
        <v>0.75</v>
      </c>
      <c r="I1009" s="6" t="n">
        <v>0.75</v>
      </c>
      <c r="J1009" s="6" t="n">
        <v>1</v>
      </c>
      <c r="K1009" s="6" t="n"/>
      <c r="P1009">
        <f>MAX(P1010,P1011)</f>
        <v/>
      </c>
      <c r="S1009">
        <f>S1010+S1011</f>
        <v/>
      </c>
      <c r="T1009">
        <f>(E1009/100000+F1009/100+(P1009/1000)*J1009/5+S1009/200)*200*I1009*H1009</f>
        <v/>
      </c>
      <c r="U1009">
        <f>((E1009*F1009/25000)+((P1009/1000)*J1009*S1009/2.5))*I1009*H1009</f>
        <v/>
      </c>
      <c r="V1009">
        <f>(E1009*F1009*(P1009/1000)*J1009*S1009*I1009*H1009)/12500000</f>
        <v/>
      </c>
      <c r="W1009">
        <f>(T1009+U1009+V1009)/3</f>
        <v/>
      </c>
      <c r="X1009" s="6" t="n">
        <v>900</v>
      </c>
      <c r="Y1009">
        <f>IFERROR(W1009-X1009,"")</f>
        <v/>
      </c>
      <c r="Z1009">
        <f>IFERROR(ABS(Y1009)/MAX(X1009,1),"")</f>
        <v/>
      </c>
      <c r="AA1009">
        <f>IFERROR((X1009-(((E1009/100000+F1009/100+S1009/200)*200*I1009*H1009)+((E1009*F1009/25000)*I1009*H1009))/3)/(((J1009/5)*200*I1009*H1009)+((J1009*S1009/2.5)*I1009*H1009)+((E1009*F1009*J1009*S1009*I1009*H1009)/12500000))/3*1000,"")</f>
        <v/>
      </c>
    </row>
    <row r="1010">
      <c r="B1010" s="7" t="inlineStr">
        <is>
          <t xml:space="preserve">  ↳ SpecterSniperLockdown</t>
        </is>
      </c>
      <c r="C1010" s="7" t="inlineStr">
        <is>
          <t>Armament@lockdown</t>
        </is>
      </c>
      <c r="L1010" s="6" t="n">
        <v>8000</v>
      </c>
      <c r="M1010" s="6" t="n">
        <v>66</v>
      </c>
      <c r="N1010" s="6" t="n">
        <v>1</v>
      </c>
      <c r="O1010" s="6" t="n"/>
      <c r="P1010" s="6" t="n">
        <v>7922</v>
      </c>
      <c r="Q1010" s="6" t="n">
        <v>1</v>
      </c>
      <c r="R1010">
        <f>M1010+IF(N1010&gt;1,N(O1010)*(N1010-1),0)</f>
        <v/>
      </c>
      <c r="S1010">
        <f>IFERROR(L1010*MAX(N1010,1)/R1010*Q1010*IF(ISBLANK(K1009),1,K1009),0)</f>
        <v/>
      </c>
      <c r="AB1010" s="7" t="inlineStr">
        <is>
          <t>^TeslaChargedWeapon, ^MediumMissile, ^HeavyCannon, ^SmallArms, ^FlakWeapon, ^Chaingun</t>
        </is>
      </c>
    </row>
    <row r="1011">
      <c r="B1011" s="7" t="inlineStr">
        <is>
          <t xml:space="preserve">  ↳ SpecterSniper</t>
        </is>
      </c>
      <c r="C1011" s="7" t="inlineStr">
        <is>
          <t>Armament@PRIMARY</t>
        </is>
      </c>
      <c r="L1011" s="6" t="n">
        <v>4000</v>
      </c>
      <c r="M1011" s="6" t="n">
        <v>33</v>
      </c>
      <c r="N1011" s="6" t="n">
        <v>1</v>
      </c>
      <c r="O1011" s="6" t="n"/>
      <c r="P1011" s="6" t="n">
        <v>7922</v>
      </c>
      <c r="Q1011" s="6" t="n">
        <v>1</v>
      </c>
      <c r="R1011">
        <f>M1011+IF(N1011&gt;1,N(O1011)*(N1011-1),0)</f>
        <v/>
      </c>
      <c r="S1011">
        <f>IFERROR(L1011*MAX(N1011,1)/R1011*Q1011*IF(ISBLANK(K1009),1,K1009),0)</f>
        <v/>
      </c>
      <c r="AB1011" s="7" t="inlineStr">
        <is>
          <t>^MediumMissile, ^HeavyCannon, ^SmallArms, ^FlakWeapon, ^Chaingun</t>
        </is>
      </c>
    </row>
    <row r="1012">
      <c r="B1012" s="7" t="inlineStr">
        <is>
          <t xml:space="preserve">  ↳ SpecterSniper</t>
        </is>
      </c>
      <c r="C1012" s="7" t="inlineStr">
        <is>
          <t>Armament@GARRISONED</t>
        </is>
      </c>
      <c r="L1012" s="6" t="n">
        <v>4000</v>
      </c>
      <c r="M1012" s="6" t="n">
        <v>33</v>
      </c>
      <c r="N1012" s="6" t="n">
        <v>1</v>
      </c>
      <c r="O1012" s="6" t="n"/>
      <c r="P1012" s="6" t="n">
        <v>7922</v>
      </c>
      <c r="Q1012" s="6" t="n">
        <v>1</v>
      </c>
      <c r="R1012">
        <f>M1012+IF(N1012&gt;1,N(O1012)*(N1012-1),0)</f>
        <v/>
      </c>
      <c r="S1012">
        <f>IFERROR(L1012*MAX(N1012,1)/R1012*Q1012*IF(ISBLANK(K1009),1,K1009),0)</f>
        <v/>
      </c>
      <c r="AB1012" s="7" t="inlineStr">
        <is>
          <t>^MediumMissile, ^HeavyCannon, ^SmallArms, ^FlakWeapon, ^Chaingun</t>
        </is>
      </c>
    </row>
    <row r="1013">
      <c r="A1013" t="inlineStr">
        <is>
          <t>warcraft2</t>
        </is>
      </c>
      <c r="B1013" t="inlineStr">
        <is>
          <t>wc2_orcs_deathknight</t>
        </is>
      </c>
      <c r="C1013" t="inlineStr">
        <is>
          <t>Death Knight</t>
        </is>
      </c>
      <c r="D1013" s="6" t="inlineStr">
        <is>
          <t>SniperInfantry</t>
        </is>
      </c>
      <c r="E1013" s="6" t="n">
        <v>50000</v>
      </c>
      <c r="F1013" s="6" t="n">
        <v>65</v>
      </c>
      <c r="G1013" t="inlineStr">
        <is>
          <t>Flak</t>
        </is>
      </c>
      <c r="H1013" s="6" t="n">
        <v>1</v>
      </c>
      <c r="I1013" s="6" t="n">
        <v>1</v>
      </c>
      <c r="J1013" s="6" t="n">
        <v>1</v>
      </c>
      <c r="K1013" s="6" t="n"/>
      <c r="P1013">
        <f>MAX(P1014,P1016,P1017,P1018,P1019,P1020,P1021)</f>
        <v/>
      </c>
      <c r="S1013">
        <f>S1014+S1016+S1017+S1018+S1019+S1020+S1021</f>
        <v/>
      </c>
      <c r="T1013">
        <f>(E1013/100000+F1013/100+(P1013/1000)*J1013/5+S1013/200)*200*I1013*H1013</f>
        <v/>
      </c>
      <c r="U1013">
        <f>((E1013*F1013/25000)+((P1013/1000)*J1013*S1013/2.5))*I1013*H1013</f>
        <v/>
      </c>
      <c r="V1013">
        <f>(E1013*F1013*(P1013/1000)*J1013*S1013*I1013*H1013)/12500000</f>
        <v/>
      </c>
      <c r="W1013">
        <f>(T1013+U1013+V1013)/3</f>
        <v/>
      </c>
      <c r="X1013" s="6" t="n">
        <v>1000</v>
      </c>
      <c r="Y1013">
        <f>IFERROR(W1013-X1013,"")</f>
        <v/>
      </c>
      <c r="Z1013">
        <f>IFERROR(ABS(Y1013)/MAX(X1013,1),"")</f>
        <v/>
      </c>
      <c r="AA1013">
        <f>IFERROR((X1013-(((E1013/100000+F1013/100+S1013/200)*200*I1013*H1013)+((E1013*F1013/25000)*I1013*H1013))/3)/(((J1013/5)*200*I1013*H1013)+((J1013*S1013/2.5)*I1013*H1013)+((E1013*F1013*J1013*S1013*I1013*H1013)/12500000))/3*1000,"")</f>
        <v/>
      </c>
    </row>
    <row r="1014">
      <c r="B1014" s="7" t="inlineStr">
        <is>
          <t xml:space="preserve">  ↳ wc2deathknightFire</t>
        </is>
      </c>
      <c r="C1014" s="7" t="inlineStr">
        <is>
          <t>Armament</t>
        </is>
      </c>
      <c r="L1014" s="6" t="n">
        <v>8000</v>
      </c>
      <c r="M1014" s="6" t="n">
        <v>40</v>
      </c>
      <c r="N1014" s="6" t="n">
        <v>1</v>
      </c>
      <c r="O1014" s="6" t="n"/>
      <c r="P1014" s="6" t="n">
        <v>8000</v>
      </c>
      <c r="Q1014" s="6" t="n">
        <v>1.125</v>
      </c>
      <c r="R1014">
        <f>M1014+IF(N1014&gt;1,N(O1014)*(N1014-1),0)</f>
        <v/>
      </c>
      <c r="S1014">
        <f>IFERROR(L1014*MAX(N1014,1)/R1014*Q1014*IF(ISBLANK(K1013),1,K1013),0)</f>
        <v/>
      </c>
      <c r="AB1014" s="7" t="inlineStr">
        <is>
          <t>^HeavyFlameWeapon, ^TeslaChargedWeapon</t>
        </is>
      </c>
    </row>
    <row r="1015">
      <c r="B1015" s="7" t="inlineStr">
        <is>
          <t xml:space="preserve">  ↳ wc2deathknightFire</t>
        </is>
      </c>
      <c r="C1015" s="7" t="inlineStr">
        <is>
          <t>Armament@GARRISONED</t>
        </is>
      </c>
      <c r="L1015" s="6" t="n">
        <v>8000</v>
      </c>
      <c r="M1015" s="6" t="n">
        <v>40</v>
      </c>
      <c r="N1015" s="6" t="n">
        <v>1</v>
      </c>
      <c r="O1015" s="6" t="n"/>
      <c r="P1015" s="6" t="n">
        <v>8000</v>
      </c>
      <c r="Q1015" s="6" t="n">
        <v>1.125</v>
      </c>
      <c r="R1015">
        <f>M1015+IF(N1015&gt;1,N(O1015)*(N1015-1),0)</f>
        <v/>
      </c>
      <c r="S1015">
        <f>IFERROR(L1015*MAX(N1015,1)/R1015*Q1015*IF(ISBLANK(K1013),1,K1013),0)</f>
        <v/>
      </c>
      <c r="AB1015" s="7" t="inlineStr">
        <is>
          <t>^HeavyFlameWeapon, ^TeslaChargedWeapon</t>
        </is>
      </c>
    </row>
    <row r="1016">
      <c r="B1016" s="7" t="inlineStr">
        <is>
          <t xml:space="preserve">  ↳ wc2deathknightDeathCoil</t>
        </is>
      </c>
      <c r="C1016" s="7" t="inlineStr">
        <is>
          <t>Armament@DEATHCOIL</t>
        </is>
      </c>
      <c r="L1016" s="6" t="n">
        <v>8000</v>
      </c>
      <c r="M1016" s="6" t="n">
        <v>80</v>
      </c>
      <c r="N1016" s="6" t="n">
        <v>1</v>
      </c>
      <c r="O1016" s="6" t="n"/>
      <c r="P1016" s="6" t="n">
        <v>8000</v>
      </c>
      <c r="Q1016" s="6" t="n">
        <v>1.125</v>
      </c>
      <c r="R1016">
        <f>M1016+IF(N1016&gt;1,N(O1016)*(N1016-1),0)</f>
        <v/>
      </c>
      <c r="S1016">
        <f>IFERROR(L1016*MAX(N1016,1)/R1016*Q1016*IF(ISBLANK(K1013),1,K1013),0)</f>
        <v/>
      </c>
      <c r="AB1016" s="7" t="inlineStr">
        <is>
          <t>^HeavyFlameWeapon, ^TeslaChargedWeapon</t>
        </is>
      </c>
    </row>
    <row r="1017">
      <c r="B1017" s="7" t="inlineStr">
        <is>
          <t xml:space="preserve">  ↳ wc2deathknightDeathCoilScatter_Left</t>
        </is>
      </c>
      <c r="C1017" s="7" t="inlineStr">
        <is>
          <t>Armament@DEATHCOILSCATTER1</t>
        </is>
      </c>
      <c r="L1017" s="6" t="n">
        <v>8000</v>
      </c>
      <c r="M1017" s="6" t="n">
        <v>80</v>
      </c>
      <c r="N1017" s="6" t="n">
        <v>1</v>
      </c>
      <c r="O1017" s="6" t="n"/>
      <c r="P1017" s="6" t="n">
        <v>8000</v>
      </c>
      <c r="Q1017" s="6" t="n">
        <v>1.125</v>
      </c>
      <c r="R1017">
        <f>M1017+IF(N1017&gt;1,N(O1017)*(N1017-1),0)</f>
        <v/>
      </c>
      <c r="S1017">
        <f>IFERROR(L1017*MAX(N1017,1)/R1017*Q1017*IF(ISBLANK(K1013),1,K1013),0)</f>
        <v/>
      </c>
      <c r="AB1017" s="7" t="inlineStr">
        <is>
          <t>^HeavyFlameWeapon, ^TeslaChargedWeapon</t>
        </is>
      </c>
    </row>
    <row r="1018">
      <c r="B1018" s="7" t="inlineStr">
        <is>
          <t xml:space="preserve">  ↳ wc2deathknightDeathCoilScatter_Right</t>
        </is>
      </c>
      <c r="C1018" s="7" t="inlineStr">
        <is>
          <t>Armament@DEATHCOILSCATTER2</t>
        </is>
      </c>
      <c r="L1018" s="6" t="n">
        <v>8000</v>
      </c>
      <c r="M1018" s="6" t="n">
        <v>80</v>
      </c>
      <c r="N1018" s="6" t="n">
        <v>1</v>
      </c>
      <c r="O1018" s="6" t="n"/>
      <c r="P1018" s="6" t="n">
        <v>8000</v>
      </c>
      <c r="Q1018" s="6" t="n">
        <v>1.125</v>
      </c>
      <c r="R1018">
        <f>M1018+IF(N1018&gt;1,N(O1018)*(N1018-1),0)</f>
        <v/>
      </c>
      <c r="S1018">
        <f>IFERROR(L1018*MAX(N1018,1)/R1018*Q1018*IF(ISBLANK(K1013),1,K1013),0)</f>
        <v/>
      </c>
      <c r="AB1018" s="7" t="inlineStr">
        <is>
          <t>^HeavyFlameWeapon, ^TeslaChargedWeapon</t>
        </is>
      </c>
    </row>
    <row r="1019">
      <c r="B1019" s="7" t="inlineStr">
        <is>
          <t xml:space="preserve">  ↳ wc2deathknightHaste</t>
        </is>
      </c>
      <c r="C1019" s="7" t="inlineStr">
        <is>
          <t>Armament@HASTE</t>
        </is>
      </c>
      <c r="L1019" s="6" t="n">
        <v>1</v>
      </c>
      <c r="M1019" s="6" t="n">
        <v>60</v>
      </c>
      <c r="N1019" s="6" t="n">
        <v>1</v>
      </c>
      <c r="O1019" s="6" t="n"/>
      <c r="P1019" s="6" t="n">
        <v>5120</v>
      </c>
      <c r="Q1019" s="6" t="n">
        <v>1</v>
      </c>
      <c r="R1019">
        <f>M1019+IF(N1019&gt;1,N(O1019)*(N1019-1),0)</f>
        <v/>
      </c>
      <c r="S1019">
        <f>IFERROR(L1019*MAX(N1019,1)/R1019*Q1019*IF(ISBLANK(K1013),1,K1013),0)</f>
        <v/>
      </c>
      <c r="AB1019" s="7" t="inlineStr"/>
    </row>
    <row r="1020">
      <c r="B1020" s="7" t="inlineStr">
        <is>
          <t xml:space="preserve">  ↳ wc2deathknightDeathAndDecay</t>
        </is>
      </c>
      <c r="C1020" s="7" t="inlineStr">
        <is>
          <t>Armament@DEATHANDDECAY</t>
        </is>
      </c>
      <c r="L1020" s="6" t="n">
        <v>1</v>
      </c>
      <c r="M1020" s="6" t="n">
        <v>50</v>
      </c>
      <c r="N1020" s="6" t="n">
        <v>1</v>
      </c>
      <c r="O1020" s="6" t="n"/>
      <c r="P1020" s="6" t="n">
        <v>8000</v>
      </c>
      <c r="Q1020" s="6" t="n">
        <v>1</v>
      </c>
      <c r="R1020">
        <f>M1020+IF(N1020&gt;1,N(O1020)*(N1020-1),0)</f>
        <v/>
      </c>
      <c r="S1020">
        <f>IFERROR(L1020*MAX(N1020,1)/R1020*Q1020*IF(ISBLANK(K1013),1,K1013),0)</f>
        <v/>
      </c>
      <c r="AB1020" s="7" t="inlineStr">
        <is>
          <t>wc2mageBlizzard</t>
        </is>
      </c>
    </row>
    <row r="1021">
      <c r="B1021" s="7" t="inlineStr">
        <is>
          <t xml:space="preserve">  ↳ wc2deathknightRaiseDead</t>
        </is>
      </c>
      <c r="C1021" s="7" t="inlineStr">
        <is>
          <t>Armament@RAISEDEAD</t>
        </is>
      </c>
      <c r="L1021" s="6" t="n">
        <v>0</v>
      </c>
      <c r="M1021" s="6" t="n">
        <v>60</v>
      </c>
      <c r="N1021" s="6" t="n">
        <v>1</v>
      </c>
      <c r="O1021" s="6" t="n"/>
      <c r="P1021" s="6" t="n">
        <v>5120</v>
      </c>
      <c r="Q1021" s="6" t="n">
        <v>1</v>
      </c>
      <c r="R1021">
        <f>M1021+IF(N1021&gt;1,N(O1021)*(N1021-1),0)</f>
        <v/>
      </c>
      <c r="S1021">
        <f>IFERROR(L1021*MAX(N1021,1)/R1021*Q1021*IF(ISBLANK(K1013),1,K1013),0)</f>
        <v/>
      </c>
      <c r="AB1021" s="7" t="inlineStr"/>
    </row>
    <row r="1022">
      <c r="A1022" t="inlineStr">
        <is>
          <t>warcraft2</t>
        </is>
      </c>
      <c r="B1022" t="inlineStr">
        <is>
          <t>wc2_humans_archmage</t>
        </is>
      </c>
      <c r="C1022" t="inlineStr">
        <is>
          <t>Archmage</t>
        </is>
      </c>
      <c r="D1022" s="6" t="inlineStr">
        <is>
          <t>SniperInfantry</t>
        </is>
      </c>
      <c r="E1022" s="6" t="n">
        <v>50000</v>
      </c>
      <c r="F1022" s="6" t="n">
        <v>65</v>
      </c>
      <c r="G1022" t="inlineStr">
        <is>
          <t>Flak</t>
        </is>
      </c>
      <c r="H1022" s="6" t="n">
        <v>1</v>
      </c>
      <c r="I1022" s="6" t="n">
        <v>1</v>
      </c>
      <c r="J1022" s="6" t="n">
        <v>1</v>
      </c>
      <c r="K1022" s="6" t="n"/>
      <c r="P1022">
        <f>MAX(P1023,P1025,P1026,P1027,P1028,P1029)</f>
        <v/>
      </c>
      <c r="S1022">
        <f>S1023+S1025+S1026+S1027+S1028+S1029</f>
        <v/>
      </c>
      <c r="T1022">
        <f>(E1022/100000+F1022/100+(P1022/1000)*J1022/5+S1022/200)*200*I1022*H1022</f>
        <v/>
      </c>
      <c r="U1022">
        <f>((E1022*F1022/25000)+((P1022/1000)*J1022*S1022/2.5))*I1022*H1022</f>
        <v/>
      </c>
      <c r="V1022">
        <f>(E1022*F1022*(P1022/1000)*J1022*S1022*I1022*H1022)/12500000</f>
        <v/>
      </c>
      <c r="W1022">
        <f>(T1022+U1022+V1022)/3</f>
        <v/>
      </c>
      <c r="X1022" s="6" t="n">
        <v>1000</v>
      </c>
      <c r="Y1022">
        <f>IFERROR(W1022-X1022,"")</f>
        <v/>
      </c>
      <c r="Z1022">
        <f>IFERROR(ABS(Y1022)/MAX(X1022,1),"")</f>
        <v/>
      </c>
      <c r="AA1022">
        <f>IFERROR((X1022-(((E1022/100000+F1022/100+S1022/200)*200*I1022*H1022)+((E1022*F1022/25000)*I1022*H1022))/3)/(((J1022/5)*200*I1022*H1022)+((J1022*S1022/2.5)*I1022*H1022)+((E1022*F1022*J1022*S1022*I1022*H1022)/12500000))/3*1000,"")</f>
        <v/>
      </c>
    </row>
    <row r="1023">
      <c r="B1023" s="7" t="inlineStr">
        <is>
          <t xml:space="preserve">  ↳ wc2mageFire</t>
        </is>
      </c>
      <c r="C1023" s="7" t="inlineStr">
        <is>
          <t>Armament</t>
        </is>
      </c>
      <c r="L1023" s="6" t="n">
        <v>8000</v>
      </c>
      <c r="M1023" s="6" t="n">
        <v>40</v>
      </c>
      <c r="N1023" s="6" t="n">
        <v>1</v>
      </c>
      <c r="O1023" s="6" t="n"/>
      <c r="P1023" s="6" t="n">
        <v>8000</v>
      </c>
      <c r="Q1023" s="6" t="n">
        <v>1</v>
      </c>
      <c r="R1023">
        <f>M1023+IF(N1023&gt;1,N(O1023)*(N1023-1),0)</f>
        <v/>
      </c>
      <c r="S1023">
        <f>IFERROR(L1023*MAX(N1023,1)/R1023*Q1023*IF(ISBLANK(K1022),1,K1022),0)</f>
        <v/>
      </c>
      <c r="AB1023" s="7" t="inlineStr">
        <is>
          <t>^TeslaChargedWeapon</t>
        </is>
      </c>
    </row>
    <row r="1024">
      <c r="B1024" s="7" t="inlineStr">
        <is>
          <t xml:space="preserve">  ↳ wc2mageFire</t>
        </is>
      </c>
      <c r="C1024" s="7" t="inlineStr">
        <is>
          <t>Armament@GARRISONED</t>
        </is>
      </c>
      <c r="L1024" s="6" t="n">
        <v>8000</v>
      </c>
      <c r="M1024" s="6" t="n">
        <v>40</v>
      </c>
      <c r="N1024" s="6" t="n">
        <v>1</v>
      </c>
      <c r="O1024" s="6" t="n"/>
      <c r="P1024" s="6" t="n">
        <v>8000</v>
      </c>
      <c r="Q1024" s="6" t="n">
        <v>1</v>
      </c>
      <c r="R1024">
        <f>M1024+IF(N1024&gt;1,N(O1024)*(N1024-1),0)</f>
        <v/>
      </c>
      <c r="S1024">
        <f>IFERROR(L1024*MAX(N1024,1)/R1024*Q1024*IF(ISBLANK(K1022),1,K1022),0)</f>
        <v/>
      </c>
      <c r="AB1024" s="7" t="inlineStr">
        <is>
          <t>^TeslaChargedWeapon</t>
        </is>
      </c>
    </row>
    <row r="1025">
      <c r="B1025" s="7" t="inlineStr">
        <is>
          <t xml:space="preserve">  ↳ wc2mageFireballVisible</t>
        </is>
      </c>
      <c r="C1025" s="7" t="inlineStr">
        <is>
          <t>Armament@FIREBALL_VISIBLE</t>
        </is>
      </c>
      <c r="L1025" s="6" t="n">
        <v>2000</v>
      </c>
      <c r="M1025" s="6" t="n">
        <v>80</v>
      </c>
      <c r="N1025" s="6" t="n">
        <v>1</v>
      </c>
      <c r="O1025" s="6" t="n"/>
      <c r="P1025" s="6" t="n">
        <v>8000</v>
      </c>
      <c r="Q1025" s="6" t="n">
        <v>1.0625</v>
      </c>
      <c r="R1025">
        <f>M1025+IF(N1025&gt;1,N(O1025)*(N1025-1),0)</f>
        <v/>
      </c>
      <c r="S1025">
        <f>IFERROR(L1025*MAX(N1025,1)/R1025*Q1025*IF(ISBLANK(K1022),1,K1022),0)</f>
        <v/>
      </c>
      <c r="AB1025" s="7" t="inlineStr">
        <is>
          <t>^TankDestroyerCannon, ^MediumCannon, ^HeavyCannon, ^Grenade, ^ShrapnelWeapon, ^HeavyBomb, ^MediumMissile, ^Chaingun, ^FlakWeapon</t>
        </is>
      </c>
    </row>
    <row r="1026">
      <c r="B1026" s="7" t="inlineStr">
        <is>
          <t xml:space="preserve">  ↳ wc2mageFireballExplosion</t>
        </is>
      </c>
      <c r="C1026" s="7" t="inlineStr">
        <is>
          <t>Armament@FIREBALL_EXPLOSIONS</t>
        </is>
      </c>
      <c r="L1026" s="6" t="n">
        <v>2000</v>
      </c>
      <c r="M1026" s="6" t="n">
        <v>80</v>
      </c>
      <c r="N1026" s="6" t="n">
        <v>5</v>
      </c>
      <c r="O1026" s="6" t="n">
        <v>0</v>
      </c>
      <c r="P1026" s="6" t="n">
        <v>8000</v>
      </c>
      <c r="Q1026" s="6" t="n">
        <v>1.0625</v>
      </c>
      <c r="R1026">
        <f>M1026+IF(N1026&gt;1,N(O1026)*(N1026-1),0)</f>
        <v/>
      </c>
      <c r="S1026">
        <f>IFERROR(L1026*MAX(N1026,1)/R1026*Q1026*IF(ISBLANK(K1022),1,K1022),0)</f>
        <v/>
      </c>
      <c r="AB1026" s="7" t="inlineStr">
        <is>
          <t>^TankDestroyerCannon, ^MediumCannon, ^HeavyCannon, ^Grenade, ^ShrapnelWeapon, ^HeavyBomb, ^MediumMissile, ^Chaingun, ^FlakWeapon</t>
        </is>
      </c>
    </row>
    <row r="1027">
      <c r="B1027" s="7" t="inlineStr">
        <is>
          <t xml:space="preserve">  ↳ wc2mageSlow</t>
        </is>
      </c>
      <c r="C1027" s="7" t="inlineStr">
        <is>
          <t>Armament@SLOW</t>
        </is>
      </c>
      <c r="L1027" s="6" t="n">
        <v>1</v>
      </c>
      <c r="M1027" s="6" t="n">
        <v>60</v>
      </c>
      <c r="N1027" s="6" t="n">
        <v>1</v>
      </c>
      <c r="O1027" s="6" t="n"/>
      <c r="P1027" s="6" t="n">
        <v>8000</v>
      </c>
      <c r="Q1027" s="6" t="n">
        <v>1</v>
      </c>
      <c r="R1027">
        <f>M1027+IF(N1027&gt;1,N(O1027)*(N1027-1),0)</f>
        <v/>
      </c>
      <c r="S1027">
        <f>IFERROR(L1027*MAX(N1027,1)/R1027*Q1027*IF(ISBLANK(K1022),1,K1022),0)</f>
        <v/>
      </c>
      <c r="AB1027" s="7" t="inlineStr"/>
    </row>
    <row r="1028">
      <c r="B1028" s="7" t="inlineStr">
        <is>
          <t xml:space="preserve">  ↳ wc2magePolymorph</t>
        </is>
      </c>
      <c r="C1028" s="7" t="inlineStr">
        <is>
          <t>Armament@POLYMORPH</t>
        </is>
      </c>
      <c r="L1028" s="6" t="n"/>
      <c r="M1028" s="6" t="n">
        <v>60</v>
      </c>
      <c r="N1028" s="6" t="n">
        <v>1</v>
      </c>
      <c r="O1028" s="6" t="n"/>
      <c r="P1028" s="6" t="n">
        <v>8000</v>
      </c>
      <c r="Q1028" s="6" t="n">
        <v>1</v>
      </c>
      <c r="R1028">
        <f>M1028+IF(N1028&gt;1,N(O1028)*(N1028-1),0)</f>
        <v/>
      </c>
      <c r="S1028">
        <f>IFERROR(L1028*MAX(N1028,1)/R1028*Q1028*IF(ISBLANK(K1022),1,K1022),0)</f>
        <v/>
      </c>
      <c r="AB1028" s="7" t="inlineStr"/>
    </row>
    <row r="1029">
      <c r="B1029" s="7" t="inlineStr">
        <is>
          <t xml:space="preserve">  ↳ wc2mageBlizzard</t>
        </is>
      </c>
      <c r="C1029" s="7" t="inlineStr">
        <is>
          <t>Armament@BLIZZARD</t>
        </is>
      </c>
      <c r="L1029" s="6" t="n">
        <v>1</v>
      </c>
      <c r="M1029" s="6" t="n">
        <v>50</v>
      </c>
      <c r="N1029" s="6" t="n">
        <v>1</v>
      </c>
      <c r="O1029" s="6" t="n"/>
      <c r="P1029" s="6" t="n">
        <v>8000</v>
      </c>
      <c r="Q1029" s="6" t="n">
        <v>1</v>
      </c>
      <c r="R1029">
        <f>M1029+IF(N1029&gt;1,N(O1029)*(N1029-1),0)</f>
        <v/>
      </c>
      <c r="S1029">
        <f>IFERROR(L1029*MAX(N1029,1)/R1029*Q1029*IF(ISBLANK(K1022),1,K1022),0)</f>
        <v/>
      </c>
      <c r="AB1029" s="7" t="inlineStr"/>
    </row>
    <row r="1030">
      <c r="A1030" t="inlineStr">
        <is>
          <t>warcraft2</t>
        </is>
      </c>
      <c r="B1030" t="inlineStr">
        <is>
          <t>wc2_humans_highelfpriest</t>
        </is>
      </c>
      <c r="C1030" t="inlineStr">
        <is>
          <t>High Elf priest</t>
        </is>
      </c>
      <c r="D1030" s="6" t="inlineStr">
        <is>
          <t>SniperInfantry</t>
        </is>
      </c>
      <c r="E1030" s="6" t="n">
        <v>50000</v>
      </c>
      <c r="F1030" s="6" t="n">
        <v>65</v>
      </c>
      <c r="G1030" t="inlineStr">
        <is>
          <t>Flak</t>
        </is>
      </c>
      <c r="H1030" s="6" t="n">
        <v>1</v>
      </c>
      <c r="I1030" s="6" t="n">
        <v>1</v>
      </c>
      <c r="J1030" s="6" t="n">
        <v>1</v>
      </c>
      <c r="K1030" s="6" t="n"/>
      <c r="P1030">
        <f>MAX(P1031,P1032,P1033)</f>
        <v/>
      </c>
      <c r="S1030">
        <f>S1031+S1032+S1033</f>
        <v/>
      </c>
      <c r="T1030">
        <f>(E1030/100000+F1030/100+(P1030/1000)*J1030/5+S1030/200)*200*I1030*H1030</f>
        <v/>
      </c>
      <c r="U1030">
        <f>((E1030*F1030/25000)+((P1030/1000)*J1030*S1030/2.5))*I1030*H1030</f>
        <v/>
      </c>
      <c r="V1030">
        <f>(E1030*F1030*(P1030/1000)*J1030*S1030*I1030*H1030)/12500000</f>
        <v/>
      </c>
      <c r="W1030">
        <f>(T1030+U1030+V1030)/3</f>
        <v/>
      </c>
      <c r="X1030" s="6" t="n">
        <v>1000</v>
      </c>
      <c r="Y1030">
        <f>IFERROR(W1030-X1030,"")</f>
        <v/>
      </c>
      <c r="Z1030">
        <f>IFERROR(ABS(Y1030)/MAX(X1030,1),"")</f>
        <v/>
      </c>
      <c r="AA1030">
        <f>IFERROR((X1030-(((E1030/100000+F1030/100+S1030/200)*200*I1030*H1030)+((E1030*F1030/25000)*I1030*H1030))/3)/(((J1030/5)*200*I1030*H1030)+((J1030*S1030/2.5)*I1030*H1030)+((E1030*F1030*J1030*S1030*I1030*H1030)/12500000))/3*1000,"")</f>
        <v/>
      </c>
    </row>
    <row r="1031">
      <c r="B1031" s="7" t="inlineStr">
        <is>
          <t xml:space="preserve">  ↳ wc2mageFire</t>
        </is>
      </c>
      <c r="C1031" s="7" t="inlineStr">
        <is>
          <t>Armament</t>
        </is>
      </c>
      <c r="L1031" s="6" t="n">
        <v>8000</v>
      </c>
      <c r="M1031" s="6" t="n">
        <v>40</v>
      </c>
      <c r="N1031" s="6" t="n">
        <v>1</v>
      </c>
      <c r="O1031" s="6" t="n"/>
      <c r="P1031" s="6" t="n">
        <v>8000</v>
      </c>
      <c r="Q1031" s="6" t="n">
        <v>1</v>
      </c>
      <c r="R1031">
        <f>M1031+IF(N1031&gt;1,N(O1031)*(N1031-1),0)</f>
        <v/>
      </c>
      <c r="S1031">
        <f>IFERROR(L1031*MAX(N1031,1)/R1031*Q1031*IF(ISBLANK(K1030),1,K1030),0)</f>
        <v/>
      </c>
      <c r="AB1031" s="7" t="inlineStr">
        <is>
          <t>^TeslaChargedWeapon</t>
        </is>
      </c>
    </row>
    <row r="1032">
      <c r="B1032" s="7" t="inlineStr">
        <is>
          <t xml:space="preserve">  ↳ wc2priesthealing</t>
        </is>
      </c>
      <c r="C1032" s="7" t="inlineStr">
        <is>
          <t>Armament@HEAL</t>
        </is>
      </c>
      <c r="L1032" s="6" t="n">
        <v>-5000</v>
      </c>
      <c r="M1032" s="6" t="n">
        <v>40</v>
      </c>
      <c r="N1032" s="6" t="n">
        <v>1</v>
      </c>
      <c r="O1032" s="6" t="n"/>
      <c r="P1032" s="6" t="n">
        <v>5120</v>
      </c>
      <c r="Q1032" s="6" t="n">
        <v>1</v>
      </c>
      <c r="R1032">
        <f>M1032+IF(N1032&gt;1,N(O1032)*(N1032-1),0)</f>
        <v/>
      </c>
      <c r="S1032">
        <f>IFERROR(L1032*MAX(N1032,1)/R1032*Q1032*IF(ISBLANK(K1030),1,K1030),0)</f>
        <v/>
      </c>
      <c r="AB1032" s="7" t="inlineStr"/>
    </row>
    <row r="1033">
      <c r="B1033" s="7" t="inlineStr">
        <is>
          <t xml:space="preserve">  ↳ wc2paladinexorcism</t>
        </is>
      </c>
      <c r="C1033" s="7" t="inlineStr">
        <is>
          <t>Armament@EXORCISM</t>
        </is>
      </c>
      <c r="L1033" s="6" t="n">
        <v>4025</v>
      </c>
      <c r="M1033" s="6" t="n">
        <v>60</v>
      </c>
      <c r="N1033" s="6" t="n">
        <v>1</v>
      </c>
      <c r="O1033" s="6" t="n"/>
      <c r="P1033" s="6" t="n">
        <v>5120</v>
      </c>
      <c r="Q1033" s="6" t="n">
        <v>1</v>
      </c>
      <c r="R1033">
        <f>M1033+IF(N1033&gt;1,N(O1033)*(N1033-1),0)</f>
        <v/>
      </c>
      <c r="S1033">
        <f>IFERROR(L1033*MAX(N1033,1)/R1033*Q1033*IF(ISBLANK(K1030),1,K1030),0)</f>
        <v/>
      </c>
      <c r="AB1033" s="7" t="inlineStr"/>
    </row>
    <row r="1034">
      <c r="A1034" t="inlineStr">
        <is>
          <t>warcraft2</t>
        </is>
      </c>
      <c r="B1034" t="inlineStr">
        <is>
          <t>wc2_humans_highelfsorceress</t>
        </is>
      </c>
      <c r="C1034" t="inlineStr">
        <is>
          <t>High Elf Sorceress</t>
        </is>
      </c>
      <c r="D1034" s="6" t="inlineStr">
        <is>
          <t>SniperInfantry</t>
        </is>
      </c>
      <c r="E1034" s="6" t="n">
        <v>50000</v>
      </c>
      <c r="F1034" s="6" t="n">
        <v>65</v>
      </c>
      <c r="G1034" t="inlineStr">
        <is>
          <t>Flak</t>
        </is>
      </c>
      <c r="H1034" s="6" t="n">
        <v>1</v>
      </c>
      <c r="I1034" s="6" t="n">
        <v>1</v>
      </c>
      <c r="J1034" s="6" t="n">
        <v>1</v>
      </c>
      <c r="K1034" s="6" t="n"/>
      <c r="P1034">
        <f>MAX(P1035,P1036,P1037)</f>
        <v/>
      </c>
      <c r="S1034">
        <f>S1035+S1036+S1037</f>
        <v/>
      </c>
      <c r="T1034">
        <f>(E1034/100000+F1034/100+(P1034/1000)*J1034/5+S1034/200)*200*I1034*H1034</f>
        <v/>
      </c>
      <c r="U1034">
        <f>((E1034*F1034/25000)+((P1034/1000)*J1034*S1034/2.5))*I1034*H1034</f>
        <v/>
      </c>
      <c r="V1034">
        <f>(E1034*F1034*(P1034/1000)*J1034*S1034*I1034*H1034)/12500000</f>
        <v/>
      </c>
      <c r="W1034">
        <f>(T1034+U1034+V1034)/3</f>
        <v/>
      </c>
      <c r="X1034" s="6" t="n">
        <v>1000</v>
      </c>
      <c r="Y1034">
        <f>IFERROR(W1034-X1034,"")</f>
        <v/>
      </c>
      <c r="Z1034">
        <f>IFERROR(ABS(Y1034)/MAX(X1034,1),"")</f>
        <v/>
      </c>
      <c r="AA1034">
        <f>IFERROR((X1034-(((E1034/100000+F1034/100+S1034/200)*200*I1034*H1034)+((E1034*F1034/25000)*I1034*H1034))/3)/(((J1034/5)*200*I1034*H1034)+((J1034*S1034/2.5)*I1034*H1034)+((E1034*F1034*J1034*S1034*I1034*H1034)/12500000))/3*1000,"")</f>
        <v/>
      </c>
    </row>
    <row r="1035">
      <c r="B1035" s="7" t="inlineStr">
        <is>
          <t xml:space="preserve">  ↳ wc2mageFire</t>
        </is>
      </c>
      <c r="C1035" s="7" t="inlineStr">
        <is>
          <t>Armament</t>
        </is>
      </c>
      <c r="L1035" s="6" t="n">
        <v>8000</v>
      </c>
      <c r="M1035" s="6" t="n">
        <v>40</v>
      </c>
      <c r="N1035" s="6" t="n">
        <v>1</v>
      </c>
      <c r="O1035" s="6" t="n"/>
      <c r="P1035" s="6" t="n">
        <v>8000</v>
      </c>
      <c r="Q1035" s="6" t="n">
        <v>1</v>
      </c>
      <c r="R1035">
        <f>M1035+IF(N1035&gt;1,N(O1035)*(N1035-1),0)</f>
        <v/>
      </c>
      <c r="S1035">
        <f>IFERROR(L1035*MAX(N1035,1)/R1035*Q1035*IF(ISBLANK(K1034),1,K1034),0)</f>
        <v/>
      </c>
      <c r="AB1035" s="7" t="inlineStr">
        <is>
          <t>^TeslaChargedWeapon</t>
        </is>
      </c>
    </row>
    <row r="1036">
      <c r="B1036" s="7" t="inlineStr">
        <is>
          <t xml:space="preserve">  ↳ wc2paladinhealing</t>
        </is>
      </c>
      <c r="C1036" s="7" t="inlineStr">
        <is>
          <t>Armament@HEAL</t>
        </is>
      </c>
      <c r="L1036" s="6" t="n">
        <v>-4025</v>
      </c>
      <c r="M1036" s="6" t="n">
        <v>60</v>
      </c>
      <c r="N1036" s="6" t="n">
        <v>1</v>
      </c>
      <c r="O1036" s="6" t="n"/>
      <c r="P1036" s="6" t="n">
        <v>5120</v>
      </c>
      <c r="Q1036" s="6" t="n">
        <v>1</v>
      </c>
      <c r="R1036">
        <f>M1036+IF(N1036&gt;1,N(O1036)*(N1036-1),0)</f>
        <v/>
      </c>
      <c r="S1036">
        <f>IFERROR(L1036*MAX(N1036,1)/R1036*Q1036*IF(ISBLANK(K1034),1,K1034),0)</f>
        <v/>
      </c>
      <c r="AB1036" s="7" t="inlineStr"/>
    </row>
    <row r="1037">
      <c r="B1037" s="7" t="inlineStr">
        <is>
          <t xml:space="preserve">  ↳ wc2paladinexorcism</t>
        </is>
      </c>
      <c r="C1037" s="7" t="inlineStr">
        <is>
          <t>Armament@EXORCISM</t>
        </is>
      </c>
      <c r="L1037" s="6" t="n">
        <v>4025</v>
      </c>
      <c r="M1037" s="6" t="n">
        <v>60</v>
      </c>
      <c r="N1037" s="6" t="n">
        <v>1</v>
      </c>
      <c r="O1037" s="6" t="n"/>
      <c r="P1037" s="6" t="n">
        <v>5120</v>
      </c>
      <c r="Q1037" s="6" t="n">
        <v>1</v>
      </c>
      <c r="R1037">
        <f>M1037+IF(N1037&gt;1,N(O1037)*(N1037-1),0)</f>
        <v/>
      </c>
      <c r="S1037">
        <f>IFERROR(L1037*MAX(N1037,1)/R1037*Q1037*IF(ISBLANK(K1034),1,K1034),0)</f>
        <v/>
      </c>
      <c r="AB1037" s="7" t="inlineStr"/>
    </row>
    <row r="1038">
      <c r="A1038" t="inlineStr">
        <is>
          <t>warcraft2</t>
        </is>
      </c>
      <c r="B1038" t="inlineStr">
        <is>
          <t>wc2_humans_mage</t>
        </is>
      </c>
      <c r="C1038" t="inlineStr">
        <is>
          <t>Mage</t>
        </is>
      </c>
      <c r="D1038" s="6" t="inlineStr">
        <is>
          <t>SniperInfantry</t>
        </is>
      </c>
      <c r="E1038" s="6" t="n">
        <v>50000</v>
      </c>
      <c r="F1038" s="6" t="n">
        <v>65</v>
      </c>
      <c r="G1038" t="inlineStr">
        <is>
          <t>Flak</t>
        </is>
      </c>
      <c r="H1038" s="6" t="n">
        <v>1</v>
      </c>
      <c r="I1038" s="6" t="n">
        <v>1</v>
      </c>
      <c r="J1038" s="6" t="n">
        <v>1</v>
      </c>
      <c r="K1038" s="6" t="n"/>
      <c r="P1038">
        <f>MAX(P1039,P1041,P1042,P1043,P1044,P1045)</f>
        <v/>
      </c>
      <c r="S1038">
        <f>S1039+S1041+S1042+S1043+S1044+S1045</f>
        <v/>
      </c>
      <c r="T1038">
        <f>(E1038/100000+F1038/100+(P1038/1000)*J1038/5+S1038/200)*200*I1038*H1038</f>
        <v/>
      </c>
      <c r="U1038">
        <f>((E1038*F1038/25000)+((P1038/1000)*J1038*S1038/2.5))*I1038*H1038</f>
        <v/>
      </c>
      <c r="V1038">
        <f>(E1038*F1038*(P1038/1000)*J1038*S1038*I1038*H1038)/12500000</f>
        <v/>
      </c>
      <c r="W1038">
        <f>(T1038+U1038+V1038)/3</f>
        <v/>
      </c>
      <c r="X1038" s="6" t="n">
        <v>1000</v>
      </c>
      <c r="Y1038">
        <f>IFERROR(W1038-X1038,"")</f>
        <v/>
      </c>
      <c r="Z1038">
        <f>IFERROR(ABS(Y1038)/MAX(X1038,1),"")</f>
        <v/>
      </c>
      <c r="AA1038">
        <f>IFERROR((X1038-(((E1038/100000+F1038/100+S1038/200)*200*I1038*H1038)+((E1038*F1038/25000)*I1038*H1038))/3)/(((J1038/5)*200*I1038*H1038)+((J1038*S1038/2.5)*I1038*H1038)+((E1038*F1038*J1038*S1038*I1038*H1038)/12500000))/3*1000,"")</f>
        <v/>
      </c>
    </row>
    <row r="1039">
      <c r="B1039" s="7" t="inlineStr">
        <is>
          <t xml:space="preserve">  ↳ wc2mageFire</t>
        </is>
      </c>
      <c r="C1039" s="7" t="inlineStr">
        <is>
          <t>Armament</t>
        </is>
      </c>
      <c r="L1039" s="6" t="n">
        <v>8000</v>
      </c>
      <c r="M1039" s="6" t="n">
        <v>40</v>
      </c>
      <c r="N1039" s="6" t="n">
        <v>1</v>
      </c>
      <c r="O1039" s="6" t="n"/>
      <c r="P1039" s="6" t="n">
        <v>8000</v>
      </c>
      <c r="Q1039" s="6" t="n">
        <v>1</v>
      </c>
      <c r="R1039">
        <f>M1039+IF(N1039&gt;1,N(O1039)*(N1039-1),0)</f>
        <v/>
      </c>
      <c r="S1039">
        <f>IFERROR(L1039*MAX(N1039,1)/R1039*Q1039*IF(ISBLANK(K1038),1,K1038),0)</f>
        <v/>
      </c>
      <c r="AB1039" s="7" t="inlineStr">
        <is>
          <t>^TeslaChargedWeapon</t>
        </is>
      </c>
    </row>
    <row r="1040">
      <c r="B1040" s="7" t="inlineStr">
        <is>
          <t xml:space="preserve">  ↳ wc2mageFire</t>
        </is>
      </c>
      <c r="C1040" s="7" t="inlineStr">
        <is>
          <t>Armament@GARRISONED</t>
        </is>
      </c>
      <c r="L1040" s="6" t="n">
        <v>8000</v>
      </c>
      <c r="M1040" s="6" t="n">
        <v>40</v>
      </c>
      <c r="N1040" s="6" t="n">
        <v>1</v>
      </c>
      <c r="O1040" s="6" t="n"/>
      <c r="P1040" s="6" t="n">
        <v>8000</v>
      </c>
      <c r="Q1040" s="6" t="n">
        <v>1</v>
      </c>
      <c r="R1040">
        <f>M1040+IF(N1040&gt;1,N(O1040)*(N1040-1),0)</f>
        <v/>
      </c>
      <c r="S1040">
        <f>IFERROR(L1040*MAX(N1040,1)/R1040*Q1040*IF(ISBLANK(K1038),1,K1038),0)</f>
        <v/>
      </c>
      <c r="AB1040" s="7" t="inlineStr">
        <is>
          <t>^TeslaChargedWeapon</t>
        </is>
      </c>
    </row>
    <row r="1041">
      <c r="B1041" s="7" t="inlineStr">
        <is>
          <t xml:space="preserve">  ↳ wc2mageFireballVisible</t>
        </is>
      </c>
      <c r="C1041" s="7" t="inlineStr">
        <is>
          <t>Armament@FIREBALL_VISIBLE</t>
        </is>
      </c>
      <c r="L1041" s="6" t="n">
        <v>2000</v>
      </c>
      <c r="M1041" s="6" t="n">
        <v>80</v>
      </c>
      <c r="N1041" s="6" t="n">
        <v>1</v>
      </c>
      <c r="O1041" s="6" t="n"/>
      <c r="P1041" s="6" t="n">
        <v>8000</v>
      </c>
      <c r="Q1041" s="6" t="n">
        <v>1.0625</v>
      </c>
      <c r="R1041">
        <f>M1041+IF(N1041&gt;1,N(O1041)*(N1041-1),0)</f>
        <v/>
      </c>
      <c r="S1041">
        <f>IFERROR(L1041*MAX(N1041,1)/R1041*Q1041*IF(ISBLANK(K1038),1,K1038),0)</f>
        <v/>
      </c>
      <c r="AB1041" s="7" t="inlineStr">
        <is>
          <t>^TankDestroyerCannon, ^MediumCannon, ^HeavyCannon, ^Grenade, ^ShrapnelWeapon, ^HeavyBomb, ^MediumMissile, ^Chaingun, ^FlakWeapon</t>
        </is>
      </c>
    </row>
    <row r="1042">
      <c r="B1042" s="7" t="inlineStr">
        <is>
          <t xml:space="preserve">  ↳ wc2mageFireballExplosion</t>
        </is>
      </c>
      <c r="C1042" s="7" t="inlineStr">
        <is>
          <t>Armament@FIREBALL_EXPLOSIONS</t>
        </is>
      </c>
      <c r="L1042" s="6" t="n">
        <v>2000</v>
      </c>
      <c r="M1042" s="6" t="n">
        <v>80</v>
      </c>
      <c r="N1042" s="6" t="n">
        <v>5</v>
      </c>
      <c r="O1042" s="6" t="n">
        <v>0</v>
      </c>
      <c r="P1042" s="6" t="n">
        <v>8000</v>
      </c>
      <c r="Q1042" s="6" t="n">
        <v>1.0625</v>
      </c>
      <c r="R1042">
        <f>M1042+IF(N1042&gt;1,N(O1042)*(N1042-1),0)</f>
        <v/>
      </c>
      <c r="S1042">
        <f>IFERROR(L1042*MAX(N1042,1)/R1042*Q1042*IF(ISBLANK(K1038),1,K1038),0)</f>
        <v/>
      </c>
      <c r="AB1042" s="7" t="inlineStr">
        <is>
          <t>^TankDestroyerCannon, ^MediumCannon, ^HeavyCannon, ^Grenade, ^ShrapnelWeapon, ^HeavyBomb, ^MediumMissile, ^Chaingun, ^FlakWeapon</t>
        </is>
      </c>
    </row>
    <row r="1043">
      <c r="B1043" s="7" t="inlineStr">
        <is>
          <t xml:space="preserve">  ↳ wc2mageSlow</t>
        </is>
      </c>
      <c r="C1043" s="7" t="inlineStr">
        <is>
          <t>Armament@SLOW</t>
        </is>
      </c>
      <c r="L1043" s="6" t="n">
        <v>1</v>
      </c>
      <c r="M1043" s="6" t="n">
        <v>60</v>
      </c>
      <c r="N1043" s="6" t="n">
        <v>1</v>
      </c>
      <c r="O1043" s="6" t="n"/>
      <c r="P1043" s="6" t="n">
        <v>8000</v>
      </c>
      <c r="Q1043" s="6" t="n">
        <v>1</v>
      </c>
      <c r="R1043">
        <f>M1043+IF(N1043&gt;1,N(O1043)*(N1043-1),0)</f>
        <v/>
      </c>
      <c r="S1043">
        <f>IFERROR(L1043*MAX(N1043,1)/R1043*Q1043*IF(ISBLANK(K1038),1,K1038),0)</f>
        <v/>
      </c>
      <c r="AB1043" s="7" t="inlineStr"/>
    </row>
    <row r="1044">
      <c r="B1044" s="7" t="inlineStr">
        <is>
          <t xml:space="preserve">  ↳ wc2magePolymorph</t>
        </is>
      </c>
      <c r="C1044" s="7" t="inlineStr">
        <is>
          <t>Armament@POLYMORPH</t>
        </is>
      </c>
      <c r="L1044" s="6" t="n"/>
      <c r="M1044" s="6" t="n">
        <v>60</v>
      </c>
      <c r="N1044" s="6" t="n">
        <v>1</v>
      </c>
      <c r="O1044" s="6" t="n"/>
      <c r="P1044" s="6" t="n">
        <v>8000</v>
      </c>
      <c r="Q1044" s="6" t="n">
        <v>1</v>
      </c>
      <c r="R1044">
        <f>M1044+IF(N1044&gt;1,N(O1044)*(N1044-1),0)</f>
        <v/>
      </c>
      <c r="S1044">
        <f>IFERROR(L1044*MAX(N1044,1)/R1044*Q1044*IF(ISBLANK(K1038),1,K1038),0)</f>
        <v/>
      </c>
      <c r="AB1044" s="7" t="inlineStr"/>
    </row>
    <row r="1045">
      <c r="B1045" s="7" t="inlineStr">
        <is>
          <t xml:space="preserve">  ↳ wc2mageBlizzard</t>
        </is>
      </c>
      <c r="C1045" s="7" t="inlineStr">
        <is>
          <t>Armament@BLIZZARD</t>
        </is>
      </c>
      <c r="L1045" s="6" t="n">
        <v>1</v>
      </c>
      <c r="M1045" s="6" t="n">
        <v>50</v>
      </c>
      <c r="N1045" s="6" t="n">
        <v>1</v>
      </c>
      <c r="O1045" s="6" t="n"/>
      <c r="P1045" s="6" t="n">
        <v>8000</v>
      </c>
      <c r="Q1045" s="6" t="n">
        <v>1</v>
      </c>
      <c r="R1045">
        <f>M1045+IF(N1045&gt;1,N(O1045)*(N1045-1),0)</f>
        <v/>
      </c>
      <c r="S1045">
        <f>IFERROR(L1045*MAX(N1045,1)/R1045*Q1045*IF(ISBLANK(K1038),1,K1038),0)</f>
        <v/>
      </c>
      <c r="AB1045" s="7" t="inlineStr"/>
    </row>
    <row r="1046">
      <c r="A1046" s="4" t="inlineStr">
        <is>
          <t>HeroInfantry</t>
        </is>
      </c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5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</row>
    <row r="1047">
      <c r="A1047" t="inlineStr">
        <is>
          <t>tiberiandawn</t>
        </is>
      </c>
      <c r="B1047" t="inlineStr">
        <is>
          <t>td_gdi_commando</t>
        </is>
      </c>
      <c r="C1047" t="inlineStr">
        <is>
          <t>GDI Commando</t>
        </is>
      </c>
      <c r="D1047" s="6" t="inlineStr">
        <is>
          <t>HeroInfantry</t>
        </is>
      </c>
      <c r="E1047" s="6" t="n">
        <v>80000</v>
      </c>
      <c r="F1047" s="6" t="n">
        <v>65</v>
      </c>
      <c r="G1047" t="inlineStr">
        <is>
          <t>Heroic</t>
        </is>
      </c>
      <c r="H1047" s="6" t="n">
        <v>1</v>
      </c>
      <c r="I1047" s="6" t="n">
        <v>1</v>
      </c>
      <c r="J1047" s="6" t="n">
        <v>1</v>
      </c>
      <c r="K1047" s="6" t="n"/>
      <c r="P1047">
        <f>MAX(P1048,P1049,P1050,P1052)</f>
        <v/>
      </c>
      <c r="S1047">
        <f>S1048+S1049+S1050+S1052</f>
        <v/>
      </c>
      <c r="T1047">
        <f>(E1047/100000+F1047/100+(P1047/1000)*J1047/5+S1047/200)*200*I1047*H1047</f>
        <v/>
      </c>
      <c r="U1047">
        <f>((E1047*F1047/25000)+((P1047/1000)*J1047*S1047/2.5))*I1047*H1047</f>
        <v/>
      </c>
      <c r="V1047">
        <f>(E1047*F1047*(P1047/1000)*J1047*S1047*I1047*H1047)/12500000</f>
        <v/>
      </c>
      <c r="W1047">
        <f>(T1047+U1047+V1047)/3</f>
        <v/>
      </c>
      <c r="X1047" s="6" t="n">
        <v>3000</v>
      </c>
      <c r="Y1047">
        <f>IFERROR(W1047-X1047,"")</f>
        <v/>
      </c>
      <c r="Z1047">
        <f>IFERROR(ABS(Y1047)/MAX(X1047,1),"")</f>
        <v/>
      </c>
      <c r="AA1047">
        <f>IFERROR((X1047-(((E1047/100000+F1047/100+S1047/200)*200*I1047*H1047)+((E1047*F1047/25000)*I1047*H1047))/3)/(((J1047/5)*200*I1047*H1047)+((J1047*S1047/2.5)*I1047*H1047)+((E1047*F1047*J1047*S1047*I1047*H1047)/12500000))/3*1000,"")</f>
        <v/>
      </c>
    </row>
    <row r="1048">
      <c r="B1048" s="7" t="inlineStr">
        <is>
          <t xml:space="preserve">  ↳ TanyaAttach</t>
        </is>
      </c>
      <c r="C1048" s="7" t="inlineStr">
        <is>
          <t>Armament@c4</t>
        </is>
      </c>
      <c r="L1048" s="6" t="n"/>
      <c r="M1048" s="6" t="n">
        <v>20</v>
      </c>
      <c r="N1048" s="6" t="n">
        <v>1</v>
      </c>
      <c r="O1048" s="6" t="n"/>
      <c r="P1048" s="6" t="n">
        <v>2000</v>
      </c>
      <c r="Q1048" s="6" t="n">
        <v>1</v>
      </c>
      <c r="R1048">
        <f>M1048+IF(N1048&gt;1,N(O1048)*(N1048-1),0)</f>
        <v/>
      </c>
      <c r="S1048">
        <f>IFERROR(L1048*MAX(N1048,1)/R1048*Q1048*IF(ISBLANK(K1047),1,K1047),0)</f>
        <v/>
      </c>
      <c r="AB1048" s="7" t="inlineStr">
        <is>
          <t>IvanAttach</t>
        </is>
      </c>
    </row>
    <row r="1049">
      <c r="B1049" s="7" t="inlineStr">
        <is>
          <t xml:space="preserve">  ↳ GenericC4</t>
        </is>
      </c>
      <c r="C1049" s="7" t="inlineStr">
        <is>
          <t>Armament@c4building</t>
        </is>
      </c>
      <c r="L1049" s="6" t="n"/>
      <c r="M1049" s="6" t="n">
        <v>20</v>
      </c>
      <c r="N1049" s="6" t="n">
        <v>1</v>
      </c>
      <c r="O1049" s="6" t="n"/>
      <c r="P1049" s="6" t="n">
        <v>2000</v>
      </c>
      <c r="Q1049" s="6" t="n">
        <v>1</v>
      </c>
      <c r="R1049">
        <f>M1049+IF(N1049&gt;1,N(O1049)*(N1049-1),0)</f>
        <v/>
      </c>
      <c r="S1049">
        <f>IFERROR(L1049*MAX(N1049,1)/R1049*Q1049*IF(ISBLANK(K1047),1,K1047),0)</f>
        <v/>
      </c>
      <c r="AB1049" s="7" t="inlineStr"/>
    </row>
    <row r="1050">
      <c r="B1050" s="7" t="inlineStr">
        <is>
          <t xml:space="preserve">  ↳ td_gdi_commando_sniper</t>
        </is>
      </c>
      <c r="C1050" s="7" t="inlineStr">
        <is>
          <t>Armament</t>
        </is>
      </c>
      <c r="L1050" s="6" t="n">
        <v>40000</v>
      </c>
      <c r="M1050" s="6" t="n">
        <v>25</v>
      </c>
      <c r="N1050" s="6" t="n">
        <v>1</v>
      </c>
      <c r="O1050" s="6" t="n"/>
      <c r="P1050" s="6" t="n">
        <v>8086</v>
      </c>
      <c r="Q1050" s="6" t="n">
        <v>0.75</v>
      </c>
      <c r="R1050">
        <f>M1050+IF(N1050&gt;1,N(O1050)*(N1050-1),0)</f>
        <v/>
      </c>
      <c r="S1050">
        <f>IFERROR(L1050*MAX(N1050,1)/R1050*Q1050*IF(ISBLANK(K1047),1,K1047),0)</f>
        <v/>
      </c>
      <c r="AB1050" s="7" t="inlineStr">
        <is>
          <t>^SniperWeapon</t>
        </is>
      </c>
    </row>
    <row r="1051">
      <c r="B1051" s="7" t="inlineStr">
        <is>
          <t xml:space="preserve">  ↳ td_gdi_commando_sniper</t>
        </is>
      </c>
      <c r="C1051" s="7" t="inlineStr">
        <is>
          <t>Armament@GARRISONED</t>
        </is>
      </c>
      <c r="L1051" s="6" t="n">
        <v>40000</v>
      </c>
      <c r="M1051" s="6" t="n">
        <v>25</v>
      </c>
      <c r="N1051" s="6" t="n">
        <v>1</v>
      </c>
      <c r="O1051" s="6" t="n"/>
      <c r="P1051" s="6" t="n">
        <v>8086</v>
      </c>
      <c r="Q1051" s="6" t="n">
        <v>0.75</v>
      </c>
      <c r="R1051">
        <f>M1051+IF(N1051&gt;1,N(O1051)*(N1051-1),0)</f>
        <v/>
      </c>
      <c r="S1051">
        <f>IFERROR(L1051*MAX(N1051,1)/R1051*Q1051*IF(ISBLANK(K1047),1,K1047),0)</f>
        <v/>
      </c>
      <c r="AB1051" s="7" t="inlineStr">
        <is>
          <t>^SniperWeapon</t>
        </is>
      </c>
    </row>
    <row r="1052">
      <c r="B1052" s="7" t="inlineStr">
        <is>
          <t xml:space="preserve">  ↳ td_gdi_commando_sniperE</t>
        </is>
      </c>
      <c r="C1052" s="7" t="inlineStr">
        <is>
          <t>Armament@Upgrade</t>
        </is>
      </c>
      <c r="L1052" s="6" t="n">
        <v>20000</v>
      </c>
      <c r="M1052" s="6" t="n">
        <v>25</v>
      </c>
      <c r="N1052" s="6" t="n">
        <v>1</v>
      </c>
      <c r="O1052" s="6" t="n"/>
      <c r="P1052" s="6" t="n">
        <v>8086</v>
      </c>
      <c r="Q1052" s="6" t="n">
        <v>1</v>
      </c>
      <c r="R1052">
        <f>M1052+IF(N1052&gt;1,N(O1052)*(N1052-1),0)</f>
        <v/>
      </c>
      <c r="S1052">
        <f>IFERROR(L1052*MAX(N1052,1)/R1052*Q1052*IF(ISBLANK(K1047),1,K1047),0)</f>
        <v/>
      </c>
      <c r="AB1052" s="7" t="inlineStr">
        <is>
          <t>^RailgunWeapon, ^SniperWeapon</t>
        </is>
      </c>
    </row>
    <row r="1053">
      <c r="B1053" s="7" t="inlineStr">
        <is>
          <t xml:space="preserve">  ↳ td_gdi_commando_sniperE</t>
        </is>
      </c>
      <c r="C1053" s="7" t="inlineStr">
        <is>
          <t>Armament@UpgradeGARRISONED</t>
        </is>
      </c>
      <c r="L1053" s="6" t="n">
        <v>20000</v>
      </c>
      <c r="M1053" s="6" t="n">
        <v>25</v>
      </c>
      <c r="N1053" s="6" t="n">
        <v>1</v>
      </c>
      <c r="O1053" s="6" t="n"/>
      <c r="P1053" s="6" t="n">
        <v>8086</v>
      </c>
      <c r="Q1053" s="6" t="n">
        <v>1</v>
      </c>
      <c r="R1053">
        <f>M1053+IF(N1053&gt;1,N(O1053)*(N1053-1),0)</f>
        <v/>
      </c>
      <c r="S1053">
        <f>IFERROR(L1053*MAX(N1053,1)/R1053*Q1053*IF(ISBLANK(K1047),1,K1047),0)</f>
        <v/>
      </c>
      <c r="AB1053" s="7" t="inlineStr">
        <is>
          <t>^RailgunWeapon, ^SniperWeapon</t>
        </is>
      </c>
    </row>
    <row r="1054">
      <c r="A1054" t="inlineStr">
        <is>
          <t>tiberiandawn</t>
        </is>
      </c>
      <c r="B1054" t="inlineStr">
        <is>
          <t>td_gdi_havoc</t>
        </is>
      </c>
      <c r="C1054" t="inlineStr">
        <is>
          <t>Havoc</t>
        </is>
      </c>
      <c r="D1054" s="6" t="inlineStr">
        <is>
          <t>HeroInfantry</t>
        </is>
      </c>
      <c r="E1054" s="6" t="n">
        <v>100000</v>
      </c>
      <c r="F1054" s="6" t="n">
        <v>75</v>
      </c>
      <c r="G1054" t="inlineStr">
        <is>
          <t>Heroic</t>
        </is>
      </c>
      <c r="H1054" s="6" t="n">
        <v>0.75</v>
      </c>
      <c r="I1054" s="6" t="n">
        <v>1</v>
      </c>
      <c r="J1054" s="6" t="n">
        <v>1.25</v>
      </c>
      <c r="K1054" s="6" t="n">
        <v>1.2</v>
      </c>
      <c r="P1054">
        <f>MAX(P1055,P1056,P1057,P1058,P1063)</f>
        <v/>
      </c>
      <c r="S1054">
        <f>S1055+S1056+S1057+S1058+S1063</f>
        <v/>
      </c>
      <c r="T1054">
        <f>(E1054/100000+F1054/100+(P1054/1000)*J1054/5+S1054/200)*200*I1054*H1054</f>
        <v/>
      </c>
      <c r="U1054">
        <f>((E1054*F1054/25000)+((P1054/1000)*J1054*S1054/2.5))*I1054*H1054</f>
        <v/>
      </c>
      <c r="V1054">
        <f>(E1054*F1054*(P1054/1000)*J1054*S1054*I1054*H1054)/12500000</f>
        <v/>
      </c>
      <c r="W1054">
        <f>(T1054+U1054+V1054)/3</f>
        <v/>
      </c>
      <c r="X1054" s="6" t="n">
        <v>4000</v>
      </c>
      <c r="Y1054">
        <f>IFERROR(W1054-X1054,"")</f>
        <v/>
      </c>
      <c r="Z1054">
        <f>IFERROR(ABS(Y1054)/MAX(X1054,1),"")</f>
        <v/>
      </c>
      <c r="AA1054">
        <f>IFERROR((X1054-(((E1054/100000+F1054/100+S1054/200)*200*I1054*H1054)+((E1054*F1054/25000)*I1054*H1054))/3)/(((J1054/5)*200*I1054*H1054)+((J1054*S1054/2.5)*I1054*H1054)+((E1054*F1054*J1054*S1054*I1054*H1054)/12500000))/3*1000,"")</f>
        <v/>
      </c>
    </row>
    <row r="1055">
      <c r="B1055" s="7" t="inlineStr">
        <is>
          <t xml:space="preserve">  ↳ CommandoSniper</t>
        </is>
      </c>
      <c r="C1055" s="7" t="inlineStr">
        <is>
          <t>Armament@ra1_allies_alliedsniper</t>
        </is>
      </c>
      <c r="L1055" s="6" t="n">
        <v>20000</v>
      </c>
      <c r="M1055" s="6" t="n">
        <v>100</v>
      </c>
      <c r="N1055" s="6" t="n">
        <v>1</v>
      </c>
      <c r="O1055" s="6" t="n"/>
      <c r="P1055" s="6" t="n">
        <v>7750</v>
      </c>
      <c r="Q1055" s="6" t="n">
        <v>0.875</v>
      </c>
      <c r="R1055">
        <f>M1055+IF(N1055&gt;1,N(O1055)*(N1055-1),0)</f>
        <v/>
      </c>
      <c r="S1055">
        <f>IFERROR(L1055*MAX(N1055,1)/R1055*Q1055*IF(ISBLANK(K1054),1,K1054),0)</f>
        <v/>
      </c>
      <c r="AB1055" s="7" t="inlineStr">
        <is>
          <t>^SniperWeapon, ^Chaingun</t>
        </is>
      </c>
    </row>
    <row r="1056">
      <c r="B1056" s="7" t="inlineStr">
        <is>
          <t xml:space="preserve">  ↳ CommandoRocketLauncher</t>
        </is>
      </c>
      <c r="C1056" s="7" t="inlineStr">
        <is>
          <t>Armament@Rocket</t>
        </is>
      </c>
      <c r="L1056" s="6" t="n">
        <v>20000</v>
      </c>
      <c r="M1056" s="6" t="n">
        <v>100</v>
      </c>
      <c r="N1056" s="6" t="n">
        <v>1</v>
      </c>
      <c r="O1056" s="6" t="n"/>
      <c r="P1056" s="6" t="n">
        <v>7750</v>
      </c>
      <c r="Q1056" s="6" t="n">
        <v>0.875</v>
      </c>
      <c r="R1056">
        <f>M1056+IF(N1056&gt;1,N(O1056)*(N1056-1),0)</f>
        <v/>
      </c>
      <c r="S1056">
        <f>IFERROR(L1056*MAX(N1056,1)/R1056*Q1056*IF(ISBLANK(K1054),1,K1054),0)</f>
        <v/>
      </c>
      <c r="AB1056" s="7" t="inlineStr">
        <is>
          <t>^MediumMissile, ^LightMissile</t>
        </is>
      </c>
    </row>
    <row r="1057">
      <c r="B1057" s="7" t="inlineStr">
        <is>
          <t xml:space="preserve">  ↳ CommandoGrenadeLauncher</t>
        </is>
      </c>
      <c r="C1057" s="7" t="inlineStr">
        <is>
          <t>Armament@Grenade</t>
        </is>
      </c>
      <c r="L1057" s="6" t="n">
        <v>20000</v>
      </c>
      <c r="M1057" s="6" t="n">
        <v>100</v>
      </c>
      <c r="N1057" s="6" t="n">
        <v>1</v>
      </c>
      <c r="O1057" s="6" t="n"/>
      <c r="P1057" s="6" t="n">
        <v>7750</v>
      </c>
      <c r="Q1057" s="6" t="n">
        <v>1</v>
      </c>
      <c r="R1057">
        <f>M1057+IF(N1057&gt;1,N(O1057)*(N1057-1),0)</f>
        <v/>
      </c>
      <c r="S1057">
        <f>IFERROR(L1057*MAX(N1057,1)/R1057*Q1057*IF(ISBLANK(K1054),1,K1054),0)</f>
        <v/>
      </c>
      <c r="AB1057" s="7" t="inlineStr">
        <is>
          <t>^ShrapnelWeapon, ^Grenade, ^EMPDamage</t>
        </is>
      </c>
    </row>
    <row r="1058">
      <c r="B1058" s="7" t="inlineStr">
        <is>
          <t xml:space="preserve">  ↳ CommandoM16</t>
        </is>
      </c>
      <c r="C1058" s="7" t="inlineStr">
        <is>
          <t>Armament@M16</t>
        </is>
      </c>
      <c r="L1058" s="6" t="n">
        <v>4000</v>
      </c>
      <c r="M1058" s="6" t="n">
        <v>92</v>
      </c>
      <c r="N1058" s="6" t="n">
        <v>5</v>
      </c>
      <c r="O1058" s="6" t="n">
        <v>2</v>
      </c>
      <c r="P1058" s="6" t="n">
        <v>7750</v>
      </c>
      <c r="Q1058" s="6" t="n">
        <v>0.875</v>
      </c>
      <c r="R1058">
        <f>M1058+IF(N1058&gt;1,N(O1058)*(N1058-1),0)</f>
        <v/>
      </c>
      <c r="S1058">
        <f>IFERROR(L1058*MAX(N1058,1)/R1058*Q1058*IF(ISBLANK(K1054),1,K1054),0)</f>
        <v/>
      </c>
      <c r="AB1058" s="7" t="inlineStr">
        <is>
          <t>^SniperWeapon, ^Chaingun</t>
        </is>
      </c>
    </row>
    <row r="1059">
      <c r="B1059" s="7" t="inlineStr">
        <is>
          <t xml:space="preserve">  ↳ CommandoSniper</t>
        </is>
      </c>
      <c r="C1059" s="7" t="inlineStr">
        <is>
          <t>Armament@SniperGARRISONED</t>
        </is>
      </c>
      <c r="L1059" s="6" t="n">
        <v>20000</v>
      </c>
      <c r="M1059" s="6" t="n">
        <v>100</v>
      </c>
      <c r="N1059" s="6" t="n">
        <v>1</v>
      </c>
      <c r="O1059" s="6" t="n"/>
      <c r="P1059" s="6" t="n">
        <v>7750</v>
      </c>
      <c r="Q1059" s="6" t="n">
        <v>0.875</v>
      </c>
      <c r="R1059">
        <f>M1059+IF(N1059&gt;1,N(O1059)*(N1059-1),0)</f>
        <v/>
      </c>
      <c r="S1059">
        <f>IFERROR(L1059*MAX(N1059,1)/R1059*Q1059*IF(ISBLANK(K1054),1,K1054),0)</f>
        <v/>
      </c>
      <c r="AB1059" s="7" t="inlineStr">
        <is>
          <t>^SniperWeapon, ^Chaingun</t>
        </is>
      </c>
    </row>
    <row r="1060">
      <c r="B1060" s="7" t="inlineStr">
        <is>
          <t xml:space="preserve">  ↳ CommandoRocketLauncher</t>
        </is>
      </c>
      <c r="C1060" s="7" t="inlineStr">
        <is>
          <t>Armament@RocketGARRISONED</t>
        </is>
      </c>
      <c r="L1060" s="6" t="n">
        <v>20000</v>
      </c>
      <c r="M1060" s="6" t="n">
        <v>100</v>
      </c>
      <c r="N1060" s="6" t="n">
        <v>1</v>
      </c>
      <c r="O1060" s="6" t="n"/>
      <c r="P1060" s="6" t="n">
        <v>7750</v>
      </c>
      <c r="Q1060" s="6" t="n">
        <v>0.875</v>
      </c>
      <c r="R1060">
        <f>M1060+IF(N1060&gt;1,N(O1060)*(N1060-1),0)</f>
        <v/>
      </c>
      <c r="S1060">
        <f>IFERROR(L1060*MAX(N1060,1)/R1060*Q1060*IF(ISBLANK(K1054),1,K1054),0)</f>
        <v/>
      </c>
      <c r="AB1060" s="7" t="inlineStr">
        <is>
          <t>^MediumMissile, ^LightMissile</t>
        </is>
      </c>
    </row>
    <row r="1061">
      <c r="B1061" s="7" t="inlineStr">
        <is>
          <t xml:space="preserve">  ↳ CommandoGrenadeLauncher</t>
        </is>
      </c>
      <c r="C1061" s="7" t="inlineStr">
        <is>
          <t>Armament@GrenadeGARRISONED</t>
        </is>
      </c>
      <c r="L1061" s="6" t="n">
        <v>20000</v>
      </c>
      <c r="M1061" s="6" t="n">
        <v>100</v>
      </c>
      <c r="N1061" s="6" t="n">
        <v>1</v>
      </c>
      <c r="O1061" s="6" t="n"/>
      <c r="P1061" s="6" t="n">
        <v>7750</v>
      </c>
      <c r="Q1061" s="6" t="n">
        <v>1</v>
      </c>
      <c r="R1061">
        <f>M1061+IF(N1061&gt;1,N(O1061)*(N1061-1),0)</f>
        <v/>
      </c>
      <c r="S1061">
        <f>IFERROR(L1061*MAX(N1061,1)/R1061*Q1061*IF(ISBLANK(K1054),1,K1054),0)</f>
        <v/>
      </c>
      <c r="AB1061" s="7" t="inlineStr">
        <is>
          <t>^ShrapnelWeapon, ^Grenade, ^EMPDamage</t>
        </is>
      </c>
    </row>
    <row r="1062">
      <c r="B1062" s="7" t="inlineStr">
        <is>
          <t xml:space="preserve">  ↳ CommandoM16</t>
        </is>
      </c>
      <c r="C1062" s="7" t="inlineStr">
        <is>
          <t>Armament@M16GARRISONED</t>
        </is>
      </c>
      <c r="L1062" s="6" t="n">
        <v>4000</v>
      </c>
      <c r="M1062" s="6" t="n">
        <v>92</v>
      </c>
      <c r="N1062" s="6" t="n">
        <v>5</v>
      </c>
      <c r="O1062" s="6" t="n">
        <v>2</v>
      </c>
      <c r="P1062" s="6" t="n">
        <v>7750</v>
      </c>
      <c r="Q1062" s="6" t="n">
        <v>0.875</v>
      </c>
      <c r="R1062">
        <f>M1062+IF(N1062&gt;1,N(O1062)*(N1062-1),0)</f>
        <v/>
      </c>
      <c r="S1062">
        <f>IFERROR(L1062*MAX(N1062,1)/R1062*Q1062*IF(ISBLANK(K1054),1,K1054),0)</f>
        <v/>
      </c>
      <c r="AB1062" s="7" t="inlineStr">
        <is>
          <t>^SniperWeapon, ^Chaingun</t>
        </is>
      </c>
    </row>
    <row r="1063">
      <c r="B1063" s="7" t="inlineStr">
        <is>
          <t xml:space="preserve">  ↳ GenericC4</t>
        </is>
      </c>
      <c r="C1063" s="7" t="inlineStr">
        <is>
          <t>Armament@c4</t>
        </is>
      </c>
      <c r="L1063" s="6" t="n"/>
      <c r="M1063" s="6" t="n">
        <v>20</v>
      </c>
      <c r="N1063" s="6" t="n">
        <v>1</v>
      </c>
      <c r="O1063" s="6" t="n"/>
      <c r="P1063" s="6" t="n">
        <v>2000</v>
      </c>
      <c r="Q1063" s="6" t="n">
        <v>1</v>
      </c>
      <c r="R1063">
        <f>M1063+IF(N1063&gt;1,N(O1063)*(N1063-1),0)</f>
        <v/>
      </c>
      <c r="S1063">
        <f>IFERROR(L1063*MAX(N1063,1)/R1063*Q1063*IF(ISBLANK(K1054),1,K1054),0)</f>
        <v/>
      </c>
      <c r="AB1063" s="7" t="inlineStr"/>
    </row>
    <row r="1064">
      <c r="A1064" t="inlineStr">
        <is>
          <t>tiberiandawn</t>
        </is>
      </c>
      <c r="B1064" t="inlineStr">
        <is>
          <t>td_nod_commando</t>
        </is>
      </c>
      <c r="C1064" t="inlineStr">
        <is>
          <t>Nod Commando</t>
        </is>
      </c>
      <c r="D1064" s="6" t="inlineStr">
        <is>
          <t>HeroInfantry</t>
        </is>
      </c>
      <c r="E1064" s="6" t="n">
        <v>80000</v>
      </c>
      <c r="F1064" s="6" t="n">
        <v>65</v>
      </c>
      <c r="G1064" t="inlineStr">
        <is>
          <t>Heroic</t>
        </is>
      </c>
      <c r="H1064" s="6" t="n">
        <v>1</v>
      </c>
      <c r="I1064" s="6" t="n">
        <v>1</v>
      </c>
      <c r="J1064" s="6" t="n">
        <v>1</v>
      </c>
      <c r="K1064" s="6" t="n"/>
      <c r="P1064">
        <f>MAX(P1065,P1066,P1067)</f>
        <v/>
      </c>
      <c r="S1064">
        <f>S1065+S1066+S1067</f>
        <v/>
      </c>
      <c r="T1064">
        <f>(E1064/100000+F1064/100+(P1064/1000)*J1064/5+S1064/200)*200*I1064*H1064</f>
        <v/>
      </c>
      <c r="U1064">
        <f>((E1064*F1064/25000)+((P1064/1000)*J1064*S1064/2.5))*I1064*H1064</f>
        <v/>
      </c>
      <c r="V1064">
        <f>(E1064*F1064*(P1064/1000)*J1064*S1064*I1064*H1064)/12500000</f>
        <v/>
      </c>
      <c r="W1064">
        <f>(T1064+U1064+V1064)/3</f>
        <v/>
      </c>
      <c r="X1064" s="6" t="n">
        <v>3000</v>
      </c>
      <c r="Y1064">
        <f>IFERROR(W1064-X1064,"")</f>
        <v/>
      </c>
      <c r="Z1064">
        <f>IFERROR(ABS(Y1064)/MAX(X1064,1),"")</f>
        <v/>
      </c>
      <c r="AA1064">
        <f>IFERROR((X1064-(((E1064/100000+F1064/100+S1064/200)*200*I1064*H1064)+((E1064*F1064/25000)*I1064*H1064))/3)/(((J1064/5)*200*I1064*H1064)+((J1064*S1064/2.5)*I1064*H1064)+((E1064*F1064*J1064*S1064*I1064*H1064)/12500000))/3*1000,"")</f>
        <v/>
      </c>
    </row>
    <row r="1065">
      <c r="B1065" s="7" t="inlineStr">
        <is>
          <t xml:space="preserve">  ↳ TanyaAttach</t>
        </is>
      </c>
      <c r="C1065" s="7" t="inlineStr">
        <is>
          <t>Armament@c4</t>
        </is>
      </c>
      <c r="L1065" s="6" t="n"/>
      <c r="M1065" s="6" t="n">
        <v>20</v>
      </c>
      <c r="N1065" s="6" t="n">
        <v>1</v>
      </c>
      <c r="O1065" s="6" t="n"/>
      <c r="P1065" s="6" t="n">
        <v>2000</v>
      </c>
      <c r="Q1065" s="6" t="n">
        <v>1</v>
      </c>
      <c r="R1065">
        <f>M1065+IF(N1065&gt;1,N(O1065)*(N1065-1),0)</f>
        <v/>
      </c>
      <c r="S1065">
        <f>IFERROR(L1065*MAX(N1065,1)/R1065*Q1065*IF(ISBLANK(K1064),1,K1064),0)</f>
        <v/>
      </c>
      <c r="AB1065" s="7" t="inlineStr">
        <is>
          <t>IvanAttach</t>
        </is>
      </c>
    </row>
    <row r="1066">
      <c r="B1066" s="7" t="inlineStr">
        <is>
          <t xml:space="preserve">  ↳ GenericC4</t>
        </is>
      </c>
      <c r="C1066" s="7" t="inlineStr">
        <is>
          <t>Armament@c4building</t>
        </is>
      </c>
      <c r="L1066" s="6" t="n"/>
      <c r="M1066" s="6" t="n">
        <v>20</v>
      </c>
      <c r="N1066" s="6" t="n">
        <v>1</v>
      </c>
      <c r="O1066" s="6" t="n"/>
      <c r="P1066" s="6" t="n">
        <v>2000</v>
      </c>
      <c r="Q1066" s="6" t="n">
        <v>1</v>
      </c>
      <c r="R1066">
        <f>M1066+IF(N1066&gt;1,N(O1066)*(N1066-1),0)</f>
        <v/>
      </c>
      <c r="S1066">
        <f>IFERROR(L1066*MAX(N1066,1)/R1066*Q1066*IF(ISBLANK(K1064),1,K1064),0)</f>
        <v/>
      </c>
      <c r="AB1066" s="7" t="inlineStr"/>
    </row>
    <row r="1067">
      <c r="B1067" s="7" t="inlineStr">
        <is>
          <t xml:space="preserve">  ↳ td_gdi_commando_sniper</t>
        </is>
      </c>
      <c r="C1067" s="7" t="inlineStr">
        <is>
          <t>Armament</t>
        </is>
      </c>
      <c r="L1067" s="6" t="n">
        <v>40000</v>
      </c>
      <c r="M1067" s="6" t="n">
        <v>25</v>
      </c>
      <c r="N1067" s="6" t="n">
        <v>1</v>
      </c>
      <c r="O1067" s="6" t="n"/>
      <c r="P1067" s="6" t="n">
        <v>8086</v>
      </c>
      <c r="Q1067" s="6" t="n">
        <v>0.75</v>
      </c>
      <c r="R1067">
        <f>M1067+IF(N1067&gt;1,N(O1067)*(N1067-1),0)</f>
        <v/>
      </c>
      <c r="S1067">
        <f>IFERROR(L1067*MAX(N1067,1)/R1067*Q1067*IF(ISBLANK(K1064),1,K1064),0)</f>
        <v/>
      </c>
      <c r="AB1067" s="7" t="inlineStr">
        <is>
          <t>^SniperWeapon</t>
        </is>
      </c>
    </row>
    <row r="1068">
      <c r="B1068" s="7" t="inlineStr">
        <is>
          <t xml:space="preserve">  ↳ td_gdi_commando_sniper</t>
        </is>
      </c>
      <c r="C1068" s="7" t="inlineStr">
        <is>
          <t>Armament@GARRISONED</t>
        </is>
      </c>
      <c r="L1068" s="6" t="n">
        <v>40000</v>
      </c>
      <c r="M1068" s="6" t="n">
        <v>25</v>
      </c>
      <c r="N1068" s="6" t="n">
        <v>1</v>
      </c>
      <c r="O1068" s="6" t="n"/>
      <c r="P1068" s="6" t="n">
        <v>8086</v>
      </c>
      <c r="Q1068" s="6" t="n">
        <v>0.75</v>
      </c>
      <c r="R1068">
        <f>M1068+IF(N1068&gt;1,N(O1068)*(N1068-1),0)</f>
        <v/>
      </c>
      <c r="S1068">
        <f>IFERROR(L1068*MAX(N1068,1)/R1068*Q1068*IF(ISBLANK(K1064),1,K1064),0)</f>
        <v/>
      </c>
      <c r="AB1068" s="7" t="inlineStr">
        <is>
          <t>^SniperWeapon</t>
        </is>
      </c>
    </row>
    <row r="1069">
      <c r="A1069" t="inlineStr">
        <is>
          <t>tiberiandawn</t>
        </is>
      </c>
      <c r="B1069" t="inlineStr">
        <is>
          <t>td_nod_lasercommando</t>
        </is>
      </c>
      <c r="C1069" t="inlineStr">
        <is>
          <t>Laser Commando</t>
        </is>
      </c>
      <c r="D1069" s="6" t="inlineStr">
        <is>
          <t>HeroInfantry</t>
        </is>
      </c>
      <c r="E1069" s="6" t="n">
        <v>57000</v>
      </c>
      <c r="F1069" s="6" t="n">
        <v>79</v>
      </c>
      <c r="G1069" t="inlineStr">
        <is>
          <t>Heroic</t>
        </is>
      </c>
      <c r="H1069" s="6" t="n">
        <v>0.75</v>
      </c>
      <c r="I1069" s="6" t="n">
        <v>1</v>
      </c>
      <c r="J1069" s="6" t="n">
        <v>2</v>
      </c>
      <c r="K1069" s="6" t="n"/>
      <c r="P1069">
        <f>MAX(P1070,P1071,P1073)</f>
        <v/>
      </c>
      <c r="S1069">
        <f>S1070+S1071+S1073</f>
        <v/>
      </c>
      <c r="T1069">
        <f>(E1069/100000+F1069/100+(P1069/1000)*J1069/5+S1069/200)*200*I1069*H1069</f>
        <v/>
      </c>
      <c r="U1069">
        <f>((E1069*F1069/25000)+((P1069/1000)*J1069*S1069/2.5))*I1069*H1069</f>
        <v/>
      </c>
      <c r="V1069">
        <f>(E1069*F1069*(P1069/1000)*J1069*S1069*I1069*H1069)/12500000</f>
        <v/>
      </c>
      <c r="W1069">
        <f>(T1069+U1069+V1069)/3</f>
        <v/>
      </c>
      <c r="X1069" s="6" t="n">
        <v>5000</v>
      </c>
      <c r="Y1069">
        <f>IFERROR(W1069-X1069,"")</f>
        <v/>
      </c>
      <c r="Z1069">
        <f>IFERROR(ABS(Y1069)/MAX(X1069,1),"")</f>
        <v/>
      </c>
      <c r="AA1069">
        <f>IFERROR((X1069-(((E1069/100000+F1069/100+S1069/200)*200*I1069*H1069)+((E1069*F1069/25000)*I1069*H1069))/3)/(((J1069/5)*200*I1069*H1069)+((J1069*S1069/2.5)*I1069*H1069)+((E1069*F1069*J1069*S1069*I1069*H1069)/12500000))/3*1000,"")</f>
        <v/>
      </c>
    </row>
    <row r="1070">
      <c r="B1070" s="7" t="inlineStr">
        <is>
          <t xml:space="preserve">  ↳ NodCommandoLaser</t>
        </is>
      </c>
      <c r="C1070" s="7" t="inlineStr">
        <is>
          <t>Armament@pointdefense</t>
        </is>
      </c>
      <c r="L1070" s="6" t="n">
        <v>12000</v>
      </c>
      <c r="M1070" s="6" t="n">
        <v>8</v>
      </c>
      <c r="N1070" s="6" t="n">
        <v>1</v>
      </c>
      <c r="O1070" s="6" t="n"/>
      <c r="P1070" s="6" t="n">
        <v>6030</v>
      </c>
      <c r="Q1070" s="6" t="n">
        <v>1</v>
      </c>
      <c r="R1070">
        <f>M1070+IF(N1070&gt;1,N(O1070)*(N1070-1),0)</f>
        <v/>
      </c>
      <c r="S1070">
        <f>IFERROR(L1070*MAX(N1070,1)/R1070*Q1070*IF(ISBLANK(K1069),1,K1069),0)</f>
        <v/>
      </c>
      <c r="AB1070" s="7" t="inlineStr">
        <is>
          <t>^LaserWeapon</t>
        </is>
      </c>
    </row>
    <row r="1071">
      <c r="B1071" s="7" t="inlineStr">
        <is>
          <t xml:space="preserve">  ↳ NodCommandoLaser</t>
        </is>
      </c>
      <c r="C1071" s="7" t="inlineStr">
        <is>
          <t>Armament</t>
        </is>
      </c>
      <c r="L1071" s="6" t="n">
        <v>12000</v>
      </c>
      <c r="M1071" s="6" t="n">
        <v>8</v>
      </c>
      <c r="N1071" s="6" t="n">
        <v>1</v>
      </c>
      <c r="O1071" s="6" t="n"/>
      <c r="P1071" s="6" t="n">
        <v>6030</v>
      </c>
      <c r="Q1071" s="6" t="n">
        <v>1</v>
      </c>
      <c r="R1071">
        <f>M1071+IF(N1071&gt;1,N(O1071)*(N1071-1),0)</f>
        <v/>
      </c>
      <c r="S1071">
        <f>IFERROR(L1071*MAX(N1071,1)/R1071*Q1071*IF(ISBLANK(K1069),1,K1069),0)</f>
        <v/>
      </c>
      <c r="AB1071" s="7" t="inlineStr">
        <is>
          <t>^LaserWeapon</t>
        </is>
      </c>
    </row>
    <row r="1072">
      <c r="B1072" s="7" t="inlineStr">
        <is>
          <t xml:space="preserve">  ↳ NodCommandoLaser</t>
        </is>
      </c>
      <c r="C1072" s="7" t="inlineStr">
        <is>
          <t>Armament@GARRISONED</t>
        </is>
      </c>
      <c r="L1072" s="6" t="n">
        <v>12000</v>
      </c>
      <c r="M1072" s="6" t="n">
        <v>8</v>
      </c>
      <c r="N1072" s="6" t="n">
        <v>1</v>
      </c>
      <c r="O1072" s="6" t="n"/>
      <c r="P1072" s="6" t="n">
        <v>6030</v>
      </c>
      <c r="Q1072" s="6" t="n">
        <v>1</v>
      </c>
      <c r="R1072">
        <f>M1072+IF(N1072&gt;1,N(O1072)*(N1072-1),0)</f>
        <v/>
      </c>
      <c r="S1072">
        <f>IFERROR(L1072*MAX(N1072,1)/R1072*Q1072*IF(ISBLANK(K1069),1,K1069),0)</f>
        <v/>
      </c>
      <c r="AB1072" s="7" t="inlineStr">
        <is>
          <t>^LaserWeapon</t>
        </is>
      </c>
    </row>
    <row r="1073">
      <c r="B1073" s="7" t="inlineStr">
        <is>
          <t xml:space="preserve">  ↳ GenericC4</t>
        </is>
      </c>
      <c r="C1073" s="7" t="inlineStr">
        <is>
          <t>Armament@c4</t>
        </is>
      </c>
      <c r="L1073" s="6" t="n"/>
      <c r="M1073" s="6" t="n">
        <v>20</v>
      </c>
      <c r="N1073" s="6" t="n">
        <v>1</v>
      </c>
      <c r="O1073" s="6" t="n"/>
      <c r="P1073" s="6" t="n">
        <v>2000</v>
      </c>
      <c r="Q1073" s="6" t="n">
        <v>1</v>
      </c>
      <c r="R1073">
        <f>M1073+IF(N1073&gt;1,N(O1073)*(N1073-1),0)</f>
        <v/>
      </c>
      <c r="S1073">
        <f>IFERROR(L1073*MAX(N1073,1)/R1073*Q1073*IF(ISBLANK(K1069),1,K1069),0)</f>
        <v/>
      </c>
      <c r="AB1073" s="7" t="inlineStr"/>
    </row>
    <row r="1074">
      <c r="A1074" t="inlineStr">
        <is>
          <t>redalert</t>
        </is>
      </c>
      <c r="B1074" t="inlineStr">
        <is>
          <t>japan_exorcist</t>
        </is>
      </c>
      <c r="C1074" t="inlineStr">
        <is>
          <t>Exorcist</t>
        </is>
      </c>
      <c r="D1074" s="6" t="inlineStr">
        <is>
          <t>HeroInfantry</t>
        </is>
      </c>
      <c r="E1074" s="6" t="n">
        <v>75000</v>
      </c>
      <c r="F1074" s="6" t="n">
        <v>60</v>
      </c>
      <c r="G1074" t="inlineStr">
        <is>
          <t>Heroic</t>
        </is>
      </c>
      <c r="H1074" s="6" t="n">
        <v>0.75</v>
      </c>
      <c r="I1074" s="6" t="n">
        <v>1</v>
      </c>
      <c r="J1074" s="6" t="n">
        <v>1.25</v>
      </c>
      <c r="K1074" s="6" t="n"/>
      <c r="P1074">
        <f>MAX(P1075,P1076)</f>
        <v/>
      </c>
      <c r="S1074">
        <f>S1075+S1076</f>
        <v/>
      </c>
      <c r="T1074">
        <f>(E1074/100000+F1074/100+(P1074/1000)*J1074/5+S1074/200)*200*I1074*H1074</f>
        <v/>
      </c>
      <c r="U1074">
        <f>((E1074*F1074/25000)+((P1074/1000)*J1074*S1074/2.5))*I1074*H1074</f>
        <v/>
      </c>
      <c r="V1074">
        <f>(E1074*F1074*(P1074/1000)*J1074*S1074*I1074*H1074)/12500000</f>
        <v/>
      </c>
      <c r="W1074">
        <f>(T1074+U1074+V1074)/3</f>
        <v/>
      </c>
      <c r="X1074" s="6" t="n">
        <v>3000</v>
      </c>
      <c r="Y1074">
        <f>IFERROR(W1074-X1074,"")</f>
        <v/>
      </c>
      <c r="Z1074">
        <f>IFERROR(ABS(Y1074)/MAX(X1074,1),"")</f>
        <v/>
      </c>
      <c r="AA1074">
        <f>IFERROR((X1074-(((E1074/100000+F1074/100+S1074/200)*200*I1074*H1074)+((E1074*F1074/25000)*I1074*H1074))/3)/(((J1074/5)*200*I1074*H1074)+((J1074*S1074/2.5)*I1074*H1074)+((E1074*F1074*J1074*S1074*I1074*H1074)/12500000))/3*1000,"")</f>
        <v/>
      </c>
    </row>
    <row r="1075">
      <c r="B1075" s="7" t="inlineStr">
        <is>
          <t xml:space="preserve">  ↳ Hakureiring</t>
        </is>
      </c>
      <c r="C1075" s="7" t="inlineStr">
        <is>
          <t>Armament@PRIMARY</t>
        </is>
      </c>
      <c r="L1075" s="6" t="n">
        <v>10000</v>
      </c>
      <c r="M1075" s="6" t="n">
        <v>30</v>
      </c>
      <c r="N1075" s="6" t="n">
        <v>3</v>
      </c>
      <c r="O1075" s="6" t="n">
        <v>10</v>
      </c>
      <c r="P1075" s="6" t="n">
        <v>6666</v>
      </c>
      <c r="Q1075" s="6" t="n">
        <v>1</v>
      </c>
      <c r="R1075">
        <f>M1075+IF(N1075&gt;1,N(O1075)*(N1075-1),0)</f>
        <v/>
      </c>
      <c r="S1075">
        <f>IFERROR(L1075*MAX(N1075,1)/R1075*Q1075*IF(ISBLANK(K1074),1,K1074),0)</f>
        <v/>
      </c>
      <c r="AB1075" s="7" t="inlineStr">
        <is>
          <t>^TeslaWeapon, ^MagicWeapon, ^EMPDamage</t>
        </is>
      </c>
    </row>
    <row r="1076">
      <c r="B1076" s="7" t="inlineStr">
        <is>
          <t xml:space="preserve">  ↳ Hakureiring2</t>
        </is>
      </c>
      <c r="C1076" s="7" t="inlineStr">
        <is>
          <t>Armament@Special</t>
        </is>
      </c>
      <c r="L1076" s="6" t="n">
        <v>120000</v>
      </c>
      <c r="M1076" s="6" t="n">
        <v>100</v>
      </c>
      <c r="N1076" s="6" t="n">
        <v>1</v>
      </c>
      <c r="O1076" s="6" t="n">
        <v>10</v>
      </c>
      <c r="P1076" s="6" t="n">
        <v>6666</v>
      </c>
      <c r="Q1076" s="6" t="n">
        <v>1</v>
      </c>
      <c r="R1076">
        <f>M1076+IF(N1076&gt;1,N(O1076)*(N1076-1),0)</f>
        <v/>
      </c>
      <c r="S1076">
        <f>IFERROR(L1076*MAX(N1076,1)/R1076*Q1076*IF(ISBLANK(K1074),1,K1074),0)</f>
        <v/>
      </c>
      <c r="AB1076" s="7" t="inlineStr">
        <is>
          <t>^TeslaWeapon, ^MagicWeapon, ^EMPDamage</t>
        </is>
      </c>
    </row>
    <row r="1077">
      <c r="B1077" s="7" t="inlineStr">
        <is>
          <t xml:space="preserve">  ↳ Hakureiring</t>
        </is>
      </c>
      <c r="C1077" s="7" t="inlineStr">
        <is>
          <t>Armament@GARRISONED</t>
        </is>
      </c>
      <c r="L1077" s="6" t="n">
        <v>10000</v>
      </c>
      <c r="M1077" s="6" t="n">
        <v>30</v>
      </c>
      <c r="N1077" s="6" t="n">
        <v>3</v>
      </c>
      <c r="O1077" s="6" t="n">
        <v>10</v>
      </c>
      <c r="P1077" s="6" t="n">
        <v>6666</v>
      </c>
      <c r="Q1077" s="6" t="n">
        <v>1</v>
      </c>
      <c r="R1077">
        <f>M1077+IF(N1077&gt;1,N(O1077)*(N1077-1),0)</f>
        <v/>
      </c>
      <c r="S1077">
        <f>IFERROR(L1077*MAX(N1077,1)/R1077*Q1077*IF(ISBLANK(K1074),1,K1074),0)</f>
        <v/>
      </c>
      <c r="AB1077" s="7" t="inlineStr">
        <is>
          <t>^TeslaWeapon, ^MagicWeapon, ^EMPDamage</t>
        </is>
      </c>
    </row>
    <row r="1078">
      <c r="B1078" s="7" t="inlineStr">
        <is>
          <t xml:space="preserve">  ↳ Hakureiring2</t>
        </is>
      </c>
      <c r="C1078" s="7" t="inlineStr">
        <is>
          <t>Armament@GARRISONEDSpecial</t>
        </is>
      </c>
      <c r="L1078" s="6" t="n">
        <v>120000</v>
      </c>
      <c r="M1078" s="6" t="n">
        <v>100</v>
      </c>
      <c r="N1078" s="6" t="n">
        <v>1</v>
      </c>
      <c r="O1078" s="6" t="n">
        <v>10</v>
      </c>
      <c r="P1078" s="6" t="n">
        <v>6666</v>
      </c>
      <c r="Q1078" s="6" t="n">
        <v>1</v>
      </c>
      <c r="R1078">
        <f>M1078+IF(N1078&gt;1,N(O1078)*(N1078-1),0)</f>
        <v/>
      </c>
      <c r="S1078">
        <f>IFERROR(L1078*MAX(N1078,1)/R1078*Q1078*IF(ISBLANK(K1074),1,K1074),0)</f>
        <v/>
      </c>
      <c r="AB1078" s="7" t="inlineStr">
        <is>
          <t>^TeslaWeapon, ^MagicWeapon, ^EMPDamage</t>
        </is>
      </c>
    </row>
    <row r="1079">
      <c r="A1079" t="inlineStr">
        <is>
          <t>redalert</t>
        </is>
      </c>
      <c r="B1079" t="inlineStr">
        <is>
          <t>ra1_soviets_volkov</t>
        </is>
      </c>
      <c r="C1079" t="inlineStr">
        <is>
          <t>Volkov</t>
        </is>
      </c>
      <c r="D1079" s="6" t="inlineStr">
        <is>
          <t>HeroInfantry</t>
        </is>
      </c>
      <c r="E1079" s="6" t="n">
        <v>400000</v>
      </c>
      <c r="F1079" s="6" t="n">
        <v>55</v>
      </c>
      <c r="G1079" t="inlineStr">
        <is>
          <t>Heroic</t>
        </is>
      </c>
      <c r="H1079" s="6" t="n">
        <v>0.75</v>
      </c>
      <c r="I1079" s="6" t="n">
        <v>1</v>
      </c>
      <c r="J1079" s="6" t="n">
        <v>1</v>
      </c>
      <c r="K1079" s="6" t="n"/>
      <c r="P1079">
        <f>MAX(P1080,P1081,P1082,P1083,P1084,P1085)</f>
        <v/>
      </c>
      <c r="S1079">
        <f>S1080+S1081+S1082+S1083+S1084+S1085</f>
        <v/>
      </c>
      <c r="T1079">
        <f>(E1079/100000+F1079/100+(P1079/1000)*J1079/5+S1079/200)*200*I1079*H1079</f>
        <v/>
      </c>
      <c r="U1079">
        <f>((E1079*F1079/25000)+((P1079/1000)*J1079*S1079/2.5))*I1079*H1079</f>
        <v/>
      </c>
      <c r="V1079">
        <f>(E1079*F1079*(P1079/1000)*J1079*S1079*I1079*H1079)/12500000</f>
        <v/>
      </c>
      <c r="W1079">
        <f>(T1079+U1079+V1079)/3</f>
        <v/>
      </c>
      <c r="X1079" s="6" t="n">
        <v>10000</v>
      </c>
      <c r="Y1079">
        <f>IFERROR(W1079-X1079,"")</f>
        <v/>
      </c>
      <c r="Z1079">
        <f>IFERROR(ABS(Y1079)/MAX(X1079,1),"")</f>
        <v/>
      </c>
      <c r="AA1079">
        <f>IFERROR((X1079-(((E1079/100000+F1079/100+S1079/200)*200*I1079*H1079)+((E1079*F1079/25000)*I1079*H1079))/3)/(((J1079/5)*200*I1079*H1079)+((J1079*S1079/2.5)*I1079*H1079)+((E1079*F1079*J1079*S1079*I1079*H1079)/12500000))/3*1000,"")</f>
        <v/>
      </c>
    </row>
    <row r="1080">
      <c r="B1080" s="7" t="inlineStr">
        <is>
          <t xml:space="preserve">  ↳ VolkovMagneticWeapon</t>
        </is>
      </c>
      <c r="C1080" s="7" t="inlineStr">
        <is>
          <t>Armament</t>
        </is>
      </c>
      <c r="L1080" s="6" t="n">
        <v>10000</v>
      </c>
      <c r="M1080" s="6" t="n">
        <v>15</v>
      </c>
      <c r="N1080" s="6" t="n">
        <v>2</v>
      </c>
      <c r="O1080" s="6" t="n"/>
      <c r="P1080" s="6" t="n">
        <v>5400</v>
      </c>
      <c r="Q1080" s="6" t="n">
        <v>1.083333333333333</v>
      </c>
      <c r="R1080">
        <f>M1080+IF(N1080&gt;1,N(O1080)*(N1080-1),0)</f>
        <v/>
      </c>
      <c r="S1080">
        <f>IFERROR(L1080*MAX(N1080,1)/R1080*Q1080*IF(ISBLANK(K1079),1,K1079),0)</f>
        <v/>
      </c>
      <c r="AB1080" s="7" t="inlineStr">
        <is>
          <t>^HeavyCannon, ^MediumChemicalWeapon, ^Grenade</t>
        </is>
      </c>
    </row>
    <row r="1081">
      <c r="B1081" s="7" t="inlineStr">
        <is>
          <t xml:space="preserve">  ↳ VolkovMagneticWeaponTesla</t>
        </is>
      </c>
      <c r="C1081" s="7" t="inlineStr">
        <is>
          <t>Armament@Tesla</t>
        </is>
      </c>
      <c r="L1081" s="6" t="n">
        <v>8000</v>
      </c>
      <c r="M1081" s="6" t="n">
        <v>30</v>
      </c>
      <c r="N1081" s="6" t="n">
        <v>2</v>
      </c>
      <c r="O1081" s="6" t="n"/>
      <c r="P1081" s="6" t="n">
        <v>5660</v>
      </c>
      <c r="Q1081" s="6" t="n">
        <v>1.0625</v>
      </c>
      <c r="R1081">
        <f>M1081+IF(N1081&gt;1,N(O1081)*(N1081-1),0)</f>
        <v/>
      </c>
      <c r="S1081">
        <f>IFERROR(L1081*MAX(N1081,1)/R1081*Q1081*IF(ISBLANK(K1079),1,K1079),0)</f>
        <v/>
      </c>
      <c r="AB1081" s="7" t="inlineStr">
        <is>
          <t>^HeavyCannon, ^MediumChemicalWeapon, ^Grenade, ^TeslaWeapon</t>
        </is>
      </c>
    </row>
    <row r="1082">
      <c r="B1082" s="7" t="inlineStr">
        <is>
          <t xml:space="preserve">  ↳ VolkovMagneticWeaponNuclearShells</t>
        </is>
      </c>
      <c r="C1082" s="7" t="inlineStr">
        <is>
          <t>Armament@NuclearShells</t>
        </is>
      </c>
      <c r="L1082" s="6" t="n">
        <v>40000</v>
      </c>
      <c r="M1082" s="6" t="n">
        <v>40</v>
      </c>
      <c r="N1082" s="6" t="n">
        <v>1</v>
      </c>
      <c r="O1082" s="6" t="n"/>
      <c r="P1082" s="6" t="n">
        <v>5400</v>
      </c>
      <c r="Q1082" s="6" t="n">
        <v>2.0625</v>
      </c>
      <c r="R1082">
        <f>M1082+IF(N1082&gt;1,N(O1082)*(N1082-1),0)</f>
        <v/>
      </c>
      <c r="S1082">
        <f>IFERROR(L1082*MAX(N1082,1)/R1082*Q1082*IF(ISBLANK(K1079),1,K1079),0)</f>
        <v/>
      </c>
      <c r="AB1082" s="7" t="inlineStr">
        <is>
          <t>^NuclearWarhead, ^HeavyCannon, ^MediumChemicalWeapon, ^Grenade</t>
        </is>
      </c>
    </row>
    <row r="1083">
      <c r="B1083" s="7" t="inlineStr">
        <is>
          <t xml:space="preserve">  ↳ VolkovMagneticWeaponIncendiary</t>
        </is>
      </c>
      <c r="C1083" s="7" t="inlineStr">
        <is>
          <t>Armament@Incendiary</t>
        </is>
      </c>
      <c r="L1083" s="6" t="n">
        <v>10000</v>
      </c>
      <c r="M1083" s="6" t="n">
        <v>15</v>
      </c>
      <c r="N1083" s="6" t="n">
        <v>2</v>
      </c>
      <c r="O1083" s="6" t="n"/>
      <c r="P1083" s="6" t="n">
        <v>5400</v>
      </c>
      <c r="Q1083" s="6" t="n">
        <v>1.0625</v>
      </c>
      <c r="R1083">
        <f>M1083+IF(N1083&gt;1,N(O1083)*(N1083-1),0)</f>
        <v/>
      </c>
      <c r="S1083">
        <f>IFERROR(L1083*MAX(N1083,1)/R1083*Q1083*IF(ISBLANK(K1079),1,K1079),0)</f>
        <v/>
      </c>
      <c r="AB1083" s="7" t="inlineStr">
        <is>
          <t>^MediumFlameWeapon, ^HeavyCannon, ^MediumChemicalWeapon, ^Grenade, ^IncendiaryBulletProjectile</t>
        </is>
      </c>
    </row>
    <row r="1084">
      <c r="B1084" s="7" t="inlineStr">
        <is>
          <t xml:space="preserve">  ↳ VolkovMagneticWeaponIncendiaryTesla</t>
        </is>
      </c>
      <c r="C1084" s="7" t="inlineStr">
        <is>
          <t>Armament@IncendiaryTesla</t>
        </is>
      </c>
      <c r="L1084" s="6" t="n">
        <v>8000</v>
      </c>
      <c r="M1084" s="6" t="n">
        <v>30</v>
      </c>
      <c r="N1084" s="6" t="n">
        <v>2</v>
      </c>
      <c r="O1084" s="6" t="n"/>
      <c r="P1084" s="6" t="n">
        <v>5660</v>
      </c>
      <c r="Q1084" s="6" t="n">
        <v>1.05</v>
      </c>
      <c r="R1084">
        <f>M1084+IF(N1084&gt;1,N(O1084)*(N1084-1),0)</f>
        <v/>
      </c>
      <c r="S1084">
        <f>IFERROR(L1084*MAX(N1084,1)/R1084*Q1084*IF(ISBLANK(K1079),1,K1079),0)</f>
        <v/>
      </c>
      <c r="AB1084" s="7" t="inlineStr">
        <is>
          <t>^HeavyCannon, ^MediumChemicalWeapon, ^Grenade, ^MediumFlameWeapon, ^TeslaWeapon</t>
        </is>
      </c>
    </row>
    <row r="1085">
      <c r="B1085" s="7" t="inlineStr">
        <is>
          <t xml:space="preserve">  ↳ VolkovMagneticWeaponIncendiaryNuclearShells</t>
        </is>
      </c>
      <c r="C1085" s="7" t="inlineStr">
        <is>
          <t>Armament@IncendiaryNuclearShells</t>
        </is>
      </c>
      <c r="L1085" s="6" t="n">
        <v>40000</v>
      </c>
      <c r="M1085" s="6" t="n">
        <v>40</v>
      </c>
      <c r="N1085" s="6" t="n">
        <v>1</v>
      </c>
      <c r="O1085" s="6" t="n"/>
      <c r="P1085" s="6" t="n">
        <v>5400</v>
      </c>
      <c r="Q1085" s="6" t="n">
        <v>1.85</v>
      </c>
      <c r="R1085">
        <f>M1085+IF(N1085&gt;1,N(O1085)*(N1085-1),0)</f>
        <v/>
      </c>
      <c r="S1085">
        <f>IFERROR(L1085*MAX(N1085,1)/R1085*Q1085*IF(ISBLANK(K1079),1,K1079),0)</f>
        <v/>
      </c>
      <c r="AB1085" s="7" t="inlineStr">
        <is>
          <t>^MediumFlameWeapon, ^NuclearWarhead, ^HeavyCannon, ^MediumChemicalWeapon, ^Grenade</t>
        </is>
      </c>
    </row>
    <row r="1086">
      <c r="B1086" s="7" t="inlineStr">
        <is>
          <t xml:space="preserve">  ↳ VolkovMagneticWeapon</t>
        </is>
      </c>
      <c r="C1086" s="7" t="inlineStr">
        <is>
          <t>Armament@GARRISONED</t>
        </is>
      </c>
      <c r="L1086" s="6" t="n">
        <v>10000</v>
      </c>
      <c r="M1086" s="6" t="n">
        <v>15</v>
      </c>
      <c r="N1086" s="6" t="n">
        <v>2</v>
      </c>
      <c r="O1086" s="6" t="n"/>
      <c r="P1086" s="6" t="n">
        <v>5400</v>
      </c>
      <c r="Q1086" s="6" t="n">
        <v>1.083333333333333</v>
      </c>
      <c r="R1086">
        <f>M1086+IF(N1086&gt;1,N(O1086)*(N1086-1),0)</f>
        <v/>
      </c>
      <c r="S1086">
        <f>IFERROR(L1086*MAX(N1086,1)/R1086*Q1086*IF(ISBLANK(K1079),1,K1079),0)</f>
        <v/>
      </c>
      <c r="AB1086" s="7" t="inlineStr">
        <is>
          <t>^HeavyCannon, ^MediumChemicalWeapon, ^Grenade</t>
        </is>
      </c>
    </row>
    <row r="1087">
      <c r="B1087" s="7" t="inlineStr">
        <is>
          <t xml:space="preserve">  ↳ VolkovMagneticWeaponTesla</t>
        </is>
      </c>
      <c r="C1087" s="7" t="inlineStr">
        <is>
          <t>Armament@GARRISONEDTesla</t>
        </is>
      </c>
      <c r="L1087" s="6" t="n">
        <v>8000</v>
      </c>
      <c r="M1087" s="6" t="n">
        <v>30</v>
      </c>
      <c r="N1087" s="6" t="n">
        <v>2</v>
      </c>
      <c r="O1087" s="6" t="n"/>
      <c r="P1087" s="6" t="n">
        <v>5660</v>
      </c>
      <c r="Q1087" s="6" t="n">
        <v>1.0625</v>
      </c>
      <c r="R1087">
        <f>M1087+IF(N1087&gt;1,N(O1087)*(N1087-1),0)</f>
        <v/>
      </c>
      <c r="S1087">
        <f>IFERROR(L1087*MAX(N1087,1)/R1087*Q1087*IF(ISBLANK(K1079),1,K1079),0)</f>
        <v/>
      </c>
      <c r="AB1087" s="7" t="inlineStr">
        <is>
          <t>^HeavyCannon, ^MediumChemicalWeapon, ^Grenade, ^TeslaWeapon</t>
        </is>
      </c>
    </row>
    <row r="1088">
      <c r="B1088" s="7" t="inlineStr">
        <is>
          <t xml:space="preserve">  ↳ VolkovMagneticWeaponNuclearShells</t>
        </is>
      </c>
      <c r="C1088" s="7" t="inlineStr">
        <is>
          <t>Armament@GARRISONEDNuclearShells</t>
        </is>
      </c>
      <c r="L1088" s="6" t="n">
        <v>40000</v>
      </c>
      <c r="M1088" s="6" t="n">
        <v>40</v>
      </c>
      <c r="N1088" s="6" t="n">
        <v>1</v>
      </c>
      <c r="O1088" s="6" t="n"/>
      <c r="P1088" s="6" t="n">
        <v>5400</v>
      </c>
      <c r="Q1088" s="6" t="n">
        <v>2.0625</v>
      </c>
      <c r="R1088">
        <f>M1088+IF(N1088&gt;1,N(O1088)*(N1088-1),0)</f>
        <v/>
      </c>
      <c r="S1088">
        <f>IFERROR(L1088*MAX(N1088,1)/R1088*Q1088*IF(ISBLANK(K1079),1,K1079),0)</f>
        <v/>
      </c>
      <c r="AB1088" s="7" t="inlineStr">
        <is>
          <t>^NuclearWarhead, ^HeavyCannon, ^MediumChemicalWeapon, ^Grenade</t>
        </is>
      </c>
    </row>
    <row r="1089">
      <c r="B1089" s="7" t="inlineStr">
        <is>
          <t xml:space="preserve">  ↳ VolkovMagneticWeaponIncendiary</t>
        </is>
      </c>
      <c r="C1089" s="7" t="inlineStr">
        <is>
          <t>Armament@GARRISONEDIncendiary</t>
        </is>
      </c>
      <c r="L1089" s="6" t="n">
        <v>10000</v>
      </c>
      <c r="M1089" s="6" t="n">
        <v>15</v>
      </c>
      <c r="N1089" s="6" t="n">
        <v>2</v>
      </c>
      <c r="O1089" s="6" t="n"/>
      <c r="P1089" s="6" t="n">
        <v>5400</v>
      </c>
      <c r="Q1089" s="6" t="n">
        <v>1.0625</v>
      </c>
      <c r="R1089">
        <f>M1089+IF(N1089&gt;1,N(O1089)*(N1089-1),0)</f>
        <v/>
      </c>
      <c r="S1089">
        <f>IFERROR(L1089*MAX(N1089,1)/R1089*Q1089*IF(ISBLANK(K1079),1,K1079),0)</f>
        <v/>
      </c>
      <c r="AB1089" s="7" t="inlineStr">
        <is>
          <t>^MediumFlameWeapon, ^HeavyCannon, ^MediumChemicalWeapon, ^Grenade, ^IncendiaryBulletProjectile</t>
        </is>
      </c>
    </row>
    <row r="1090">
      <c r="B1090" s="7" t="inlineStr">
        <is>
          <t xml:space="preserve">  ↳ VolkovMagneticWeaponIncendiaryTesla</t>
        </is>
      </c>
      <c r="C1090" s="7" t="inlineStr">
        <is>
          <t>Armament@GARRISONEDIncendiaryTesla</t>
        </is>
      </c>
      <c r="L1090" s="6" t="n">
        <v>8000</v>
      </c>
      <c r="M1090" s="6" t="n">
        <v>30</v>
      </c>
      <c r="N1090" s="6" t="n">
        <v>2</v>
      </c>
      <c r="O1090" s="6" t="n"/>
      <c r="P1090" s="6" t="n">
        <v>5660</v>
      </c>
      <c r="Q1090" s="6" t="n">
        <v>1.05</v>
      </c>
      <c r="R1090">
        <f>M1090+IF(N1090&gt;1,N(O1090)*(N1090-1),0)</f>
        <v/>
      </c>
      <c r="S1090">
        <f>IFERROR(L1090*MAX(N1090,1)/R1090*Q1090*IF(ISBLANK(K1079),1,K1079),0)</f>
        <v/>
      </c>
      <c r="AB1090" s="7" t="inlineStr">
        <is>
          <t>^HeavyCannon, ^MediumChemicalWeapon, ^Grenade, ^MediumFlameWeapon, ^TeslaWeapon</t>
        </is>
      </c>
    </row>
    <row r="1091">
      <c r="B1091" s="7" t="inlineStr">
        <is>
          <t xml:space="preserve">  ↳ VolkovMagneticWeaponIncendiaryNuclearShells</t>
        </is>
      </c>
      <c r="C1091" s="7" t="inlineStr">
        <is>
          <t>Armament@GARRISONEDIncendiaryNuclearShells</t>
        </is>
      </c>
      <c r="L1091" s="6" t="n">
        <v>40000</v>
      </c>
      <c r="M1091" s="6" t="n">
        <v>40</v>
      </c>
      <c r="N1091" s="6" t="n">
        <v>1</v>
      </c>
      <c r="O1091" s="6" t="n"/>
      <c r="P1091" s="6" t="n">
        <v>5400</v>
      </c>
      <c r="Q1091" s="6" t="n">
        <v>1.85</v>
      </c>
      <c r="R1091">
        <f>M1091+IF(N1091&gt;1,N(O1091)*(N1091-1),0)</f>
        <v/>
      </c>
      <c r="S1091">
        <f>IFERROR(L1091*MAX(N1091,1)/R1091*Q1091*IF(ISBLANK(K1079),1,K1079),0)</f>
        <v/>
      </c>
      <c r="AB1091" s="7" t="inlineStr">
        <is>
          <t>^MediumFlameWeapon, ^NuclearWarhead, ^HeavyCannon, ^MediumChemicalWeapon, ^Grenade</t>
        </is>
      </c>
    </row>
    <row r="1092">
      <c r="A1092" t="inlineStr">
        <is>
          <t>redalert</t>
        </is>
      </c>
      <c r="B1092" t="inlineStr">
        <is>
          <t>ra1_allies_tanya</t>
        </is>
      </c>
      <c r="C1092" t="inlineStr">
        <is>
          <t>Tanya</t>
        </is>
      </c>
      <c r="D1092" s="6" t="inlineStr">
        <is>
          <t>HeroInfantry</t>
        </is>
      </c>
      <c r="E1092" s="6" t="n">
        <v>44000</v>
      </c>
      <c r="F1092" s="6" t="n">
        <v>77</v>
      </c>
      <c r="G1092" t="inlineStr">
        <is>
          <t>Heroic</t>
        </is>
      </c>
      <c r="H1092" s="6" t="n">
        <v>0.75</v>
      </c>
      <c r="I1092" s="6" t="n">
        <v>1</v>
      </c>
      <c r="J1092" s="6" t="n">
        <v>1.25</v>
      </c>
      <c r="K1092" s="6" t="n"/>
      <c r="P1092">
        <f>MAX(P1093,P1095,P1096)</f>
        <v/>
      </c>
      <c r="S1092">
        <f>S1093+S1095+S1096</f>
        <v/>
      </c>
      <c r="T1092">
        <f>(E1092/100000+F1092/100+(P1092/1000)*J1092/5+S1092/200)*200*I1092*H1092</f>
        <v/>
      </c>
      <c r="U1092">
        <f>((E1092*F1092/25000)+((P1092/1000)*J1092*S1092/2.5))*I1092*H1092</f>
        <v/>
      </c>
      <c r="V1092">
        <f>(E1092*F1092*(P1092/1000)*J1092*S1092*I1092*H1092)/12500000</f>
        <v/>
      </c>
      <c r="W1092">
        <f>(T1092+U1092+V1092)/3</f>
        <v/>
      </c>
      <c r="X1092" s="6" t="n">
        <v>3000</v>
      </c>
      <c r="Y1092">
        <f>IFERROR(W1092-X1092,"")</f>
        <v/>
      </c>
      <c r="Z1092">
        <f>IFERROR(ABS(Y1092)/MAX(X1092,1),"")</f>
        <v/>
      </c>
      <c r="AA1092">
        <f>IFERROR((X1092-(((E1092/100000+F1092/100+S1092/200)*200*I1092*H1092)+((E1092*F1092/25000)*I1092*H1092))/3)/(((J1092/5)*200*I1092*H1092)+((J1092*S1092/2.5)*I1092*H1092)+((E1092*F1092*J1092*S1092*I1092*H1092)/12500000))/3*1000,"")</f>
        <v/>
      </c>
    </row>
    <row r="1093">
      <c r="B1093" s="7" t="inlineStr">
        <is>
          <t xml:space="preserve">  ↳ Colt45</t>
        </is>
      </c>
      <c r="C1093" s="7" t="inlineStr">
        <is>
          <t>Armament@PRIMARY</t>
        </is>
      </c>
      <c r="L1093" s="6" t="n">
        <v>7777</v>
      </c>
      <c r="M1093" s="6" t="n">
        <v>7</v>
      </c>
      <c r="N1093" s="6" t="n">
        <v>2</v>
      </c>
      <c r="O1093" s="6" t="n">
        <v>0</v>
      </c>
      <c r="P1093" s="6" t="n">
        <v>7777</v>
      </c>
      <c r="Q1093" s="6" t="n">
        <v>0.75</v>
      </c>
      <c r="R1093">
        <f>M1093+IF(N1093&gt;1,N(O1093)*(N1093-1),0)</f>
        <v/>
      </c>
      <c r="S1093">
        <f>IFERROR(L1093*MAX(N1093,1)/R1093*Q1093*IF(ISBLANK(K1092),1,K1092),0)</f>
        <v/>
      </c>
      <c r="AB1093" s="7" t="inlineStr">
        <is>
          <t>^SniperWeapon</t>
        </is>
      </c>
    </row>
    <row r="1094">
      <c r="B1094" s="7" t="inlineStr">
        <is>
          <t xml:space="preserve">  ↳ Colt45</t>
        </is>
      </c>
      <c r="C1094" s="7" t="inlineStr">
        <is>
          <t>Armament@GARRISONED</t>
        </is>
      </c>
      <c r="L1094" s="6" t="n">
        <v>7777</v>
      </c>
      <c r="M1094" s="6" t="n">
        <v>7</v>
      </c>
      <c r="N1094" s="6" t="n">
        <v>2</v>
      </c>
      <c r="O1094" s="6" t="n">
        <v>0</v>
      </c>
      <c r="P1094" s="6" t="n">
        <v>7777</v>
      </c>
      <c r="Q1094" s="6" t="n">
        <v>0.75</v>
      </c>
      <c r="R1094">
        <f>M1094+IF(N1094&gt;1,N(O1094)*(N1094-1),0)</f>
        <v/>
      </c>
      <c r="S1094">
        <f>IFERROR(L1094*MAX(N1094,1)/R1094*Q1094*IF(ISBLANK(K1092),1,K1092),0)</f>
        <v/>
      </c>
      <c r="AB1094" s="7" t="inlineStr">
        <is>
          <t>^SniperWeapon</t>
        </is>
      </c>
    </row>
    <row r="1095">
      <c r="B1095" s="7" t="inlineStr">
        <is>
          <t xml:space="preserve">  ↳ TanyaAttach</t>
        </is>
      </c>
      <c r="C1095" s="7" t="inlineStr">
        <is>
          <t>Armament@c4</t>
        </is>
      </c>
      <c r="L1095" s="6" t="n"/>
      <c r="M1095" s="6" t="n">
        <v>20</v>
      </c>
      <c r="N1095" s="6" t="n">
        <v>1</v>
      </c>
      <c r="O1095" s="6" t="n"/>
      <c r="P1095" s="6" t="n">
        <v>2000</v>
      </c>
      <c r="Q1095" s="6" t="n">
        <v>1</v>
      </c>
      <c r="R1095">
        <f>M1095+IF(N1095&gt;1,N(O1095)*(N1095-1),0)</f>
        <v/>
      </c>
      <c r="S1095">
        <f>IFERROR(L1095*MAX(N1095,1)/R1095*Q1095*IF(ISBLANK(K1092),1,K1092),0)</f>
        <v/>
      </c>
      <c r="AB1095" s="7" t="inlineStr">
        <is>
          <t>IvanAttach</t>
        </is>
      </c>
    </row>
    <row r="1096">
      <c r="B1096" s="7" t="inlineStr">
        <is>
          <t xml:space="preserve">  ↳ GenericC4</t>
        </is>
      </c>
      <c r="C1096" s="7" t="inlineStr">
        <is>
          <t>Armament@c4building</t>
        </is>
      </c>
      <c r="L1096" s="6" t="n"/>
      <c r="M1096" s="6" t="n">
        <v>20</v>
      </c>
      <c r="N1096" s="6" t="n">
        <v>1</v>
      </c>
      <c r="O1096" s="6" t="n"/>
      <c r="P1096" s="6" t="n">
        <v>2000</v>
      </c>
      <c r="Q1096" s="6" t="n">
        <v>1</v>
      </c>
      <c r="R1096">
        <f>M1096+IF(N1096&gt;1,N(O1096)*(N1096-1),0)</f>
        <v/>
      </c>
      <c r="S1096">
        <f>IFERROR(L1096*MAX(N1096,1)/R1096*Q1096*IF(ISBLANK(K1092),1,K1092),0)</f>
        <v/>
      </c>
      <c r="AB1096" s="7" t="inlineStr"/>
    </row>
    <row r="1097">
      <c r="A1097" t="inlineStr">
        <is>
          <t>tiberiansun</t>
        </is>
      </c>
      <c r="B1097" t="inlineStr">
        <is>
          <t>ts_nod_shotguncommando</t>
        </is>
      </c>
      <c r="C1097" t="inlineStr">
        <is>
          <t>Shotgun Commando</t>
        </is>
      </c>
      <c r="D1097" s="6" t="inlineStr">
        <is>
          <t>HeroInfantry</t>
        </is>
      </c>
      <c r="E1097" s="6" t="n">
        <v>100000</v>
      </c>
      <c r="F1097" s="6" t="n">
        <v>80</v>
      </c>
      <c r="G1097" t="inlineStr">
        <is>
          <t>Heroic</t>
        </is>
      </c>
      <c r="H1097" s="6" t="n">
        <v>1</v>
      </c>
      <c r="I1097" s="6" t="n">
        <v>1</v>
      </c>
      <c r="J1097" s="6" t="n">
        <v>1</v>
      </c>
      <c r="K1097" s="6" t="n"/>
      <c r="P1097">
        <f>MAX(P1098)</f>
        <v/>
      </c>
      <c r="S1097">
        <f>S1098</f>
        <v/>
      </c>
      <c r="T1097">
        <f>(E1097/100000+F1097/100+(P1097/1000)*J1097/5+S1097/200)*200*I1097*H1097</f>
        <v/>
      </c>
      <c r="U1097">
        <f>((E1097*F1097/25000)+((P1097/1000)*J1097*S1097/2.5))*I1097*H1097</f>
        <v/>
      </c>
      <c r="V1097">
        <f>(E1097*F1097*(P1097/1000)*J1097*S1097*I1097*H1097)/12500000</f>
        <v/>
      </c>
      <c r="W1097">
        <f>(T1097+U1097+V1097)/3</f>
        <v/>
      </c>
      <c r="X1097" s="6" t="n">
        <v>3000</v>
      </c>
      <c r="Y1097">
        <f>IFERROR(W1097-X1097,"")</f>
        <v/>
      </c>
      <c r="Z1097">
        <f>IFERROR(ABS(Y1097)/MAX(X1097,1),"")</f>
        <v/>
      </c>
      <c r="AA1097">
        <f>IFERROR((X1097-(((E1097/100000+F1097/100+S1097/200)*200*I1097*H1097)+((E1097*F1097/25000)*I1097*H1097))/3)/(((J1097/5)*200*I1097*H1097)+((J1097*S1097/2.5)*I1097*H1097)+((E1097*F1097*J1097*S1097*I1097*H1097)/12500000))/3*1000,"")</f>
        <v/>
      </c>
    </row>
    <row r="1098">
      <c r="B1098" s="7" t="inlineStr">
        <is>
          <t xml:space="preserve">  ↳ TSCommandoShotgun</t>
        </is>
      </c>
      <c r="C1098" s="7" t="inlineStr">
        <is>
          <t>Armament@PRIMARY</t>
        </is>
      </c>
      <c r="L1098" s="6" t="n">
        <v>8000</v>
      </c>
      <c r="M1098" s="6" t="n">
        <v>20</v>
      </c>
      <c r="N1098" s="6" t="n">
        <v>1</v>
      </c>
      <c r="O1098" s="6" t="n"/>
      <c r="P1098" s="6" t="n">
        <v>4146</v>
      </c>
      <c r="Q1098" s="6" t="n">
        <v>0.95</v>
      </c>
      <c r="R1098">
        <f>M1098+IF(N1098&gt;1,N(O1098)*(N1098-1),0)</f>
        <v/>
      </c>
      <c r="S1098">
        <f>IFERROR(L1098*MAX(N1098,1)/R1098*Q1098*IF(ISBLANK(K1097),1,K1097),0)</f>
        <v/>
      </c>
      <c r="AB1098" s="7" t="inlineStr">
        <is>
          <t>^Grenade, ^ShrapnelWeapon, ^TankDestroyerCannon, ^MediumCannon, ^SmallArms, ^Chaingun</t>
        </is>
      </c>
    </row>
    <row r="1099">
      <c r="B1099" s="7" t="inlineStr">
        <is>
          <t xml:space="preserve">  ↳ TSCommandoShotgun</t>
        </is>
      </c>
      <c r="C1099" s="7" t="inlineStr">
        <is>
          <t>Armament@GARRISONED</t>
        </is>
      </c>
      <c r="L1099" s="6" t="n">
        <v>8000</v>
      </c>
      <c r="M1099" s="6" t="n">
        <v>20</v>
      </c>
      <c r="N1099" s="6" t="n">
        <v>1</v>
      </c>
      <c r="O1099" s="6" t="n"/>
      <c r="P1099" s="6" t="n">
        <v>4146</v>
      </c>
      <c r="Q1099" s="6" t="n">
        <v>0.95</v>
      </c>
      <c r="R1099">
        <f>M1099+IF(N1099&gt;1,N(O1099)*(N1099-1),0)</f>
        <v/>
      </c>
      <c r="S1099">
        <f>IFERROR(L1099*MAX(N1099,1)/R1099*Q1099*IF(ISBLANK(K1097),1,K1097),0)</f>
        <v/>
      </c>
      <c r="AB1099" s="7" t="inlineStr">
        <is>
          <t>^Grenade, ^ShrapnelWeapon, ^TankDestroyerCannon, ^MediumCannon, ^SmallArms, ^Chaingun</t>
        </is>
      </c>
    </row>
    <row r="1100">
      <c r="A1100" t="inlineStr">
        <is>
          <t>tiberiansun</t>
        </is>
      </c>
      <c r="B1100" t="inlineStr">
        <is>
          <t>ts_gdi_railguncommando</t>
        </is>
      </c>
      <c r="C1100" t="inlineStr">
        <is>
          <t>Railgun Commando</t>
        </is>
      </c>
      <c r="D1100" s="6" t="inlineStr">
        <is>
          <t>HeroInfantry</t>
        </is>
      </c>
      <c r="E1100" s="6" t="n">
        <v>100000</v>
      </c>
      <c r="F1100" s="6" t="n">
        <v>60</v>
      </c>
      <c r="G1100" t="inlineStr">
        <is>
          <t>Heroic</t>
        </is>
      </c>
      <c r="H1100" s="6" t="n">
        <v>1</v>
      </c>
      <c r="I1100" s="6" t="n">
        <v>1</v>
      </c>
      <c r="J1100" s="6" t="n">
        <v>1</v>
      </c>
      <c r="K1100" s="6" t="n"/>
      <c r="P1100">
        <f>MAX(P1101,P1102)</f>
        <v/>
      </c>
      <c r="S1100">
        <f>S1101+S1102</f>
        <v/>
      </c>
      <c r="T1100">
        <f>(E1100/100000+F1100/100+(P1100/1000)*J1100/5+S1100/200)*200*I1100*H1100</f>
        <v/>
      </c>
      <c r="U1100">
        <f>((E1100*F1100/25000)+((P1100/1000)*J1100*S1100/2.5))*I1100*H1100</f>
        <v/>
      </c>
      <c r="V1100">
        <f>(E1100*F1100*(P1100/1000)*J1100*S1100*I1100*H1100)/12500000</f>
        <v/>
      </c>
      <c r="W1100">
        <f>(T1100+U1100+V1100)/3</f>
        <v/>
      </c>
      <c r="X1100" s="6" t="n">
        <v>5000</v>
      </c>
      <c r="Y1100">
        <f>IFERROR(W1100-X1100,"")</f>
        <v/>
      </c>
      <c r="Z1100">
        <f>IFERROR(ABS(Y1100)/MAX(X1100,1),"")</f>
        <v/>
      </c>
      <c r="AA1100">
        <f>IFERROR((X1100-(((E1100/100000+F1100/100+S1100/200)*200*I1100*H1100)+((E1100*F1100/25000)*I1100*H1100))/3)/(((J1100/5)*200*I1100*H1100)+((J1100*S1100/2.5)*I1100*H1100)+((E1100*F1100*J1100*S1100*I1100*H1100)/12500000))/3*1000,"")</f>
        <v/>
      </c>
    </row>
    <row r="1101">
      <c r="B1101" s="7" t="inlineStr">
        <is>
          <t xml:space="preserve">  ↳ TSCommandoRailgun</t>
        </is>
      </c>
      <c r="C1101" s="7" t="inlineStr">
        <is>
          <t>Armament@PRIMARY</t>
        </is>
      </c>
      <c r="L1101" s="6" t="n">
        <v>40000</v>
      </c>
      <c r="M1101" s="6" t="n">
        <v>52</v>
      </c>
      <c r="N1101" s="6" t="n">
        <v>3</v>
      </c>
      <c r="O1101" s="6" t="n">
        <v>4</v>
      </c>
      <c r="P1101" s="6" t="n">
        <v>7563</v>
      </c>
      <c r="Q1101" s="6" t="n">
        <v>1.25</v>
      </c>
      <c r="R1101">
        <f>M1101+IF(N1101&gt;1,N(O1101)*(N1101-1),0)</f>
        <v/>
      </c>
      <c r="S1101">
        <f>IFERROR(L1101*MAX(N1101,1)/R1101*Q1101*IF(ISBLANK(K1100),1,K1100),0)</f>
        <v/>
      </c>
      <c r="AB1101" s="7" t="inlineStr">
        <is>
          <t>^RailgunWeapon</t>
        </is>
      </c>
    </row>
    <row r="1102">
      <c r="B1102" s="7" t="inlineStr">
        <is>
          <t xml:space="preserve">  ↳ TSCommandoRailgunRail</t>
        </is>
      </c>
      <c r="C1102" s="7" t="inlineStr">
        <is>
          <t>Armament@Upgrade</t>
        </is>
      </c>
      <c r="L1102" s="6" t="n">
        <v>40000</v>
      </c>
      <c r="M1102" s="6" t="n">
        <v>52</v>
      </c>
      <c r="N1102" s="6" t="n">
        <v>5</v>
      </c>
      <c r="O1102" s="6" t="n">
        <v>4</v>
      </c>
      <c r="P1102" s="6" t="n">
        <v>7563</v>
      </c>
      <c r="Q1102" s="6" t="n">
        <v>1.25</v>
      </c>
      <c r="R1102">
        <f>M1102+IF(N1102&gt;1,N(O1102)*(N1102-1),0)</f>
        <v/>
      </c>
      <c r="S1102">
        <f>IFERROR(L1102*MAX(N1102,1)/R1102*Q1102*IF(ISBLANK(K1100),1,K1100),0)</f>
        <v/>
      </c>
      <c r="AB1102" s="7" t="inlineStr">
        <is>
          <t>^RailgunWeapon</t>
        </is>
      </c>
    </row>
    <row r="1103">
      <c r="B1103" s="7" t="inlineStr">
        <is>
          <t xml:space="preserve">  ↳ TSCommandoRailgun</t>
        </is>
      </c>
      <c r="C1103" s="7" t="inlineStr">
        <is>
          <t>Armament@GARRISONED</t>
        </is>
      </c>
      <c r="L1103" s="6" t="n">
        <v>40000</v>
      </c>
      <c r="M1103" s="6" t="n">
        <v>52</v>
      </c>
      <c r="N1103" s="6" t="n">
        <v>3</v>
      </c>
      <c r="O1103" s="6" t="n">
        <v>4</v>
      </c>
      <c r="P1103" s="6" t="n">
        <v>7563</v>
      </c>
      <c r="Q1103" s="6" t="n">
        <v>1.25</v>
      </c>
      <c r="R1103">
        <f>M1103+IF(N1103&gt;1,N(O1103)*(N1103-1),0)</f>
        <v/>
      </c>
      <c r="S1103">
        <f>IFERROR(L1103*MAX(N1103,1)/R1103*Q1103*IF(ISBLANK(K1100),1,K1100),0)</f>
        <v/>
      </c>
      <c r="AB1103" s="7" t="inlineStr">
        <is>
          <t>^RailgunWeapon</t>
        </is>
      </c>
    </row>
    <row r="1104">
      <c r="B1104" s="7" t="inlineStr">
        <is>
          <t xml:space="preserve">  ↳ TSCommandoRailgunRail</t>
        </is>
      </c>
      <c r="C1104" s="7" t="inlineStr">
        <is>
          <t>Armament@UpgradeGARRISONED</t>
        </is>
      </c>
      <c r="L1104" s="6" t="n">
        <v>40000</v>
      </c>
      <c r="M1104" s="6" t="n">
        <v>52</v>
      </c>
      <c r="N1104" s="6" t="n">
        <v>5</v>
      </c>
      <c r="O1104" s="6" t="n">
        <v>4</v>
      </c>
      <c r="P1104" s="6" t="n">
        <v>7563</v>
      </c>
      <c r="Q1104" s="6" t="n">
        <v>1.25</v>
      </c>
      <c r="R1104">
        <f>M1104+IF(N1104&gt;1,N(O1104)*(N1104-1),0)</f>
        <v/>
      </c>
      <c r="S1104">
        <f>IFERROR(L1104*MAX(N1104,1)/R1104*Q1104*IF(ISBLANK(K1100),1,K1100),0)</f>
        <v/>
      </c>
      <c r="AB1104" s="7" t="inlineStr">
        <is>
          <t>^RailgunWeapon</t>
        </is>
      </c>
    </row>
    <row r="1105">
      <c r="A1105" t="inlineStr">
        <is>
          <t>tiberiansun</t>
        </is>
      </c>
      <c r="B1105" t="inlineStr">
        <is>
          <t>forgotten_ghoststalker</t>
        </is>
      </c>
      <c r="C1105" t="inlineStr">
        <is>
          <t>actor_forgotten_ghoststalker.name</t>
        </is>
      </c>
      <c r="D1105" s="6" t="inlineStr">
        <is>
          <t>HeroInfantry</t>
        </is>
      </c>
      <c r="E1105" s="6" t="n">
        <v>100000</v>
      </c>
      <c r="F1105" s="6" t="n">
        <v>62</v>
      </c>
      <c r="G1105" t="inlineStr">
        <is>
          <t>Heroic</t>
        </is>
      </c>
      <c r="H1105" s="6" t="n">
        <v>1</v>
      </c>
      <c r="I1105" s="6" t="n">
        <v>1</v>
      </c>
      <c r="J1105" s="6" t="n">
        <v>1</v>
      </c>
      <c r="K1105" s="6" t="n"/>
      <c r="P1105">
        <f>MAX(P1106,P1107,P1108)</f>
        <v/>
      </c>
      <c r="S1105">
        <f>S1106+S1107+S1108</f>
        <v/>
      </c>
      <c r="T1105">
        <f>(E1105/100000+F1105/100+(P1105/1000)*J1105/5+S1105/200)*200*I1105*H1105</f>
        <v/>
      </c>
      <c r="U1105">
        <f>((E1105*F1105/25000)+((P1105/1000)*J1105*S1105/2.5))*I1105*H1105</f>
        <v/>
      </c>
      <c r="V1105">
        <f>(E1105*F1105*(P1105/1000)*J1105*S1105*I1105*H1105)/12500000</f>
        <v/>
      </c>
      <c r="W1105">
        <f>(T1105+U1105+V1105)/3</f>
        <v/>
      </c>
      <c r="X1105" s="6" t="n">
        <v>4000</v>
      </c>
      <c r="Y1105">
        <f>IFERROR(W1105-X1105,"")</f>
        <v/>
      </c>
      <c r="Z1105">
        <f>IFERROR(ABS(Y1105)/MAX(X1105,1),"")</f>
        <v/>
      </c>
      <c r="AA1105">
        <f>IFERROR((X1105-(((E1105/100000+F1105/100+S1105/200)*200*I1105*H1105)+((E1105*F1105/25000)*I1105*H1105))/3)/(((J1105/5)*200*I1105*H1105)+((J1105*S1105/2.5)*I1105*H1105)+((E1105*F1105*J1105*S1105*I1105*H1105)/12500000))/3*1000,"")</f>
        <v/>
      </c>
    </row>
    <row r="1106">
      <c r="B1106" s="7" t="inlineStr">
        <is>
          <t xml:space="preserve">  ↳ TSGhostGun</t>
        </is>
      </c>
      <c r="C1106" s="7" t="inlineStr">
        <is>
          <t>Armament@PRIMARY</t>
        </is>
      </c>
      <c r="L1106" s="6" t="n">
        <v>20000</v>
      </c>
      <c r="M1106" s="6" t="n">
        <v>25</v>
      </c>
      <c r="N1106" s="6" t="n">
        <v>1</v>
      </c>
      <c r="O1106" s="6" t="n"/>
      <c r="P1106" s="6" t="n">
        <v>9557</v>
      </c>
      <c r="Q1106" s="6" t="n">
        <v>0.75</v>
      </c>
      <c r="R1106">
        <f>M1106+IF(N1106&gt;1,N(O1106)*(N1106-1),0)</f>
        <v/>
      </c>
      <c r="S1106">
        <f>IFERROR(L1106*MAX(N1106,1)/R1106*Q1106*IF(ISBLANK(K1105),1,K1105),0)</f>
        <v/>
      </c>
      <c r="AB1106" s="7" t="inlineStr">
        <is>
          <t>^LightChemicalWeapon</t>
        </is>
      </c>
    </row>
    <row r="1107">
      <c r="B1107" s="7" t="inlineStr">
        <is>
          <t xml:space="preserve">  ↳ TSChemGhostGun</t>
        </is>
      </c>
      <c r="C1107" s="7" t="inlineStr">
        <is>
          <t>Armament@UPGRADE</t>
        </is>
      </c>
      <c r="L1107" s="6" t="n">
        <v>20000</v>
      </c>
      <c r="M1107" s="6" t="n">
        <v>25</v>
      </c>
      <c r="N1107" s="6" t="n">
        <v>1</v>
      </c>
      <c r="O1107" s="6" t="n"/>
      <c r="P1107" s="6" t="n">
        <v>9557</v>
      </c>
      <c r="Q1107" s="6" t="n">
        <v>0.875</v>
      </c>
      <c r="R1107">
        <f>M1107+IF(N1107&gt;1,N(O1107)*(N1107-1),0)</f>
        <v/>
      </c>
      <c r="S1107">
        <f>IFERROR(L1107*MAX(N1107,1)/R1107*Q1107*IF(ISBLANK(K1105),1,K1105),0)</f>
        <v/>
      </c>
      <c r="AB1107" s="7" t="inlineStr">
        <is>
          <t>^LightChemicalWeapon, ^MediumChemicalWeapon</t>
        </is>
      </c>
    </row>
    <row r="1108">
      <c r="B1108" s="7" t="inlineStr">
        <is>
          <t xml:space="preserve">  ↳ GenericC4</t>
        </is>
      </c>
      <c r="C1108" s="7" t="inlineStr">
        <is>
          <t>Armament@c4</t>
        </is>
      </c>
      <c r="L1108" s="6" t="n"/>
      <c r="M1108" s="6" t="n">
        <v>20</v>
      </c>
      <c r="N1108" s="6" t="n">
        <v>1</v>
      </c>
      <c r="O1108" s="6" t="n"/>
      <c r="P1108" s="6" t="n">
        <v>2000</v>
      </c>
      <c r="Q1108" s="6" t="n">
        <v>1</v>
      </c>
      <c r="R1108">
        <f>M1108+IF(N1108&gt;1,N(O1108)*(N1108-1),0)</f>
        <v/>
      </c>
      <c r="S1108">
        <f>IFERROR(L1108*MAX(N1108,1)/R1108*Q1108*IF(ISBLANK(K1105),1,K1105),0)</f>
        <v/>
      </c>
      <c r="AB1108" s="7" t="inlineStr"/>
    </row>
    <row r="1109">
      <c r="B1109" s="7" t="inlineStr">
        <is>
          <t xml:space="preserve">  ↳ TSGhostGun</t>
        </is>
      </c>
      <c r="C1109" s="7" t="inlineStr">
        <is>
          <t>Armament@GARRISONED</t>
        </is>
      </c>
      <c r="L1109" s="6" t="n">
        <v>20000</v>
      </c>
      <c r="M1109" s="6" t="n">
        <v>25</v>
      </c>
      <c r="N1109" s="6" t="n">
        <v>1</v>
      </c>
      <c r="O1109" s="6" t="n"/>
      <c r="P1109" s="6" t="n">
        <v>9557</v>
      </c>
      <c r="Q1109" s="6" t="n">
        <v>0.75</v>
      </c>
      <c r="R1109">
        <f>M1109+IF(N1109&gt;1,N(O1109)*(N1109-1),0)</f>
        <v/>
      </c>
      <c r="S1109">
        <f>IFERROR(L1109*MAX(N1109,1)/R1109*Q1109*IF(ISBLANK(K1105),1,K1105),0)</f>
        <v/>
      </c>
      <c r="AB1109" s="7" t="inlineStr">
        <is>
          <t>^LightChemicalWeapon</t>
        </is>
      </c>
    </row>
    <row r="1110">
      <c r="B1110" s="7" t="inlineStr">
        <is>
          <t xml:space="preserve">  ↳ TSChemGhostGun</t>
        </is>
      </c>
      <c r="C1110" s="7" t="inlineStr">
        <is>
          <t>Armament@UPGRADEGARRISONED</t>
        </is>
      </c>
      <c r="L1110" s="6" t="n">
        <v>20000</v>
      </c>
      <c r="M1110" s="6" t="n">
        <v>25</v>
      </c>
      <c r="N1110" s="6" t="n">
        <v>1</v>
      </c>
      <c r="O1110" s="6" t="n"/>
      <c r="P1110" s="6" t="n">
        <v>9557</v>
      </c>
      <c r="Q1110" s="6" t="n">
        <v>0.875</v>
      </c>
      <c r="R1110">
        <f>M1110+IF(N1110&gt;1,N(O1110)*(N1110-1),0)</f>
        <v/>
      </c>
      <c r="S1110">
        <f>IFERROR(L1110*MAX(N1110,1)/R1110*Q1110*IF(ISBLANK(K1105),1,K1105),0)</f>
        <v/>
      </c>
      <c r="AB1110" s="7" t="inlineStr">
        <is>
          <t>^LightChemicalWeapon, ^MediumChemicalWeapon</t>
        </is>
      </c>
    </row>
    <row r="1111">
      <c r="A1111" t="inlineStr">
        <is>
          <t>tiberiansun</t>
        </is>
      </c>
      <c r="B1111" t="inlineStr">
        <is>
          <t>forgotten_ghoststalker_r4</t>
        </is>
      </c>
      <c r="C1111" t="inlineStr">
        <is>
          <t>actor_forgotten_ghoststalker.name</t>
        </is>
      </c>
      <c r="D1111" s="6" t="inlineStr">
        <is>
          <t>HeroInfantry</t>
        </is>
      </c>
      <c r="E1111" s="6" t="n">
        <v>100000</v>
      </c>
      <c r="F1111" s="6" t="n">
        <v>62</v>
      </c>
      <c r="G1111" t="inlineStr">
        <is>
          <t>Heroic</t>
        </is>
      </c>
      <c r="H1111" s="6" t="n">
        <v>1</v>
      </c>
      <c r="I1111" s="6" t="n">
        <v>1</v>
      </c>
      <c r="J1111" s="6" t="n">
        <v>1</v>
      </c>
      <c r="K1111" s="6" t="n"/>
      <c r="P1111">
        <f>MAX(P1112,P1113,P1114)</f>
        <v/>
      </c>
      <c r="S1111">
        <f>S1112+S1113+S1114</f>
        <v/>
      </c>
      <c r="T1111">
        <f>(E1111/100000+F1111/100+(P1111/1000)*J1111/5+S1111/200)*200*I1111*H1111</f>
        <v/>
      </c>
      <c r="U1111">
        <f>((E1111*F1111/25000)+((P1111/1000)*J1111*S1111/2.5))*I1111*H1111</f>
        <v/>
      </c>
      <c r="V1111">
        <f>(E1111*F1111*(P1111/1000)*J1111*S1111*I1111*H1111)/12500000</f>
        <v/>
      </c>
      <c r="W1111">
        <f>(T1111+U1111+V1111)/3</f>
        <v/>
      </c>
      <c r="X1111" s="6" t="n">
        <v>4000</v>
      </c>
      <c r="Y1111">
        <f>IFERROR(W1111-X1111,"")</f>
        <v/>
      </c>
      <c r="Z1111">
        <f>IFERROR(ABS(Y1111)/MAX(X1111,1),"")</f>
        <v/>
      </c>
      <c r="AA1111">
        <f>IFERROR((X1111-(((E1111/100000+F1111/100+S1111/200)*200*I1111*H1111)+((E1111*F1111/25000)*I1111*H1111))/3)/(((J1111/5)*200*I1111*H1111)+((J1111*S1111/2.5)*I1111*H1111)+((E1111*F1111*J1111*S1111*I1111*H1111)/12500000))/3*1000,"")</f>
        <v/>
      </c>
    </row>
    <row r="1112">
      <c r="B1112" s="7" t="inlineStr">
        <is>
          <t xml:space="preserve">  ↳ TSGhostGun</t>
        </is>
      </c>
      <c r="C1112" s="7" t="inlineStr">
        <is>
          <t>Armament@PRIMARY</t>
        </is>
      </c>
      <c r="L1112" s="6" t="n">
        <v>20000</v>
      </c>
      <c r="M1112" s="6" t="n">
        <v>25</v>
      </c>
      <c r="N1112" s="6" t="n">
        <v>1</v>
      </c>
      <c r="O1112" s="6" t="n"/>
      <c r="P1112" s="6" t="n">
        <v>9557</v>
      </c>
      <c r="Q1112" s="6" t="n">
        <v>0.75</v>
      </c>
      <c r="R1112">
        <f>M1112+IF(N1112&gt;1,N(O1112)*(N1112-1),0)</f>
        <v/>
      </c>
      <c r="S1112">
        <f>IFERROR(L1112*MAX(N1112,1)/R1112*Q1112*IF(ISBLANK(K1111),1,K1111),0)</f>
        <v/>
      </c>
      <c r="AB1112" s="7" t="inlineStr">
        <is>
          <t>^LightChemicalWeapon</t>
        </is>
      </c>
    </row>
    <row r="1113">
      <c r="B1113" s="7" t="inlineStr">
        <is>
          <t xml:space="preserve">  ↳ TSChemGhostGun</t>
        </is>
      </c>
      <c r="C1113" s="7" t="inlineStr">
        <is>
          <t>Armament@UPGRADE</t>
        </is>
      </c>
      <c r="L1113" s="6" t="n">
        <v>20000</v>
      </c>
      <c r="M1113" s="6" t="n">
        <v>25</v>
      </c>
      <c r="N1113" s="6" t="n">
        <v>1</v>
      </c>
      <c r="O1113" s="6" t="n"/>
      <c r="P1113" s="6" t="n">
        <v>9557</v>
      </c>
      <c r="Q1113" s="6" t="n">
        <v>0.875</v>
      </c>
      <c r="R1113">
        <f>M1113+IF(N1113&gt;1,N(O1113)*(N1113-1),0)</f>
        <v/>
      </c>
      <c r="S1113">
        <f>IFERROR(L1113*MAX(N1113,1)/R1113*Q1113*IF(ISBLANK(K1111),1,K1111),0)</f>
        <v/>
      </c>
      <c r="AB1113" s="7" t="inlineStr">
        <is>
          <t>^LightChemicalWeapon, ^MediumChemicalWeapon</t>
        </is>
      </c>
    </row>
    <row r="1114">
      <c r="B1114" s="7" t="inlineStr">
        <is>
          <t xml:space="preserve">  ↳ GenericC4</t>
        </is>
      </c>
      <c r="C1114" s="7" t="inlineStr">
        <is>
          <t>Armament@c4</t>
        </is>
      </c>
      <c r="L1114" s="6" t="n"/>
      <c r="M1114" s="6" t="n">
        <v>20</v>
      </c>
      <c r="N1114" s="6" t="n">
        <v>1</v>
      </c>
      <c r="O1114" s="6" t="n"/>
      <c r="P1114" s="6" t="n">
        <v>2000</v>
      </c>
      <c r="Q1114" s="6" t="n">
        <v>1</v>
      </c>
      <c r="R1114">
        <f>M1114+IF(N1114&gt;1,N(O1114)*(N1114-1),0)</f>
        <v/>
      </c>
      <c r="S1114">
        <f>IFERROR(L1114*MAX(N1114,1)/R1114*Q1114*IF(ISBLANK(K1111),1,K1111),0)</f>
        <v/>
      </c>
      <c r="AB1114" s="7" t="inlineStr"/>
    </row>
    <row r="1115">
      <c r="B1115" s="7" t="inlineStr">
        <is>
          <t xml:space="preserve">  ↳ TSGhostGun</t>
        </is>
      </c>
      <c r="C1115" s="7" t="inlineStr">
        <is>
          <t>Armament@GARRISONED</t>
        </is>
      </c>
      <c r="L1115" s="6" t="n">
        <v>20000</v>
      </c>
      <c r="M1115" s="6" t="n">
        <v>25</v>
      </c>
      <c r="N1115" s="6" t="n">
        <v>1</v>
      </c>
      <c r="O1115" s="6" t="n"/>
      <c r="P1115" s="6" t="n">
        <v>9557</v>
      </c>
      <c r="Q1115" s="6" t="n">
        <v>0.75</v>
      </c>
      <c r="R1115">
        <f>M1115+IF(N1115&gt;1,N(O1115)*(N1115-1),0)</f>
        <v/>
      </c>
      <c r="S1115">
        <f>IFERROR(L1115*MAX(N1115,1)/R1115*Q1115*IF(ISBLANK(K1111),1,K1111),0)</f>
        <v/>
      </c>
      <c r="AB1115" s="7" t="inlineStr">
        <is>
          <t>^LightChemicalWeapon</t>
        </is>
      </c>
    </row>
    <row r="1116">
      <c r="B1116" s="7" t="inlineStr">
        <is>
          <t xml:space="preserve">  ↳ TSChemGhostGun</t>
        </is>
      </c>
      <c r="C1116" s="7" t="inlineStr">
        <is>
          <t>Armament@UPGRADEGARRISONED</t>
        </is>
      </c>
      <c r="L1116" s="6" t="n">
        <v>20000</v>
      </c>
      <c r="M1116" s="6" t="n">
        <v>25</v>
      </c>
      <c r="N1116" s="6" t="n">
        <v>1</v>
      </c>
      <c r="O1116" s="6" t="n"/>
      <c r="P1116" s="6" t="n">
        <v>9557</v>
      </c>
      <c r="Q1116" s="6" t="n">
        <v>0.875</v>
      </c>
      <c r="R1116">
        <f>M1116+IF(N1116&gt;1,N(O1116)*(N1116-1),0)</f>
        <v/>
      </c>
      <c r="S1116">
        <f>IFERROR(L1116*MAX(N1116,1)/R1116*Q1116*IF(ISBLANK(K1111),1,K1111),0)</f>
        <v/>
      </c>
      <c r="AB1116" s="7" t="inlineStr">
        <is>
          <t>^LightChemicalWeapon, ^MediumChemicalWeapon</t>
        </is>
      </c>
    </row>
    <row r="1117">
      <c r="A1117" t="inlineStr">
        <is>
          <t>tiberiansun</t>
        </is>
      </c>
      <c r="B1117" t="inlineStr">
        <is>
          <t>forgotten_ghoststalker_sp</t>
        </is>
      </c>
      <c r="C1117" t="inlineStr">
        <is>
          <t>actor_forgotten_ghoststalker.name</t>
        </is>
      </c>
      <c r="D1117" s="6" t="inlineStr">
        <is>
          <t>HeroInfantry</t>
        </is>
      </c>
      <c r="E1117" s="6" t="n">
        <v>100000</v>
      </c>
      <c r="F1117" s="6" t="n">
        <v>62</v>
      </c>
      <c r="G1117" t="inlineStr">
        <is>
          <t>Heroic</t>
        </is>
      </c>
      <c r="H1117" s="6" t="n">
        <v>1</v>
      </c>
      <c r="I1117" s="6" t="n">
        <v>1</v>
      </c>
      <c r="J1117" s="6" t="n">
        <v>1</v>
      </c>
      <c r="K1117" s="6" t="n"/>
      <c r="P1117">
        <f>MAX(P1118,P1119)</f>
        <v/>
      </c>
      <c r="S1117">
        <f>S1118+S1119</f>
        <v/>
      </c>
      <c r="T1117">
        <f>(E1117/100000+F1117/100+(P1117/1000)*J1117/5+S1117/200)*200*I1117*H1117</f>
        <v/>
      </c>
      <c r="U1117">
        <f>((E1117*F1117/25000)+((P1117/1000)*J1117*S1117/2.5))*I1117*H1117</f>
        <v/>
      </c>
      <c r="V1117">
        <f>(E1117*F1117*(P1117/1000)*J1117*S1117*I1117*H1117)/12500000</f>
        <v/>
      </c>
      <c r="W1117">
        <f>(T1117+U1117+V1117)/3</f>
        <v/>
      </c>
      <c r="X1117" s="6" t="n">
        <v>4000</v>
      </c>
      <c r="Y1117">
        <f>IFERROR(W1117-X1117,"")</f>
        <v/>
      </c>
      <c r="Z1117">
        <f>IFERROR(ABS(Y1117)/MAX(X1117,1),"")</f>
        <v/>
      </c>
      <c r="AA1117">
        <f>IFERROR((X1117-(((E1117/100000+F1117/100+S1117/200)*200*I1117*H1117)+((E1117*F1117/25000)*I1117*H1117))/3)/(((J1117/5)*200*I1117*H1117)+((J1117*S1117/2.5)*I1117*H1117)+((E1117*F1117*J1117*S1117*I1117*H1117)/12500000))/3*1000,"")</f>
        <v/>
      </c>
    </row>
    <row r="1118">
      <c r="B1118" s="7" t="inlineStr">
        <is>
          <t xml:space="preserve">  ↳ TSGhostGun</t>
        </is>
      </c>
      <c r="C1118" s="7" t="inlineStr">
        <is>
          <t>Armament@PRIMARY</t>
        </is>
      </c>
      <c r="L1118" s="6" t="n">
        <v>20000</v>
      </c>
      <c r="M1118" s="6" t="n">
        <v>25</v>
      </c>
      <c r="N1118" s="6" t="n">
        <v>1</v>
      </c>
      <c r="O1118" s="6" t="n"/>
      <c r="P1118" s="6" t="n">
        <v>9557</v>
      </c>
      <c r="Q1118" s="6" t="n">
        <v>0.75</v>
      </c>
      <c r="R1118">
        <f>M1118+IF(N1118&gt;1,N(O1118)*(N1118-1),0)</f>
        <v/>
      </c>
      <c r="S1118">
        <f>IFERROR(L1118*MAX(N1118,1)/R1118*Q1118*IF(ISBLANK(K1117),1,K1117),0)</f>
        <v/>
      </c>
      <c r="AB1118" s="7" t="inlineStr">
        <is>
          <t>^LightChemicalWeapon</t>
        </is>
      </c>
    </row>
    <row r="1119">
      <c r="B1119" s="7" t="inlineStr">
        <is>
          <t xml:space="preserve">  ↳ TSChemGhostGun</t>
        </is>
      </c>
      <c r="C1119" s="7" t="inlineStr">
        <is>
          <t>Armament@UPGRADE</t>
        </is>
      </c>
      <c r="L1119" s="6" t="n">
        <v>20000</v>
      </c>
      <c r="M1119" s="6" t="n">
        <v>25</v>
      </c>
      <c r="N1119" s="6" t="n">
        <v>1</v>
      </c>
      <c r="O1119" s="6" t="n"/>
      <c r="P1119" s="6" t="n">
        <v>9557</v>
      </c>
      <c r="Q1119" s="6" t="n">
        <v>0.875</v>
      </c>
      <c r="R1119">
        <f>M1119+IF(N1119&gt;1,N(O1119)*(N1119-1),0)</f>
        <v/>
      </c>
      <c r="S1119">
        <f>IFERROR(L1119*MAX(N1119,1)/R1119*Q1119*IF(ISBLANK(K1117),1,K1117),0)</f>
        <v/>
      </c>
      <c r="AB1119" s="7" t="inlineStr">
        <is>
          <t>^LightChemicalWeapon, ^MediumChemicalWeapon</t>
        </is>
      </c>
    </row>
    <row r="1120">
      <c r="B1120" s="7" t="inlineStr">
        <is>
          <t xml:space="preserve">  ↳ TSGhostGun</t>
        </is>
      </c>
      <c r="C1120" s="7" t="inlineStr">
        <is>
          <t>Armament@GARRISONED</t>
        </is>
      </c>
      <c r="L1120" s="6" t="n">
        <v>20000</v>
      </c>
      <c r="M1120" s="6" t="n">
        <v>25</v>
      </c>
      <c r="N1120" s="6" t="n">
        <v>1</v>
      </c>
      <c r="O1120" s="6" t="n"/>
      <c r="P1120" s="6" t="n">
        <v>9557</v>
      </c>
      <c r="Q1120" s="6" t="n">
        <v>0.75</v>
      </c>
      <c r="R1120">
        <f>M1120+IF(N1120&gt;1,N(O1120)*(N1120-1),0)</f>
        <v/>
      </c>
      <c r="S1120">
        <f>IFERROR(L1120*MAX(N1120,1)/R1120*Q1120*IF(ISBLANK(K1117),1,K1117),0)</f>
        <v/>
      </c>
      <c r="AB1120" s="7" t="inlineStr">
        <is>
          <t>^LightChemicalWeapon</t>
        </is>
      </c>
    </row>
    <row r="1121">
      <c r="B1121" s="7" t="inlineStr">
        <is>
          <t xml:space="preserve">  ↳ TSChemGhostGun</t>
        </is>
      </c>
      <c r="C1121" s="7" t="inlineStr">
        <is>
          <t>Armament@UPGRADEGARRISONED</t>
        </is>
      </c>
      <c r="L1121" s="6" t="n">
        <v>20000</v>
      </c>
      <c r="M1121" s="6" t="n">
        <v>25</v>
      </c>
      <c r="N1121" s="6" t="n">
        <v>1</v>
      </c>
      <c r="O1121" s="6" t="n"/>
      <c r="P1121" s="6" t="n">
        <v>9557</v>
      </c>
      <c r="Q1121" s="6" t="n">
        <v>0.875</v>
      </c>
      <c r="R1121">
        <f>M1121+IF(N1121&gt;1,N(O1121)*(N1121-1),0)</f>
        <v/>
      </c>
      <c r="S1121">
        <f>IFERROR(L1121*MAX(N1121,1)/R1121*Q1121*IF(ISBLANK(K1117),1,K1117),0)</f>
        <v/>
      </c>
      <c r="AB1121" s="7" t="inlineStr">
        <is>
          <t>^LightChemicalWeapon, ^MediumChemicalWeapon</t>
        </is>
      </c>
    </row>
    <row r="1122">
      <c r="A1122" t="inlineStr">
        <is>
          <t>tiberiansun</t>
        </is>
      </c>
      <c r="B1122" t="inlineStr">
        <is>
          <t>forgotten_mutanthijacker</t>
        </is>
      </c>
      <c r="C1122" t="inlineStr">
        <is>
          <t>actor_forgotten_mutanthijacker.name</t>
        </is>
      </c>
      <c r="D1122" s="6" t="inlineStr">
        <is>
          <t>HeroInfantry</t>
        </is>
      </c>
      <c r="E1122" s="6" t="n">
        <v>25000</v>
      </c>
      <c r="F1122" s="6" t="n">
        <v>100</v>
      </c>
      <c r="G1122" t="inlineStr">
        <is>
          <t>Heroic</t>
        </is>
      </c>
      <c r="H1122" s="6" t="n">
        <v>1</v>
      </c>
      <c r="I1122" s="6" t="n">
        <v>1</v>
      </c>
      <c r="J1122" s="6" t="n">
        <v>1</v>
      </c>
      <c r="K1122" s="6" t="n"/>
      <c r="X1122" s="6" t="n">
        <v>750</v>
      </c>
    </row>
    <row r="1123">
      <c r="A1123" t="inlineStr">
        <is>
          <t>redalert2</t>
        </is>
      </c>
      <c r="B1123" t="inlineStr">
        <is>
          <t>ra2_allies_tanyaii</t>
        </is>
      </c>
      <c r="C1123" t="inlineStr">
        <is>
          <t>Tanya II</t>
        </is>
      </c>
      <c r="D1123" s="6" t="inlineStr">
        <is>
          <t>HeroInfantry</t>
        </is>
      </c>
      <c r="E1123" s="6" t="n">
        <v>50000</v>
      </c>
      <c r="F1123" s="6" t="n">
        <v>75</v>
      </c>
      <c r="G1123" t="inlineStr">
        <is>
          <t>Heroic</t>
        </is>
      </c>
      <c r="H1123" s="6" t="n">
        <v>1</v>
      </c>
      <c r="I1123" s="6" t="n">
        <v>1</v>
      </c>
      <c r="J1123" s="6" t="n">
        <v>1</v>
      </c>
      <c r="K1123" s="6" t="n"/>
      <c r="P1123">
        <f>MAX(P1124,P1125,P1126,P1127)</f>
        <v/>
      </c>
      <c r="S1123">
        <f>S1124+S1125+S1126+S1127</f>
        <v/>
      </c>
      <c r="T1123">
        <f>(E1123/100000+F1123/100+(P1123/1000)*J1123/5+S1123/200)*200*I1123*H1123</f>
        <v/>
      </c>
      <c r="U1123">
        <f>((E1123*F1123/25000)+((P1123/1000)*J1123*S1123/2.5))*I1123*H1123</f>
        <v/>
      </c>
      <c r="V1123">
        <f>(E1123*F1123*(P1123/1000)*J1123*S1123*I1123*H1123)/12500000</f>
        <v/>
      </c>
      <c r="W1123">
        <f>(T1123+U1123+V1123)/3</f>
        <v/>
      </c>
      <c r="X1123" s="6" t="n">
        <v>3000</v>
      </c>
      <c r="Y1123">
        <f>IFERROR(W1123-X1123,"")</f>
        <v/>
      </c>
      <c r="Z1123">
        <f>IFERROR(ABS(Y1123)/MAX(X1123,1),"")</f>
        <v/>
      </c>
      <c r="AA1123">
        <f>IFERROR((X1123-(((E1123/100000+F1123/100+S1123/200)*200*I1123*H1123)+((E1123*F1123/25000)*I1123*H1123))/3)/(((J1123/5)*200*I1123*H1123)+((J1123*S1123/2.5)*I1123*H1123)+((E1123*F1123*J1123*S1123*I1123*H1123)/12500000))/3*1000,"")</f>
        <v/>
      </c>
    </row>
    <row r="1124">
      <c r="B1124" s="7" t="inlineStr">
        <is>
          <t xml:space="preserve">  ↳ RA2DoublePistols</t>
        </is>
      </c>
      <c r="C1124" s="7" t="inlineStr">
        <is>
          <t>Armament@PRIMARY</t>
        </is>
      </c>
      <c r="L1124" s="6" t="n">
        <v>14000</v>
      </c>
      <c r="M1124" s="6" t="n">
        <v>12</v>
      </c>
      <c r="N1124" s="6" t="n">
        <v>2</v>
      </c>
      <c r="O1124" s="6" t="n">
        <v>3</v>
      </c>
      <c r="P1124" s="6" t="n">
        <v>8000</v>
      </c>
      <c r="Q1124" s="6" t="n">
        <v>0.75</v>
      </c>
      <c r="R1124">
        <f>M1124+IF(N1124&gt;1,N(O1124)*(N1124-1),0)</f>
        <v/>
      </c>
      <c r="S1124">
        <f>IFERROR(L1124*MAX(N1124,1)/R1124*Q1124*IF(ISBLANK(K1123),1,K1123),0)</f>
        <v/>
      </c>
      <c r="AB1124" s="7" t="inlineStr">
        <is>
          <t>^SniperWeapon</t>
        </is>
      </c>
    </row>
    <row r="1125">
      <c r="B1125" s="7" t="inlineStr">
        <is>
          <t xml:space="preserve">  ↳ RA2DoublePistolsE</t>
        </is>
      </c>
      <c r="C1125" s="7" t="inlineStr">
        <is>
          <t>Armament@ELITE</t>
        </is>
      </c>
      <c r="L1125" s="6" t="n">
        <v>14000</v>
      </c>
      <c r="M1125" s="6" t="n">
        <v>12</v>
      </c>
      <c r="N1125" s="6" t="n">
        <v>4</v>
      </c>
      <c r="O1125" s="6" t="n">
        <v>3</v>
      </c>
      <c r="P1125" s="6" t="n">
        <v>9000</v>
      </c>
      <c r="Q1125" s="6" t="n">
        <v>0.75</v>
      </c>
      <c r="R1125">
        <f>M1125+IF(N1125&gt;1,N(O1125)*(N1125-1),0)</f>
        <v/>
      </c>
      <c r="S1125">
        <f>IFERROR(L1125*MAX(N1125,1)/R1125*Q1125*IF(ISBLANK(K1123),1,K1123),0)</f>
        <v/>
      </c>
      <c r="AB1125" s="7" t="inlineStr">
        <is>
          <t>^SniperWeapon</t>
        </is>
      </c>
    </row>
    <row r="1126">
      <c r="B1126" s="7" t="inlineStr">
        <is>
          <t xml:space="preserve">  ↳ TanyaAttach</t>
        </is>
      </c>
      <c r="C1126" s="7" t="inlineStr">
        <is>
          <t>Armament@c4</t>
        </is>
      </c>
      <c r="L1126" s="6" t="n"/>
      <c r="M1126" s="6" t="n">
        <v>20</v>
      </c>
      <c r="N1126" s="6" t="n">
        <v>1</v>
      </c>
      <c r="O1126" s="6" t="n"/>
      <c r="P1126" s="6" t="n">
        <v>2000</v>
      </c>
      <c r="Q1126" s="6" t="n">
        <v>1</v>
      </c>
      <c r="R1126">
        <f>M1126+IF(N1126&gt;1,N(O1126)*(N1126-1),0)</f>
        <v/>
      </c>
      <c r="S1126">
        <f>IFERROR(L1126*MAX(N1126,1)/R1126*Q1126*IF(ISBLANK(K1123),1,K1123),0)</f>
        <v/>
      </c>
      <c r="AB1126" s="7" t="inlineStr">
        <is>
          <t>IvanAttach</t>
        </is>
      </c>
    </row>
    <row r="1127">
      <c r="B1127" s="7" t="inlineStr">
        <is>
          <t xml:space="preserve">  ↳ GenericC4</t>
        </is>
      </c>
      <c r="C1127" s="7" t="inlineStr">
        <is>
          <t>Armament@c4building</t>
        </is>
      </c>
      <c r="L1127" s="6" t="n"/>
      <c r="M1127" s="6" t="n">
        <v>20</v>
      </c>
      <c r="N1127" s="6" t="n">
        <v>1</v>
      </c>
      <c r="O1127" s="6" t="n"/>
      <c r="P1127" s="6" t="n">
        <v>2000</v>
      </c>
      <c r="Q1127" s="6" t="n">
        <v>1</v>
      </c>
      <c r="R1127">
        <f>M1127+IF(N1127&gt;1,N(O1127)*(N1127-1),0)</f>
        <v/>
      </c>
      <c r="S1127">
        <f>IFERROR(L1127*MAX(N1127,1)/R1127*Q1127*IF(ISBLANK(K1123),1,K1123),0)</f>
        <v/>
      </c>
      <c r="AB1127" s="7" t="inlineStr"/>
    </row>
    <row r="1128">
      <c r="B1128" s="7" t="inlineStr">
        <is>
          <t xml:space="preserve">  ↳ RA2DoublePistols</t>
        </is>
      </c>
      <c r="C1128" s="7" t="inlineStr">
        <is>
          <t>Armament@GARRISONED</t>
        </is>
      </c>
      <c r="L1128" s="6" t="n">
        <v>14000</v>
      </c>
      <c r="M1128" s="6" t="n">
        <v>12</v>
      </c>
      <c r="N1128" s="6" t="n">
        <v>2</v>
      </c>
      <c r="O1128" s="6" t="n">
        <v>3</v>
      </c>
      <c r="P1128" s="6" t="n">
        <v>8000</v>
      </c>
      <c r="Q1128" s="6" t="n">
        <v>0.75</v>
      </c>
      <c r="R1128">
        <f>M1128+IF(N1128&gt;1,N(O1128)*(N1128-1),0)</f>
        <v/>
      </c>
      <c r="S1128">
        <f>IFERROR(L1128*MAX(N1128,1)/R1128*Q1128*IF(ISBLANK(K1123),1,K1123),0)</f>
        <v/>
      </c>
      <c r="AB1128" s="7" t="inlineStr">
        <is>
          <t>^SniperWeapon</t>
        </is>
      </c>
    </row>
    <row r="1129">
      <c r="B1129" s="7" t="inlineStr">
        <is>
          <t xml:space="preserve">  ↳ RA2DoublePistolsE</t>
        </is>
      </c>
      <c r="C1129" s="7" t="inlineStr">
        <is>
          <t>Armament@GARRISONEDELITE</t>
        </is>
      </c>
      <c r="L1129" s="6" t="n">
        <v>14000</v>
      </c>
      <c r="M1129" s="6" t="n">
        <v>12</v>
      </c>
      <c r="N1129" s="6" t="n">
        <v>4</v>
      </c>
      <c r="O1129" s="6" t="n">
        <v>3</v>
      </c>
      <c r="P1129" s="6" t="n">
        <v>9000</v>
      </c>
      <c r="Q1129" s="6" t="n">
        <v>0.75</v>
      </c>
      <c r="R1129">
        <f>M1129+IF(N1129&gt;1,N(O1129)*(N1129-1),0)</f>
        <v/>
      </c>
      <c r="S1129">
        <f>IFERROR(L1129*MAX(N1129,1)/R1129*Q1129*IF(ISBLANK(K1123),1,K1123),0)</f>
        <v/>
      </c>
      <c r="AB1129" s="7" t="inlineStr">
        <is>
          <t>^SniperWeapon</t>
        </is>
      </c>
    </row>
    <row r="1130">
      <c r="A1130" t="inlineStr">
        <is>
          <t>redalert2</t>
        </is>
      </c>
      <c r="B1130" t="inlineStr">
        <is>
          <t>ra2_soviets_boris</t>
        </is>
      </c>
      <c r="C1130" t="inlineStr">
        <is>
          <t>Boris</t>
        </is>
      </c>
      <c r="D1130" s="6" t="inlineStr">
        <is>
          <t>HeroInfantry</t>
        </is>
      </c>
      <c r="E1130" s="6" t="n">
        <v>90000</v>
      </c>
      <c r="F1130" s="6" t="n">
        <v>60</v>
      </c>
      <c r="G1130" t="inlineStr">
        <is>
          <t>Heroic</t>
        </is>
      </c>
      <c r="H1130" s="6" t="n">
        <v>0.75</v>
      </c>
      <c r="I1130" s="6" t="n">
        <v>1</v>
      </c>
      <c r="J1130" s="6" t="n">
        <v>1.25</v>
      </c>
      <c r="K1130" s="6" t="n"/>
      <c r="P1130">
        <f>MAX(P1131,P1132,P1133,P1134)</f>
        <v/>
      </c>
      <c r="S1130">
        <f>S1131+S1132+S1133+S1134</f>
        <v/>
      </c>
      <c r="T1130">
        <f>(E1130/100000+F1130/100+(P1130/1000)*J1130/5+S1130/200)*200*I1130*H1130</f>
        <v/>
      </c>
      <c r="U1130">
        <f>((E1130*F1130/25000)+((P1130/1000)*J1130*S1130/2.5))*I1130*H1130</f>
        <v/>
      </c>
      <c r="V1130">
        <f>(E1130*F1130*(P1130/1000)*J1130*S1130*I1130*H1130)/12500000</f>
        <v/>
      </c>
      <c r="W1130">
        <f>(T1130+U1130+V1130)/3</f>
        <v/>
      </c>
      <c r="X1130" s="6" t="n">
        <v>3000</v>
      </c>
      <c r="Y1130">
        <f>IFERROR(W1130-X1130,"")</f>
        <v/>
      </c>
      <c r="Z1130">
        <f>IFERROR(ABS(Y1130)/MAX(X1130,1),"")</f>
        <v/>
      </c>
      <c r="AA1130">
        <f>IFERROR((X1130-(((E1130/100000+F1130/100+S1130/200)*200*I1130*H1130)+((E1130*F1130/25000)*I1130*H1130))/3)/(((J1130/5)*200*I1130*H1130)+((J1130*S1130/2.5)*I1130*H1130)+((E1130*F1130*J1130*S1130*I1130*H1130)/12500000))/3*1000,"")</f>
        <v/>
      </c>
    </row>
    <row r="1131">
      <c r="B1131" s="7" t="inlineStr">
        <is>
          <t xml:space="preserve">  ↳ BorisAKM</t>
        </is>
      </c>
      <c r="C1131" s="7" t="inlineStr">
        <is>
          <t>Armament@PRIMARY</t>
        </is>
      </c>
      <c r="L1131" s="6" t="n">
        <v>4000</v>
      </c>
      <c r="M1131" s="6" t="n">
        <v>18</v>
      </c>
      <c r="N1131" s="6" t="n">
        <v>4</v>
      </c>
      <c r="O1131" s="6" t="n">
        <v>2</v>
      </c>
      <c r="P1131" s="6" t="n">
        <v>8167</v>
      </c>
      <c r="Q1131" s="6" t="n">
        <v>0.875</v>
      </c>
      <c r="R1131">
        <f>M1131+IF(N1131&gt;1,N(O1131)*(N1131-1),0)</f>
        <v/>
      </c>
      <c r="S1131">
        <f>IFERROR(L1131*MAX(N1131,1)/R1131*Q1131*IF(ISBLANK(K1130),1,K1130),0)</f>
        <v/>
      </c>
      <c r="AB1131" s="7" t="inlineStr">
        <is>
          <t>^RA2SmallArms, ^RA2Chaingun</t>
        </is>
      </c>
    </row>
    <row r="1132">
      <c r="B1132" s="7" t="inlineStr">
        <is>
          <t xml:space="preserve">  ↳ BorisAKME</t>
        </is>
      </c>
      <c r="C1132" s="7" t="inlineStr">
        <is>
          <t>Armament@ELITE</t>
        </is>
      </c>
      <c r="L1132" s="6" t="n">
        <v>4000</v>
      </c>
      <c r="M1132" s="6" t="n">
        <v>18</v>
      </c>
      <c r="N1132" s="6" t="n">
        <v>8</v>
      </c>
      <c r="O1132" s="6" t="n">
        <v>2</v>
      </c>
      <c r="P1132" s="6" t="n">
        <v>9167</v>
      </c>
      <c r="Q1132" s="6" t="n">
        <v>0.875</v>
      </c>
      <c r="R1132">
        <f>M1132+IF(N1132&gt;1,N(O1132)*(N1132-1),0)</f>
        <v/>
      </c>
      <c r="S1132">
        <f>IFERROR(L1132*MAX(N1132,1)/R1132*Q1132*IF(ISBLANK(K1130),1,K1130),0)</f>
        <v/>
      </c>
      <c r="AB1132" s="7" t="inlineStr">
        <is>
          <t>^RA2SmallArms, ^RA2Chaingun</t>
        </is>
      </c>
    </row>
    <row r="1133">
      <c r="B1133" s="7" t="inlineStr">
        <is>
          <t xml:space="preserve">  ↳ BorisAKM2</t>
        </is>
      </c>
      <c r="C1133" s="7" t="inlineStr">
        <is>
          <t>Armament@AntiBuilding</t>
        </is>
      </c>
      <c r="L1133" s="6" t="n">
        <v>4000</v>
      </c>
      <c r="M1133" s="6" t="n">
        <v>18</v>
      </c>
      <c r="N1133" s="6" t="n">
        <v>4</v>
      </c>
      <c r="O1133" s="6" t="n">
        <v>2</v>
      </c>
      <c r="P1133" s="6" t="n">
        <v>9167</v>
      </c>
      <c r="Q1133" s="6" t="n">
        <v>0.875</v>
      </c>
      <c r="R1133">
        <f>M1133+IF(N1133&gt;1,N(O1133)*(N1133-1),0)</f>
        <v/>
      </c>
      <c r="S1133">
        <f>IFERROR(L1133*MAX(N1133,1)/R1133*Q1133*IF(ISBLANK(K1130),1,K1130),0)</f>
        <v/>
      </c>
      <c r="AB1133" s="7" t="inlineStr">
        <is>
          <t>^RA2SmallArms, ^RA2Chaingun</t>
        </is>
      </c>
    </row>
    <row r="1134">
      <c r="B1134" s="7" t="inlineStr">
        <is>
          <t xml:space="preserve">  ↳ MigTarget</t>
        </is>
      </c>
      <c r="C1134" s="7" t="inlineStr">
        <is>
          <t>Armament@SECONDARY</t>
        </is>
      </c>
      <c r="L1134" s="6" t="n"/>
      <c r="M1134" s="6" t="n">
        <v>60</v>
      </c>
      <c r="N1134" s="6" t="n">
        <v>3</v>
      </c>
      <c r="O1134" s="6" t="n">
        <v>15</v>
      </c>
      <c r="P1134" s="6" t="n">
        <v>9167</v>
      </c>
      <c r="Q1134" s="6" t="n">
        <v>1</v>
      </c>
      <c r="R1134">
        <f>M1134+IF(N1134&gt;1,N(O1134)*(N1134-1),0)</f>
        <v/>
      </c>
      <c r="S1134">
        <f>IFERROR(L1134*MAX(N1134,1)/R1134*Q1134*IF(ISBLANK(K1130),1,K1130),0)</f>
        <v/>
      </c>
      <c r="AB1134" s="7" t="inlineStr"/>
    </row>
    <row r="1135">
      <c r="B1135" s="7" t="inlineStr">
        <is>
          <t xml:space="preserve">  ↳ BorisAKM</t>
        </is>
      </c>
      <c r="C1135" s="7" t="inlineStr">
        <is>
          <t>Armament@GARRISONED</t>
        </is>
      </c>
      <c r="L1135" s="6" t="n">
        <v>4000</v>
      </c>
      <c r="M1135" s="6" t="n">
        <v>18</v>
      </c>
      <c r="N1135" s="6" t="n">
        <v>4</v>
      </c>
      <c r="O1135" s="6" t="n">
        <v>2</v>
      </c>
      <c r="P1135" s="6" t="n">
        <v>8167</v>
      </c>
      <c r="Q1135" s="6" t="n">
        <v>0.875</v>
      </c>
      <c r="R1135">
        <f>M1135+IF(N1135&gt;1,N(O1135)*(N1135-1),0)</f>
        <v/>
      </c>
      <c r="S1135">
        <f>IFERROR(L1135*MAX(N1135,1)/R1135*Q1135*IF(ISBLANK(K1130),1,K1130),0)</f>
        <v/>
      </c>
      <c r="AB1135" s="7" t="inlineStr">
        <is>
          <t>^RA2SmallArms, ^RA2Chaingun</t>
        </is>
      </c>
    </row>
    <row r="1136">
      <c r="B1136" s="7" t="inlineStr">
        <is>
          <t xml:space="preserve">  ↳ BorisAKME</t>
        </is>
      </c>
      <c r="C1136" s="7" t="inlineStr">
        <is>
          <t>Armament@GARRISONEDELITE</t>
        </is>
      </c>
      <c r="L1136" s="6" t="n">
        <v>4000</v>
      </c>
      <c r="M1136" s="6" t="n">
        <v>18</v>
      </c>
      <c r="N1136" s="6" t="n">
        <v>8</v>
      </c>
      <c r="O1136" s="6" t="n">
        <v>2</v>
      </c>
      <c r="P1136" s="6" t="n">
        <v>9167</v>
      </c>
      <c r="Q1136" s="6" t="n">
        <v>0.875</v>
      </c>
      <c r="R1136">
        <f>M1136+IF(N1136&gt;1,N(O1136)*(N1136-1),0)</f>
        <v/>
      </c>
      <c r="S1136">
        <f>IFERROR(L1136*MAX(N1136,1)/R1136*Q1136*IF(ISBLANK(K1130),1,K1130),0)</f>
        <v/>
      </c>
      <c r="AB1136" s="7" t="inlineStr">
        <is>
          <t>^RA2SmallArms, ^RA2Chaingun</t>
        </is>
      </c>
    </row>
    <row r="1137">
      <c r="A1137" t="inlineStr">
        <is>
          <t>redalert2</t>
        </is>
      </c>
      <c r="B1137" t="inlineStr">
        <is>
          <t>yuri_yurix</t>
        </is>
      </c>
      <c r="C1137" t="inlineStr">
        <is>
          <t>actor_yurix.name</t>
        </is>
      </c>
      <c r="D1137" s="6" t="inlineStr">
        <is>
          <t>HeroInfantry</t>
        </is>
      </c>
      <c r="E1137" s="6" t="n">
        <v>20000</v>
      </c>
      <c r="F1137" s="6" t="n">
        <v>100</v>
      </c>
      <c r="G1137" t="inlineStr">
        <is>
          <t>Heroic</t>
        </is>
      </c>
      <c r="H1137" s="6" t="n">
        <v>1</v>
      </c>
      <c r="I1137" s="6" t="n">
        <v>1</v>
      </c>
      <c r="J1137" s="6" t="n">
        <v>1</v>
      </c>
      <c r="K1137" s="6" t="n"/>
      <c r="P1137">
        <f>MAX(P1138,P1139,P1140)</f>
        <v/>
      </c>
      <c r="S1137">
        <f>S1138+S1139+S1140</f>
        <v/>
      </c>
      <c r="T1137">
        <f>(E1137/100000+F1137/100+(P1137/1000)*J1137/5+S1137/200)*200*I1137*H1137</f>
        <v/>
      </c>
      <c r="U1137">
        <f>((E1137*F1137/25000)+((P1137/1000)*J1137*S1137/2.5))*I1137*H1137</f>
        <v/>
      </c>
      <c r="V1137">
        <f>(E1137*F1137*(P1137/1000)*J1137*S1137*I1137*H1137)/12500000</f>
        <v/>
      </c>
      <c r="W1137">
        <f>(T1137+U1137+V1137)/3</f>
        <v/>
      </c>
      <c r="X1137" s="6" t="n">
        <v>4000</v>
      </c>
      <c r="Y1137">
        <f>IFERROR(W1137-X1137,"")</f>
        <v/>
      </c>
      <c r="Z1137">
        <f>IFERROR(ABS(Y1137)/MAX(X1137,1),"")</f>
        <v/>
      </c>
      <c r="AA1137">
        <f>IFERROR((X1137-(((E1137/100000+F1137/100+S1137/200)*200*I1137*H1137)+((E1137*F1137/25000)*I1137*H1137))/3)/(((J1137/5)*200*I1137*H1137)+((J1137*S1137/2.5)*I1137*H1137)+((E1137*F1137*J1137*S1137*I1137*H1137)/12500000))/3*1000,"")</f>
        <v/>
      </c>
    </row>
    <row r="1138">
      <c r="B1138" s="7" t="inlineStr">
        <is>
          <t xml:space="preserve">  ↳ RA2XMindControl</t>
        </is>
      </c>
      <c r="C1138" s="7" t="inlineStr">
        <is>
          <t>Armament@PRIMARY</t>
        </is>
      </c>
      <c r="L1138" s="6" t="n">
        <v>0</v>
      </c>
      <c r="M1138" s="6" t="n">
        <v>125</v>
      </c>
      <c r="N1138" s="6" t="n">
        <v>1</v>
      </c>
      <c r="O1138" s="6" t="n"/>
      <c r="P1138" s="6" t="n">
        <v>9000</v>
      </c>
      <c r="Q1138" s="6" t="n">
        <v>1</v>
      </c>
      <c r="R1138">
        <f>M1138+IF(N1138&gt;1,N(O1138)*(N1138-1),0)</f>
        <v/>
      </c>
      <c r="S1138">
        <f>IFERROR(L1138*MAX(N1138,1)/R1138*Q1138*IF(ISBLANK(K1137),1,K1137),0)</f>
        <v/>
      </c>
      <c r="AB1138" s="7" t="inlineStr">
        <is>
          <t>RA2MindControl</t>
        </is>
      </c>
    </row>
    <row r="1139">
      <c r="B1139" s="7" t="inlineStr">
        <is>
          <t xml:space="preserve">  ↳ RA2XMindControlSplash</t>
        </is>
      </c>
      <c r="C1139" s="7" t="inlineStr">
        <is>
          <t>Armament@Splash</t>
        </is>
      </c>
      <c r="L1139" s="6" t="n">
        <v>0</v>
      </c>
      <c r="M1139" s="6" t="n">
        <v>125</v>
      </c>
      <c r="N1139" s="6" t="n">
        <v>1</v>
      </c>
      <c r="O1139" s="6" t="n"/>
      <c r="P1139" s="6" t="n">
        <v>9000</v>
      </c>
      <c r="Q1139" s="6" t="n">
        <v>1</v>
      </c>
      <c r="R1139">
        <f>M1139+IF(N1139&gt;1,N(O1139)*(N1139-1),0)</f>
        <v/>
      </c>
      <c r="S1139">
        <f>IFERROR(L1139*MAX(N1139,1)/R1139*Q1139*IF(ISBLANK(K1137),1,K1137),0)</f>
        <v/>
      </c>
      <c r="AB1139" s="7" t="inlineStr">
        <is>
          <t>RA2MindControl</t>
        </is>
      </c>
    </row>
    <row r="1140">
      <c r="B1140" s="7" t="inlineStr">
        <is>
          <t xml:space="preserve">  ↳ RA2XMindControlSplash2</t>
        </is>
      </c>
      <c r="C1140" s="7" t="inlineStr">
        <is>
          <t>Armament@Splash2</t>
        </is>
      </c>
      <c r="L1140" s="6" t="n">
        <v>0</v>
      </c>
      <c r="M1140" s="6" t="n">
        <v>125</v>
      </c>
      <c r="N1140" s="6" t="n">
        <v>1</v>
      </c>
      <c r="O1140" s="6" t="n"/>
      <c r="P1140" s="6" t="n">
        <v>9000</v>
      </c>
      <c r="Q1140" s="6" t="n">
        <v>1</v>
      </c>
      <c r="R1140">
        <f>M1140+IF(N1140&gt;1,N(O1140)*(N1140-1),0)</f>
        <v/>
      </c>
      <c r="S1140">
        <f>IFERROR(L1140*MAX(N1140,1)/R1140*Q1140*IF(ISBLANK(K1137),1,K1137),0)</f>
        <v/>
      </c>
      <c r="AB1140" s="7" t="inlineStr">
        <is>
          <t>RA2XMindControlSplash</t>
        </is>
      </c>
    </row>
    <row r="1141">
      <c r="A1141" t="inlineStr">
        <is>
          <t>redalert2mod</t>
        </is>
      </c>
      <c r="B1141" t="inlineStr">
        <is>
          <t>asianalliance_asiancommando</t>
        </is>
      </c>
      <c r="C1141" t="inlineStr">
        <is>
          <t>Asian Commando</t>
        </is>
      </c>
      <c r="D1141" s="6" t="inlineStr">
        <is>
          <t>HeroInfantry</t>
        </is>
      </c>
      <c r="E1141" s="6" t="n">
        <v>50000</v>
      </c>
      <c r="F1141" s="6" t="n">
        <v>75</v>
      </c>
      <c r="G1141" t="inlineStr">
        <is>
          <t>Heroic</t>
        </is>
      </c>
      <c r="H1141" s="6" t="n">
        <v>1</v>
      </c>
      <c r="I1141" s="6" t="n">
        <v>1</v>
      </c>
      <c r="J1141" s="6" t="n">
        <v>1</v>
      </c>
      <c r="K1141" s="6" t="n"/>
      <c r="P1141">
        <f>MAX(P1142,P1143,P1144)</f>
        <v/>
      </c>
      <c r="S1141">
        <f>S1142+S1143+S1144</f>
        <v/>
      </c>
      <c r="T1141">
        <f>(E1141/100000+F1141/100+(P1141/1000)*J1141/5+S1141/200)*200*I1141*H1141</f>
        <v/>
      </c>
      <c r="U1141">
        <f>((E1141*F1141/25000)+((P1141/1000)*J1141*S1141/2.5))*I1141*H1141</f>
        <v/>
      </c>
      <c r="V1141">
        <f>(E1141*F1141*(P1141/1000)*J1141*S1141*I1141*H1141)/12500000</f>
        <v/>
      </c>
      <c r="W1141">
        <f>(T1141+U1141+V1141)/3</f>
        <v/>
      </c>
      <c r="X1141" s="6" t="n">
        <v>3000</v>
      </c>
      <c r="Y1141">
        <f>IFERROR(W1141-X1141,"")</f>
        <v/>
      </c>
      <c r="Z1141">
        <f>IFERROR(ABS(Y1141)/MAX(X1141,1),"")</f>
        <v/>
      </c>
      <c r="AA1141">
        <f>IFERROR((X1141-(((E1141/100000+F1141/100+S1141/200)*200*I1141*H1141)+((E1141*F1141/25000)*I1141*H1141))/3)/(((J1141/5)*200*I1141*H1141)+((J1141*S1141/2.5)*I1141*H1141)+((E1141*F1141*J1141*S1141*I1141*H1141)/12500000))/3*1000,"")</f>
        <v/>
      </c>
    </row>
    <row r="1142">
      <c r="B1142" s="7" t="inlineStr">
        <is>
          <t xml:space="preserve">  ↳ AsianSniperLockdown</t>
        </is>
      </c>
      <c r="C1142" s="7" t="inlineStr">
        <is>
          <t>Armament@lockdown</t>
        </is>
      </c>
      <c r="L1142" s="6" t="n">
        <v>32000</v>
      </c>
      <c r="M1142" s="6" t="n">
        <v>100</v>
      </c>
      <c r="N1142" s="6" t="n">
        <v>1</v>
      </c>
      <c r="O1142" s="6" t="n"/>
      <c r="P1142" s="6" t="n">
        <v>9455</v>
      </c>
      <c r="Q1142" s="6" t="n">
        <v>1</v>
      </c>
      <c r="R1142">
        <f>M1142+IF(N1142&gt;1,N(O1142)*(N1142-1),0)</f>
        <v/>
      </c>
      <c r="S1142">
        <f>IFERROR(L1142*MAX(N1142,1)/R1142*Q1142*IF(ISBLANK(K1141),1,K1141),0)</f>
        <v/>
      </c>
      <c r="AB1142" s="7" t="inlineStr">
        <is>
          <t>^TeslaChargedWeapon, ^MediumMissile, ^HeavyCannon, ^SmallArms, ^FlakWeapon, ^Chaingun</t>
        </is>
      </c>
    </row>
    <row r="1143">
      <c r="B1143" s="7" t="inlineStr">
        <is>
          <t xml:space="preserve">  ↳ AsianSniper</t>
        </is>
      </c>
      <c r="C1143" s="7" t="inlineStr">
        <is>
          <t>Armament@PRIMARY</t>
        </is>
      </c>
      <c r="L1143" s="6" t="n">
        <v>6000</v>
      </c>
      <c r="M1143" s="6" t="n">
        <v>25</v>
      </c>
      <c r="N1143" s="6" t="n">
        <v>1</v>
      </c>
      <c r="O1143" s="6" t="n"/>
      <c r="P1143" s="6" t="n">
        <v>9455</v>
      </c>
      <c r="Q1143" s="6" t="n">
        <v>1</v>
      </c>
      <c r="R1143">
        <f>M1143+IF(N1143&gt;1,N(O1143)*(N1143-1),0)</f>
        <v/>
      </c>
      <c r="S1143">
        <f>IFERROR(L1143*MAX(N1143,1)/R1143*Q1143*IF(ISBLANK(K1141),1,K1141),0)</f>
        <v/>
      </c>
      <c r="AB1143" s="7" t="inlineStr">
        <is>
          <t>^MediumMissile, ^HeavyCannon, ^SmallArms, ^FlakWeapon, ^Chaingun</t>
        </is>
      </c>
    </row>
    <row r="1144">
      <c r="B1144" s="7" t="inlineStr">
        <is>
          <t xml:space="preserve">  ↳ AsianSniperAP</t>
        </is>
      </c>
      <c r="C1144" s="7" t="inlineStr">
        <is>
          <t>Armament@PRIMARYUPGRADE</t>
        </is>
      </c>
      <c r="L1144" s="6" t="n">
        <v>16000</v>
      </c>
      <c r="M1144" s="6" t="n">
        <v>50</v>
      </c>
      <c r="N1144" s="6" t="n">
        <v>1</v>
      </c>
      <c r="O1144" s="6" t="n"/>
      <c r="P1144" s="6" t="n">
        <v>9455</v>
      </c>
      <c r="Q1144" s="6" t="n">
        <v>1</v>
      </c>
      <c r="R1144">
        <f>M1144+IF(N1144&gt;1,N(O1144)*(N1144-1),0)</f>
        <v/>
      </c>
      <c r="S1144">
        <f>IFERROR(L1144*MAX(N1144,1)/R1144*Q1144*IF(ISBLANK(K1141),1,K1141),0)</f>
        <v/>
      </c>
      <c r="AB1144" s="7" t="inlineStr">
        <is>
          <t>^MediumMissile, ^HeavyCannon, ^SmallArms, ^FlakWeapon, ^Chaingun</t>
        </is>
      </c>
    </row>
    <row r="1145">
      <c r="B1145" s="7" t="inlineStr">
        <is>
          <t xml:space="preserve">  ↳ AsianSniper</t>
        </is>
      </c>
      <c r="C1145" s="7" t="inlineStr">
        <is>
          <t>Armament@GARRISONED</t>
        </is>
      </c>
      <c r="L1145" s="6" t="n">
        <v>6000</v>
      </c>
      <c r="M1145" s="6" t="n">
        <v>25</v>
      </c>
      <c r="N1145" s="6" t="n">
        <v>1</v>
      </c>
      <c r="O1145" s="6" t="n"/>
      <c r="P1145" s="6" t="n">
        <v>9455</v>
      </c>
      <c r="Q1145" s="6" t="n">
        <v>1</v>
      </c>
      <c r="R1145">
        <f>M1145+IF(N1145&gt;1,N(O1145)*(N1145-1),0)</f>
        <v/>
      </c>
      <c r="S1145">
        <f>IFERROR(L1145*MAX(N1145,1)/R1145*Q1145*IF(ISBLANK(K1141),1,K1141),0)</f>
        <v/>
      </c>
      <c r="AB1145" s="7" t="inlineStr">
        <is>
          <t>^MediumMissile, ^HeavyCannon, ^SmallArms, ^FlakWeapon, ^Chaingun</t>
        </is>
      </c>
    </row>
    <row r="1146">
      <c r="B1146" s="7" t="inlineStr">
        <is>
          <t xml:space="preserve">  ↳ AsianSniperAP</t>
        </is>
      </c>
      <c r="C1146" s="7" t="inlineStr">
        <is>
          <t>Armament@GARRISONEDUPGRADE</t>
        </is>
      </c>
      <c r="L1146" s="6" t="n">
        <v>16000</v>
      </c>
      <c r="M1146" s="6" t="n">
        <v>50</v>
      </c>
      <c r="N1146" s="6" t="n">
        <v>1</v>
      </c>
      <c r="O1146" s="6" t="n"/>
      <c r="P1146" s="6" t="n">
        <v>9455</v>
      </c>
      <c r="Q1146" s="6" t="n">
        <v>1</v>
      </c>
      <c r="R1146">
        <f>M1146+IF(N1146&gt;1,N(O1146)*(N1146-1),0)</f>
        <v/>
      </c>
      <c r="S1146">
        <f>IFERROR(L1146*MAX(N1146,1)/R1146*Q1146*IF(ISBLANK(K1141),1,K1141),0)</f>
        <v/>
      </c>
      <c r="AB1146" s="7" t="inlineStr">
        <is>
          <t>^MediumMissile, ^HeavyCannon, ^SmallArms, ^FlakWeapon, ^Chaingun</t>
        </is>
      </c>
    </row>
    <row r="1147">
      <c r="A1147" t="inlineStr">
        <is>
          <t>redalert2mod</t>
        </is>
      </c>
      <c r="B1147" t="inlineStr">
        <is>
          <t>steelconsortium_stalker</t>
        </is>
      </c>
      <c r="C1147" t="inlineStr">
        <is>
          <t>Stalker</t>
        </is>
      </c>
      <c r="D1147" s="6" t="inlineStr">
        <is>
          <t>HeroInfantry</t>
        </is>
      </c>
      <c r="E1147" s="6" t="n">
        <v>140000</v>
      </c>
      <c r="F1147" s="6" t="n">
        <v>80</v>
      </c>
      <c r="G1147" t="inlineStr">
        <is>
          <t>Heroic</t>
        </is>
      </c>
      <c r="H1147" s="6" t="n">
        <v>1</v>
      </c>
      <c r="I1147" s="6" t="n">
        <v>1</v>
      </c>
      <c r="J1147" s="6" t="n">
        <v>1</v>
      </c>
      <c r="K1147" s="6" t="n"/>
      <c r="P1147">
        <f>MAX(P1148,P1149,P1150)</f>
        <v/>
      </c>
      <c r="S1147">
        <f>S1148+S1149+S1150</f>
        <v/>
      </c>
      <c r="T1147">
        <f>(E1147/100000+F1147/100+(P1147/1000)*J1147/5+S1147/200)*200*I1147*H1147</f>
        <v/>
      </c>
      <c r="U1147">
        <f>((E1147*F1147/25000)+((P1147/1000)*J1147*S1147/2.5))*I1147*H1147</f>
        <v/>
      </c>
      <c r="V1147">
        <f>(E1147*F1147*(P1147/1000)*J1147*S1147*I1147*H1147)/12500000</f>
        <v/>
      </c>
      <c r="W1147">
        <f>(T1147+U1147+V1147)/3</f>
        <v/>
      </c>
      <c r="X1147" s="6" t="n">
        <v>4000</v>
      </c>
      <c r="Y1147">
        <f>IFERROR(W1147-X1147,"")</f>
        <v/>
      </c>
      <c r="Z1147">
        <f>IFERROR(ABS(Y1147)/MAX(X1147,1),"")</f>
        <v/>
      </c>
      <c r="AA1147">
        <f>IFERROR((X1147-(((E1147/100000+F1147/100+S1147/200)*200*I1147*H1147)+((E1147*F1147/25000)*I1147*H1147))/3)/(((J1147/5)*200*I1147*H1147)+((J1147*S1147/2.5)*I1147*H1147)+((E1147*F1147*J1147*S1147*I1147*H1147)/12500000))/3*1000,"")</f>
        <v/>
      </c>
    </row>
    <row r="1148">
      <c r="B1148" s="7" t="inlineStr">
        <is>
          <t xml:space="preserve">  ↳ SteelStalkerRailgun</t>
        </is>
      </c>
      <c r="C1148" s="7" t="inlineStr">
        <is>
          <t>Armament</t>
        </is>
      </c>
      <c r="L1148" s="6" t="n">
        <v>60000</v>
      </c>
      <c r="M1148" s="6" t="n">
        <v>103</v>
      </c>
      <c r="N1148" s="6" t="n">
        <v>1</v>
      </c>
      <c r="O1148" s="6" t="n"/>
      <c r="P1148" s="6" t="n">
        <v>9000</v>
      </c>
      <c r="Q1148" s="6" t="n">
        <v>1.125</v>
      </c>
      <c r="R1148">
        <f>M1148+IF(N1148&gt;1,N(O1148)*(N1148-1),0)</f>
        <v/>
      </c>
      <c r="S1148">
        <f>IFERROR(L1148*MAX(N1148,1)/R1148*Q1148*IF(ISBLANK(K1147),1,K1147),0)</f>
        <v/>
      </c>
      <c r="AB1148" s="7" t="inlineStr">
        <is>
          <t>^LaserWeapon, ^RailgunWeapon</t>
        </is>
      </c>
    </row>
    <row r="1149">
      <c r="B1149" s="7" t="inlineStr">
        <is>
          <t xml:space="preserve">  ↳ SteelStalkerRailgunEMP</t>
        </is>
      </c>
      <c r="C1149" s="7" t="inlineStr">
        <is>
          <t>Armament@Upgrade</t>
        </is>
      </c>
      <c r="L1149" s="6" t="n">
        <v>40000</v>
      </c>
      <c r="M1149" s="6" t="n">
        <v>103</v>
      </c>
      <c r="N1149" s="6" t="n">
        <v>1</v>
      </c>
      <c r="O1149" s="6" t="n"/>
      <c r="P1149" s="6" t="n">
        <v>9000</v>
      </c>
      <c r="Q1149" s="6" t="n">
        <v>1.083333333333333</v>
      </c>
      <c r="R1149">
        <f>M1149+IF(N1149&gt;1,N(O1149)*(N1149-1),0)</f>
        <v/>
      </c>
      <c r="S1149">
        <f>IFERROR(L1149*MAX(N1149,1)/R1149*Q1149*IF(ISBLANK(K1147),1,K1147),0)</f>
        <v/>
      </c>
      <c r="AB1149" s="7" t="inlineStr">
        <is>
          <t>^TeslaWeapon, ^LaserWeapon, ^RailgunWeapon</t>
        </is>
      </c>
    </row>
    <row r="1150">
      <c r="B1150" s="7" t="inlineStr">
        <is>
          <t xml:space="preserve">  ↳ SteelStalkerRailgunE</t>
        </is>
      </c>
      <c r="C1150" s="7" t="inlineStr">
        <is>
          <t>Armament@elite</t>
        </is>
      </c>
      <c r="L1150" s="6" t="n">
        <v>60000</v>
      </c>
      <c r="M1150" s="6" t="n">
        <v>103</v>
      </c>
      <c r="N1150" s="6" t="n">
        <v>1</v>
      </c>
      <c r="O1150" s="6" t="n"/>
      <c r="P1150" s="6" t="n">
        <v>10000</v>
      </c>
      <c r="Q1150" s="6" t="n">
        <v>1.083333333333333</v>
      </c>
      <c r="R1150">
        <f>M1150+IF(N1150&gt;1,N(O1150)*(N1150-1),0)</f>
        <v/>
      </c>
      <c r="S1150">
        <f>IFERROR(L1150*MAX(N1150,1)/R1150*Q1150*IF(ISBLANK(K1147),1,K1147),0)</f>
        <v/>
      </c>
      <c r="AB1150" s="7" t="inlineStr">
        <is>
          <t>^TeslaWeapon, ^LaserWeapon, ^RailgunWeapon</t>
        </is>
      </c>
    </row>
    <row r="1151">
      <c r="A1151" t="inlineStr">
        <is>
          <t>redalert2mod</t>
        </is>
      </c>
      <c r="B1151" t="inlineStr">
        <is>
          <t>steelconsortium_steelrunner</t>
        </is>
      </c>
      <c r="C1151" t="inlineStr">
        <is>
          <t>Steel Runner</t>
        </is>
      </c>
      <c r="D1151" s="6" t="inlineStr">
        <is>
          <t>HeroInfantry</t>
        </is>
      </c>
      <c r="E1151" s="6" t="n">
        <v>60000</v>
      </c>
      <c r="F1151" s="6" t="n">
        <v>90</v>
      </c>
      <c r="G1151" t="inlineStr">
        <is>
          <t>Heroic</t>
        </is>
      </c>
      <c r="H1151" s="6" t="n">
        <v>0.75</v>
      </c>
      <c r="I1151" s="6" t="n">
        <v>1</v>
      </c>
      <c r="J1151" s="6" t="n">
        <v>1.25</v>
      </c>
      <c r="K1151" s="6" t="n"/>
      <c r="P1151">
        <f>MAX(P1152,P1153,P1156,P1157)</f>
        <v/>
      </c>
      <c r="S1151">
        <f>S1152+S1153+S1156+S1157</f>
        <v/>
      </c>
      <c r="T1151">
        <f>(E1151/100000+F1151/100+(P1151/1000)*J1151/5+S1151/200)*200*I1151*H1151</f>
        <v/>
      </c>
      <c r="U1151">
        <f>((E1151*F1151/25000)+((P1151/1000)*J1151*S1151/2.5))*I1151*H1151</f>
        <v/>
      </c>
      <c r="V1151">
        <f>(E1151*F1151*(P1151/1000)*J1151*S1151*I1151*H1151)/12500000</f>
        <v/>
      </c>
      <c r="W1151">
        <f>(T1151+U1151+V1151)/3</f>
        <v/>
      </c>
      <c r="X1151" s="6" t="n">
        <v>3000</v>
      </c>
      <c r="Y1151">
        <f>IFERROR(W1151-X1151,"")</f>
        <v/>
      </c>
      <c r="Z1151">
        <f>IFERROR(ABS(Y1151)/MAX(X1151,1),"")</f>
        <v/>
      </c>
      <c r="AA1151">
        <f>IFERROR((X1151-(((E1151/100000+F1151/100+S1151/200)*200*I1151*H1151)+((E1151*F1151/25000)*I1151*H1151))/3)/(((J1151/5)*200*I1151*H1151)+((J1151*S1151/2.5)*I1151*H1151)+((E1151*F1151*J1151*S1151*I1151*H1151)/12500000))/3*1000,"")</f>
        <v/>
      </c>
    </row>
    <row r="1152">
      <c r="B1152" s="7" t="inlineStr">
        <is>
          <t xml:space="preserve">  ↳ SteelRunnerPistols</t>
        </is>
      </c>
      <c r="C1152" s="7" t="inlineStr">
        <is>
          <t>Armament@PRIMARY</t>
        </is>
      </c>
      <c r="L1152" s="6" t="n">
        <v>4000</v>
      </c>
      <c r="M1152" s="6" t="n">
        <v>8</v>
      </c>
      <c r="N1152" s="6" t="n">
        <v>2</v>
      </c>
      <c r="O1152" s="6" t="n">
        <v>4</v>
      </c>
      <c r="P1152" s="6" t="n">
        <v>6200</v>
      </c>
      <c r="Q1152" s="6" t="n">
        <v>1.083333333333333</v>
      </c>
      <c r="R1152">
        <f>M1152+IF(N1152&gt;1,N(O1152)*(N1152-1),0)</f>
        <v/>
      </c>
      <c r="S1152">
        <f>IFERROR(L1152*MAX(N1152,1)/R1152*Q1152*IF(ISBLANK(K1151),1,K1151),0)</f>
        <v/>
      </c>
      <c r="AB1152" s="7" t="inlineStr">
        <is>
          <t>^TeslaWeapon, ^LaserWeapon, ^RailgunWeapon</t>
        </is>
      </c>
    </row>
    <row r="1153">
      <c r="B1153" s="7" t="inlineStr">
        <is>
          <t xml:space="preserve">  ↳ SteelRunnerPistolsE</t>
        </is>
      </c>
      <c r="C1153" s="7" t="inlineStr">
        <is>
          <t>Armament@ELITE</t>
        </is>
      </c>
      <c r="L1153" s="6" t="n">
        <v>4000</v>
      </c>
      <c r="M1153" s="6" t="n">
        <v>8</v>
      </c>
      <c r="N1153" s="6" t="n">
        <v>4</v>
      </c>
      <c r="O1153" s="6" t="n">
        <v>4</v>
      </c>
      <c r="P1153" s="6" t="n">
        <v>7200</v>
      </c>
      <c r="Q1153" s="6" t="n">
        <v>1.083333333333333</v>
      </c>
      <c r="R1153">
        <f>M1153+IF(N1153&gt;1,N(O1153)*(N1153-1),0)</f>
        <v/>
      </c>
      <c r="S1153">
        <f>IFERROR(L1153*MAX(N1153,1)/R1153*Q1153*IF(ISBLANK(K1151),1,K1151),0)</f>
        <v/>
      </c>
      <c r="AB1153" s="7" t="inlineStr">
        <is>
          <t>^TeslaWeapon, ^LaserWeapon, ^RailgunWeapon</t>
        </is>
      </c>
    </row>
    <row r="1154">
      <c r="B1154" s="7" t="inlineStr">
        <is>
          <t xml:space="preserve">  ↳ SteelRunnerPistols</t>
        </is>
      </c>
      <c r="C1154" s="7" t="inlineStr">
        <is>
          <t>Armament@GARRISONED</t>
        </is>
      </c>
      <c r="L1154" s="6" t="n">
        <v>4000</v>
      </c>
      <c r="M1154" s="6" t="n">
        <v>8</v>
      </c>
      <c r="N1154" s="6" t="n">
        <v>2</v>
      </c>
      <c r="O1154" s="6" t="n">
        <v>4</v>
      </c>
      <c r="P1154" s="6" t="n">
        <v>6200</v>
      </c>
      <c r="Q1154" s="6" t="n">
        <v>1.083333333333333</v>
      </c>
      <c r="R1154">
        <f>M1154+IF(N1154&gt;1,N(O1154)*(N1154-1),0)</f>
        <v/>
      </c>
      <c r="S1154">
        <f>IFERROR(L1154*MAX(N1154,1)/R1154*Q1154*IF(ISBLANK(K1151),1,K1151),0)</f>
        <v/>
      </c>
      <c r="AB1154" s="7" t="inlineStr">
        <is>
          <t>^TeslaWeapon, ^LaserWeapon, ^RailgunWeapon</t>
        </is>
      </c>
    </row>
    <row r="1155">
      <c r="B1155" s="7" t="inlineStr">
        <is>
          <t xml:space="preserve">  ↳ SteelRunnerPistolsE</t>
        </is>
      </c>
      <c r="C1155" s="7" t="inlineStr">
        <is>
          <t>Armament@GARRISONEDELITE</t>
        </is>
      </c>
      <c r="L1155" s="6" t="n">
        <v>4000</v>
      </c>
      <c r="M1155" s="6" t="n">
        <v>8</v>
      </c>
      <c r="N1155" s="6" t="n">
        <v>4</v>
      </c>
      <c r="O1155" s="6" t="n">
        <v>4</v>
      </c>
      <c r="P1155" s="6" t="n">
        <v>7200</v>
      </c>
      <c r="Q1155" s="6" t="n">
        <v>1.083333333333333</v>
      </c>
      <c r="R1155">
        <f>M1155+IF(N1155&gt;1,N(O1155)*(N1155-1),0)</f>
        <v/>
      </c>
      <c r="S1155">
        <f>IFERROR(L1155*MAX(N1155,1)/R1155*Q1155*IF(ISBLANK(K1151),1,K1151),0)</f>
        <v/>
      </c>
      <c r="AB1155" s="7" t="inlineStr">
        <is>
          <t>^TeslaWeapon, ^LaserWeapon, ^RailgunWeapon</t>
        </is>
      </c>
    </row>
    <row r="1156">
      <c r="B1156" s="7" t="inlineStr">
        <is>
          <t xml:space="preserve">  ↳ SteelRunnerPistolsResonance</t>
        </is>
      </c>
      <c r="C1156" s="7" t="inlineStr">
        <is>
          <t>Armament@UpgradePRIMARY</t>
        </is>
      </c>
      <c r="L1156" s="6" t="n">
        <v>4000</v>
      </c>
      <c r="M1156" s="6" t="n">
        <v>8</v>
      </c>
      <c r="N1156" s="6" t="n">
        <v>2</v>
      </c>
      <c r="O1156" s="6" t="n">
        <v>4</v>
      </c>
      <c r="P1156" s="6" t="n">
        <v>6200</v>
      </c>
      <c r="Q1156" s="6" t="n">
        <v>1.083333333333333</v>
      </c>
      <c r="R1156">
        <f>M1156+IF(N1156&gt;1,N(O1156)*(N1156-1),0)</f>
        <v/>
      </c>
      <c r="S1156">
        <f>IFERROR(L1156*MAX(N1156,1)/R1156*Q1156*IF(ISBLANK(K1151),1,K1151),0)</f>
        <v/>
      </c>
      <c r="AB1156" s="7" t="inlineStr">
        <is>
          <t>^TeslaWeapon, ^LaserWeapon, ^RailgunWeapon</t>
        </is>
      </c>
    </row>
    <row r="1157">
      <c r="B1157" s="7" t="inlineStr">
        <is>
          <t xml:space="preserve">  ↳ SteelRunnerPistolsEResonance</t>
        </is>
      </c>
      <c r="C1157" s="7" t="inlineStr">
        <is>
          <t>Armament@UpgradeELITE</t>
        </is>
      </c>
      <c r="L1157" s="6" t="n">
        <v>4000</v>
      </c>
      <c r="M1157" s="6" t="n">
        <v>8</v>
      </c>
      <c r="N1157" s="6" t="n">
        <v>4</v>
      </c>
      <c r="O1157" s="6" t="n">
        <v>4</v>
      </c>
      <c r="P1157" s="6" t="n">
        <v>7200</v>
      </c>
      <c r="Q1157" s="6" t="n">
        <v>1.083333333333333</v>
      </c>
      <c r="R1157">
        <f>M1157+IF(N1157&gt;1,N(O1157)*(N1157-1),0)</f>
        <v/>
      </c>
      <c r="S1157">
        <f>IFERROR(L1157*MAX(N1157,1)/R1157*Q1157*IF(ISBLANK(K1151),1,K1151),0)</f>
        <v/>
      </c>
      <c r="AB1157" s="7" t="inlineStr">
        <is>
          <t>^TeslaWeapon, ^LaserWeapon, ^RailgunWeapon</t>
        </is>
      </c>
    </row>
    <row r="1158">
      <c r="B1158" s="7" t="inlineStr">
        <is>
          <t xml:space="preserve">  ↳ SteelRunnerPistolsResonance</t>
        </is>
      </c>
      <c r="C1158" s="7" t="inlineStr">
        <is>
          <t>Armament@UpgradeGARRISONED</t>
        </is>
      </c>
      <c r="L1158" s="6" t="n">
        <v>4000</v>
      </c>
      <c r="M1158" s="6" t="n">
        <v>8</v>
      </c>
      <c r="N1158" s="6" t="n">
        <v>2</v>
      </c>
      <c r="O1158" s="6" t="n">
        <v>4</v>
      </c>
      <c r="P1158" s="6" t="n">
        <v>6200</v>
      </c>
      <c r="Q1158" s="6" t="n">
        <v>1.083333333333333</v>
      </c>
      <c r="R1158">
        <f>M1158+IF(N1158&gt;1,N(O1158)*(N1158-1),0)</f>
        <v/>
      </c>
      <c r="S1158">
        <f>IFERROR(L1158*MAX(N1158,1)/R1158*Q1158*IF(ISBLANK(K1151),1,K1151),0)</f>
        <v/>
      </c>
      <c r="AB1158" s="7" t="inlineStr">
        <is>
          <t>^TeslaWeapon, ^LaserWeapon, ^RailgunWeapon</t>
        </is>
      </c>
    </row>
    <row r="1159">
      <c r="B1159" s="7" t="inlineStr">
        <is>
          <t xml:space="preserve">  ↳ SteelRunnerPistolsEResonance</t>
        </is>
      </c>
      <c r="C1159" s="7" t="inlineStr">
        <is>
          <t>Armament@UpgradeGARRISONEDELITE</t>
        </is>
      </c>
      <c r="L1159" s="6" t="n">
        <v>4000</v>
      </c>
      <c r="M1159" s="6" t="n">
        <v>8</v>
      </c>
      <c r="N1159" s="6" t="n">
        <v>4</v>
      </c>
      <c r="O1159" s="6" t="n">
        <v>4</v>
      </c>
      <c r="P1159" s="6" t="n">
        <v>7200</v>
      </c>
      <c r="Q1159" s="6" t="n">
        <v>1.083333333333333</v>
      </c>
      <c r="R1159">
        <f>M1159+IF(N1159&gt;1,N(O1159)*(N1159-1),0)</f>
        <v/>
      </c>
      <c r="S1159">
        <f>IFERROR(L1159*MAX(N1159,1)/R1159*Q1159*IF(ISBLANK(K1151),1,K1151),0)</f>
        <v/>
      </c>
      <c r="AB1159" s="7" t="inlineStr">
        <is>
          <t>^TeslaWeapon, ^LaserWeapon, ^RailgunWeapon</t>
        </is>
      </c>
    </row>
    <row r="1160">
      <c r="A1160" t="inlineStr">
        <is>
          <t>redalert2mod</t>
        </is>
      </c>
      <c r="B1160" t="inlineStr">
        <is>
          <t>steelconsortium_whiterabbit</t>
        </is>
      </c>
      <c r="C1160" t="inlineStr">
        <is>
          <t>White Rabbit</t>
        </is>
      </c>
      <c r="D1160" s="6" t="inlineStr">
        <is>
          <t>HeroInfantry</t>
        </is>
      </c>
      <c r="E1160" s="6" t="n">
        <v>150000</v>
      </c>
      <c r="F1160" s="6" t="n">
        <v>50</v>
      </c>
      <c r="G1160" t="inlineStr">
        <is>
          <t>Heroic</t>
        </is>
      </c>
      <c r="H1160" s="6" t="n">
        <v>0.75</v>
      </c>
      <c r="I1160" s="6" t="n">
        <v>1</v>
      </c>
      <c r="J1160" s="6" t="n">
        <v>1.25</v>
      </c>
      <c r="K1160" s="6" t="n"/>
      <c r="P1160">
        <f>MAX(P1161)</f>
        <v/>
      </c>
      <c r="S1160">
        <f>S1161</f>
        <v/>
      </c>
      <c r="T1160">
        <f>(E1160/100000+F1160/100+(P1160/1000)*J1160/5+S1160/200)*200*I1160*H1160</f>
        <v/>
      </c>
      <c r="U1160">
        <f>((E1160*F1160/25000)+((P1160/1000)*J1160*S1160/2.5))*I1160*H1160</f>
        <v/>
      </c>
      <c r="V1160">
        <f>(E1160*F1160*(P1160/1000)*J1160*S1160*I1160*H1160)/12500000</f>
        <v/>
      </c>
      <c r="W1160">
        <f>(T1160+U1160+V1160)/3</f>
        <v/>
      </c>
      <c r="X1160" s="6" t="n">
        <v>4500</v>
      </c>
      <c r="Y1160">
        <f>IFERROR(W1160-X1160,"")</f>
        <v/>
      </c>
      <c r="Z1160">
        <f>IFERROR(ABS(Y1160)/MAX(X1160,1),"")</f>
        <v/>
      </c>
      <c r="AA1160">
        <f>IFERROR((X1160-(((E1160/100000+F1160/100+S1160/200)*200*I1160*H1160)+((E1160*F1160/25000)*I1160*H1160))/3)/(((J1160/5)*200*I1160*H1160)+((J1160*S1160/2.5)*I1160*H1160)+((E1160*F1160*J1160*S1160*I1160*H1160)/12500000))/3*1000,"")</f>
        <v/>
      </c>
    </row>
    <row r="1161">
      <c r="B1161" s="7" t="inlineStr">
        <is>
          <t xml:space="preserve">  ↳ WhiteRabbitGatling</t>
        </is>
      </c>
      <c r="C1161" s="7" t="inlineStr">
        <is>
          <t>Armament@1</t>
        </is>
      </c>
      <c r="L1161" s="6" t="n">
        <v>4000</v>
      </c>
      <c r="M1161" s="6" t="n">
        <v>10</v>
      </c>
      <c r="N1161" s="6" t="n">
        <v>1</v>
      </c>
      <c r="O1161" s="6" t="n"/>
      <c r="P1161" s="6" t="n">
        <v>6000</v>
      </c>
      <c r="Q1161" s="6" t="n">
        <v>1</v>
      </c>
      <c r="R1161">
        <f>M1161+IF(N1161&gt;1,N(O1161)*(N1161-1),0)</f>
        <v/>
      </c>
      <c r="S1161">
        <f>IFERROR(L1161*MAX(N1161,1)/R1161*Q1161*IF(ISBLANK(K1160),1,K1160),0)</f>
        <v/>
      </c>
      <c r="AB1161" s="7" t="inlineStr">
        <is>
          <t>^HeavyCannon, ^SmallArms, ^MediumMissile, ^FlakWeapon, ^RA2Chaingun</t>
        </is>
      </c>
    </row>
    <row r="1162">
      <c r="A1162" t="inlineStr">
        <is>
          <t>redalert2mod</t>
        </is>
      </c>
      <c r="B1162" t="inlineStr">
        <is>
          <t>latinsyndicate_freedomfighter</t>
        </is>
      </c>
      <c r="C1162" t="inlineStr">
        <is>
          <t>Freedom Fighter</t>
        </is>
      </c>
      <c r="D1162" s="6" t="inlineStr">
        <is>
          <t>HeroInfantry</t>
        </is>
      </c>
      <c r="E1162" s="6" t="n">
        <v>77000</v>
      </c>
      <c r="F1162" s="6" t="n">
        <v>55</v>
      </c>
      <c r="G1162" t="inlineStr">
        <is>
          <t>Heroic</t>
        </is>
      </c>
      <c r="H1162" s="6" t="n">
        <v>0.75</v>
      </c>
      <c r="I1162" s="6" t="n">
        <v>1</v>
      </c>
      <c r="J1162" s="6" t="n">
        <v>1</v>
      </c>
      <c r="K1162" s="6" t="n">
        <v>0.5</v>
      </c>
      <c r="P1162">
        <f>MAX(P1163,P1164,P1165,P1166)</f>
        <v/>
      </c>
      <c r="S1162">
        <f>S1163+S1164+S1165+S1166</f>
        <v/>
      </c>
      <c r="T1162">
        <f>(E1162/100000+F1162/100+(P1162/1000)*J1162/5+S1162/200)*200*I1162*H1162</f>
        <v/>
      </c>
      <c r="U1162">
        <f>((E1162*F1162/25000)+((P1162/1000)*J1162*S1162/2.5))*I1162*H1162</f>
        <v/>
      </c>
      <c r="V1162">
        <f>(E1162*F1162*(P1162/1000)*J1162*S1162*I1162*H1162)/12500000</f>
        <v/>
      </c>
      <c r="W1162">
        <f>(T1162+U1162+V1162)/3</f>
        <v/>
      </c>
      <c r="X1162" s="6" t="n">
        <v>3000</v>
      </c>
      <c r="Y1162">
        <f>IFERROR(W1162-X1162,"")</f>
        <v/>
      </c>
      <c r="Z1162">
        <f>IFERROR(ABS(Y1162)/MAX(X1162,1),"")</f>
        <v/>
      </c>
      <c r="AA1162">
        <f>IFERROR((X1162-(((E1162/100000+F1162/100+S1162/200)*200*I1162*H1162)+((E1162*F1162/25000)*I1162*H1162))/3)/(((J1162/5)*200*I1162*H1162)+((J1162*S1162/2.5)*I1162*H1162)+((E1162*F1162*J1162*S1162*I1162*H1162)/12500000))/3*1000,"")</f>
        <v/>
      </c>
    </row>
    <row r="1163">
      <c r="B1163" s="7" t="inlineStr">
        <is>
          <t xml:space="preserve">  ↳ RA2FreedomAK47</t>
        </is>
      </c>
      <c r="C1163" s="7" t="inlineStr">
        <is>
          <t>Armament@PRIMARY</t>
        </is>
      </c>
      <c r="L1163" s="6" t="n">
        <v>6000</v>
      </c>
      <c r="M1163" s="6" t="n">
        <v>42</v>
      </c>
      <c r="N1163" s="6" t="n">
        <v>5</v>
      </c>
      <c r="O1163" s="6" t="n">
        <v>2</v>
      </c>
      <c r="P1163" s="6" t="n">
        <v>7130</v>
      </c>
      <c r="Q1163" s="6" t="n">
        <v>1</v>
      </c>
      <c r="R1163">
        <f>M1163+IF(N1163&gt;1,N(O1163)*(N1163-1),0)</f>
        <v/>
      </c>
      <c r="S1163">
        <f>IFERROR(L1163*MAX(N1163,1)/R1163*Q1163*IF(ISBLANK(K1162),1,K1162),0)</f>
        <v/>
      </c>
      <c r="AB1163" s="7" t="inlineStr">
        <is>
          <t>^HeavyCannon, ^Chaingun, ^SniperWeapon</t>
        </is>
      </c>
    </row>
    <row r="1164">
      <c r="B1164" s="7" t="inlineStr">
        <is>
          <t xml:space="preserve">  ↳ RA2FreedomAK47E</t>
        </is>
      </c>
      <c r="C1164" s="7" t="inlineStr">
        <is>
          <t>Armament@ELITE</t>
        </is>
      </c>
      <c r="L1164" s="6" t="n">
        <v>6000</v>
      </c>
      <c r="M1164" s="6" t="n">
        <v>42</v>
      </c>
      <c r="N1164" s="6" t="n">
        <v>10</v>
      </c>
      <c r="O1164" s="6" t="n">
        <v>1</v>
      </c>
      <c r="P1164" s="6" t="n">
        <v>8130</v>
      </c>
      <c r="Q1164" s="6" t="n">
        <v>1</v>
      </c>
      <c r="R1164">
        <f>M1164+IF(N1164&gt;1,N(O1164)*(N1164-1),0)</f>
        <v/>
      </c>
      <c r="S1164">
        <f>IFERROR(L1164*MAX(N1164,1)/R1164*Q1164*IF(ISBLANK(K1162),1,K1162),0)</f>
        <v/>
      </c>
      <c r="AB1164" s="7" t="inlineStr">
        <is>
          <t>^HeavyCannon, ^Chaingun, ^SniperWeapon</t>
        </is>
      </c>
    </row>
    <row r="1165">
      <c r="B1165" s="7" t="inlineStr">
        <is>
          <t xml:space="preserve">  ↳ RA2FreedomRocket</t>
        </is>
      </c>
      <c r="C1165" s="7" t="inlineStr">
        <is>
          <t>Armament@ROCKET</t>
        </is>
      </c>
      <c r="L1165" s="6" t="n">
        <v>60000</v>
      </c>
      <c r="M1165" s="6" t="n">
        <v>100</v>
      </c>
      <c r="N1165" s="6" t="n">
        <v>1</v>
      </c>
      <c r="O1165" s="6" t="n"/>
      <c r="P1165" s="6" t="n">
        <v>7130</v>
      </c>
      <c r="Q1165" s="6" t="n">
        <v>1</v>
      </c>
      <c r="R1165">
        <f>M1165+IF(N1165&gt;1,N(O1165)*(N1165-1),0)</f>
        <v/>
      </c>
      <c r="S1165">
        <f>IFERROR(L1165*MAX(N1165,1)/R1165*Q1165*IF(ISBLANK(K1162),1,K1162),0)</f>
        <v/>
      </c>
      <c r="AB1165" s="7" t="inlineStr">
        <is>
          <t>^FlakWeapon, ^ShrapnelWeapon, ^RA2MediumMissile</t>
        </is>
      </c>
    </row>
    <row r="1166">
      <c r="B1166" s="7" t="inlineStr">
        <is>
          <t xml:space="preserve">  ↳ RA2FreedomRocketE</t>
        </is>
      </c>
      <c r="C1166" s="7" t="inlineStr">
        <is>
          <t>Armament@ROCKETELITE</t>
        </is>
      </c>
      <c r="L1166" s="6" t="n">
        <v>120000</v>
      </c>
      <c r="M1166" s="6" t="n">
        <v>100</v>
      </c>
      <c r="N1166" s="6" t="n">
        <v>1</v>
      </c>
      <c r="O1166" s="6" t="n"/>
      <c r="P1166" s="6" t="n">
        <v>8130</v>
      </c>
      <c r="Q1166" s="6" t="n">
        <v>1</v>
      </c>
      <c r="R1166">
        <f>M1166+IF(N1166&gt;1,N(O1166)*(N1166-1),0)</f>
        <v/>
      </c>
      <c r="S1166">
        <f>IFERROR(L1166*MAX(N1166,1)/R1166*Q1166*IF(ISBLANK(K1162),1,K1162),0)</f>
        <v/>
      </c>
      <c r="AB1166" s="7" t="inlineStr">
        <is>
          <t>^FlakWeapon, ^ShrapnelWeapon, ^RA2MediumMissile</t>
        </is>
      </c>
    </row>
    <row r="1167">
      <c r="B1167" s="7" t="inlineStr">
        <is>
          <t xml:space="preserve">  ↳ RA2FreedomAK47</t>
        </is>
      </c>
      <c r="C1167" s="7" t="inlineStr">
        <is>
          <t>Armament@GARRISONED</t>
        </is>
      </c>
      <c r="L1167" s="6" t="n">
        <v>6000</v>
      </c>
      <c r="M1167" s="6" t="n">
        <v>42</v>
      </c>
      <c r="N1167" s="6" t="n">
        <v>5</v>
      </c>
      <c r="O1167" s="6" t="n">
        <v>2</v>
      </c>
      <c r="P1167" s="6" t="n">
        <v>7130</v>
      </c>
      <c r="Q1167" s="6" t="n">
        <v>1</v>
      </c>
      <c r="R1167">
        <f>M1167+IF(N1167&gt;1,N(O1167)*(N1167-1),0)</f>
        <v/>
      </c>
      <c r="S1167">
        <f>IFERROR(L1167*MAX(N1167,1)/R1167*Q1167*IF(ISBLANK(K1162),1,K1162),0)</f>
        <v/>
      </c>
      <c r="AB1167" s="7" t="inlineStr">
        <is>
          <t>^HeavyCannon, ^Chaingun, ^SniperWeapon</t>
        </is>
      </c>
    </row>
    <row r="1168">
      <c r="B1168" s="7" t="inlineStr">
        <is>
          <t xml:space="preserve">  ↳ RA2FreedomAK47E</t>
        </is>
      </c>
      <c r="C1168" s="7" t="inlineStr">
        <is>
          <t>Armament@GARRISONEDELITE</t>
        </is>
      </c>
      <c r="L1168" s="6" t="n">
        <v>6000</v>
      </c>
      <c r="M1168" s="6" t="n">
        <v>42</v>
      </c>
      <c r="N1168" s="6" t="n">
        <v>10</v>
      </c>
      <c r="O1168" s="6" t="n">
        <v>1</v>
      </c>
      <c r="P1168" s="6" t="n">
        <v>8130</v>
      </c>
      <c r="Q1168" s="6" t="n">
        <v>1</v>
      </c>
      <c r="R1168">
        <f>M1168+IF(N1168&gt;1,N(O1168)*(N1168-1),0)</f>
        <v/>
      </c>
      <c r="S1168">
        <f>IFERROR(L1168*MAX(N1168,1)/R1168*Q1168*IF(ISBLANK(K1162),1,K1162),0)</f>
        <v/>
      </c>
      <c r="AB1168" s="7" t="inlineStr">
        <is>
          <t>^HeavyCannon, ^Chaingun, ^SniperWeapon</t>
        </is>
      </c>
    </row>
    <row r="1169">
      <c r="B1169" s="7" t="inlineStr">
        <is>
          <t xml:space="preserve">  ↳ RA2FreedomRocket</t>
        </is>
      </c>
      <c r="C1169" s="7" t="inlineStr">
        <is>
          <t>Armament@RocketGARRISONED</t>
        </is>
      </c>
      <c r="L1169" s="6" t="n">
        <v>60000</v>
      </c>
      <c r="M1169" s="6" t="n">
        <v>100</v>
      </c>
      <c r="N1169" s="6" t="n">
        <v>1</v>
      </c>
      <c r="O1169" s="6" t="n"/>
      <c r="P1169" s="6" t="n">
        <v>7130</v>
      </c>
      <c r="Q1169" s="6" t="n">
        <v>1</v>
      </c>
      <c r="R1169">
        <f>M1169+IF(N1169&gt;1,N(O1169)*(N1169-1),0)</f>
        <v/>
      </c>
      <c r="S1169">
        <f>IFERROR(L1169*MAX(N1169,1)/R1169*Q1169*IF(ISBLANK(K1162),1,K1162),0)</f>
        <v/>
      </c>
      <c r="AB1169" s="7" t="inlineStr">
        <is>
          <t>^FlakWeapon, ^ShrapnelWeapon, ^RA2MediumMissile</t>
        </is>
      </c>
    </row>
    <row r="1170">
      <c r="B1170" s="7" t="inlineStr">
        <is>
          <t xml:space="preserve">  ↳ RA2FreedomRocketE</t>
        </is>
      </c>
      <c r="C1170" s="7" t="inlineStr">
        <is>
          <t>Armament@RocketGARRISONEDELITE</t>
        </is>
      </c>
      <c r="L1170" s="6" t="n">
        <v>120000</v>
      </c>
      <c r="M1170" s="6" t="n">
        <v>100</v>
      </c>
      <c r="N1170" s="6" t="n">
        <v>1</v>
      </c>
      <c r="O1170" s="6" t="n"/>
      <c r="P1170" s="6" t="n">
        <v>8130</v>
      </c>
      <c r="Q1170" s="6" t="n">
        <v>1</v>
      </c>
      <c r="R1170">
        <f>M1170+IF(N1170&gt;1,N(O1170)*(N1170-1),0)</f>
        <v/>
      </c>
      <c r="S1170">
        <f>IFERROR(L1170*MAX(N1170,1)/R1170*Q1170*IF(ISBLANK(K1162),1,K1162),0)</f>
        <v/>
      </c>
      <c r="AB1170" s="7" t="inlineStr">
        <is>
          <t>^FlakWeapon, ^ShrapnelWeapon, ^RA2MediumMissile</t>
        </is>
      </c>
    </row>
    <row r="1171">
      <c r="A1171" t="inlineStr">
        <is>
          <t>redalert2mod</t>
        </is>
      </c>
      <c r="B1171" t="inlineStr">
        <is>
          <t>schwarzermond_parzival</t>
        </is>
      </c>
      <c r="C1171" t="inlineStr">
        <is>
          <t>Parzival</t>
        </is>
      </c>
      <c r="D1171" s="6" t="inlineStr">
        <is>
          <t>HeroInfantry</t>
        </is>
      </c>
      <c r="E1171" s="6" t="n">
        <v>120000</v>
      </c>
      <c r="F1171" s="6" t="n">
        <v>60</v>
      </c>
      <c r="G1171" t="inlineStr">
        <is>
          <t>Heroic</t>
        </is>
      </c>
      <c r="H1171" s="6" t="n">
        <v>0.75</v>
      </c>
      <c r="I1171" s="6" t="n">
        <v>1</v>
      </c>
      <c r="J1171" s="6" t="n">
        <v>1.25</v>
      </c>
      <c r="K1171" s="6" t="n"/>
      <c r="P1171">
        <f>MAX(P1172,P1173)</f>
        <v/>
      </c>
      <c r="S1171">
        <f>S1172+S1173</f>
        <v/>
      </c>
      <c r="T1171">
        <f>(E1171/100000+F1171/100+(P1171/1000)*J1171/5+S1171/200)*200*I1171*H1171</f>
        <v/>
      </c>
      <c r="U1171">
        <f>((E1171*F1171/25000)+((P1171/1000)*J1171*S1171/2.5))*I1171*H1171</f>
        <v/>
      </c>
      <c r="V1171">
        <f>(E1171*F1171*(P1171/1000)*J1171*S1171*I1171*H1171)/12500000</f>
        <v/>
      </c>
      <c r="W1171">
        <f>(T1171+U1171+V1171)/3</f>
        <v/>
      </c>
      <c r="X1171" s="6" t="n">
        <v>3000</v>
      </c>
      <c r="Y1171">
        <f>IFERROR(W1171-X1171,"")</f>
        <v/>
      </c>
      <c r="Z1171">
        <f>IFERROR(ABS(Y1171)/MAX(X1171,1),"")</f>
        <v/>
      </c>
      <c r="AA1171">
        <f>IFERROR((X1171-(((E1171/100000+F1171/100+S1171/200)*200*I1171*H1171)+((E1171*F1171/25000)*I1171*H1171))/3)/(((J1171/5)*200*I1171*H1171)+((J1171*S1171/2.5)*I1171*H1171)+((E1171*F1171*J1171*S1171*I1171*H1171)/12500000))/3*1000,"")</f>
        <v/>
      </c>
    </row>
    <row r="1172">
      <c r="B1172" s="7" t="inlineStr">
        <is>
          <t xml:space="preserve">  ↳ BlackHoleMaker</t>
        </is>
      </c>
      <c r="C1172" s="7" t="inlineStr">
        <is>
          <t>Armament@PRIMARY</t>
        </is>
      </c>
      <c r="L1172" s="6" t="n">
        <v>60000</v>
      </c>
      <c r="M1172" s="6" t="n">
        <v>60</v>
      </c>
      <c r="N1172" s="6" t="n">
        <v>1</v>
      </c>
      <c r="O1172" s="6" t="n"/>
      <c r="P1172" s="6" t="n">
        <v>6414</v>
      </c>
      <c r="Q1172" s="6" t="n">
        <v>1</v>
      </c>
      <c r="R1172">
        <f>M1172+IF(N1172&gt;1,N(O1172)*(N1172-1),0)</f>
        <v/>
      </c>
      <c r="S1172">
        <f>IFERROR(L1172*MAX(N1172,1)/R1172*Q1172*IF(ISBLANK(K1171),1,K1171),0)</f>
        <v/>
      </c>
      <c r="AB1172" s="7" t="inlineStr">
        <is>
          <t>^LaserWeapon</t>
        </is>
      </c>
    </row>
    <row r="1173">
      <c r="B1173" s="7" t="inlineStr">
        <is>
          <t xml:space="preserve">  ↳ BlackHoleMakerE</t>
        </is>
      </c>
      <c r="C1173" s="7" t="inlineStr">
        <is>
          <t>Armament@ELITE</t>
        </is>
      </c>
      <c r="L1173" s="6" t="n">
        <v>60000</v>
      </c>
      <c r="M1173" s="6" t="n">
        <v>60</v>
      </c>
      <c r="N1173" s="6" t="n">
        <v>2</v>
      </c>
      <c r="O1173" s="6" t="n">
        <v>3</v>
      </c>
      <c r="P1173" s="6" t="n">
        <v>7414</v>
      </c>
      <c r="Q1173" s="6" t="n">
        <v>1</v>
      </c>
      <c r="R1173">
        <f>M1173+IF(N1173&gt;1,N(O1173)*(N1173-1),0)</f>
        <v/>
      </c>
      <c r="S1173">
        <f>IFERROR(L1173*MAX(N1173,1)/R1173*Q1173*IF(ISBLANK(K1171),1,K1171),0)</f>
        <v/>
      </c>
      <c r="AB1173" s="7" t="inlineStr">
        <is>
          <t>^LaserWeapon</t>
        </is>
      </c>
    </row>
    <row r="1174">
      <c r="B1174" s="7" t="inlineStr">
        <is>
          <t xml:space="preserve">  ↳ BlackHoleMaker</t>
        </is>
      </c>
      <c r="C1174" s="7" t="inlineStr">
        <is>
          <t>Armament@GARRISONED</t>
        </is>
      </c>
      <c r="L1174" s="6" t="n">
        <v>60000</v>
      </c>
      <c r="M1174" s="6" t="n">
        <v>60</v>
      </c>
      <c r="N1174" s="6" t="n">
        <v>1</v>
      </c>
      <c r="O1174" s="6" t="n"/>
      <c r="P1174" s="6" t="n">
        <v>6414</v>
      </c>
      <c r="Q1174" s="6" t="n">
        <v>1</v>
      </c>
      <c r="R1174">
        <f>M1174+IF(N1174&gt;1,N(O1174)*(N1174-1),0)</f>
        <v/>
      </c>
      <c r="S1174">
        <f>IFERROR(L1174*MAX(N1174,1)/R1174*Q1174*IF(ISBLANK(K1171),1,K1171),0)</f>
        <v/>
      </c>
      <c r="AB1174" s="7" t="inlineStr">
        <is>
          <t>^LaserWeapon</t>
        </is>
      </c>
    </row>
    <row r="1175">
      <c r="B1175" s="7" t="inlineStr">
        <is>
          <t xml:space="preserve">  ↳ BlackHoleMakerE</t>
        </is>
      </c>
      <c r="C1175" s="7" t="inlineStr">
        <is>
          <t>Armament@GARRISONEDELITE</t>
        </is>
      </c>
      <c r="L1175" s="6" t="n">
        <v>60000</v>
      </c>
      <c r="M1175" s="6" t="n">
        <v>60</v>
      </c>
      <c r="N1175" s="6" t="n">
        <v>2</v>
      </c>
      <c r="O1175" s="6" t="n">
        <v>3</v>
      </c>
      <c r="P1175" s="6" t="n">
        <v>7414</v>
      </c>
      <c r="Q1175" s="6" t="n">
        <v>1</v>
      </c>
      <c r="R1175">
        <f>M1175+IF(N1175&gt;1,N(O1175)*(N1175-1),0)</f>
        <v/>
      </c>
      <c r="S1175">
        <f>IFERROR(L1175*MAX(N1175,1)/R1175*Q1175*IF(ISBLANK(K1171),1,K1171),0)</f>
        <v/>
      </c>
      <c r="AB1175" s="7" t="inlineStr">
        <is>
          <t>^LaserWeapon</t>
        </is>
      </c>
    </row>
    <row r="1176">
      <c r="A1176" t="inlineStr">
        <is>
          <t>redalert2mod</t>
        </is>
      </c>
      <c r="B1176" t="inlineStr">
        <is>
          <t>futuretech_cryolegionnaire</t>
        </is>
      </c>
      <c r="C1176" t="inlineStr">
        <is>
          <t>Cryo Legionnaire</t>
        </is>
      </c>
      <c r="D1176" s="6" t="inlineStr">
        <is>
          <t>HeroInfantry</t>
        </is>
      </c>
      <c r="E1176" s="6" t="n">
        <v>360000</v>
      </c>
      <c r="F1176" s="6" t="n">
        <v>75</v>
      </c>
      <c r="G1176" t="inlineStr">
        <is>
          <t>Heroic</t>
        </is>
      </c>
      <c r="H1176" s="6" t="n">
        <v>1</v>
      </c>
      <c r="I1176" s="6" t="n">
        <v>1</v>
      </c>
      <c r="J1176" s="6" t="n">
        <v>1</v>
      </c>
      <c r="K1176" s="6" t="n">
        <v>0.5</v>
      </c>
      <c r="P1176">
        <f>MAX(P1177)</f>
        <v/>
      </c>
      <c r="S1176">
        <f>S1177</f>
        <v/>
      </c>
      <c r="T1176">
        <f>(E1176/100000+F1176/100+(P1176/1000)*J1176/5+S1176/200)*200*I1176*H1176</f>
        <v/>
      </c>
      <c r="U1176">
        <f>((E1176*F1176/25000)+((P1176/1000)*J1176*S1176/2.5))*I1176*H1176</f>
        <v/>
      </c>
      <c r="V1176">
        <f>(E1176*F1176*(P1176/1000)*J1176*S1176*I1176*H1176)/12500000</f>
        <v/>
      </c>
      <c r="W1176">
        <f>(T1176+U1176+V1176)/3</f>
        <v/>
      </c>
      <c r="X1176" s="6" t="n">
        <v>3500</v>
      </c>
      <c r="Y1176">
        <f>IFERROR(W1176-X1176,"")</f>
        <v/>
      </c>
      <c r="Z1176">
        <f>IFERROR(ABS(Y1176)/MAX(X1176,1),"")</f>
        <v/>
      </c>
      <c r="AA1176">
        <f>IFERROR((X1176-(((E1176/100000+F1176/100+S1176/200)*200*I1176*H1176)+((E1176*F1176/25000)*I1176*H1176))/3)/(((J1176/5)*200*I1176*H1176)+((J1176*S1176/2.5)*I1176*H1176)+((E1176*F1176*J1176*S1176*I1176*H1176)/12500000))/3*1000,"")</f>
        <v/>
      </c>
    </row>
    <row r="1177">
      <c r="B1177" s="7" t="inlineStr">
        <is>
          <t xml:space="preserve">  ↳ CryoLegionnaireAttack</t>
        </is>
      </c>
      <c r="C1177" s="7" t="inlineStr">
        <is>
          <t>Armament@PRIMARY</t>
        </is>
      </c>
      <c r="L1177" s="6" t="n">
        <v>2000</v>
      </c>
      <c r="M1177" s="6" t="n">
        <v>30</v>
      </c>
      <c r="N1177" s="6" t="n">
        <v>1</v>
      </c>
      <c r="O1177" s="6" t="n"/>
      <c r="P1177" s="6" t="n">
        <v>7000</v>
      </c>
      <c r="Q1177" s="6" t="n">
        <v>0.9166666666666666</v>
      </c>
      <c r="R1177">
        <f>M1177+IF(N1177&gt;1,N(O1177)*(N1177-1),0)</f>
        <v/>
      </c>
      <c r="S1177">
        <f>IFERROR(L1177*MAX(N1177,1)/R1177*Q1177*IF(ISBLANK(K1176),1,K1176),0)</f>
        <v/>
      </c>
      <c r="AB1177" s="7" t="inlineStr">
        <is>
          <t>^LightMissile, ^SmallArms, ^Chaingun, ^FlakWeapon, ^TeslaWeapon, ^LaserWeapon</t>
        </is>
      </c>
    </row>
    <row r="1178">
      <c r="B1178" s="7" t="inlineStr">
        <is>
          <t xml:space="preserve">  ↳ CryoLegionnaireAttack</t>
        </is>
      </c>
      <c r="C1178" s="7" t="inlineStr">
        <is>
          <t>Armament@GARRISONED</t>
        </is>
      </c>
      <c r="L1178" s="6" t="n">
        <v>2000</v>
      </c>
      <c r="M1178" s="6" t="n">
        <v>30</v>
      </c>
      <c r="N1178" s="6" t="n">
        <v>1</v>
      </c>
      <c r="O1178" s="6" t="n"/>
      <c r="P1178" s="6" t="n">
        <v>7000</v>
      </c>
      <c r="Q1178" s="6" t="n">
        <v>0.9166666666666666</v>
      </c>
      <c r="R1178">
        <f>M1178+IF(N1178&gt;1,N(O1178)*(N1178-1),0)</f>
        <v/>
      </c>
      <c r="S1178">
        <f>IFERROR(L1178*MAX(N1178,1)/R1178*Q1178*IF(ISBLANK(K1176),1,K1176),0)</f>
        <v/>
      </c>
      <c r="AB1178" s="7" t="inlineStr">
        <is>
          <t>^LightMissile, ^SmallArms, ^Chaingun, ^FlakWeapon, ^TeslaWeapon, ^LaserWeapon</t>
        </is>
      </c>
    </row>
    <row r="1179">
      <c r="A1179" t="inlineStr">
        <is>
          <t>redalert2mod</t>
        </is>
      </c>
      <c r="B1179" t="inlineStr">
        <is>
          <t>tkm_von</t>
        </is>
      </c>
      <c r="C1179" t="inlineStr">
        <is>
          <t>Von</t>
        </is>
      </c>
      <c r="D1179" s="6" t="inlineStr">
        <is>
          <t>HeroInfantry</t>
        </is>
      </c>
      <c r="E1179" s="6" t="n">
        <v>50000</v>
      </c>
      <c r="F1179" s="6" t="n">
        <v>75</v>
      </c>
      <c r="G1179" t="inlineStr">
        <is>
          <t>Heroic</t>
        </is>
      </c>
      <c r="H1179" s="6" t="n">
        <v>0.75</v>
      </c>
      <c r="I1179" s="6" t="n">
        <v>1</v>
      </c>
      <c r="J1179" s="6" t="n">
        <v>1.25</v>
      </c>
      <c r="K1179" s="6" t="n"/>
      <c r="P1179">
        <f>MAX(P1180,P1181,P1182)</f>
        <v/>
      </c>
      <c r="S1179">
        <f>S1180+S1181+S1182</f>
        <v/>
      </c>
      <c r="T1179">
        <f>(E1179/100000+F1179/100+(P1179/1000)*J1179/5+S1179/200)*200*I1179*H1179</f>
        <v/>
      </c>
      <c r="U1179">
        <f>((E1179*F1179/25000)+((P1179/1000)*J1179*S1179/2.5))*I1179*H1179</f>
        <v/>
      </c>
      <c r="V1179">
        <f>(E1179*F1179*(P1179/1000)*J1179*S1179*I1179*H1179)/12500000</f>
        <v/>
      </c>
      <c r="W1179">
        <f>(T1179+U1179+V1179)/3</f>
        <v/>
      </c>
      <c r="X1179" s="6" t="n">
        <v>3000</v>
      </c>
      <c r="Y1179">
        <f>IFERROR(W1179-X1179,"")</f>
        <v/>
      </c>
      <c r="Z1179">
        <f>IFERROR(ABS(Y1179)/MAX(X1179,1),"")</f>
        <v/>
      </c>
      <c r="AA1179">
        <f>IFERROR((X1179-(((E1179/100000+F1179/100+S1179/200)*200*I1179*H1179)+((E1179*F1179/25000)*I1179*H1179))/3)/(((J1179/5)*200*I1179*H1179)+((J1179*S1179/2.5)*I1179*H1179)+((E1179*F1179*J1179*S1179*I1179*H1179)/12500000))/3*1000,"")</f>
        <v/>
      </c>
    </row>
    <row r="1180">
      <c r="B1180" s="7" t="inlineStr">
        <is>
          <t xml:space="preserve">  ↳ VonSniperLockdown</t>
        </is>
      </c>
      <c r="C1180" s="7" t="inlineStr">
        <is>
          <t>Armament@lockdown</t>
        </is>
      </c>
      <c r="L1180" s="6" t="n">
        <v>32000</v>
      </c>
      <c r="M1180" s="6" t="n">
        <v>100</v>
      </c>
      <c r="N1180" s="6" t="n">
        <v>1</v>
      </c>
      <c r="O1180" s="6" t="n"/>
      <c r="P1180" s="6" t="n">
        <v>7879</v>
      </c>
      <c r="Q1180" s="6" t="n">
        <v>1</v>
      </c>
      <c r="R1180">
        <f>M1180+IF(N1180&gt;1,N(O1180)*(N1180-1),0)</f>
        <v/>
      </c>
      <c r="S1180">
        <f>IFERROR(L1180*MAX(N1180,1)/R1180*Q1180*IF(ISBLANK(K1179),1,K1179),0)</f>
        <v/>
      </c>
      <c r="AB1180" s="7" t="inlineStr">
        <is>
          <t>^TeslaChargedWeapon, ^MediumMissile, ^HeavyCannon, ^SmallArms, ^FlakWeapon, ^Chaingun</t>
        </is>
      </c>
    </row>
    <row r="1181">
      <c r="B1181" s="7" t="inlineStr">
        <is>
          <t xml:space="preserve">  ↳ VonSniper</t>
        </is>
      </c>
      <c r="C1181" s="7" t="inlineStr">
        <is>
          <t>Armament@PRIMARY</t>
        </is>
      </c>
      <c r="L1181" s="6" t="n">
        <v>6000</v>
      </c>
      <c r="M1181" s="6" t="n">
        <v>25</v>
      </c>
      <c r="N1181" s="6" t="n">
        <v>1</v>
      </c>
      <c r="O1181" s="6" t="n"/>
      <c r="P1181" s="6" t="n">
        <v>7879</v>
      </c>
      <c r="Q1181" s="6" t="n">
        <v>1</v>
      </c>
      <c r="R1181">
        <f>M1181+IF(N1181&gt;1,N(O1181)*(N1181-1),0)</f>
        <v/>
      </c>
      <c r="S1181">
        <f>IFERROR(L1181*MAX(N1181,1)/R1181*Q1181*IF(ISBLANK(K1179),1,K1179),0)</f>
        <v/>
      </c>
      <c r="AB1181" s="7" t="inlineStr">
        <is>
          <t>^MediumMissile, ^HeavyCannon, ^SmallArms, ^FlakWeapon, ^Chaingun</t>
        </is>
      </c>
    </row>
    <row r="1182">
      <c r="B1182" s="7" t="inlineStr">
        <is>
          <t xml:space="preserve">  ↳ VonSniperAP</t>
        </is>
      </c>
      <c r="C1182" s="7" t="inlineStr">
        <is>
          <t>Armament@PRIMARYUPGRADE</t>
        </is>
      </c>
      <c r="L1182" s="6" t="n">
        <v>16000</v>
      </c>
      <c r="M1182" s="6" t="n">
        <v>50</v>
      </c>
      <c r="N1182" s="6" t="n">
        <v>1</v>
      </c>
      <c r="O1182" s="6" t="n"/>
      <c r="P1182" s="6" t="n">
        <v>7879</v>
      </c>
      <c r="Q1182" s="6" t="n">
        <v>1</v>
      </c>
      <c r="R1182">
        <f>M1182+IF(N1182&gt;1,N(O1182)*(N1182-1),0)</f>
        <v/>
      </c>
      <c r="S1182">
        <f>IFERROR(L1182*MAX(N1182,1)/R1182*Q1182*IF(ISBLANK(K1179),1,K1179),0)</f>
        <v/>
      </c>
      <c r="AB1182" s="7" t="inlineStr">
        <is>
          <t>^MediumMissile, ^HeavyCannon, ^SmallArms, ^FlakWeapon, ^Chaingun</t>
        </is>
      </c>
    </row>
    <row r="1183">
      <c r="B1183" s="7" t="inlineStr">
        <is>
          <t xml:space="preserve">  ↳ VonSniper</t>
        </is>
      </c>
      <c r="C1183" s="7" t="inlineStr">
        <is>
          <t>Armament@GARRISONED</t>
        </is>
      </c>
      <c r="L1183" s="6" t="n">
        <v>6000</v>
      </c>
      <c r="M1183" s="6" t="n">
        <v>25</v>
      </c>
      <c r="N1183" s="6" t="n">
        <v>1</v>
      </c>
      <c r="O1183" s="6" t="n"/>
      <c r="P1183" s="6" t="n">
        <v>7879</v>
      </c>
      <c r="Q1183" s="6" t="n">
        <v>1</v>
      </c>
      <c r="R1183">
        <f>M1183+IF(N1183&gt;1,N(O1183)*(N1183-1),0)</f>
        <v/>
      </c>
      <c r="S1183">
        <f>IFERROR(L1183*MAX(N1183,1)/R1183*Q1183*IF(ISBLANK(K1179),1,K1179),0)</f>
        <v/>
      </c>
      <c r="AB1183" s="7" t="inlineStr">
        <is>
          <t>^MediumMissile, ^HeavyCannon, ^SmallArms, ^FlakWeapon, ^Chaingun</t>
        </is>
      </c>
    </row>
    <row r="1184">
      <c r="B1184" s="7" t="inlineStr">
        <is>
          <t xml:space="preserve">  ↳ VonSniperAP</t>
        </is>
      </c>
      <c r="C1184" s="7" t="inlineStr">
        <is>
          <t>Armament@GARRISONEDUPGRADE</t>
        </is>
      </c>
      <c r="L1184" s="6" t="n">
        <v>16000</v>
      </c>
      <c r="M1184" s="6" t="n">
        <v>50</v>
      </c>
      <c r="N1184" s="6" t="n">
        <v>1</v>
      </c>
      <c r="O1184" s="6" t="n"/>
      <c r="P1184" s="6" t="n">
        <v>7879</v>
      </c>
      <c r="Q1184" s="6" t="n">
        <v>1</v>
      </c>
      <c r="R1184">
        <f>M1184+IF(N1184&gt;1,N(O1184)*(N1184-1),0)</f>
        <v/>
      </c>
      <c r="S1184">
        <f>IFERROR(L1184*MAX(N1184,1)/R1184*Q1184*IF(ISBLANK(K1179),1,K1179),0)</f>
        <v/>
      </c>
      <c r="AB1184" s="7" t="inlineStr">
        <is>
          <t>^MediumMissile, ^HeavyCannon, ^SmallArms, ^FlakWeapon, ^Chaingun</t>
        </is>
      </c>
    </row>
    <row r="1185">
      <c r="A1185" t="inlineStr">
        <is>
          <t>redalert2mod</t>
        </is>
      </c>
      <c r="B1185" t="inlineStr">
        <is>
          <t>tkmvan</t>
        </is>
      </c>
      <c r="C1185" t="inlineStr">
        <is>
          <t>Van</t>
        </is>
      </c>
      <c r="D1185" s="6" t="inlineStr">
        <is>
          <t>HeroInfantry</t>
        </is>
      </c>
      <c r="E1185" s="6" t="n">
        <v>40000</v>
      </c>
      <c r="F1185" s="6" t="n">
        <v>75</v>
      </c>
      <c r="G1185" t="inlineStr">
        <is>
          <t>Heroic</t>
        </is>
      </c>
      <c r="H1185" s="6" t="n">
        <v>1</v>
      </c>
      <c r="I1185" s="6" t="n">
        <v>1</v>
      </c>
      <c r="J1185" s="6" t="n">
        <v>1</v>
      </c>
      <c r="K1185" s="6" t="n"/>
      <c r="P1185">
        <f>MAX(P1186)</f>
        <v/>
      </c>
      <c r="S1185">
        <f>S1186</f>
        <v/>
      </c>
      <c r="T1185">
        <f>(E1185/100000+F1185/100+(P1185/1000)*J1185/5+S1185/200)*200*I1185*H1185</f>
        <v/>
      </c>
      <c r="U1185">
        <f>((E1185*F1185/25000)+((P1185/1000)*J1185*S1185/2.5))*I1185*H1185</f>
        <v/>
      </c>
      <c r="V1185">
        <f>(E1185*F1185*(P1185/1000)*J1185*S1185*I1185*H1185)/12500000</f>
        <v/>
      </c>
      <c r="W1185">
        <f>(T1185+U1185+V1185)/3</f>
        <v/>
      </c>
      <c r="X1185" s="6" t="n">
        <v>3500</v>
      </c>
      <c r="Y1185">
        <f>IFERROR(W1185-X1185,"")</f>
        <v/>
      </c>
      <c r="Z1185">
        <f>IFERROR(ABS(Y1185)/MAX(X1185,1),"")</f>
        <v/>
      </c>
      <c r="AA1185">
        <f>IFERROR((X1185-(((E1185/100000+F1185/100+S1185/200)*200*I1185*H1185)+((E1185*F1185/25000)*I1185*H1185))/3)/(((J1185/5)*200*I1185*H1185)+((J1185*S1185/2.5)*I1185*H1185)+((E1185*F1185*J1185*S1185*I1185*H1185)/12500000))/3*1000,"")</f>
        <v/>
      </c>
    </row>
    <row r="1186">
      <c r="B1186" s="7" t="inlineStr">
        <is>
          <t xml:space="preserve">  ↳ VanSniper</t>
        </is>
      </c>
      <c r="C1186" s="7" t="inlineStr">
        <is>
          <t>Armament@PRIMARY</t>
        </is>
      </c>
      <c r="L1186" s="6" t="n">
        <v>80000</v>
      </c>
      <c r="M1186" s="6" t="n">
        <v>30</v>
      </c>
      <c r="N1186" s="6" t="n">
        <v>1</v>
      </c>
      <c r="O1186" s="6" t="n"/>
      <c r="P1186" s="6" t="n">
        <v>12402</v>
      </c>
      <c r="Q1186" s="6" t="n">
        <v>0.75</v>
      </c>
      <c r="R1186">
        <f>M1186+IF(N1186&gt;1,N(O1186)*(N1186-1),0)</f>
        <v/>
      </c>
      <c r="S1186">
        <f>IFERROR(L1186*MAX(N1186,1)/R1186*Q1186*IF(ISBLANK(K1185),1,K1185),0)</f>
        <v/>
      </c>
      <c r="AB1186" s="7" t="inlineStr">
        <is>
          <t>^SniperWeapon</t>
        </is>
      </c>
    </row>
    <row r="1187">
      <c r="B1187" s="7" t="inlineStr">
        <is>
          <t xml:space="preserve">  ↳ VanSniper</t>
        </is>
      </c>
      <c r="C1187" s="7" t="inlineStr">
        <is>
          <t>Armament@GARRISONED</t>
        </is>
      </c>
      <c r="L1187" s="6" t="n">
        <v>80000</v>
      </c>
      <c r="M1187" s="6" t="n">
        <v>30</v>
      </c>
      <c r="N1187" s="6" t="n">
        <v>1</v>
      </c>
      <c r="O1187" s="6" t="n"/>
      <c r="P1187" s="6" t="n">
        <v>12402</v>
      </c>
      <c r="Q1187" s="6" t="n">
        <v>0.75</v>
      </c>
      <c r="R1187">
        <f>M1187+IF(N1187&gt;1,N(O1187)*(N1187-1),0)</f>
        <v/>
      </c>
      <c r="S1187">
        <f>IFERROR(L1187*MAX(N1187,1)/R1187*Q1187*IF(ISBLANK(K1185),1,K1185),0)</f>
        <v/>
      </c>
      <c r="AB1187" s="7" t="inlineStr">
        <is>
          <t>^SniperWeapon</t>
        </is>
      </c>
    </row>
    <row r="1188">
      <c r="A1188" t="inlineStr">
        <is>
          <t>d2k</t>
        </is>
      </c>
      <c r="B1188" t="inlineStr">
        <is>
          <t>ordos_facedancer</t>
        </is>
      </c>
      <c r="C1188" t="inlineStr">
        <is>
          <t>Face Dancer</t>
        </is>
      </c>
      <c r="D1188" s="6" t="inlineStr">
        <is>
          <t>HeroInfantry</t>
        </is>
      </c>
      <c r="E1188" s="6" t="n">
        <v>90000</v>
      </c>
      <c r="F1188" s="6" t="n">
        <v>75</v>
      </c>
      <c r="G1188" t="inlineStr">
        <is>
          <t>Heroic</t>
        </is>
      </c>
      <c r="H1188" s="6" t="n">
        <v>0.75</v>
      </c>
      <c r="I1188" s="6" t="n">
        <v>1</v>
      </c>
      <c r="J1188" s="6" t="n">
        <v>1.25</v>
      </c>
      <c r="K1188" s="6" t="n"/>
      <c r="P1188">
        <f>MAX(P1189)</f>
        <v/>
      </c>
      <c r="S1188">
        <f>S1189</f>
        <v/>
      </c>
      <c r="T1188">
        <f>(E1188/100000+F1188/100+(P1188/1000)*J1188/5+S1188/200)*200*I1188*H1188</f>
        <v/>
      </c>
      <c r="U1188">
        <f>((E1188*F1188/25000)+((P1188/1000)*J1188*S1188/2.5))*I1188*H1188</f>
        <v/>
      </c>
      <c r="V1188">
        <f>(E1188*F1188*(P1188/1000)*J1188*S1188*I1188*H1188)/12500000</f>
        <v/>
      </c>
      <c r="W1188">
        <f>(T1188+U1188+V1188)/3</f>
        <v/>
      </c>
      <c r="X1188" s="6" t="n">
        <v>5000</v>
      </c>
      <c r="Y1188">
        <f>IFERROR(W1188-X1188,"")</f>
        <v/>
      </c>
      <c r="Z1188">
        <f>IFERROR(ABS(Y1188)/MAX(X1188,1),"")</f>
        <v/>
      </c>
      <c r="AA1188">
        <f>IFERROR((X1188-(((E1188/100000+F1188/100+S1188/200)*200*I1188*H1188)+((E1188*F1188/25000)*I1188*H1188))/3)/(((J1188/5)*200*I1188*H1188)+((J1188*S1188/2.5)*I1188*H1188)+((E1188*F1188*J1188*S1188*I1188*H1188)/12500000))/3*1000,"")</f>
        <v/>
      </c>
    </row>
    <row r="1189">
      <c r="B1189" s="7" t="inlineStr">
        <is>
          <t xml:space="preserve">  ↳ facedancer_grenade</t>
        </is>
      </c>
      <c r="C1189" s="7" t="inlineStr">
        <is>
          <t>Armament</t>
        </is>
      </c>
      <c r="L1189" s="6" t="n">
        <v>20000</v>
      </c>
      <c r="M1189" s="6" t="n">
        <v>90</v>
      </c>
      <c r="N1189" s="6" t="n">
        <v>1</v>
      </c>
      <c r="O1189" s="6" t="n"/>
      <c r="P1189" s="6" t="n">
        <v>7250</v>
      </c>
      <c r="Q1189" s="6" t="n">
        <v>1</v>
      </c>
      <c r="R1189">
        <f>M1189+IF(N1189&gt;1,N(O1189)*(N1189-1),0)</f>
        <v/>
      </c>
      <c r="S1189">
        <f>IFERROR(L1189*MAX(N1189,1)/R1189*Q1189*IF(ISBLANK(K1188),1,K1188),0)</f>
        <v/>
      </c>
      <c r="AB1189" s="7" t="inlineStr">
        <is>
          <t>^LightFlameWeapon, ^MediumChemicalWeapon, ^HeavyBomb, ^Grenade, ^ShrapnelWeapon, ^HeavyCannon, ^LightMissile, ^MediumMissile, ^D2KMissile</t>
        </is>
      </c>
    </row>
    <row r="1190">
      <c r="B1190" s="7" t="inlineStr">
        <is>
          <t xml:space="preserve">  ↳ facedancer_grenade</t>
        </is>
      </c>
      <c r="C1190" s="7" t="inlineStr">
        <is>
          <t>Armament@GARRISONED</t>
        </is>
      </c>
      <c r="L1190" s="6" t="n">
        <v>20000</v>
      </c>
      <c r="M1190" s="6" t="n">
        <v>90</v>
      </c>
      <c r="N1190" s="6" t="n">
        <v>1</v>
      </c>
      <c r="O1190" s="6" t="n"/>
      <c r="P1190" s="6" t="n">
        <v>7250</v>
      </c>
      <c r="Q1190" s="6" t="n">
        <v>1</v>
      </c>
      <c r="R1190">
        <f>M1190+IF(N1190&gt;1,N(O1190)*(N1190-1),0)</f>
        <v/>
      </c>
      <c r="S1190">
        <f>IFERROR(L1190*MAX(N1190,1)/R1190*Q1190*IF(ISBLANK(K1188),1,K1188),0)</f>
        <v/>
      </c>
      <c r="AB1190" s="7" t="inlineStr">
        <is>
          <t>^LightFlameWeapon, ^MediumChemicalWeapon, ^HeavyBomb, ^Grenade, ^ShrapnelWeapon, ^HeavyCannon, ^LightMissile, ^MediumMissile, ^D2KMissile</t>
        </is>
      </c>
    </row>
    <row r="1191">
      <c r="A1191" t="inlineStr">
        <is>
          <t>starcraft</t>
        </is>
      </c>
      <c r="B1191" t="inlineStr">
        <is>
          <t>protoss_patriarch</t>
        </is>
      </c>
      <c r="C1191" t="inlineStr">
        <is>
          <t>Patriarch</t>
        </is>
      </c>
      <c r="D1191" s="6" t="inlineStr">
        <is>
          <t>HeroInfantry</t>
        </is>
      </c>
      <c r="E1191" s="6" t="n">
        <v>75000</v>
      </c>
      <c r="F1191" s="6" t="n">
        <v>75</v>
      </c>
      <c r="G1191" t="inlineStr">
        <is>
          <t>Heroic</t>
        </is>
      </c>
      <c r="H1191" s="6" t="n">
        <v>1</v>
      </c>
      <c r="I1191" s="6" t="n">
        <v>1</v>
      </c>
      <c r="J1191" s="6" t="n">
        <v>1</v>
      </c>
      <c r="K1191" s="6" t="n"/>
      <c r="P1191">
        <f>MAX(P1192)</f>
        <v/>
      </c>
      <c r="S1191">
        <f>S1192</f>
        <v/>
      </c>
      <c r="T1191">
        <f>(E1191/100000+F1191/100+(P1191/1000)*J1191/5+S1191/200)*200*I1191*H1191</f>
        <v/>
      </c>
      <c r="U1191">
        <f>((E1191*F1191/25000)+((P1191/1000)*J1191*S1191/2.5))*I1191*H1191</f>
        <v/>
      </c>
      <c r="V1191">
        <f>(E1191*F1191*(P1191/1000)*J1191*S1191*I1191*H1191)/12500000</f>
        <v/>
      </c>
      <c r="W1191">
        <f>(T1191+U1191+V1191)/3</f>
        <v/>
      </c>
      <c r="X1191" s="6" t="n">
        <v>4000</v>
      </c>
      <c r="Y1191">
        <f>IFERROR(W1191-X1191,"")</f>
        <v/>
      </c>
      <c r="Z1191">
        <f>IFERROR(ABS(Y1191)/MAX(X1191,1),"")</f>
        <v/>
      </c>
      <c r="AA1191">
        <f>IFERROR((X1191-(((E1191/100000+F1191/100+S1191/200)*200*I1191*H1191)+((E1191*F1191/25000)*I1191*H1191))/3)/(((J1191/5)*200*I1191*H1191)+((J1191*S1191/2.5)*I1191*H1191)+((E1191*F1191*J1191*S1191*I1191*H1191)/12500000))/3*1000,"")</f>
        <v/>
      </c>
    </row>
    <row r="1192">
      <c r="B1192" s="7" t="inlineStr">
        <is>
          <t xml:space="preserve">  ↳ PatriarchShoot</t>
        </is>
      </c>
      <c r="C1192" s="7" t="inlineStr">
        <is>
          <t>Armament</t>
        </is>
      </c>
      <c r="L1192" s="6" t="n">
        <v>2000</v>
      </c>
      <c r="M1192" s="6" t="n">
        <v>75</v>
      </c>
      <c r="N1192" s="6" t="n">
        <v>2</v>
      </c>
      <c r="O1192" s="6" t="n">
        <v>0</v>
      </c>
      <c r="P1192" s="6" t="n">
        <v>5000</v>
      </c>
      <c r="Q1192" s="6" t="n">
        <v>1.041666666666667</v>
      </c>
      <c r="R1192">
        <f>M1192+IF(N1192&gt;1,N(O1192)*(N1192-1),0)</f>
        <v/>
      </c>
      <c r="S1192">
        <f>IFERROR(L1192*MAX(N1192,1)/R1192*Q1192*IF(ISBLANK(K1191),1,K1191),0)</f>
        <v/>
      </c>
      <c r="AB1192" s="7" t="inlineStr">
        <is>
          <t>^Grenade, ^ShrapnelWeapon, ^HeavyBomb, ^MediumMissile, ^Chaingun, ^FlakWeapon</t>
        </is>
      </c>
    </row>
    <row r="1193">
      <c r="B1193" s="7" t="inlineStr">
        <is>
          <t xml:space="preserve">  ↳ PatriarchShoot</t>
        </is>
      </c>
      <c r="C1193" s="7" t="inlineStr">
        <is>
          <t>Armament@garrisoned</t>
        </is>
      </c>
      <c r="L1193" s="6" t="n">
        <v>2000</v>
      </c>
      <c r="M1193" s="6" t="n">
        <v>75</v>
      </c>
      <c r="N1193" s="6" t="n">
        <v>2</v>
      </c>
      <c r="O1193" s="6" t="n">
        <v>0</v>
      </c>
      <c r="P1193" s="6" t="n">
        <v>5000</v>
      </c>
      <c r="Q1193" s="6" t="n">
        <v>1.041666666666667</v>
      </c>
      <c r="R1193">
        <f>M1193+IF(N1193&gt;1,N(O1193)*(N1193-1),0)</f>
        <v/>
      </c>
      <c r="S1193">
        <f>IFERROR(L1193*MAX(N1193,1)/R1193*Q1193*IF(ISBLANK(K1191),1,K1191),0)</f>
        <v/>
      </c>
      <c r="AB1193" s="7" t="inlineStr">
        <is>
          <t>^Grenade, ^ShrapnelWeapon, ^HeavyBomb, ^MediumMissile, ^Chaingun, ^FlakWeapon</t>
        </is>
      </c>
    </row>
    <row r="1194">
      <c r="A1194" t="inlineStr">
        <is>
          <t>starcraft</t>
        </is>
      </c>
      <c r="B1194" t="inlineStr">
        <is>
          <t>protoss_zeratul</t>
        </is>
      </c>
      <c r="C1194" t="inlineStr">
        <is>
          <t>Zeratul</t>
        </is>
      </c>
      <c r="D1194" s="6" t="inlineStr">
        <is>
          <t>HeroInfantry</t>
        </is>
      </c>
      <c r="E1194" s="6" t="n">
        <v>250000</v>
      </c>
      <c r="F1194" s="6" t="n">
        <v>100</v>
      </c>
      <c r="G1194" t="inlineStr">
        <is>
          <t>Heroic</t>
        </is>
      </c>
      <c r="H1194" s="6" t="n">
        <v>0.75</v>
      </c>
      <c r="I1194" s="6" t="n">
        <v>1</v>
      </c>
      <c r="J1194" s="6" t="n">
        <v>1.25</v>
      </c>
      <c r="K1194" s="6" t="n"/>
      <c r="P1194">
        <f>MAX(P1195)</f>
        <v/>
      </c>
      <c r="S1194">
        <f>S1195</f>
        <v/>
      </c>
      <c r="T1194">
        <f>(E1194/100000+F1194/100+(P1194/1000)*J1194/5+S1194/200)*200*I1194*H1194</f>
        <v/>
      </c>
      <c r="U1194">
        <f>((E1194*F1194/25000)+((P1194/1000)*J1194*S1194/2.5))*I1194*H1194</f>
        <v/>
      </c>
      <c r="V1194">
        <f>(E1194*F1194*(P1194/1000)*J1194*S1194*I1194*H1194)/12500000</f>
        <v/>
      </c>
      <c r="W1194">
        <f>(T1194+U1194+V1194)/3</f>
        <v/>
      </c>
      <c r="X1194" s="6" t="n">
        <v>4000</v>
      </c>
      <c r="Y1194">
        <f>IFERROR(W1194-X1194,"")</f>
        <v/>
      </c>
      <c r="Z1194">
        <f>IFERROR(ABS(Y1194)/MAX(X1194,1),"")</f>
        <v/>
      </c>
      <c r="AA1194">
        <f>IFERROR((X1194-(((E1194/100000+F1194/100+S1194/200)*200*I1194*H1194)+((E1194*F1194/25000)*I1194*H1194))/3)/(((J1194/5)*200*I1194*H1194)+((J1194*S1194/2.5)*I1194*H1194)+((E1194*F1194*J1194*S1194*I1194*H1194)/12500000))/3*1000,"")</f>
        <v/>
      </c>
    </row>
    <row r="1195">
      <c r="B1195" s="7" t="inlineStr">
        <is>
          <t xml:space="preserve">  ↳ ZeratulSlice</t>
        </is>
      </c>
      <c r="C1195" s="7" t="inlineStr">
        <is>
          <t>Armament</t>
        </is>
      </c>
      <c r="L1195" s="6" t="n">
        <v>64000</v>
      </c>
      <c r="M1195" s="6" t="n">
        <v>24</v>
      </c>
      <c r="N1195" s="6" t="n">
        <v>1</v>
      </c>
      <c r="O1195" s="6" t="n"/>
      <c r="P1195" s="6" t="n">
        <v>1445</v>
      </c>
      <c r="Q1195" s="6" t="n">
        <v>1</v>
      </c>
      <c r="R1195">
        <f>M1195+IF(N1195&gt;1,N(O1195)*(N1195-1),0)</f>
        <v/>
      </c>
      <c r="S1195">
        <f>IFERROR(L1195*MAX(N1195,1)/R1195*Q1195*IF(ISBLANK(K1194),1,K1194),0)</f>
        <v/>
      </c>
      <c r="AB1195" s="7" t="inlineStr">
        <is>
          <t>^SwordWeapon</t>
        </is>
      </c>
    </row>
    <row r="1196">
      <c r="A1196" t="inlineStr">
        <is>
          <t>starcraft</t>
        </is>
      </c>
      <c r="B1196" t="inlineStr">
        <is>
          <t>zerg_kerrigan</t>
        </is>
      </c>
      <c r="C1196" t="inlineStr">
        <is>
          <t>Kerrigan</t>
        </is>
      </c>
      <c r="D1196" s="6" t="inlineStr">
        <is>
          <t>HeroInfantry</t>
        </is>
      </c>
      <c r="E1196" s="6" t="n">
        <v>300000</v>
      </c>
      <c r="F1196" s="6" t="n">
        <v>75</v>
      </c>
      <c r="G1196" t="inlineStr">
        <is>
          <t>Heroic</t>
        </is>
      </c>
      <c r="H1196" s="6" t="n">
        <v>0.75</v>
      </c>
      <c r="I1196" s="6" t="n">
        <v>1</v>
      </c>
      <c r="J1196" s="6" t="n">
        <v>1.25</v>
      </c>
      <c r="K1196" s="6" t="n"/>
      <c r="P1196">
        <f>MAX(P1197)</f>
        <v/>
      </c>
      <c r="S1196">
        <f>S1197</f>
        <v/>
      </c>
      <c r="T1196">
        <f>(E1196/100000+F1196/100+(P1196/1000)*J1196/5+S1196/200)*200*I1196*H1196</f>
        <v/>
      </c>
      <c r="U1196">
        <f>((E1196*F1196/25000)+((P1196/1000)*J1196*S1196/2.5))*I1196*H1196</f>
        <v/>
      </c>
      <c r="V1196">
        <f>(E1196*F1196*(P1196/1000)*J1196*S1196*I1196*H1196)/12500000</f>
        <v/>
      </c>
      <c r="W1196">
        <f>(T1196+U1196+V1196)/3</f>
        <v/>
      </c>
      <c r="X1196" s="6" t="n">
        <v>4000</v>
      </c>
      <c r="Y1196">
        <f>IFERROR(W1196-X1196,"")</f>
        <v/>
      </c>
      <c r="Z1196">
        <f>IFERROR(ABS(Y1196)/MAX(X1196,1),"")</f>
        <v/>
      </c>
      <c r="AA1196">
        <f>IFERROR((X1196-(((E1196/100000+F1196/100+S1196/200)*200*I1196*H1196)+((E1196*F1196/25000)*I1196*H1196))/3)/(((J1196/5)*200*I1196*H1196)+((J1196*S1196/2.5)*I1196*H1196)+((E1196*F1196*J1196*S1196*I1196*H1196)/12500000))/3*1000,"")</f>
        <v/>
      </c>
    </row>
    <row r="1197">
      <c r="B1197" s="7" t="inlineStr">
        <is>
          <t xml:space="preserve">  ↳ zerg_kerrigan</t>
        </is>
      </c>
      <c r="C1197" s="7" t="inlineStr">
        <is>
          <t>Armament</t>
        </is>
      </c>
      <c r="L1197" s="6" t="n">
        <v>40000</v>
      </c>
      <c r="M1197" s="6" t="n">
        <v>20</v>
      </c>
      <c r="N1197" s="6" t="n">
        <v>1</v>
      </c>
      <c r="O1197" s="6" t="n"/>
      <c r="P1197" s="6" t="n">
        <v>2225</v>
      </c>
      <c r="Q1197" s="6" t="n">
        <v>1</v>
      </c>
      <c r="R1197">
        <f>M1197+IF(N1197&gt;1,N(O1197)*(N1197-1),0)</f>
        <v/>
      </c>
      <c r="S1197">
        <f>IFERROR(L1197*MAX(N1197,1)/R1197*Q1197*IF(ISBLANK(K1196),1,K1196),0)</f>
        <v/>
      </c>
      <c r="AB1197" s="7" t="inlineStr">
        <is>
          <t>^SwordWeapon</t>
        </is>
      </c>
    </row>
    <row r="1198">
      <c r="A1198" t="inlineStr">
        <is>
          <t>starcraft</t>
        </is>
      </c>
      <c r="B1198" t="inlineStr">
        <is>
          <t>terran_jimraynor</t>
        </is>
      </c>
      <c r="C1198" t="inlineStr">
        <is>
          <t>Jim Raynor</t>
        </is>
      </c>
      <c r="D1198" s="6" t="inlineStr">
        <is>
          <t>HeroInfantry</t>
        </is>
      </c>
      <c r="E1198" s="6" t="n">
        <v>200000</v>
      </c>
      <c r="F1198" s="6" t="n">
        <v>65</v>
      </c>
      <c r="G1198" t="inlineStr">
        <is>
          <t>Heroic</t>
        </is>
      </c>
      <c r="H1198" s="6" t="n">
        <v>0.75</v>
      </c>
      <c r="I1198" s="6" t="n">
        <v>1</v>
      </c>
      <c r="J1198" s="6" t="n">
        <v>1</v>
      </c>
      <c r="K1198" s="6" t="n"/>
      <c r="P1198">
        <f>MAX(P1199)</f>
        <v/>
      </c>
      <c r="S1198">
        <f>S1199</f>
        <v/>
      </c>
      <c r="T1198">
        <f>(E1198/100000+F1198/100+(P1198/1000)*J1198/5+S1198/200)*200*I1198*H1198</f>
        <v/>
      </c>
      <c r="U1198">
        <f>((E1198*F1198/25000)+((P1198/1000)*J1198*S1198/2.5))*I1198*H1198</f>
        <v/>
      </c>
      <c r="V1198">
        <f>(E1198*F1198*(P1198/1000)*J1198*S1198*I1198*H1198)/12500000</f>
        <v/>
      </c>
      <c r="W1198">
        <f>(T1198+U1198+V1198)/3</f>
        <v/>
      </c>
      <c r="X1198" s="6" t="n">
        <v>4000</v>
      </c>
      <c r="Y1198">
        <f>IFERROR(W1198-X1198,"")</f>
        <v/>
      </c>
      <c r="Z1198">
        <f>IFERROR(ABS(Y1198)/MAX(X1198,1),"")</f>
        <v/>
      </c>
      <c r="AA1198">
        <f>IFERROR((X1198-(((E1198/100000+F1198/100+S1198/200)*200*I1198*H1198)+((E1198*F1198/25000)*I1198*H1198))/3)/(((J1198/5)*200*I1198*H1198)+((J1198*S1198/2.5)*I1198*H1198)+((E1198*F1198*J1198*S1198*I1198*H1198)/12500000))/3*1000,"")</f>
        <v/>
      </c>
    </row>
    <row r="1199">
      <c r="B1199" s="7" t="inlineStr">
        <is>
          <t xml:space="preserve">  ↳ JimRaynorMachineGun</t>
        </is>
      </c>
      <c r="C1199" s="7" t="inlineStr">
        <is>
          <t>Armament@PRIMARY</t>
        </is>
      </c>
      <c r="L1199" s="6" t="n">
        <v>2000</v>
      </c>
      <c r="M1199" s="6" t="n">
        <v>12</v>
      </c>
      <c r="N1199" s="6" t="n">
        <v>5</v>
      </c>
      <c r="O1199" s="6" t="n">
        <v>2</v>
      </c>
      <c r="P1199" s="6" t="n">
        <v>7446</v>
      </c>
      <c r="Q1199" s="6" t="n">
        <v>1.25</v>
      </c>
      <c r="R1199">
        <f>M1199+IF(N1199&gt;1,N(O1199)*(N1199-1),0)</f>
        <v/>
      </c>
      <c r="S1199">
        <f>IFERROR(L1199*MAX(N1199,1)/R1199*Q1199*IF(ISBLANK(K1198),1,K1198),0)</f>
        <v/>
      </c>
      <c r="AB1199" s="7" t="inlineStr">
        <is>
          <t>^HeavyMissile, ^HeavyCannon</t>
        </is>
      </c>
    </row>
    <row r="1200">
      <c r="B1200" s="7" t="inlineStr">
        <is>
          <t xml:space="preserve">  ↳ JimRaynorMachineGun</t>
        </is>
      </c>
      <c r="C1200" s="7" t="inlineStr">
        <is>
          <t>Armament@GARRISONED</t>
        </is>
      </c>
      <c r="L1200" s="6" t="n">
        <v>2000</v>
      </c>
      <c r="M1200" s="6" t="n">
        <v>12</v>
      </c>
      <c r="N1200" s="6" t="n">
        <v>5</v>
      </c>
      <c r="O1200" s="6" t="n">
        <v>2</v>
      </c>
      <c r="P1200" s="6" t="n">
        <v>7446</v>
      </c>
      <c r="Q1200" s="6" t="n">
        <v>1.25</v>
      </c>
      <c r="R1200">
        <f>M1200+IF(N1200&gt;1,N(O1200)*(N1200-1),0)</f>
        <v/>
      </c>
      <c r="S1200">
        <f>IFERROR(L1200*MAX(N1200,1)/R1200*Q1200*IF(ISBLANK(K1198),1,K1198),0)</f>
        <v/>
      </c>
      <c r="AB1200" s="7" t="inlineStr">
        <is>
          <t>^HeavyMissile, ^HeavyCannon</t>
        </is>
      </c>
    </row>
    <row r="1201">
      <c r="A1201" s="4" t="inlineStr">
        <is>
          <t>FlyingInfantry</t>
        </is>
      </c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5" t="n"/>
      <c r="M1201" s="5" t="n"/>
      <c r="N1201" s="5" t="n"/>
      <c r="O1201" s="5" t="n"/>
      <c r="P1201" s="5" t="n"/>
      <c r="Q1201" s="5" t="n"/>
      <c r="R1201" s="5" t="n"/>
      <c r="S1201" s="5" t="n"/>
      <c r="T1201" s="5" t="n"/>
      <c r="U1201" s="5" t="n"/>
      <c r="V1201" s="5" t="n"/>
      <c r="W1201" s="5" t="n"/>
      <c r="X1201" s="5" t="n"/>
      <c r="Y1201" s="5" t="n"/>
      <c r="Z1201" s="5" t="n"/>
      <c r="AA1201" s="5" t="n"/>
      <c r="AB1201" s="5" t="n"/>
    </row>
    <row r="1202">
      <c r="A1202" t="inlineStr">
        <is>
          <t>redalert</t>
        </is>
      </c>
      <c r="B1202" t="inlineStr">
        <is>
          <t>japan_rocketangel</t>
        </is>
      </c>
      <c r="C1202" t="inlineStr">
        <is>
          <t>Rocket Angel</t>
        </is>
      </c>
      <c r="D1202" s="6" t="inlineStr">
        <is>
          <t>FlyingInfantry</t>
        </is>
      </c>
      <c r="E1202" s="6" t="n">
        <v>24000</v>
      </c>
      <c r="F1202" s="6" t="n">
        <v>140</v>
      </c>
      <c r="G1202" t="inlineStr">
        <is>
          <t>Scout</t>
        </is>
      </c>
      <c r="H1202" s="6" t="n">
        <v>0.75</v>
      </c>
      <c r="I1202" s="6" t="n">
        <v>1</v>
      </c>
      <c r="J1202" s="6" t="n">
        <v>1.25</v>
      </c>
      <c r="K1202" s="6" t="n">
        <v>0.5</v>
      </c>
      <c r="P1202">
        <f>MAX(P1203)</f>
        <v/>
      </c>
      <c r="S1202">
        <f>S1203</f>
        <v/>
      </c>
      <c r="T1202">
        <f>(E1202/100000+F1202/100+(P1202/1000)*J1202/5+S1202/200)*200*I1202*H1202</f>
        <v/>
      </c>
      <c r="U1202">
        <f>((E1202*F1202/25000)+((P1202/1000)*J1202*S1202/2.5))*I1202*H1202</f>
        <v/>
      </c>
      <c r="V1202">
        <f>(E1202*F1202*(P1202/1000)*J1202*S1202*I1202*H1202)/12500000</f>
        <v/>
      </c>
      <c r="W1202">
        <f>(T1202+U1202+V1202)/3</f>
        <v/>
      </c>
      <c r="X1202" s="6" t="n">
        <v>900</v>
      </c>
      <c r="Y1202">
        <f>IFERROR(W1202-X1202,"")</f>
        <v/>
      </c>
      <c r="Z1202">
        <f>IFERROR(ABS(Y1202)/MAX(X1202,1),"")</f>
        <v/>
      </c>
      <c r="AA1202">
        <f>IFERROR((X1202-(((E1202/100000+F1202/100+S1202/200)*200*I1202*H1202)+((E1202*F1202/25000)*I1202*H1202))/3)/(((J1202/5)*200*I1202*H1202)+((J1202*S1202/2.5)*I1202*H1202)+((E1202*F1202*J1202*S1202*I1202*H1202)/12500000))/3*1000,"")</f>
        <v/>
      </c>
    </row>
    <row r="1203">
      <c r="B1203" s="7" t="inlineStr">
        <is>
          <t xml:space="preserve">  ↳ RocketAngelRockets</t>
        </is>
      </c>
      <c r="C1203" s="7" t="inlineStr">
        <is>
          <t>Armament@PRIMARY</t>
        </is>
      </c>
      <c r="L1203" s="6" t="n">
        <v>2000</v>
      </c>
      <c r="M1203" s="6" t="n">
        <v>34</v>
      </c>
      <c r="N1203" s="6" t="n">
        <v>4</v>
      </c>
      <c r="O1203" s="6" t="n">
        <v>2</v>
      </c>
      <c r="P1203" s="6" t="n">
        <v>4600</v>
      </c>
      <c r="Q1203" s="6" t="n">
        <v>1.05</v>
      </c>
      <c r="R1203">
        <f>M1203+IF(N1203&gt;1,N(O1203)*(N1203-1),0)</f>
        <v/>
      </c>
      <c r="S1203">
        <f>IFERROR(L1203*MAX(N1203,1)/R1203*Q1203*IF(ISBLANK(K1202),1,K1202),0)</f>
        <v/>
      </c>
      <c r="AB1203" s="7" t="inlineStr">
        <is>
          <t>^TeslaWeapon, ^HeavyMissile, ^MediumFlameWeapon, ^MediumChemicalWeapon, ^Grenade, ^ArrowWeapon</t>
        </is>
      </c>
    </row>
    <row r="1204">
      <c r="A1204" t="inlineStr">
        <is>
          <t>tiberiansun</t>
        </is>
      </c>
      <c r="B1204" t="inlineStr">
        <is>
          <t>cabal_cyborg_assassin</t>
        </is>
      </c>
      <c r="C1204" t="inlineStr">
        <is>
          <t>Cyborg Assassin</t>
        </is>
      </c>
      <c r="D1204" s="6" t="inlineStr">
        <is>
          <t>FlyingInfantry</t>
        </is>
      </c>
      <c r="E1204" s="6" t="n">
        <v>30000</v>
      </c>
      <c r="F1204" s="6" t="n">
        <v>180</v>
      </c>
      <c r="G1204" t="inlineStr">
        <is>
          <t>Scout</t>
        </is>
      </c>
      <c r="H1204" s="6" t="n">
        <v>1</v>
      </c>
      <c r="I1204" s="6" t="n">
        <v>1</v>
      </c>
      <c r="J1204" s="6" t="n">
        <v>1</v>
      </c>
      <c r="K1204" s="6" t="n"/>
      <c r="P1204">
        <f>MAX(P1205)</f>
        <v/>
      </c>
      <c r="S1204">
        <f>S1205</f>
        <v/>
      </c>
      <c r="T1204">
        <f>(E1204/100000+F1204/100+(P1204/1000)*J1204/5+S1204/200)*200*I1204*H1204</f>
        <v/>
      </c>
      <c r="U1204">
        <f>((E1204*F1204/25000)+((P1204/1000)*J1204*S1204/2.5))*I1204*H1204</f>
        <v/>
      </c>
      <c r="V1204">
        <f>(E1204*F1204*(P1204/1000)*J1204*S1204*I1204*H1204)/12500000</f>
        <v/>
      </c>
      <c r="W1204">
        <f>(T1204+U1204+V1204)/3</f>
        <v/>
      </c>
      <c r="X1204" s="6" t="n">
        <v>1000</v>
      </c>
      <c r="Y1204">
        <f>IFERROR(W1204-X1204,"")</f>
        <v/>
      </c>
      <c r="Z1204">
        <f>IFERROR(ABS(Y1204)/MAX(X1204,1),"")</f>
        <v/>
      </c>
      <c r="AA1204">
        <f>IFERROR((X1204-(((E1204/100000+F1204/100+S1204/200)*200*I1204*H1204)+((E1204*F1204/25000)*I1204*H1204))/3)/(((J1204/5)*200*I1204*H1204)+((J1204*S1204/2.5)*I1204*H1204)+((E1204*F1204*J1204*S1204*I1204*H1204)/12500000))/3*1000,"")</f>
        <v/>
      </c>
    </row>
    <row r="1205">
      <c r="B1205" s="7" t="inlineStr">
        <is>
          <t xml:space="preserve">  ↳ CabalWaspLaserStriker</t>
        </is>
      </c>
      <c r="C1205" s="7" t="inlineStr">
        <is>
          <t>Armament@PRIMARY</t>
        </is>
      </c>
      <c r="L1205" s="6" t="n">
        <v>4000</v>
      </c>
      <c r="M1205" s="6" t="n">
        <v>18</v>
      </c>
      <c r="N1205" s="6" t="n">
        <v>2</v>
      </c>
      <c r="O1205" s="6" t="n">
        <v>3</v>
      </c>
      <c r="P1205" s="6" t="n">
        <v>6309</v>
      </c>
      <c r="Q1205" s="6" t="n">
        <v>1</v>
      </c>
      <c r="R1205">
        <f>M1205+IF(N1205&gt;1,N(O1205)*(N1205-1),0)</f>
        <v/>
      </c>
      <c r="S1205">
        <f>IFERROR(L1205*MAX(N1205,1)/R1205*Q1205*IF(ISBLANK(K1204),1,K1204),0)</f>
        <v/>
      </c>
      <c r="AB1205" s="7" t="inlineStr">
        <is>
          <t>^LaserWeapon</t>
        </is>
      </c>
    </row>
    <row r="1206">
      <c r="A1206" t="inlineStr">
        <is>
          <t>tiberiansun</t>
        </is>
      </c>
      <c r="B1206" t="inlineStr">
        <is>
          <t>cabal_orb_drone</t>
        </is>
      </c>
      <c r="C1206" t="inlineStr">
        <is>
          <t>Orb Drone</t>
        </is>
      </c>
      <c r="D1206" s="6" t="inlineStr">
        <is>
          <t>FlyingInfantry</t>
        </is>
      </c>
      <c r="E1206" s="6" t="n">
        <v>25000</v>
      </c>
      <c r="F1206" s="6" t="n">
        <v>140</v>
      </c>
      <c r="G1206" t="inlineStr">
        <is>
          <t>Scout</t>
        </is>
      </c>
      <c r="H1206" s="6" t="n">
        <v>1</v>
      </c>
      <c r="I1206" s="6" t="n">
        <v>1</v>
      </c>
      <c r="J1206" s="6" t="n">
        <v>1</v>
      </c>
      <c r="K1206" s="6" t="n"/>
      <c r="P1206">
        <f>MAX(P1207)</f>
        <v/>
      </c>
      <c r="S1206">
        <f>S1207</f>
        <v/>
      </c>
      <c r="T1206">
        <f>(E1206/100000+F1206/100+(P1206/1000)*J1206/5+S1206/200)*200*I1206*H1206</f>
        <v/>
      </c>
      <c r="U1206">
        <f>((E1206*F1206/25000)+((P1206/1000)*J1206*S1206/2.5))*I1206*H1206</f>
        <v/>
      </c>
      <c r="V1206">
        <f>(E1206*F1206*(P1206/1000)*J1206*S1206*I1206*H1206)/12500000</f>
        <v/>
      </c>
      <c r="W1206">
        <f>(T1206+U1206+V1206)/3</f>
        <v/>
      </c>
      <c r="X1206" s="6" t="n">
        <v>600</v>
      </c>
      <c r="Y1206">
        <f>IFERROR(W1206-X1206,"")</f>
        <v/>
      </c>
      <c r="Z1206">
        <f>IFERROR(ABS(Y1206)/MAX(X1206,1),"")</f>
        <v/>
      </c>
      <c r="AA1206">
        <f>IFERROR((X1206-(((E1206/100000+F1206/100+S1206/200)*200*I1206*H1206)+((E1206*F1206/25000)*I1206*H1206))/3)/(((J1206/5)*200*I1206*H1206)+((J1206*S1206/2.5)*I1206*H1206)+((E1206*F1206*J1206*S1206*I1206*H1206)/12500000))/3*1000,"")</f>
        <v/>
      </c>
    </row>
    <row r="1207">
      <c r="B1207" s="7" t="inlineStr">
        <is>
          <t xml:space="preserve">  ↳ CabalWaspLaser</t>
        </is>
      </c>
      <c r="C1207" s="7" t="inlineStr">
        <is>
          <t>Armament@PRIMARY</t>
        </is>
      </c>
      <c r="L1207" s="6" t="n">
        <v>4000</v>
      </c>
      <c r="M1207" s="6" t="n">
        <v>20</v>
      </c>
      <c r="N1207" s="6" t="n">
        <v>1</v>
      </c>
      <c r="O1207" s="6" t="n"/>
      <c r="P1207" s="6" t="n">
        <v>6420</v>
      </c>
      <c r="Q1207" s="6" t="n">
        <v>1</v>
      </c>
      <c r="R1207">
        <f>M1207+IF(N1207&gt;1,N(O1207)*(N1207-1),0)</f>
        <v/>
      </c>
      <c r="S1207">
        <f>IFERROR(L1207*MAX(N1207,1)/R1207*Q1207*IF(ISBLANK(K1206),1,K1206),0)</f>
        <v/>
      </c>
      <c r="AB1207" s="7" t="inlineStr">
        <is>
          <t>^LaserWeapon</t>
        </is>
      </c>
    </row>
    <row r="1208">
      <c r="A1208" t="inlineStr">
        <is>
          <t>tiberiansun</t>
        </is>
      </c>
      <c r="B1208" t="inlineStr">
        <is>
          <t>cabal_orb_drone_slave</t>
        </is>
      </c>
      <c r="C1208" t="inlineStr">
        <is>
          <t>Orb Drone</t>
        </is>
      </c>
      <c r="D1208" s="6" t="inlineStr">
        <is>
          <t>FlyingInfantry</t>
        </is>
      </c>
      <c r="E1208" s="6" t="n">
        <v>25000</v>
      </c>
      <c r="F1208" s="6" t="n">
        <v>140</v>
      </c>
      <c r="G1208" t="inlineStr">
        <is>
          <t>Scout</t>
        </is>
      </c>
      <c r="H1208" s="6" t="n">
        <v>1</v>
      </c>
      <c r="I1208" s="6" t="n">
        <v>1</v>
      </c>
      <c r="J1208" s="6" t="n">
        <v>1</v>
      </c>
      <c r="K1208" s="6" t="n"/>
      <c r="P1208">
        <f>MAX(P1209)</f>
        <v/>
      </c>
      <c r="S1208">
        <f>S1209</f>
        <v/>
      </c>
      <c r="T1208">
        <f>(E1208/100000+F1208/100+(P1208/1000)*J1208/5+S1208/200)*200*I1208*H1208</f>
        <v/>
      </c>
      <c r="U1208">
        <f>((E1208*F1208/25000)+((P1208/1000)*J1208*S1208/2.5))*I1208*H1208</f>
        <v/>
      </c>
      <c r="V1208">
        <f>(E1208*F1208*(P1208/1000)*J1208*S1208*I1208*H1208)/12500000</f>
        <v/>
      </c>
      <c r="W1208">
        <f>(T1208+U1208+V1208)/3</f>
        <v/>
      </c>
      <c r="X1208" s="6" t="n">
        <v>600</v>
      </c>
      <c r="Y1208">
        <f>IFERROR(W1208-X1208,"")</f>
        <v/>
      </c>
      <c r="Z1208">
        <f>IFERROR(ABS(Y1208)/MAX(X1208,1),"")</f>
        <v/>
      </c>
      <c r="AA1208">
        <f>IFERROR((X1208-(((E1208/100000+F1208/100+S1208/200)*200*I1208*H1208)+((E1208*F1208/25000)*I1208*H1208))/3)/(((J1208/5)*200*I1208*H1208)+((J1208*S1208/2.5)*I1208*H1208)+((E1208*F1208*J1208*S1208*I1208*H1208)/12500000))/3*1000,"")</f>
        <v/>
      </c>
    </row>
    <row r="1209">
      <c r="B1209" s="7" t="inlineStr">
        <is>
          <t xml:space="preserve">  ↳ CabalWaspLaser</t>
        </is>
      </c>
      <c r="C1209" s="7" t="inlineStr">
        <is>
          <t>Armament@PRIMARY</t>
        </is>
      </c>
      <c r="L1209" s="6" t="n">
        <v>4000</v>
      </c>
      <c r="M1209" s="6" t="n">
        <v>20</v>
      </c>
      <c r="N1209" s="6" t="n">
        <v>1</v>
      </c>
      <c r="O1209" s="6" t="n"/>
      <c r="P1209" s="6" t="n">
        <v>6420</v>
      </c>
      <c r="Q1209" s="6" t="n">
        <v>1</v>
      </c>
      <c r="R1209">
        <f>M1209+IF(N1209&gt;1,N(O1209)*(N1209-1),0)</f>
        <v/>
      </c>
      <c r="S1209">
        <f>IFERROR(L1209*MAX(N1209,1)/R1209*Q1209*IF(ISBLANK(K1208),1,K1208),0)</f>
        <v/>
      </c>
      <c r="AB1209" s="7" t="inlineStr">
        <is>
          <t>^LaserWeapon</t>
        </is>
      </c>
    </row>
    <row r="1210">
      <c r="A1210" t="inlineStr">
        <is>
          <t>tiberiansun</t>
        </is>
      </c>
      <c r="B1210" t="inlineStr">
        <is>
          <t>ts_nod_shadowteam_air</t>
        </is>
      </c>
      <c r="C1210" t="inlineStr">
        <is>
          <t>actor_ts_nod_shadowteam.name</t>
        </is>
      </c>
      <c r="D1210" s="6" t="inlineStr">
        <is>
          <t>FlyingInfantry</t>
        </is>
      </c>
      <c r="E1210" s="6" t="n">
        <v>30000</v>
      </c>
      <c r="F1210" s="6" t="n">
        <v>150</v>
      </c>
      <c r="G1210" t="inlineStr">
        <is>
          <t>Scout</t>
        </is>
      </c>
      <c r="H1210" s="6" t="n">
        <v>1</v>
      </c>
      <c r="I1210" s="6" t="n">
        <v>1</v>
      </c>
      <c r="J1210" s="6" t="n">
        <v>1</v>
      </c>
      <c r="K1210" s="6" t="n"/>
      <c r="P1210">
        <f>MAX(P1211)</f>
        <v/>
      </c>
      <c r="S1210">
        <f>S1211</f>
        <v/>
      </c>
      <c r="T1210">
        <f>(E1210/100000+F1210/100+(P1210/1000)*J1210/5+S1210/200)*200*I1210*H1210</f>
        <v/>
      </c>
      <c r="U1210">
        <f>((E1210*F1210/25000)+((P1210/1000)*J1210*S1210/2.5))*I1210*H1210</f>
        <v/>
      </c>
      <c r="V1210">
        <f>(E1210*F1210*(P1210/1000)*J1210*S1210*I1210*H1210)/12500000</f>
        <v/>
      </c>
      <c r="W1210">
        <f>(T1210+U1210+V1210)/3</f>
        <v/>
      </c>
      <c r="X1210" s="6" t="n">
        <v>900</v>
      </c>
      <c r="Y1210">
        <f>IFERROR(W1210-X1210,"")</f>
        <v/>
      </c>
      <c r="Z1210">
        <f>IFERROR(ABS(Y1210)/MAX(X1210,1),"")</f>
        <v/>
      </c>
      <c r="AA1210">
        <f>IFERROR((X1210-(((E1210/100000+F1210/100+S1210/200)*200*I1210*H1210)+((E1210*F1210/25000)*I1210*H1210))/3)/(((J1210/5)*200*I1210*H1210)+((J1210*S1210/2.5)*I1210*H1210)+((E1210*F1210*J1210*S1210*I1210*H1210)/12500000))/3*1000,"")</f>
        <v/>
      </c>
    </row>
    <row r="1211">
      <c r="B1211" s="7" t="inlineStr">
        <is>
          <t xml:space="preserve">  ↳ TSShadowTeamTargeting</t>
        </is>
      </c>
      <c r="C1211" s="7" t="inlineStr">
        <is>
          <t>Armament@PRIMARY</t>
        </is>
      </c>
      <c r="L1211" s="6" t="n"/>
      <c r="M1211" s="6" t="n">
        <v>500</v>
      </c>
      <c r="N1211" s="6" t="n">
        <v>1</v>
      </c>
      <c r="O1211" s="6" t="n"/>
      <c r="P1211" s="6" t="n">
        <v>12000</v>
      </c>
      <c r="Q1211" s="6" t="n">
        <v>1</v>
      </c>
      <c r="R1211">
        <f>M1211+IF(N1211&gt;1,N(O1211)*(N1211-1),0)</f>
        <v/>
      </c>
      <c r="S1211">
        <f>IFERROR(L1211*MAX(N1211,1)/R1211*Q1211*IF(ISBLANK(K1210),1,K1210),0)</f>
        <v/>
      </c>
      <c r="AB1211" s="7" t="inlineStr"/>
    </row>
    <row r="1212">
      <c r="A1212" t="inlineStr">
        <is>
          <t>tiberiansun</t>
        </is>
      </c>
      <c r="B1212" t="inlineStr">
        <is>
          <t>ts_gdi_jumpjetinfantry</t>
        </is>
      </c>
      <c r="C1212" t="inlineStr">
        <is>
          <t>Jumpjet Infantry</t>
        </is>
      </c>
      <c r="D1212" s="6" t="inlineStr">
        <is>
          <t>FlyingInfantry</t>
        </is>
      </c>
      <c r="E1212" s="6" t="n">
        <v>34000</v>
      </c>
      <c r="F1212" s="6" t="n">
        <v>110</v>
      </c>
      <c r="G1212" t="inlineStr">
        <is>
          <t>Scout</t>
        </is>
      </c>
      <c r="H1212" s="6" t="n">
        <v>1</v>
      </c>
      <c r="I1212" s="6" t="n">
        <v>1</v>
      </c>
      <c r="J1212" s="6" t="n">
        <v>1</v>
      </c>
      <c r="K1212" s="6" t="n"/>
      <c r="P1212">
        <f>MAX(P1213)</f>
        <v/>
      </c>
      <c r="S1212">
        <f>S1213</f>
        <v/>
      </c>
      <c r="T1212">
        <f>(E1212/100000+F1212/100+(P1212/1000)*J1212/5+S1212/200)*200*I1212*H1212</f>
        <v/>
      </c>
      <c r="U1212">
        <f>((E1212*F1212/25000)+((P1212/1000)*J1212*S1212/2.5))*I1212*H1212</f>
        <v/>
      </c>
      <c r="V1212">
        <f>(E1212*F1212*(P1212/1000)*J1212*S1212*I1212*H1212)/12500000</f>
        <v/>
      </c>
      <c r="W1212">
        <f>(T1212+U1212+V1212)/3</f>
        <v/>
      </c>
      <c r="X1212" s="6" t="n">
        <v>700</v>
      </c>
      <c r="Y1212">
        <f>IFERROR(W1212-X1212,"")</f>
        <v/>
      </c>
      <c r="Z1212">
        <f>IFERROR(ABS(Y1212)/MAX(X1212,1),"")</f>
        <v/>
      </c>
      <c r="AA1212">
        <f>IFERROR((X1212-(((E1212/100000+F1212/100+S1212/200)*200*I1212*H1212)+((E1212*F1212/25000)*I1212*H1212))/3)/(((J1212/5)*200*I1212*H1212)+((J1212*S1212/2.5)*I1212*H1212)+((E1212*F1212*J1212*S1212*I1212*H1212)/12500000))/3*1000,"")</f>
        <v/>
      </c>
    </row>
    <row r="1213">
      <c r="B1213" s="7" t="inlineStr">
        <is>
          <t xml:space="preserve">  ↳ TSJumpCannon</t>
        </is>
      </c>
      <c r="C1213" s="7" t="inlineStr">
        <is>
          <t>Armament@PRIMARY</t>
        </is>
      </c>
      <c r="L1213" s="6" t="n">
        <v>4000</v>
      </c>
      <c r="M1213" s="6" t="n">
        <v>25</v>
      </c>
      <c r="N1213" s="6" t="n">
        <v>1</v>
      </c>
      <c r="O1213" s="6" t="n"/>
      <c r="P1213" s="6" t="n">
        <v>5090</v>
      </c>
      <c r="Q1213" s="6" t="n">
        <v>1</v>
      </c>
      <c r="R1213">
        <f>M1213+IF(N1213&gt;1,N(O1213)*(N1213-1),0)</f>
        <v/>
      </c>
      <c r="S1213">
        <f>IFERROR(L1213*MAX(N1213,1)/R1213*Q1213*IF(ISBLANK(K1212),1,K1212),0)</f>
        <v/>
      </c>
      <c r="AB1213" s="7" t="inlineStr">
        <is>
          <t>^RA2FlakWeapon, ^RA2Chaingun</t>
        </is>
      </c>
    </row>
    <row r="1214">
      <c r="A1214" t="inlineStr">
        <is>
          <t>redalert2</t>
        </is>
      </c>
      <c r="B1214" t="inlineStr">
        <is>
          <t>ra2_allies_rocketeer</t>
        </is>
      </c>
      <c r="C1214" t="inlineStr">
        <is>
          <t>Rocketeer</t>
        </is>
      </c>
      <c r="D1214" s="6" t="inlineStr">
        <is>
          <t>FlyingInfantry</t>
        </is>
      </c>
      <c r="E1214" s="6" t="n">
        <v>18000</v>
      </c>
      <c r="F1214" s="6" t="n">
        <v>180</v>
      </c>
      <c r="G1214" t="inlineStr">
        <is>
          <t>Scout</t>
        </is>
      </c>
      <c r="H1214" s="6" t="n">
        <v>1</v>
      </c>
      <c r="I1214" s="6" t="n">
        <v>1</v>
      </c>
      <c r="J1214" s="6" t="n">
        <v>1</v>
      </c>
      <c r="K1214" s="6" t="n">
        <v>0.5</v>
      </c>
      <c r="P1214">
        <f>MAX(P1215)</f>
        <v/>
      </c>
      <c r="S1214">
        <f>S1215</f>
        <v/>
      </c>
      <c r="T1214">
        <f>(E1214/100000+F1214/100+(P1214/1000)*J1214/5+S1214/200)*200*I1214*H1214</f>
        <v/>
      </c>
      <c r="U1214">
        <f>((E1214*F1214/25000)+((P1214/1000)*J1214*S1214/2.5))*I1214*H1214</f>
        <v/>
      </c>
      <c r="V1214">
        <f>(E1214*F1214*(P1214/1000)*J1214*S1214*I1214*H1214)/12500000</f>
        <v/>
      </c>
      <c r="W1214">
        <f>(T1214+U1214+V1214)/3</f>
        <v/>
      </c>
      <c r="X1214" s="6" t="n">
        <v>600</v>
      </c>
      <c r="Y1214">
        <f>IFERROR(W1214-X1214,"")</f>
        <v/>
      </c>
      <c r="Z1214">
        <f>IFERROR(ABS(Y1214)/MAX(X1214,1),"")</f>
        <v/>
      </c>
      <c r="AA1214">
        <f>IFERROR((X1214-(((E1214/100000+F1214/100+S1214/200)*200*I1214*H1214)+((E1214*F1214/25000)*I1214*H1214))/3)/(((J1214/5)*200*I1214*H1214)+((J1214*S1214/2.5)*I1214*H1214)+((E1214*F1214*J1214*S1214*I1214*H1214)/12500000))/3*1000,"")</f>
        <v/>
      </c>
    </row>
    <row r="1215">
      <c r="B1215" s="7" t="inlineStr">
        <is>
          <t xml:space="preserve">  ↳ ra2roktgun</t>
        </is>
      </c>
      <c r="C1215" s="7" t="inlineStr">
        <is>
          <t>Armament@PRIMARY</t>
        </is>
      </c>
      <c r="L1215" s="6" t="n">
        <v>2000</v>
      </c>
      <c r="M1215" s="6" t="n">
        <v>14</v>
      </c>
      <c r="N1215" s="6" t="n">
        <v>1</v>
      </c>
      <c r="O1215" s="6" t="n"/>
      <c r="P1215" s="6" t="n">
        <v>5000</v>
      </c>
      <c r="Q1215" s="6" t="n">
        <v>0.875</v>
      </c>
      <c r="R1215">
        <f>M1215+IF(N1215&gt;1,N(O1215)*(N1215-1),0)</f>
        <v/>
      </c>
      <c r="S1215">
        <f>IFERROR(L1215*MAX(N1215,1)/R1215*Q1215*IF(ISBLANK(K1214),1,K1214),0)</f>
        <v/>
      </c>
      <c r="AB1215" s="7" t="inlineStr">
        <is>
          <t>^LightMissile, ^SmallArms, ^FlakWeapon, ^RA2Chaingun</t>
        </is>
      </c>
    </row>
    <row r="1216">
      <c r="A1216" t="inlineStr">
        <is>
          <t>redalert2</t>
        </is>
      </c>
      <c r="B1216" t="inlineStr">
        <is>
          <t>yuri_cosmonaut</t>
        </is>
      </c>
      <c r="C1216" t="inlineStr">
        <is>
          <t>Cosmonaut</t>
        </is>
      </c>
      <c r="D1216" s="6" t="inlineStr">
        <is>
          <t>FlyingInfantry</t>
        </is>
      </c>
      <c r="E1216" s="6" t="n">
        <v>28000</v>
      </c>
      <c r="F1216" s="6" t="n">
        <v>165</v>
      </c>
      <c r="G1216" t="inlineStr">
        <is>
          <t>Scout</t>
        </is>
      </c>
      <c r="H1216" s="6" t="n">
        <v>1</v>
      </c>
      <c r="I1216" s="6" t="n">
        <v>1</v>
      </c>
      <c r="J1216" s="6" t="n">
        <v>1</v>
      </c>
      <c r="K1216" s="6" t="n">
        <v>0.5</v>
      </c>
      <c r="P1216">
        <f>MAX(P1217)</f>
        <v/>
      </c>
      <c r="S1216">
        <f>S1217</f>
        <v/>
      </c>
      <c r="T1216">
        <f>(E1216/100000+F1216/100+(P1216/1000)*J1216/5+S1216/200)*200*I1216*H1216</f>
        <v/>
      </c>
      <c r="U1216">
        <f>((E1216*F1216/25000)+((P1216/1000)*J1216*S1216/2.5))*I1216*H1216</f>
        <v/>
      </c>
      <c r="V1216">
        <f>(E1216*F1216*(P1216/1000)*J1216*S1216*I1216*H1216)/12500000</f>
        <v/>
      </c>
      <c r="W1216">
        <f>(T1216+U1216+V1216)/3</f>
        <v/>
      </c>
      <c r="X1216" s="6" t="n">
        <v>1100</v>
      </c>
      <c r="Y1216">
        <f>IFERROR(W1216-X1216,"")</f>
        <v/>
      </c>
      <c r="Z1216">
        <f>IFERROR(ABS(Y1216)/MAX(X1216,1),"")</f>
        <v/>
      </c>
      <c r="AA1216">
        <f>IFERROR((X1216-(((E1216/100000+F1216/100+S1216/200)*200*I1216*H1216)+((E1216*F1216/25000)*I1216*H1216))/3)/(((J1216/5)*200*I1216*H1216)+((J1216*S1216/2.5)*I1216*H1216)+((E1216*F1216*J1216*S1216*I1216*H1216)/12500000))/3*1000,"")</f>
        <v/>
      </c>
    </row>
    <row r="1217">
      <c r="B1217" s="7" t="inlineStr">
        <is>
          <t xml:space="preserve">  ↳ RA2CosmonautLaser</t>
        </is>
      </c>
      <c r="C1217" s="7" t="inlineStr">
        <is>
          <t>Armament@PRIMARY</t>
        </is>
      </c>
      <c r="L1217" s="6" t="n">
        <v>2000</v>
      </c>
      <c r="M1217" s="6" t="n">
        <v>11</v>
      </c>
      <c r="N1217" s="6" t="n">
        <v>1</v>
      </c>
      <c r="O1217" s="6" t="n"/>
      <c r="P1217" s="6" t="n">
        <v>4750</v>
      </c>
      <c r="Q1217" s="6" t="n">
        <v>0.9583333333333334</v>
      </c>
      <c r="R1217">
        <f>M1217+IF(N1217&gt;1,N(O1217)*(N1217-1),0)</f>
        <v/>
      </c>
      <c r="S1217">
        <f>IFERROR(L1217*MAX(N1217,1)/R1217*Q1217*IF(ISBLANK(K1216),1,K1216),0)</f>
        <v/>
      </c>
      <c r="AB1217" s="7" t="inlineStr">
        <is>
          <t>^RailgunWeapon, ^LaserWeapon, ^LightMissile, ^SmallArms, ^FlakWeapon, ^RA2Chaingun</t>
        </is>
      </c>
    </row>
    <row r="1218">
      <c r="A1218" t="inlineStr">
        <is>
          <t>redalert2mod</t>
        </is>
      </c>
      <c r="B1218" t="inlineStr">
        <is>
          <t>naxis_skymage</t>
        </is>
      </c>
      <c r="C1218" t="inlineStr">
        <is>
          <t>Sky Mage</t>
        </is>
      </c>
      <c r="D1218" s="6" t="inlineStr">
        <is>
          <t>FlyingInfantry</t>
        </is>
      </c>
      <c r="E1218" s="6" t="n">
        <v>48000</v>
      </c>
      <c r="F1218" s="6" t="n">
        <v>160</v>
      </c>
      <c r="G1218" t="inlineStr">
        <is>
          <t>Scout</t>
        </is>
      </c>
      <c r="H1218" s="6" t="n">
        <v>0.75</v>
      </c>
      <c r="I1218" s="6" t="n">
        <v>1</v>
      </c>
      <c r="J1218" s="6" t="n">
        <v>1.25</v>
      </c>
      <c r="K1218" s="6" t="n">
        <v>0.5</v>
      </c>
      <c r="P1218">
        <f>MAX(P1219,P1220,P1221,P1222)</f>
        <v/>
      </c>
      <c r="S1218">
        <f>S1219+S1220+S1221+S1222</f>
        <v/>
      </c>
      <c r="T1218">
        <f>(E1218/100000+F1218/100+(P1218/1000)*J1218/5+S1218/200)*200*I1218*H1218</f>
        <v/>
      </c>
      <c r="U1218">
        <f>((E1218*F1218/25000)+((P1218/1000)*J1218*S1218/2.5))*I1218*H1218</f>
        <v/>
      </c>
      <c r="V1218">
        <f>(E1218*F1218*(P1218/1000)*J1218*S1218*I1218*H1218)/12500000</f>
        <v/>
      </c>
      <c r="W1218">
        <f>(T1218+U1218+V1218)/3</f>
        <v/>
      </c>
      <c r="X1218" s="6" t="n">
        <v>1200</v>
      </c>
      <c r="Y1218">
        <f>IFERROR(W1218-X1218,"")</f>
        <v/>
      </c>
      <c r="Z1218">
        <f>IFERROR(ABS(Y1218)/MAX(X1218,1),"")</f>
        <v/>
      </c>
      <c r="AA1218">
        <f>IFERROR((X1218-(((E1218/100000+F1218/100+S1218/200)*200*I1218*H1218)+((E1218*F1218/25000)*I1218*H1218))/3)/(((J1218/5)*200*I1218*H1218)+((J1218*S1218/2.5)*I1218*H1218)+((E1218*F1218*J1218*S1218*I1218*H1218)/12500000))/3*1000,"")</f>
        <v/>
      </c>
    </row>
    <row r="1219">
      <c r="B1219" s="7" t="inlineStr">
        <is>
          <t xml:space="preserve">  ↳ SkyMageCannon</t>
        </is>
      </c>
      <c r="C1219" s="7" t="inlineStr">
        <is>
          <t>Armament@PRIMARY</t>
        </is>
      </c>
      <c r="L1219" s="6" t="n">
        <v>2000</v>
      </c>
      <c r="M1219" s="6" t="n">
        <v>26</v>
      </c>
      <c r="N1219" s="6" t="n">
        <v>6</v>
      </c>
      <c r="O1219" s="6" t="n">
        <v>4</v>
      </c>
      <c r="P1219" s="6" t="n">
        <v>5000</v>
      </c>
      <c r="Q1219" s="6" t="n">
        <v>1.0625</v>
      </c>
      <c r="R1219">
        <f>M1219+IF(N1219&gt;1,N(O1219)*(N1219-1),0)</f>
        <v/>
      </c>
      <c r="S1219">
        <f>IFERROR(L1219*MAX(N1219,1)/R1219*Q1219*IF(ISBLANK(K1218),1,K1218),0)</f>
        <v/>
      </c>
      <c r="AB1219" s="7" t="inlineStr">
        <is>
          <t>^Grenade, ^HeavyMissile, ^Chaingun, ^RA2FlakWeapon</t>
        </is>
      </c>
    </row>
    <row r="1220">
      <c r="B1220" s="7" t="inlineStr">
        <is>
          <t xml:space="preserve">  ↳ SkyMageCannonE</t>
        </is>
      </c>
      <c r="C1220" s="7" t="inlineStr">
        <is>
          <t>Armament@ELITE</t>
        </is>
      </c>
      <c r="L1220" s="6" t="n">
        <v>2000</v>
      </c>
      <c r="M1220" s="6" t="n">
        <v>26</v>
      </c>
      <c r="N1220" s="6" t="n">
        <v>8</v>
      </c>
      <c r="O1220" s="6" t="n">
        <v>3</v>
      </c>
      <c r="P1220" s="6" t="n">
        <v>6000</v>
      </c>
      <c r="Q1220" s="6" t="n">
        <v>1.0625</v>
      </c>
      <c r="R1220">
        <f>M1220+IF(N1220&gt;1,N(O1220)*(N1220-1),0)</f>
        <v/>
      </c>
      <c r="S1220">
        <f>IFERROR(L1220*MAX(N1220,1)/R1220*Q1220*IF(ISBLANK(K1218),1,K1218),0)</f>
        <v/>
      </c>
      <c r="AB1220" s="7" t="inlineStr">
        <is>
          <t>^Grenade, ^HeavyMissile, ^Chaingun, ^RA2FlakWeapon</t>
        </is>
      </c>
    </row>
    <row r="1221">
      <c r="B1221" s="7" t="inlineStr">
        <is>
          <t xml:space="preserve">  ↳ SkyMageCannonAA</t>
        </is>
      </c>
      <c r="C1221" s="7" t="inlineStr">
        <is>
          <t>Armament@AA</t>
        </is>
      </c>
      <c r="L1221" s="6" t="n">
        <v>2000</v>
      </c>
      <c r="M1221" s="6" t="n">
        <v>26</v>
      </c>
      <c r="N1221" s="6" t="n">
        <v>6</v>
      </c>
      <c r="O1221" s="6" t="n">
        <v>4</v>
      </c>
      <c r="P1221" s="6" t="n">
        <v>7500</v>
      </c>
      <c r="Q1221" s="6" t="n">
        <v>1.0625</v>
      </c>
      <c r="R1221">
        <f>M1221+IF(N1221&gt;1,N(O1221)*(N1221-1),0)</f>
        <v/>
      </c>
      <c r="S1221">
        <f>IFERROR(L1221*MAX(N1221,1)/R1221*Q1221*IF(ISBLANK(K1218),1,K1218),0)</f>
        <v/>
      </c>
      <c r="AB1221" s="7" t="inlineStr">
        <is>
          <t>^Grenade, ^HeavyMissile, ^Chaingun, ^RA2FlakWeapon</t>
        </is>
      </c>
    </row>
    <row r="1222">
      <c r="B1222" s="7" t="inlineStr">
        <is>
          <t xml:space="preserve">  ↳ SkyMageCannonAAE</t>
        </is>
      </c>
      <c r="C1222" s="7" t="inlineStr">
        <is>
          <t>Armament@ELITEAA</t>
        </is>
      </c>
      <c r="L1222" s="6" t="n">
        <v>2000</v>
      </c>
      <c r="M1222" s="6" t="n">
        <v>26</v>
      </c>
      <c r="N1222" s="6" t="n">
        <v>8</v>
      </c>
      <c r="O1222" s="6" t="n">
        <v>3</v>
      </c>
      <c r="P1222" s="6" t="n">
        <v>8500</v>
      </c>
      <c r="Q1222" s="6" t="n">
        <v>1.0625</v>
      </c>
      <c r="R1222">
        <f>M1222+IF(N1222&gt;1,N(O1222)*(N1222-1),0)</f>
        <v/>
      </c>
      <c r="S1222">
        <f>IFERROR(L1222*MAX(N1222,1)/R1222*Q1222*IF(ISBLANK(K1218),1,K1218),0)</f>
        <v/>
      </c>
      <c r="AB1222" s="7" t="inlineStr">
        <is>
          <t>^Grenade, ^HeavyMissile, ^Chaingun, ^RA2FlakWeapon</t>
        </is>
      </c>
    </row>
    <row r="1223">
      <c r="A1223" t="inlineStr">
        <is>
          <t>starcraft</t>
        </is>
      </c>
      <c r="B1223" t="inlineStr">
        <is>
          <t>zerg_shriek</t>
        </is>
      </c>
      <c r="C1223" t="inlineStr">
        <is>
          <t>Shriek</t>
        </is>
      </c>
      <c r="D1223" s="6" t="inlineStr">
        <is>
          <t>FlyingInfantry</t>
        </is>
      </c>
      <c r="E1223" s="6" t="n">
        <v>14000</v>
      </c>
      <c r="F1223" s="6" t="n">
        <v>195</v>
      </c>
      <c r="G1223" t="inlineStr">
        <is>
          <t>Scout</t>
        </is>
      </c>
      <c r="H1223" s="6" t="n">
        <v>1</v>
      </c>
      <c r="I1223" s="6" t="n">
        <v>1</v>
      </c>
      <c r="J1223" s="6" t="n">
        <v>2</v>
      </c>
      <c r="K1223" s="6" t="n"/>
      <c r="P1223">
        <f>MAX(P1224)</f>
        <v/>
      </c>
      <c r="S1223">
        <f>S1224</f>
        <v/>
      </c>
      <c r="T1223">
        <f>(E1223/100000+F1223/100+(P1223/1000)*J1223/5+S1223/200)*200*I1223*H1223</f>
        <v/>
      </c>
      <c r="U1223">
        <f>((E1223*F1223/25000)+((P1223/1000)*J1223*S1223/2.5))*I1223*H1223</f>
        <v/>
      </c>
      <c r="V1223">
        <f>(E1223*F1223*(P1223/1000)*J1223*S1223*I1223*H1223)/12500000</f>
        <v/>
      </c>
      <c r="W1223">
        <f>(T1223+U1223+V1223)/3</f>
        <v/>
      </c>
      <c r="X1223" s="6" t="n">
        <v>500</v>
      </c>
      <c r="Y1223">
        <f>IFERROR(W1223-X1223,"")</f>
        <v/>
      </c>
      <c r="Z1223">
        <f>IFERROR(ABS(Y1223)/MAX(X1223,1),"")</f>
        <v/>
      </c>
      <c r="AA1223">
        <f>IFERROR((X1223-(((E1223/100000+F1223/100+S1223/200)*200*I1223*H1223)+((E1223*F1223/25000)*I1223*H1223))/3)/(((J1223/5)*200*I1223*H1223)+((J1223*S1223/2.5)*I1223*H1223)+((E1223*F1223*J1223*S1223*I1223*H1223)/12500000))/3*1000,"")</f>
        <v/>
      </c>
    </row>
    <row r="1224">
      <c r="B1224" s="7" t="inlineStr">
        <is>
          <t xml:space="preserve">  ↳ ShriekStinger</t>
        </is>
      </c>
      <c r="C1224" s="7" t="inlineStr">
        <is>
          <t>Armament</t>
        </is>
      </c>
      <c r="L1224" s="6" t="n">
        <v>4000</v>
      </c>
      <c r="M1224" s="6" t="n">
        <v>11</v>
      </c>
      <c r="N1224" s="6" t="n">
        <v>1</v>
      </c>
      <c r="O1224" s="6" t="n"/>
      <c r="P1224" s="6" t="n">
        <v>1150</v>
      </c>
      <c r="Q1224" s="6" t="n">
        <v>1</v>
      </c>
      <c r="R1224">
        <f>M1224+IF(N1224&gt;1,N(O1224)*(N1224-1),0)</f>
        <v/>
      </c>
      <c r="S1224">
        <f>IFERROR(L1224*MAX(N1224,1)/R1224*Q1224*IF(ISBLANK(K1223),1,K1223),0)</f>
        <v/>
      </c>
      <c r="AB1224" s="7" t="inlineStr">
        <is>
          <t>^SwordWeapon</t>
        </is>
      </c>
    </row>
    <row r="1225">
      <c r="A1225" t="inlineStr">
        <is>
          <t>starcraft</t>
        </is>
      </c>
      <c r="B1225" t="inlineStr">
        <is>
          <t>zerg_swarmling</t>
        </is>
      </c>
      <c r="C1225" t="inlineStr">
        <is>
          <t>Swarmling</t>
        </is>
      </c>
      <c r="D1225" s="6" t="inlineStr">
        <is>
          <t>FlyingInfantry</t>
        </is>
      </c>
      <c r="E1225" s="6" t="n">
        <v>40000</v>
      </c>
      <c r="F1225" s="6" t="n">
        <v>80</v>
      </c>
      <c r="G1225" t="inlineStr">
        <is>
          <t>Scout</t>
        </is>
      </c>
      <c r="H1225" s="6" t="n">
        <v>1</v>
      </c>
      <c r="I1225" s="6" t="n">
        <v>1</v>
      </c>
      <c r="J1225" s="6" t="n">
        <v>1.25</v>
      </c>
      <c r="K1225" s="6" t="n"/>
      <c r="P1225">
        <f>MAX(P1226)</f>
        <v/>
      </c>
      <c r="S1225">
        <f>S1226</f>
        <v/>
      </c>
      <c r="T1225">
        <f>(E1225/100000+F1225/100+(P1225/1000)*J1225/5+S1225/200)*200*I1225*H1225</f>
        <v/>
      </c>
      <c r="U1225">
        <f>((E1225*F1225/25000)+((P1225/1000)*J1225*S1225/2.5))*I1225*H1225</f>
        <v/>
      </c>
      <c r="V1225">
        <f>(E1225*F1225*(P1225/1000)*J1225*S1225*I1225*H1225)/12500000</f>
        <v/>
      </c>
      <c r="W1225">
        <f>(T1225+U1225+V1225)/3</f>
        <v/>
      </c>
      <c r="X1225" s="6" t="n">
        <v>800</v>
      </c>
      <c r="Y1225">
        <f>IFERROR(W1225-X1225,"")</f>
        <v/>
      </c>
      <c r="Z1225">
        <f>IFERROR(ABS(Y1225)/MAX(X1225,1),"")</f>
        <v/>
      </c>
      <c r="AA1225">
        <f>IFERROR((X1225-(((E1225/100000+F1225/100+S1225/200)*200*I1225*H1225)+((E1225*F1225/25000)*I1225*H1225))/3)/(((J1225/5)*200*I1225*H1225)+((J1225*S1225/2.5)*I1225*H1225)+((E1225*F1225*J1225*S1225*I1225*H1225)/12500000))/3*1000,"")</f>
        <v/>
      </c>
    </row>
    <row r="1226">
      <c r="B1226" s="7" t="inlineStr">
        <is>
          <t xml:space="preserve">  ↳ SwarmlingShoot</t>
        </is>
      </c>
      <c r="C1226" s="7" t="inlineStr">
        <is>
          <t>Armament</t>
        </is>
      </c>
      <c r="L1226" s="6" t="n">
        <v>2000</v>
      </c>
      <c r="M1226" s="6" t="n">
        <v>80</v>
      </c>
      <c r="N1226" s="6" t="n">
        <v>1</v>
      </c>
      <c r="O1226" s="6" t="n"/>
      <c r="P1226" s="6" t="n">
        <v>8561</v>
      </c>
      <c r="Q1226" s="6" t="n">
        <v>1.03125</v>
      </c>
      <c r="R1226">
        <f>M1226+IF(N1226&gt;1,N(O1226)*(N1226-1),0)</f>
        <v/>
      </c>
      <c r="S1226">
        <f>IFERROR(L1226*MAX(N1226,1)/R1226*Q1226*IF(ISBLANK(K1225),1,K1225),0)</f>
        <v/>
      </c>
      <c r="AB1226" s="7" t="inlineStr">
        <is>
          <t>^MediumChemicalWeapon, ^MediumFlameWeapon, ^Grenade, ^ShrapnelWeapon, ^HeavyBomb, ^MediumMissile, ^Chaingun, ^FlakWeapon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227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4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MainBattleTank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tiberiandawn</t>
        </is>
      </c>
      <c r="B3" t="inlineStr">
        <is>
          <t>td_gdi_battletank</t>
        </is>
      </c>
      <c r="C3" t="inlineStr">
        <is>
          <t>GDI Battle Tank</t>
        </is>
      </c>
      <c r="D3" s="6" t="inlineStr">
        <is>
          <t>MainBattleTank</t>
        </is>
      </c>
      <c r="E3" s="6" t="n">
        <v>125000</v>
      </c>
      <c r="F3" s="6" t="n">
        <v>80</v>
      </c>
      <c r="G3" t="inlineStr">
        <is>
          <t>Medium</t>
        </is>
      </c>
      <c r="H3" s="6" t="n">
        <v>1</v>
      </c>
      <c r="I3" s="6" t="n">
        <v>1</v>
      </c>
      <c r="J3" s="6" t="n">
        <v>1</v>
      </c>
      <c r="K3" s="6" t="n">
        <v>1.05</v>
      </c>
      <c r="P3">
        <f>MAX(P4,P5,P6,P7,P8)</f>
        <v/>
      </c>
      <c r="S3">
        <f>S4+S5+S6+S7+S8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800*(T3/800+U3/800+V3/800)/3</f>
        <v/>
      </c>
      <c r="X3" s="6" t="n">
        <v>900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120mm</t>
        </is>
      </c>
      <c r="C4" s="7" t="inlineStr">
        <is>
          <t>Armament</t>
        </is>
      </c>
      <c r="L4" s="6" t="n">
        <v>8000</v>
      </c>
      <c r="M4" s="6" t="n">
        <v>72</v>
      </c>
      <c r="N4" s="6" t="n">
        <v>1</v>
      </c>
      <c r="O4" s="6" t="n"/>
      <c r="P4" s="6" t="n">
        <v>5438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^MediumCannon</t>
        </is>
      </c>
    </row>
    <row r="5">
      <c r="B5" s="7" t="inlineStr">
        <is>
          <t xml:space="preserve">  ↳ 120mmHV</t>
        </is>
      </c>
      <c r="C5" s="7" t="inlineStr">
        <is>
          <t>Armament@HV</t>
        </is>
      </c>
      <c r="L5" s="6" t="n">
        <v>16000</v>
      </c>
      <c r="M5" s="6" t="n">
        <v>72</v>
      </c>
      <c r="N5" s="6" t="n">
        <v>1</v>
      </c>
      <c r="O5" s="6" t="n"/>
      <c r="P5" s="6" t="n">
        <v>5438</v>
      </c>
      <c r="Q5" s="6" t="n">
        <v>1</v>
      </c>
      <c r="R5">
        <f>M5+IF(N5&gt;1,N(O5)*(N5-1),0)</f>
        <v/>
      </c>
      <c r="S5">
        <f>IFERROR(L5*MAX(N5,1)/R5*Q5*IF(ISBLANK(K3),1,K3),0)</f>
        <v/>
      </c>
      <c r="AB5" s="7" t="inlineStr">
        <is>
          <t>^MediumCannon, ^HVProjectile</t>
        </is>
      </c>
    </row>
    <row r="6">
      <c r="B6" s="7" t="inlineStr">
        <is>
          <t xml:space="preserve">  ↳ M1A1Missiles</t>
        </is>
      </c>
      <c r="C6" s="7" t="inlineStr">
        <is>
          <t>Armament@Missile</t>
        </is>
      </c>
      <c r="L6" s="6" t="n">
        <v>8000</v>
      </c>
      <c r="M6" s="6" t="n">
        <v>72</v>
      </c>
      <c r="N6" s="6" t="n">
        <v>1</v>
      </c>
      <c r="O6" s="6" t="n"/>
      <c r="P6" s="6" t="n">
        <v>5400</v>
      </c>
      <c r="Q6" s="6" t="n">
        <v>1</v>
      </c>
      <c r="R6">
        <f>M6+IF(N6&gt;1,N(O6)*(N6-1),0)</f>
        <v/>
      </c>
      <c r="S6">
        <f>IFERROR(L6*MAX(N6,1)/R6*Q6*IF(ISBLANK(K3),1,K3),0)</f>
        <v/>
      </c>
      <c r="AB6" s="7" t="inlineStr">
        <is>
          <t>^MediumMissile</t>
        </is>
      </c>
    </row>
    <row r="7">
      <c r="B7" s="7" t="inlineStr">
        <is>
          <t xml:space="preserve">  ↳ M1A1MissilesAMT</t>
        </is>
      </c>
      <c r="C7" s="7" t="inlineStr">
        <is>
          <t>Armament@AdvancedMissileTargeting</t>
        </is>
      </c>
      <c r="L7" s="6" t="n">
        <v>8000</v>
      </c>
      <c r="M7" s="6" t="n">
        <v>72</v>
      </c>
      <c r="N7" s="6" t="n">
        <v>1</v>
      </c>
      <c r="O7" s="6" t="n"/>
      <c r="P7" s="6" t="n">
        <v>5400</v>
      </c>
      <c r="Q7" s="6" t="n">
        <v>1</v>
      </c>
      <c r="R7">
        <f>M7+IF(N7&gt;1,N(O7)*(N7-1),0)</f>
        <v/>
      </c>
      <c r="S7">
        <f>IFERROR(L7*MAX(N7,1)/R7*Q7*IF(ISBLANK(K3),1,K3),0)</f>
        <v/>
      </c>
      <c r="AB7" s="7" t="inlineStr">
        <is>
          <t>^MediumMissile, ^AMTProjectile</t>
        </is>
      </c>
    </row>
    <row r="8">
      <c r="B8" s="7" t="inlineStr">
        <is>
          <t xml:space="preserve">  ↳ M1A1MachineGun</t>
        </is>
      </c>
      <c r="C8" s="7" t="inlineStr">
        <is>
          <t>Armament@MachineGun</t>
        </is>
      </c>
      <c r="L8" s="6" t="n">
        <v>2000</v>
      </c>
      <c r="M8" s="6" t="n">
        <v>68</v>
      </c>
      <c r="N8" s="6" t="n">
        <v>4</v>
      </c>
      <c r="O8" s="6" t="n"/>
      <c r="P8" s="6" t="n">
        <v>5400</v>
      </c>
      <c r="Q8" s="6" t="n">
        <v>1</v>
      </c>
      <c r="R8">
        <f>M8+IF(N8&gt;1,N(O8)*(N8-1),0)</f>
        <v/>
      </c>
      <c r="S8">
        <f>IFERROR(L8*MAX(N8,1)/R8*Q8*IF(ISBLANK(K3),1,K3),0)</f>
        <v/>
      </c>
      <c r="AB8" s="7" t="inlineStr">
        <is>
          <t>^Chaingun</t>
        </is>
      </c>
    </row>
    <row r="9">
      <c r="A9" t="inlineStr">
        <is>
          <t>tiberiandawn</t>
        </is>
      </c>
      <c r="B9" t="inlineStr">
        <is>
          <t>td_gdi_predatortank</t>
        </is>
      </c>
      <c r="C9" t="inlineStr">
        <is>
          <t>Predator Tank</t>
        </is>
      </c>
      <c r="D9" s="6" t="inlineStr">
        <is>
          <t>MainBattleTank</t>
        </is>
      </c>
      <c r="E9" s="6" t="n">
        <v>170000</v>
      </c>
      <c r="F9" s="6" t="n">
        <v>70</v>
      </c>
      <c r="G9" t="inlineStr">
        <is>
          <t>Heavy</t>
        </is>
      </c>
      <c r="H9" s="6" t="n">
        <v>1</v>
      </c>
      <c r="I9" s="6" t="n">
        <v>1</v>
      </c>
      <c r="J9" s="6" t="n">
        <v>1.25</v>
      </c>
      <c r="K9" s="6" t="n">
        <v>1.05</v>
      </c>
      <c r="P9">
        <f>MAX(P10,P11,P12,P13,P14,P15)</f>
        <v/>
      </c>
      <c r="S9">
        <f>S10+S11+S12+S13+S14+S15</f>
        <v/>
      </c>
      <c r="T9">
        <f>(E9/100000+F9/100+(P9/1000)*J9/5+S9/200)*200*I9*H9</f>
        <v/>
      </c>
      <c r="U9">
        <f>((E9*F9/25000)+((P9/1000)*J9*S9/2.5))*I9*H9</f>
        <v/>
      </c>
      <c r="V9">
        <f>(E9*F9*(P9/1000)*J9*S9*I9*H9)/12500000</f>
        <v/>
      </c>
      <c r="W9">
        <f>800*(T9/800+U9/800+V9/800)/3</f>
        <v/>
      </c>
      <c r="X9" s="6" t="n">
        <v>1250</v>
      </c>
      <c r="Y9">
        <f>IFERROR(W9-X9,"")</f>
        <v/>
      </c>
      <c r="Z9">
        <f>IFERROR(ABS(Y9)/MAX(X9,1),"")</f>
        <v/>
      </c>
      <c r="AA9">
        <f>IFERROR((X9-(((E9/100000+F9/100+S9/200)*200*I9*H9)+((E9*F9/25000)*I9*H9))/3)/(((J9/5)*200*I9*H9)+((J9*S9/2.5)*I9*H9)+((E9*F9*J9*S9*I9*H9)/12500000))/3*1000,"")</f>
        <v/>
      </c>
    </row>
    <row r="10">
      <c r="B10" s="7" t="inlineStr">
        <is>
          <t xml:space="preserve">  ↳ GDIPredatorTankCannon</t>
        </is>
      </c>
      <c r="C10" s="7" t="inlineStr">
        <is>
          <t>Armament@PRIMARY</t>
        </is>
      </c>
      <c r="L10" s="6" t="n">
        <v>8000</v>
      </c>
      <c r="M10" s="6" t="n">
        <v>70</v>
      </c>
      <c r="N10" s="6" t="n">
        <v>1</v>
      </c>
      <c r="O10" s="6" t="n"/>
      <c r="P10" s="6" t="n">
        <v>5880</v>
      </c>
      <c r="Q10" s="6" t="n">
        <v>1</v>
      </c>
      <c r="R10">
        <f>M10+IF(N10&gt;1,N(O10)*(N10-1),0)</f>
        <v/>
      </c>
      <c r="S10">
        <f>IFERROR(L10*MAX(N10,1)/R10*Q10*IF(ISBLANK(K9),1,K9),0)</f>
        <v/>
      </c>
      <c r="AB10" s="7" t="inlineStr">
        <is>
          <t>^MediumCannon</t>
        </is>
      </c>
    </row>
    <row r="11">
      <c r="B11" s="7" t="inlineStr">
        <is>
          <t xml:space="preserve">  ↳ GDIPredatorTankCannonHV</t>
        </is>
      </c>
      <c r="C11" s="7" t="inlineStr">
        <is>
          <t>Armament@Upgrade</t>
        </is>
      </c>
      <c r="L11" s="6" t="n">
        <v>16000</v>
      </c>
      <c r="M11" s="6" t="n">
        <v>70</v>
      </c>
      <c r="N11" s="6" t="n">
        <v>1</v>
      </c>
      <c r="O11" s="6" t="n"/>
      <c r="P11" s="6" t="n">
        <v>5880</v>
      </c>
      <c r="Q11" s="6" t="n">
        <v>1</v>
      </c>
      <c r="R11">
        <f>M11+IF(N11&gt;1,N(O11)*(N11-1),0)</f>
        <v/>
      </c>
      <c r="S11">
        <f>IFERROR(L11*MAX(N11,1)/R11*Q11*IF(ISBLANK(K9),1,K9),0)</f>
        <v/>
      </c>
      <c r="AB11" s="7" t="inlineStr">
        <is>
          <t>^MediumCannon, ^HVProjectile</t>
        </is>
      </c>
    </row>
    <row r="12">
      <c r="B12" s="7" t="inlineStr">
        <is>
          <t xml:space="preserve">  ↳ GDIPredatorTankMissiles</t>
        </is>
      </c>
      <c r="C12" s="7" t="inlineStr">
        <is>
          <t>Armament@SECONDARY</t>
        </is>
      </c>
      <c r="L12" s="6" t="n">
        <v>8000</v>
      </c>
      <c r="M12" s="6" t="n">
        <v>70</v>
      </c>
      <c r="N12" s="6" t="n">
        <v>1</v>
      </c>
      <c r="O12" s="6" t="n"/>
      <c r="P12" s="6" t="n">
        <v>5880</v>
      </c>
      <c r="Q12" s="6" t="n">
        <v>1</v>
      </c>
      <c r="R12">
        <f>M12+IF(N12&gt;1,N(O12)*(N12-1),0)</f>
        <v/>
      </c>
      <c r="S12">
        <f>IFERROR(L12*MAX(N12,1)/R12*Q12*IF(ISBLANK(K9),1,K9),0)</f>
        <v/>
      </c>
      <c r="AB12" s="7" t="inlineStr">
        <is>
          <t>^MediumMissile</t>
        </is>
      </c>
    </row>
    <row r="13">
      <c r="B13" s="7" t="inlineStr">
        <is>
          <t xml:space="preserve">  ↳ GDIPredatorTankMissilesAMT</t>
        </is>
      </c>
      <c r="C13" s="7" t="inlineStr">
        <is>
          <t>Armament@AdvancedMissileTargeting</t>
        </is>
      </c>
      <c r="L13" s="6" t="n">
        <v>8000</v>
      </c>
      <c r="M13" s="6" t="n">
        <v>70</v>
      </c>
      <c r="N13" s="6" t="n">
        <v>1</v>
      </c>
      <c r="O13" s="6" t="n"/>
      <c r="P13" s="6" t="n">
        <v>5880</v>
      </c>
      <c r="Q13" s="6" t="n">
        <v>1</v>
      </c>
      <c r="R13">
        <f>M13+IF(N13&gt;1,N(O13)*(N13-1),0)</f>
        <v/>
      </c>
      <c r="S13">
        <f>IFERROR(L13*MAX(N13,1)/R13*Q13*IF(ISBLANK(K9),1,K9),0)</f>
        <v/>
      </c>
      <c r="AB13" s="7" t="inlineStr">
        <is>
          <t>^MediumMissile, ^AMTProjectile</t>
        </is>
      </c>
    </row>
    <row r="14">
      <c r="B14" s="7" t="inlineStr">
        <is>
          <t xml:space="preserve">  ↳ GDIPredatorMachineGun</t>
        </is>
      </c>
      <c r="C14" s="7" t="inlineStr">
        <is>
          <t>Armament@MachineGun</t>
        </is>
      </c>
      <c r="L14" s="6" t="n">
        <v>2000</v>
      </c>
      <c r="M14" s="6" t="n">
        <v>70</v>
      </c>
      <c r="N14" s="6" t="n">
        <v>4</v>
      </c>
      <c r="O14" s="6" t="n"/>
      <c r="P14" s="6" t="n">
        <v>5880</v>
      </c>
      <c r="Q14" s="6" t="n">
        <v>1</v>
      </c>
      <c r="R14">
        <f>M14+IF(N14&gt;1,N(O14)*(N14-1),0)</f>
        <v/>
      </c>
      <c r="S14">
        <f>IFERROR(L14*MAX(N14,1)/R14*Q14*IF(ISBLANK(K9),1,K9),0)</f>
        <v/>
      </c>
      <c r="AB14" s="7" t="inlineStr">
        <is>
          <t>^Chaingun</t>
        </is>
      </c>
    </row>
    <row r="15">
      <c r="B15" s="7" t="inlineStr">
        <is>
          <t xml:space="preserve">  ↳ GDIPredatorBlueLaser</t>
        </is>
      </c>
      <c r="C15" s="7" t="inlineStr">
        <is>
          <t>Armament@Lights</t>
        </is>
      </c>
      <c r="L15" s="6" t="n"/>
      <c r="M15" s="6" t="n">
        <v>11</v>
      </c>
      <c r="N15" s="6" t="n">
        <v>1</v>
      </c>
      <c r="O15" s="6" t="n"/>
      <c r="P15" s="6" t="n">
        <v>5880</v>
      </c>
      <c r="Q15" s="6" t="n">
        <v>1</v>
      </c>
      <c r="R15">
        <f>M15+IF(N15&gt;1,N(O15)*(N15-1),0)</f>
        <v/>
      </c>
      <c r="S15">
        <f>IFERROR(L15*MAX(N15,1)/R15*Q15*IF(ISBLANK(K9),1,K9),0)</f>
        <v/>
      </c>
      <c r="AB15" s="7" t="inlineStr"/>
    </row>
    <row r="16">
      <c r="A16" t="inlineStr">
        <is>
          <t>tiberiandawn</t>
        </is>
      </c>
      <c r="B16" t="inlineStr">
        <is>
          <t>td_nod_lighttank</t>
        </is>
      </c>
      <c r="C16" t="inlineStr">
        <is>
          <t>Nod Light Tank</t>
        </is>
      </c>
      <c r="D16" s="6" t="inlineStr">
        <is>
          <t>MainBattleTank</t>
        </is>
      </c>
      <c r="E16" s="6" t="n">
        <v>80000</v>
      </c>
      <c r="F16" s="6" t="n">
        <v>110</v>
      </c>
      <c r="G16" t="inlineStr">
        <is>
          <t>Medium</t>
        </is>
      </c>
      <c r="H16" s="6" t="n">
        <v>1</v>
      </c>
      <c r="I16" s="6" t="n">
        <v>1</v>
      </c>
      <c r="J16" s="6" t="n">
        <v>1</v>
      </c>
      <c r="K16" s="6" t="n"/>
      <c r="P16">
        <f>MAX(P17,P18)</f>
        <v/>
      </c>
      <c r="S16">
        <f>S17+S18</f>
        <v/>
      </c>
      <c r="T16">
        <f>(E16/100000+F16/100+(P16/1000)*J16/5+S16/200)*200*I16*H16</f>
        <v/>
      </c>
      <c r="U16">
        <f>((E16*F16/25000)+((P16/1000)*J16*S16/2.5))*I16*H16</f>
        <v/>
      </c>
      <c r="V16">
        <f>(E16*F16*(P16/1000)*J16*S16*I16*H16)/12500000</f>
        <v/>
      </c>
      <c r="W16">
        <f>800*(T16/800+U16/800+V16/800)/3</f>
        <v/>
      </c>
      <c r="X16" s="6" t="n">
        <v>600</v>
      </c>
      <c r="Y16">
        <f>IFERROR(W16-X16,"")</f>
        <v/>
      </c>
      <c r="Z16">
        <f>IFERROR(ABS(Y16)/MAX(X16,1),"")</f>
        <v/>
      </c>
      <c r="AA16">
        <f>IFERROR((X16-(((E16/100000+F16/100+S16/200)*200*I16*H16)+((E16*F16/25000)*I16*H16))/3)/(((J16/5)*200*I16*H16)+((J16*S16/2.5)*I16*H16)+((E16*F16*J16*S16*I16*H16)/12500000))/3*1000,"")</f>
        <v/>
      </c>
    </row>
    <row r="17">
      <c r="B17" s="7" t="inlineStr">
        <is>
          <t xml:space="preserve">  ↳ 70mm</t>
        </is>
      </c>
      <c r="C17" s="7" t="inlineStr">
        <is>
          <t>Armament</t>
        </is>
      </c>
      <c r="L17" s="6" t="n">
        <v>6000</v>
      </c>
      <c r="M17" s="6" t="n">
        <v>45</v>
      </c>
      <c r="N17" s="6" t="n">
        <v>1</v>
      </c>
      <c r="O17" s="6" t="n"/>
      <c r="P17" s="6" t="n">
        <v>4993</v>
      </c>
      <c r="Q17" s="6" t="n">
        <v>1</v>
      </c>
      <c r="R17">
        <f>M17+IF(N17&gt;1,N(O17)*(N17-1),0)</f>
        <v/>
      </c>
      <c r="S17">
        <f>IFERROR(L17*MAX(N17,1)/R17*Q17*IF(ISBLANK(K16),1,K16),0)</f>
        <v/>
      </c>
      <c r="AB17" s="7" t="inlineStr">
        <is>
          <t>^MediumCannon</t>
        </is>
      </c>
    </row>
    <row r="18">
      <c r="B18" s="7" t="inlineStr">
        <is>
          <t xml:space="preserve">  ↳ LTNKMissiles</t>
        </is>
      </c>
      <c r="C18" s="7" t="inlineStr">
        <is>
          <t>Armament@Missile</t>
        </is>
      </c>
      <c r="L18" s="6" t="n">
        <v>6000</v>
      </c>
      <c r="M18" s="6" t="n">
        <v>45</v>
      </c>
      <c r="N18" s="6" t="n">
        <v>1</v>
      </c>
      <c r="O18" s="6" t="n"/>
      <c r="P18" s="6" t="n">
        <v>4993</v>
      </c>
      <c r="Q18" s="6" t="n">
        <v>1</v>
      </c>
      <c r="R18">
        <f>M18+IF(N18&gt;1,N(O18)*(N18-1),0)</f>
        <v/>
      </c>
      <c r="S18">
        <f>IFERROR(L18*MAX(N18,1)/R18*Q18*IF(ISBLANK(K16),1,K16),0)</f>
        <v/>
      </c>
      <c r="AB18" s="7" t="inlineStr">
        <is>
          <t>^MediumMissile</t>
        </is>
      </c>
    </row>
    <row r="19">
      <c r="A19" t="inlineStr">
        <is>
          <t>tiberiandawn</t>
        </is>
      </c>
      <c r="B19" t="inlineStr">
        <is>
          <t>td_nod_lighttankmkii</t>
        </is>
      </c>
      <c r="C19" t="inlineStr">
        <is>
          <t>Light Tank Mk. II</t>
        </is>
      </c>
      <c r="D19" s="6" t="inlineStr">
        <is>
          <t>MainBattleTank</t>
        </is>
      </c>
      <c r="E19" s="6" t="n">
        <v>80000</v>
      </c>
      <c r="F19" s="6" t="n">
        <v>100</v>
      </c>
      <c r="G19" t="inlineStr">
        <is>
          <t>Medium</t>
        </is>
      </c>
      <c r="H19" s="6" t="n">
        <v>1</v>
      </c>
      <c r="I19" s="6" t="n">
        <v>1</v>
      </c>
      <c r="J19" s="6" t="n">
        <v>1</v>
      </c>
      <c r="K19" s="6" t="n"/>
      <c r="P19">
        <f>MAX(P20,P21,P22)</f>
        <v/>
      </c>
      <c r="S19">
        <f>S20+S21+S22</f>
        <v/>
      </c>
      <c r="T19">
        <f>(E19/100000+F19/100+(P19/1000)*J19/5+S19/200)*200*I19*H19</f>
        <v/>
      </c>
      <c r="U19">
        <f>((E19*F19/25000)+((P19/1000)*J19*S19/2.5))*I19*H19</f>
        <v/>
      </c>
      <c r="V19">
        <f>(E19*F19*(P19/1000)*J19*S19*I19*H19)/12500000</f>
        <v/>
      </c>
      <c r="W19">
        <f>800*(T19/800+U19/800+V19/800)/3</f>
        <v/>
      </c>
      <c r="X19" s="6" t="n">
        <v>800</v>
      </c>
      <c r="Y19">
        <f>IFERROR(W19-X19,"")</f>
        <v/>
      </c>
      <c r="Z19">
        <f>IFERROR(ABS(Y19)/MAX(X19,1),"")</f>
        <v/>
      </c>
      <c r="AA19">
        <f>IFERROR((X19-(((E19/100000+F19/100+S19/200)*200*I19*H19)+((E19*F19/25000)*I19*H19))/3)/(((J19/5)*200*I19*H19)+((J19*S19/2.5)*I19*H19)+((E19*F19*J19*S19*I19*H19)/12500000))/3*1000,"")</f>
        <v/>
      </c>
    </row>
    <row r="20">
      <c r="B20" s="7" t="inlineStr">
        <is>
          <t xml:space="preserve">  ↳ PDLaserLTNK2</t>
        </is>
      </c>
      <c r="C20" s="7" t="inlineStr">
        <is>
          <t>Armament@pointdefense</t>
        </is>
      </c>
      <c r="L20" s="6" t="n">
        <v>1</v>
      </c>
      <c r="M20" s="6" t="n">
        <v>25</v>
      </c>
      <c r="N20" s="6" t="n">
        <v>1</v>
      </c>
      <c r="O20" s="6" t="n"/>
      <c r="P20" s="6" t="n">
        <v>4903</v>
      </c>
      <c r="Q20" s="6" t="n">
        <v>1</v>
      </c>
      <c r="R20">
        <f>M20+IF(N20&gt;1,N(O20)*(N20-1),0)</f>
        <v/>
      </c>
      <c r="S20">
        <f>IFERROR(L20*MAX(N20,1)/R20*Q20*IF(ISBLANK(K19),1,K19),0)</f>
        <v/>
      </c>
      <c r="AB20" s="7" t="inlineStr">
        <is>
          <t>PDLaser</t>
        </is>
      </c>
    </row>
    <row r="21">
      <c r="B21" s="7" t="inlineStr">
        <is>
          <t xml:space="preserve">  ↳ LightTank2Cannon</t>
        </is>
      </c>
      <c r="C21" s="7" t="inlineStr">
        <is>
          <t>Armament</t>
        </is>
      </c>
      <c r="L21" s="6" t="n">
        <v>4000</v>
      </c>
      <c r="M21" s="6" t="n">
        <v>35</v>
      </c>
      <c r="N21" s="6" t="n">
        <v>1</v>
      </c>
      <c r="O21" s="6" t="n"/>
      <c r="P21" s="6" t="n">
        <v>4903</v>
      </c>
      <c r="Q21" s="6" t="n">
        <v>0.875</v>
      </c>
      <c r="R21">
        <f>M21+IF(N21&gt;1,N(O21)*(N21-1),0)</f>
        <v/>
      </c>
      <c r="S21">
        <f>IFERROR(L21*MAX(N21,1)/R21*Q21*IF(ISBLANK(K19),1,K19),0)</f>
        <v/>
      </c>
      <c r="AB21" s="7" t="inlineStr">
        <is>
          <t>^LightChemicalWeapon, ^MediumCannon</t>
        </is>
      </c>
    </row>
    <row r="22">
      <c r="B22" s="7" t="inlineStr">
        <is>
          <t xml:space="preserve">  ↳ LightTank2Missiles</t>
        </is>
      </c>
      <c r="C22" s="7" t="inlineStr">
        <is>
          <t>Armament@Missile</t>
        </is>
      </c>
      <c r="L22" s="6" t="n">
        <v>4000</v>
      </c>
      <c r="M22" s="6" t="n">
        <v>35</v>
      </c>
      <c r="N22" s="6" t="n">
        <v>1</v>
      </c>
      <c r="O22" s="6" t="n"/>
      <c r="P22" s="6" t="n">
        <v>4903</v>
      </c>
      <c r="Q22" s="6" t="n">
        <v>0.875</v>
      </c>
      <c r="R22">
        <f>M22+IF(N22&gt;1,N(O22)*(N22-1),0)</f>
        <v/>
      </c>
      <c r="S22">
        <f>IFERROR(L22*MAX(N22,1)/R22*Q22*IF(ISBLANK(K19),1,K19),0)</f>
        <v/>
      </c>
      <c r="AB22" s="7" t="inlineStr">
        <is>
          <t>^LightFlameWeapon, ^MediumMissile</t>
        </is>
      </c>
    </row>
    <row r="23">
      <c r="A23" t="inlineStr">
        <is>
          <t>shared</t>
        </is>
      </c>
      <c r="B23" t="inlineStr">
        <is>
          <t>ra1_allies_alliedcybertank</t>
        </is>
      </c>
      <c r="C23" t="inlineStr">
        <is>
          <t>Allied Cyber Tank</t>
        </is>
      </c>
      <c r="D23" s="6" t="inlineStr">
        <is>
          <t>MainBattleTank</t>
        </is>
      </c>
      <c r="E23" s="6" t="n">
        <v>160000</v>
      </c>
      <c r="F23" s="6" t="n">
        <v>75</v>
      </c>
      <c r="G23" t="inlineStr">
        <is>
          <t>Heavy</t>
        </is>
      </c>
      <c r="H23" s="6" t="n">
        <v>1</v>
      </c>
      <c r="I23" s="6" t="n">
        <v>1</v>
      </c>
      <c r="J23" s="6" t="n">
        <v>1</v>
      </c>
      <c r="K23" s="6" t="n"/>
      <c r="P23">
        <f>MAX(P24)</f>
        <v/>
      </c>
      <c r="S23">
        <f>S24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800*(T23/800+U23/800+V23/800)/3</f>
        <v/>
      </c>
      <c r="X23" s="6" t="n">
        <v>1300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TigerCannon</t>
        </is>
      </c>
      <c r="C24" s="7" t="inlineStr">
        <is>
          <t>Armament</t>
        </is>
      </c>
      <c r="L24" s="6" t="n">
        <v>8000</v>
      </c>
      <c r="M24" s="6" t="n">
        <v>60</v>
      </c>
      <c r="N24" s="6" t="n">
        <v>1</v>
      </c>
      <c r="O24" s="6" t="n"/>
      <c r="P24" s="6" t="n">
        <v>5915</v>
      </c>
      <c r="Q24" s="6" t="n">
        <v>1.125</v>
      </c>
      <c r="R24">
        <f>M24+IF(N24&gt;1,N(O24)*(N24-1),0)</f>
        <v/>
      </c>
      <c r="S24">
        <f>IFERROR(L24*MAX(N24,1)/R24*Q24*IF(ISBLANK(K23),1,K23),0)</f>
        <v/>
      </c>
      <c r="AB24" s="7" t="inlineStr">
        <is>
          <t>^HeavyCannon, ^MediumCannon</t>
        </is>
      </c>
    </row>
    <row r="25">
      <c r="A25" t="inlineStr">
        <is>
          <t>redalert</t>
        </is>
      </c>
      <c r="B25" t="inlineStr">
        <is>
          <t>japan_chihaheavytank</t>
        </is>
      </c>
      <c r="C25" t="inlineStr">
        <is>
          <t>Chi-Ha Heavy Tank</t>
        </is>
      </c>
      <c r="D25" s="6" t="inlineStr">
        <is>
          <t>MainBattleTank</t>
        </is>
      </c>
      <c r="E25" s="6" t="n">
        <v>130000</v>
      </c>
      <c r="F25" s="6" t="n">
        <v>85</v>
      </c>
      <c r="G25" t="inlineStr">
        <is>
          <t>Heavy</t>
        </is>
      </c>
      <c r="H25" s="6" t="n">
        <v>1</v>
      </c>
      <c r="I25" s="6" t="n">
        <v>1</v>
      </c>
      <c r="J25" s="6" t="n">
        <v>1</v>
      </c>
      <c r="K25" s="6" t="n"/>
      <c r="P25">
        <f>MAX(P26,P27)</f>
        <v/>
      </c>
      <c r="S25">
        <f>S26+S27</f>
        <v/>
      </c>
      <c r="T25">
        <f>(E25/100000+F25/100+(P25/1000)*J25/5+S25/200)*200*I25*H25</f>
        <v/>
      </c>
      <c r="U25">
        <f>((E25*F25/25000)+((P25/1000)*J25*S25/2.5))*I25*H25</f>
        <v/>
      </c>
      <c r="V25">
        <f>(E25*F25*(P25/1000)*J25*S25*I25*H25)/12500000</f>
        <v/>
      </c>
      <c r="W25">
        <f>800*(T25/800+U25/800+V25/800)/3</f>
        <v/>
      </c>
      <c r="X25" s="6" t="n">
        <v>1200</v>
      </c>
      <c r="Y25">
        <f>IFERROR(W25-X25,"")</f>
        <v/>
      </c>
      <c r="Z25">
        <f>IFERROR(ABS(Y25)/MAX(X25,1),"")</f>
        <v/>
      </c>
      <c r="AA25">
        <f>IFERROR((X25-(((E25/100000+F25/100+S25/200)*200*I25*H25)+((E25*F25/25000)*I25*H25))/3)/(((J25/5)*200*I25*H25)+((J25*S25/2.5)*I25*H25)+((E25*F25*J25*S25*I25*H25)/12500000))/3*1000,"")</f>
        <v/>
      </c>
    </row>
    <row r="26">
      <c r="B26" s="7" t="inlineStr">
        <is>
          <t xml:space="preserve">  ↳ Type97Cannon</t>
        </is>
      </c>
      <c r="C26" s="7" t="inlineStr">
        <is>
          <t>Armament</t>
        </is>
      </c>
      <c r="L26" s="6" t="n">
        <v>6000</v>
      </c>
      <c r="M26" s="6" t="n">
        <v>56</v>
      </c>
      <c r="N26" s="6" t="n">
        <v>1</v>
      </c>
      <c r="O26" s="6" t="n"/>
      <c r="P26" s="6" t="n">
        <v>5692</v>
      </c>
      <c r="Q26" s="6" t="n">
        <v>1.125</v>
      </c>
      <c r="R26">
        <f>M26+IF(N26&gt;1,N(O26)*(N26-1),0)</f>
        <v/>
      </c>
      <c r="S26">
        <f>IFERROR(L26*MAX(N26,1)/R26*Q26*IF(ISBLANK(K25),1,K25),0)</f>
        <v/>
      </c>
      <c r="AB26" s="7" t="inlineStr">
        <is>
          <t>^HeavyCannon, ^MediumCannon</t>
        </is>
      </c>
    </row>
    <row r="27">
      <c r="B27" s="7" t="inlineStr">
        <is>
          <t xml:space="preserve">  ↳ Type97PlasmaCannon</t>
        </is>
      </c>
      <c r="C27" s="7" t="inlineStr">
        <is>
          <t>Armament@Upgrade</t>
        </is>
      </c>
      <c r="L27" s="6" t="n">
        <v>4000</v>
      </c>
      <c r="M27" s="6" t="n">
        <v>56</v>
      </c>
      <c r="N27" s="6" t="n">
        <v>1</v>
      </c>
      <c r="O27" s="6" t="n"/>
      <c r="P27" s="6" t="n">
        <v>5692</v>
      </c>
      <c r="Q27" s="6" t="n">
        <v>1.166666666666667</v>
      </c>
      <c r="R27">
        <f>M27+IF(N27&gt;1,N(O27)*(N27-1),0)</f>
        <v/>
      </c>
      <c r="S27">
        <f>IFERROR(L27*MAX(N27,1)/R27*Q27*IF(ISBLANK(K25),1,K25),0)</f>
        <v/>
      </c>
      <c r="AB27" s="7" t="inlineStr">
        <is>
          <t>^TeslaWeapon, ^RailgunWeapon, ^HeavyCannon</t>
        </is>
      </c>
    </row>
    <row r="28">
      <c r="A28" t="inlineStr">
        <is>
          <t>redalert</t>
        </is>
      </c>
      <c r="B28" t="inlineStr">
        <is>
          <t>japan_igomediumtank</t>
        </is>
      </c>
      <c r="C28" t="inlineStr">
        <is>
          <t>I-Go Medium Tank</t>
        </is>
      </c>
      <c r="D28" s="6" t="inlineStr">
        <is>
          <t>MainBattleTank</t>
        </is>
      </c>
      <c r="E28" s="6" t="n">
        <v>110000</v>
      </c>
      <c r="F28" s="6" t="n">
        <v>90</v>
      </c>
      <c r="G28" t="inlineStr">
        <is>
          <t>Medium</t>
        </is>
      </c>
      <c r="H28" s="6" t="n">
        <v>1</v>
      </c>
      <c r="I28" s="6" t="n">
        <v>1</v>
      </c>
      <c r="J28" s="6" t="n">
        <v>1</v>
      </c>
      <c r="K28" s="6" t="n"/>
      <c r="P28">
        <f>MAX(P29,P30)</f>
        <v/>
      </c>
      <c r="S28">
        <f>S29+S30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800*(T28/800+U28/800+V28/800)/3</f>
        <v/>
      </c>
      <c r="X28" s="6" t="n">
        <v>800</v>
      </c>
      <c r="Y28">
        <f>IFERROR(W28-X28,"")</f>
        <v/>
      </c>
      <c r="Z28">
        <f>IFERROR(ABS(Y28)/MAX(X28,1),"")</f>
        <v/>
      </c>
      <c r="AA28">
        <f>IFERROR((X28-(((E28/100000+F28/100+S28/200)*200*I28*H28)+((E28*F28/25000)*I28*H28))/3)/(((J28/5)*200*I28*H28)+((J28*S28/2.5)*I28*H28)+((E28*F28*J28*S28*I28*H28)/12500000))/3*1000,"")</f>
        <v/>
      </c>
    </row>
    <row r="29">
      <c r="B29" s="7" t="inlineStr">
        <is>
          <t xml:space="preserve">  ↳ Type89Cannon</t>
        </is>
      </c>
      <c r="C29" s="7" t="inlineStr">
        <is>
          <t>Armament</t>
        </is>
      </c>
      <c r="L29" s="6" t="n">
        <v>10000</v>
      </c>
      <c r="M29" s="6" t="n">
        <v>52</v>
      </c>
      <c r="N29" s="6" t="n">
        <v>1</v>
      </c>
      <c r="O29" s="6" t="n"/>
      <c r="P29" s="6" t="n">
        <v>5243</v>
      </c>
      <c r="Q29" s="6" t="n">
        <v>1</v>
      </c>
      <c r="R29">
        <f>M29+IF(N29&gt;1,N(O29)*(N29-1),0)</f>
        <v/>
      </c>
      <c r="S29">
        <f>IFERROR(L29*MAX(N29,1)/R29*Q29*IF(ISBLANK(K28),1,K28),0)</f>
        <v/>
      </c>
      <c r="AB29" s="7" t="inlineStr">
        <is>
          <t>^MediumCannon</t>
        </is>
      </c>
    </row>
    <row r="30">
      <c r="B30" s="7" t="inlineStr">
        <is>
          <t xml:space="preserve">  ↳ Type89PlasmaCannon</t>
        </is>
      </c>
      <c r="C30" s="7" t="inlineStr">
        <is>
          <t>Armament@Upgrade</t>
        </is>
      </c>
      <c r="L30" s="6" t="n">
        <v>4000</v>
      </c>
      <c r="M30" s="6" t="n">
        <v>52</v>
      </c>
      <c r="N30" s="6" t="n">
        <v>1</v>
      </c>
      <c r="O30" s="6" t="n"/>
      <c r="P30" s="6" t="n">
        <v>5243</v>
      </c>
      <c r="Q30" s="6" t="n">
        <v>1.125</v>
      </c>
      <c r="R30">
        <f>M30+IF(N30&gt;1,N(O30)*(N30-1),0)</f>
        <v/>
      </c>
      <c r="S30">
        <f>IFERROR(L30*MAX(N30,1)/R30*Q30*IF(ISBLANK(K28),1,K28),0)</f>
        <v/>
      </c>
      <c r="AB30" s="7" t="inlineStr">
        <is>
          <t>^TeslaWeapon, ^TankDestroyerCannon, ^HeavyCannon</t>
        </is>
      </c>
    </row>
    <row r="31">
      <c r="A31" t="inlineStr">
        <is>
          <t>redalert</t>
        </is>
      </c>
      <c r="B31" t="inlineStr">
        <is>
          <t>japan_shrine_minitank</t>
        </is>
      </c>
      <c r="C31" t="inlineStr">
        <is>
          <t>Shrine Minitank</t>
        </is>
      </c>
      <c r="D31" s="6" t="inlineStr">
        <is>
          <t>MainBattleTank</t>
        </is>
      </c>
      <c r="E31" s="6" t="n">
        <v>60000</v>
      </c>
      <c r="F31" s="6" t="n">
        <v>120</v>
      </c>
      <c r="G31" t="inlineStr">
        <is>
          <t>Medium</t>
        </is>
      </c>
      <c r="H31" s="6" t="n">
        <v>1</v>
      </c>
      <c r="I31" s="6" t="n">
        <v>1</v>
      </c>
      <c r="J31" s="6" t="n">
        <v>1</v>
      </c>
      <c r="K31" s="6" t="n"/>
      <c r="P31">
        <f>MAX(P32)</f>
        <v/>
      </c>
      <c r="S31">
        <f>S32</f>
        <v/>
      </c>
      <c r="T31">
        <f>(E31/100000+F31/100+(P31/1000)*J31/5+S31/200)*200*I31*H31</f>
        <v/>
      </c>
      <c r="U31">
        <f>((E31*F31/25000)+((P31/1000)*J31*S31/2.5))*I31*H31</f>
        <v/>
      </c>
      <c r="V31">
        <f>(E31*F31*(P31/1000)*J31*S31*I31*H31)/12500000</f>
        <v/>
      </c>
      <c r="W31">
        <f>800*(T31/800+U31/800+V31/800)/3</f>
        <v/>
      </c>
      <c r="X31" s="6" t="n">
        <v>1600</v>
      </c>
      <c r="Y31">
        <f>IFERROR(W31-X31,"")</f>
        <v/>
      </c>
      <c r="Z31">
        <f>IFERROR(ABS(Y31)/MAX(X31,1),"")</f>
        <v/>
      </c>
      <c r="AA31">
        <f>IFERROR((X31-(((E31/100000+F31/100+S31/200)*200*I31*H31)+((E31*F31/25000)*I31*H31))/3)/(((J31/5)*200*I31*H31)+((J31*S31/2.5)*I31*H31)+((E31*F31*J31*S31*I31*H31)/12500000))/3*1000,"")</f>
        <v/>
      </c>
    </row>
    <row r="32">
      <c r="B32" s="7" t="inlineStr">
        <is>
          <t xml:space="preserve">  ↳ ShrineTankCannon</t>
        </is>
      </c>
      <c r="C32" s="7" t="inlineStr">
        <is>
          <t>Armament</t>
        </is>
      </c>
      <c r="L32" s="6" t="n">
        <v>4000</v>
      </c>
      <c r="M32" s="6" t="n">
        <v>50</v>
      </c>
      <c r="N32" s="6" t="n">
        <v>1</v>
      </c>
      <c r="O32" s="6" t="n"/>
      <c r="P32" s="6" t="n">
        <v>6370</v>
      </c>
      <c r="Q32" s="6" t="n">
        <v>1.05</v>
      </c>
      <c r="R32">
        <f>M32+IF(N32&gt;1,N(O32)*(N32-1),0)</f>
        <v/>
      </c>
      <c r="S32">
        <f>IFERROR(L32*MAX(N32,1)/R32*Q32*IF(ISBLANK(K31),1,K31),0)</f>
        <v/>
      </c>
      <c r="AB32" s="7" t="inlineStr">
        <is>
          <t>^TeslaWeapon, ^RailgunWeapon, ^MagicWeapon, ^MediumCannon, ^MediumChemicalWeapon, ^MediumFlameWeapon</t>
        </is>
      </c>
    </row>
    <row r="33">
      <c r="A33" t="inlineStr">
        <is>
          <t>redalert</t>
        </is>
      </c>
      <c r="B33" t="inlineStr">
        <is>
          <t>ra1_soviets_hammertank</t>
        </is>
      </c>
      <c r="C33" t="inlineStr">
        <is>
          <t>Hammer Tank</t>
        </is>
      </c>
      <c r="D33" s="6" t="inlineStr">
        <is>
          <t>MainBattleTank</t>
        </is>
      </c>
      <c r="E33" s="6" t="n">
        <v>210000</v>
      </c>
      <c r="F33" s="6" t="n">
        <v>60</v>
      </c>
      <c r="G33" t="inlineStr">
        <is>
          <t>Heavy</t>
        </is>
      </c>
      <c r="H33" s="6" t="n">
        <v>1</v>
      </c>
      <c r="I33" s="6" t="n">
        <v>1</v>
      </c>
      <c r="J33" s="6" t="n">
        <v>1</v>
      </c>
      <c r="K33" s="6" t="n"/>
      <c r="P33">
        <f>MAX(P34,P35,P36)</f>
        <v/>
      </c>
      <c r="S33">
        <f>S34+S35+S36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800*(T33/800+U33/800+V33/800)/3</f>
        <v/>
      </c>
      <c r="X33" s="6" t="n">
        <v>1500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HammerTankCannon</t>
        </is>
      </c>
      <c r="C34" s="7" t="inlineStr">
        <is>
          <t>Armament</t>
        </is>
      </c>
      <c r="L34" s="6" t="n">
        <v>6000</v>
      </c>
      <c r="M34" s="6" t="n">
        <v>85</v>
      </c>
      <c r="N34" s="6" t="n">
        <v>2</v>
      </c>
      <c r="O34" s="6" t="n">
        <v>5</v>
      </c>
      <c r="P34" s="6" t="n">
        <v>6825</v>
      </c>
      <c r="Q34" s="6" t="n">
        <v>1.125</v>
      </c>
      <c r="R34">
        <f>M34+IF(N34&gt;1,N(O34)*(N34-1),0)</f>
        <v/>
      </c>
      <c r="S34">
        <f>IFERROR(L34*MAX(N34,1)/R34*Q34*IF(ISBLANK(K33),1,K33),0)</f>
        <v/>
      </c>
      <c r="AB34" s="7" t="inlineStr">
        <is>
          <t>^HeavyCannon, ^MediumCannon</t>
        </is>
      </c>
    </row>
    <row r="35">
      <c r="B35" s="7" t="inlineStr">
        <is>
          <t xml:space="preserve">  ↳ HammerTankCannonThermobaric</t>
        </is>
      </c>
      <c r="C35" s="7" t="inlineStr">
        <is>
          <t>Armament@Upgrade</t>
        </is>
      </c>
      <c r="L35" s="6" t="n">
        <v>4000</v>
      </c>
      <c r="M35" s="6" t="n">
        <v>85</v>
      </c>
      <c r="N35" s="6" t="n">
        <v>2</v>
      </c>
      <c r="O35" s="6" t="n">
        <v>5</v>
      </c>
      <c r="P35" s="6" t="n">
        <v>6825</v>
      </c>
      <c r="Q35" s="6" t="n">
        <v>1.125</v>
      </c>
      <c r="R35">
        <f>M35+IF(N35&gt;1,N(O35)*(N35-1),0)</f>
        <v/>
      </c>
      <c r="S35">
        <f>IFERROR(L35*MAX(N35,1)/R35*Q35*IF(ISBLANK(K33),1,K33),0)</f>
        <v/>
      </c>
      <c r="AB35" s="7" t="inlineStr">
        <is>
          <t>^HeavyBomb, ^MediumFlameWeapon, ^HeavyCannon, ^MediumCannon</t>
        </is>
      </c>
    </row>
    <row r="36">
      <c r="B36" s="7" t="inlineStr">
        <is>
          <t xml:space="preserve">  ↳ ShtoraLaser</t>
        </is>
      </c>
      <c r="C36" s="7" t="inlineStr">
        <is>
          <t>Armament@shtora</t>
        </is>
      </c>
      <c r="L36" s="6" t="n">
        <v>2000</v>
      </c>
      <c r="M36" s="6" t="n">
        <v>100</v>
      </c>
      <c r="N36" s="6" t="n">
        <v>1</v>
      </c>
      <c r="O36" s="6" t="n"/>
      <c r="P36" s="6" t="n">
        <v>6825</v>
      </c>
      <c r="Q36" s="6" t="n">
        <v>0.9166666666666666</v>
      </c>
      <c r="R36">
        <f>M36+IF(N36&gt;1,N(O36)*(N36-1),0)</f>
        <v/>
      </c>
      <c r="S36">
        <f>IFERROR(L36*MAX(N36,1)/R36*Q36*IF(ISBLANK(K33),1,K33),0)</f>
        <v/>
      </c>
      <c r="AB36" s="7" t="inlineStr">
        <is>
          <t>^LightFlameWeapon, ^FlakWeapon, ^LaserWeapon</t>
        </is>
      </c>
    </row>
    <row r="37">
      <c r="A37" t="inlineStr">
        <is>
          <t>redalert</t>
        </is>
      </c>
      <c r="B37" t="inlineStr">
        <is>
          <t>ra1_soviets_heavytank</t>
        </is>
      </c>
      <c r="C37" t="inlineStr">
        <is>
          <t>Soviet Heavy Tank</t>
        </is>
      </c>
      <c r="D37" s="6" t="inlineStr">
        <is>
          <t>MainBattleTank</t>
        </is>
      </c>
      <c r="E37" s="6" t="n">
        <v>150000</v>
      </c>
      <c r="F37" s="6" t="n">
        <v>70</v>
      </c>
      <c r="G37" t="inlineStr">
        <is>
          <t>Heavy</t>
        </is>
      </c>
      <c r="H37" s="6" t="n">
        <v>1</v>
      </c>
      <c r="I37" s="6" t="n">
        <v>1</v>
      </c>
      <c r="J37" s="6" t="n">
        <v>1</v>
      </c>
      <c r="K37" s="6" t="n"/>
      <c r="P37">
        <f>MAX(P38,P39)</f>
        <v/>
      </c>
      <c r="S37">
        <f>S38+S39</f>
        <v/>
      </c>
      <c r="T37">
        <f>(E37/100000+F37/100+(P37/1000)*J37/5+S37/200)*200*I37*H37</f>
        <v/>
      </c>
      <c r="U37">
        <f>((E37*F37/25000)+((P37/1000)*J37*S37/2.5))*I37*H37</f>
        <v/>
      </c>
      <c r="V37">
        <f>(E37*F37*(P37/1000)*J37*S37*I37*H37)/12500000</f>
        <v/>
      </c>
      <c r="W37">
        <f>800*(T37/800+U37/800+V37/800)/3</f>
        <v/>
      </c>
      <c r="X37" s="6" t="n">
        <v>1000</v>
      </c>
      <c r="Y37">
        <f>IFERROR(W37-X37,"")</f>
        <v/>
      </c>
      <c r="Z37">
        <f>IFERROR(ABS(Y37)/MAX(X37,1),"")</f>
        <v/>
      </c>
      <c r="AA37">
        <f>IFERROR((X37-(((E37/100000+F37/100+S37/200)*200*I37*H37)+((E37*F37/25000)*I37*H37))/3)/(((J37/5)*200*I37*H37)+((J37*S37/2.5)*I37*H37)+((E37*F37*J37*S37*I37*H37)/12500000))/3*1000,"")</f>
        <v/>
      </c>
    </row>
    <row r="38">
      <c r="B38" s="7" t="inlineStr">
        <is>
          <t xml:space="preserve">  ↳ 105mm</t>
        </is>
      </c>
      <c r="C38" s="7" t="inlineStr">
        <is>
          <t>Armament</t>
        </is>
      </c>
      <c r="L38" s="6" t="n">
        <v>10000</v>
      </c>
      <c r="M38" s="6" t="n">
        <v>76</v>
      </c>
      <c r="N38" s="6" t="n">
        <v>2</v>
      </c>
      <c r="O38" s="6" t="n">
        <v>5</v>
      </c>
      <c r="P38" s="6" t="n">
        <v>5469</v>
      </c>
      <c r="Q38" s="6" t="n">
        <v>1</v>
      </c>
      <c r="R38">
        <f>M38+IF(N38&gt;1,N(O38)*(N38-1),0)</f>
        <v/>
      </c>
      <c r="S38">
        <f>IFERROR(L38*MAX(N38,1)/R38*Q38*IF(ISBLANK(K37),1,K37),0)</f>
        <v/>
      </c>
      <c r="AB38" s="7" t="inlineStr">
        <is>
          <t>^MediumCannon</t>
        </is>
      </c>
    </row>
    <row r="39">
      <c r="B39" s="7" t="inlineStr">
        <is>
          <t xml:space="preserve">  ↳ 105mmThermobaric</t>
        </is>
      </c>
      <c r="C39" s="7" t="inlineStr">
        <is>
          <t>Armament@Upgrade</t>
        </is>
      </c>
      <c r="L39" s="6" t="n">
        <v>6000</v>
      </c>
      <c r="M39" s="6" t="n">
        <v>76</v>
      </c>
      <c r="N39" s="6" t="n">
        <v>2</v>
      </c>
      <c r="O39" s="6" t="n">
        <v>5</v>
      </c>
      <c r="P39" s="6" t="n">
        <v>5469</v>
      </c>
      <c r="Q39" s="6" t="n">
        <v>1</v>
      </c>
      <c r="R39">
        <f>M39+IF(N39&gt;1,N(O39)*(N39-1),0)</f>
        <v/>
      </c>
      <c r="S39">
        <f>IFERROR(L39*MAX(N39,1)/R39*Q39*IF(ISBLANK(K37),1,K37),0)</f>
        <v/>
      </c>
      <c r="AB39" s="7" t="inlineStr">
        <is>
          <t>^MediumFlameWeapon, ^MediumCannon</t>
        </is>
      </c>
    </row>
    <row r="40">
      <c r="A40" t="inlineStr">
        <is>
          <t>redalert</t>
        </is>
      </c>
      <c r="B40" t="inlineStr">
        <is>
          <t>ra1_soviets_kotinnucleartank</t>
        </is>
      </c>
      <c r="C40" t="inlineStr">
        <is>
          <t>Kotin Nuclear Tank</t>
        </is>
      </c>
      <c r="D40" s="6" t="inlineStr">
        <is>
          <t>MainBattleTank</t>
        </is>
      </c>
      <c r="E40" s="6" t="n">
        <v>240000</v>
      </c>
      <c r="F40" s="6" t="n">
        <v>65</v>
      </c>
      <c r="G40" t="inlineStr">
        <is>
          <t>Heavy</t>
        </is>
      </c>
      <c r="H40" s="6" t="n">
        <v>1</v>
      </c>
      <c r="I40" s="6" t="n">
        <v>1</v>
      </c>
      <c r="J40" s="6" t="n">
        <v>1.25</v>
      </c>
      <c r="K40" s="6" t="n"/>
      <c r="P40">
        <f>MAX(P41,P42)</f>
        <v/>
      </c>
      <c r="S40">
        <f>S41+S42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800*(T40/800+U40/800+V40/800)/3</f>
        <v/>
      </c>
      <c r="X40" s="6" t="n">
        <v>1800</v>
      </c>
      <c r="Y40">
        <f>IFERROR(W40-X40,"")</f>
        <v/>
      </c>
      <c r="Z40">
        <f>IFERROR(ABS(Y40)/MAX(X40,1),"")</f>
        <v/>
      </c>
      <c r="AA40">
        <f>IFERROR((X40-(((E40/100000+F40/100+S40/200)*200*I40*H40)+((E40*F40/25000)*I40*H40))/3)/(((J40/5)*200*I40*H40)+((J40*S40/2.5)*I40*H40)+((E40*F40*J40*S40*I40*H40)/12500000))/3*1000,"")</f>
        <v/>
      </c>
    </row>
    <row r="41">
      <c r="B41" s="7" t="inlineStr">
        <is>
          <t xml:space="preserve">  ↳ KotinCannon</t>
        </is>
      </c>
      <c r="C41" s="7" t="inlineStr">
        <is>
          <t>Armament</t>
        </is>
      </c>
      <c r="L41" s="6" t="n">
        <v>6000</v>
      </c>
      <c r="M41" s="6" t="n">
        <v>96</v>
      </c>
      <c r="N41" s="6" t="n">
        <v>2</v>
      </c>
      <c r="O41" s="6" t="n">
        <v>4</v>
      </c>
      <c r="P41" s="6" t="n">
        <v>6427</v>
      </c>
      <c r="Q41" s="6" t="n">
        <v>1.125</v>
      </c>
      <c r="R41">
        <f>M41+IF(N41&gt;1,N(O41)*(N41-1),0)</f>
        <v/>
      </c>
      <c r="S41">
        <f>IFERROR(L41*MAX(N41,1)/R41*Q41*IF(ISBLANK(K40),1,K40),0)</f>
        <v/>
      </c>
      <c r="AB41" s="7" t="inlineStr">
        <is>
          <t>^HeavyCannon, ^MediumCannon</t>
        </is>
      </c>
    </row>
    <row r="42">
      <c r="B42" s="7" t="inlineStr">
        <is>
          <t xml:space="preserve">  ↳ KotinCannonThermobaric</t>
        </is>
      </c>
      <c r="C42" s="7" t="inlineStr">
        <is>
          <t>Armament@Upgrade</t>
        </is>
      </c>
      <c r="L42" s="6" t="n">
        <v>4000</v>
      </c>
      <c r="M42" s="6" t="n">
        <v>96</v>
      </c>
      <c r="N42" s="6" t="n">
        <v>2</v>
      </c>
      <c r="O42" s="6" t="n">
        <v>4</v>
      </c>
      <c r="P42" s="6" t="n">
        <v>6427</v>
      </c>
      <c r="Q42" s="6" t="n">
        <v>1.125</v>
      </c>
      <c r="R42">
        <f>M42+IF(N42&gt;1,N(O42)*(N42-1),0)</f>
        <v/>
      </c>
      <c r="S42">
        <f>IFERROR(L42*MAX(N42,1)/R42*Q42*IF(ISBLANK(K40),1,K40),0)</f>
        <v/>
      </c>
      <c r="AB42" s="7" t="inlineStr">
        <is>
          <t>^HeavyBomb, ^MediumFlameWeapon, ^HeavyCannon, ^MediumCannon</t>
        </is>
      </c>
    </row>
    <row r="43">
      <c r="A43" t="inlineStr">
        <is>
          <t>redalert</t>
        </is>
      </c>
      <c r="B43" t="inlineStr">
        <is>
          <t>ra1_allies_alliedlighttank</t>
        </is>
      </c>
      <c r="C43" t="inlineStr">
        <is>
          <t>Allied Light Tank</t>
        </is>
      </c>
      <c r="D43" s="6" t="inlineStr">
        <is>
          <t>MainBattleTank</t>
        </is>
      </c>
      <c r="E43" s="6" t="n">
        <v>50000</v>
      </c>
      <c r="F43" s="6" t="n">
        <v>120</v>
      </c>
      <c r="G43" t="inlineStr">
        <is>
          <t>Medium</t>
        </is>
      </c>
      <c r="H43" s="6" t="n">
        <v>1</v>
      </c>
      <c r="I43" s="6" t="n">
        <v>1</v>
      </c>
      <c r="J43" s="6" t="n">
        <v>1</v>
      </c>
      <c r="K43" s="6" t="n">
        <v>0.5</v>
      </c>
      <c r="P43">
        <f>MAX(P44)</f>
        <v/>
      </c>
      <c r="S43">
        <f>S44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800*(T43/800+U43/800+V43/800)/3</f>
        <v/>
      </c>
      <c r="X43" s="6" t="n">
        <v>500</v>
      </c>
      <c r="Y43">
        <f>IFERROR(W43-X43,"")</f>
        <v/>
      </c>
      <c r="Z43">
        <f>IFERROR(ABS(Y43)/MAX(X43,1),"")</f>
        <v/>
      </c>
      <c r="AA43">
        <f>IFERROR((X43-(((E43/100000+F43/100+S43/200)*200*I43*H43)+((E43*F43/25000)*I43*H43))/3)/(((J43/5)*200*I43*H43)+((J43*S43/2.5)*I43*H43)+((E43*F43*J43*S43*I43*H43)/12500000))/3*1000,"")</f>
        <v/>
      </c>
    </row>
    <row r="44">
      <c r="B44" s="7" t="inlineStr">
        <is>
          <t xml:space="preserve">  ↳ 25mm</t>
        </is>
      </c>
      <c r="C44" s="7" t="inlineStr">
        <is>
          <t>Armament</t>
        </is>
      </c>
      <c r="L44" s="6" t="n">
        <v>2000</v>
      </c>
      <c r="M44" s="6" t="n">
        <v>37</v>
      </c>
      <c r="N44" s="6" t="n">
        <v>1</v>
      </c>
      <c r="O44" s="6" t="n"/>
      <c r="P44" s="6" t="n">
        <v>4720</v>
      </c>
      <c r="Q44" s="6" t="n">
        <v>0.95</v>
      </c>
      <c r="R44">
        <f>M44+IF(N44&gt;1,N(O44)*(N44-1),0)</f>
        <v/>
      </c>
      <c r="S44">
        <f>IFERROR(L44*MAX(N44,1)/R44*Q44*IF(ISBLANK(K43),1,K43),0)</f>
        <v/>
      </c>
      <c r="AB44" s="7" t="inlineStr">
        <is>
          <t>^Grenade, ^ShrapnelWeapon, ^LightFlameWeapon, ^MediumChemicalWeapon, ^TankDestroyerCannon, ^MediumCannon</t>
        </is>
      </c>
    </row>
    <row r="45">
      <c r="A45" t="inlineStr">
        <is>
          <t>redalert</t>
        </is>
      </c>
      <c r="B45" t="inlineStr">
        <is>
          <t>ra1_allies_alliedmediumtank</t>
        </is>
      </c>
      <c r="C45" t="inlineStr">
        <is>
          <t>Allied Medium Tank</t>
        </is>
      </c>
      <c r="D45" s="6" t="inlineStr">
        <is>
          <t>MainBattleTank</t>
        </is>
      </c>
      <c r="E45" s="6" t="n">
        <v>90000</v>
      </c>
      <c r="F45" s="6" t="n">
        <v>100</v>
      </c>
      <c r="G45" t="inlineStr">
        <is>
          <t>Medium</t>
        </is>
      </c>
      <c r="H45" s="6" t="n">
        <v>1</v>
      </c>
      <c r="I45" s="6" t="n">
        <v>1</v>
      </c>
      <c r="J45" s="6" t="n">
        <v>1</v>
      </c>
      <c r="K45" s="6" t="n"/>
      <c r="P45">
        <f>MAX(P46)</f>
        <v/>
      </c>
      <c r="S45">
        <f>S46</f>
        <v/>
      </c>
      <c r="T45">
        <f>(E45/100000+F45/100+(P45/1000)*J45/5+S45/200)*200*I45*H45</f>
        <v/>
      </c>
      <c r="U45">
        <f>((E45*F45/25000)+((P45/1000)*J45*S45/2.5))*I45*H45</f>
        <v/>
      </c>
      <c r="V45">
        <f>(E45*F45*(P45/1000)*J45*S45*I45*H45)/12500000</f>
        <v/>
      </c>
      <c r="W45">
        <f>800*(T45/800+U45/800+V45/800)/3</f>
        <v/>
      </c>
      <c r="X45" s="6" t="n">
        <v>700</v>
      </c>
      <c r="Y45">
        <f>IFERROR(W45-X45,"")</f>
        <v/>
      </c>
      <c r="Z45">
        <f>IFERROR(ABS(Y45)/MAX(X45,1),"")</f>
        <v/>
      </c>
      <c r="AA45">
        <f>IFERROR((X45-(((E45/100000+F45/100+S45/200)*200*I45*H45)+((E45*F45/25000)*I45*H45))/3)/(((J45/5)*200*I45*H45)+((J45*S45/2.5)*I45*H45)+((E45*F45*J45*S45*I45*H45)/12500000))/3*1000,"")</f>
        <v/>
      </c>
    </row>
    <row r="46">
      <c r="B46" s="7" t="inlineStr">
        <is>
          <t xml:space="preserve">  ↳ 90mm</t>
        </is>
      </c>
      <c r="C46" s="7" t="inlineStr">
        <is>
          <t>Armament</t>
        </is>
      </c>
      <c r="L46" s="6" t="n">
        <v>8000</v>
      </c>
      <c r="M46" s="6" t="n">
        <v>47</v>
      </c>
      <c r="N46" s="6" t="n">
        <v>1</v>
      </c>
      <c r="O46" s="6" t="n"/>
      <c r="P46" s="6" t="n">
        <v>5159</v>
      </c>
      <c r="Q46" s="6" t="n">
        <v>1</v>
      </c>
      <c r="R46">
        <f>M46+IF(N46&gt;1,N(O46)*(N46-1),0)</f>
        <v/>
      </c>
      <c r="S46">
        <f>IFERROR(L46*MAX(N46,1)/R46*Q46*IF(ISBLANK(K45),1,K45),0)</f>
        <v/>
      </c>
      <c r="AB46" s="7" t="inlineStr">
        <is>
          <t>^MediumCannon</t>
        </is>
      </c>
    </row>
    <row r="47">
      <c r="A47" t="inlineStr">
        <is>
          <t>redalert</t>
        </is>
      </c>
      <c r="B47" t="inlineStr">
        <is>
          <t>ra1_allies_alliedtigerheavytank</t>
        </is>
      </c>
      <c r="C47" t="inlineStr">
        <is>
          <t>Allied Tiger Heavy Tank</t>
        </is>
      </c>
      <c r="D47" s="6" t="inlineStr">
        <is>
          <t>MainBattleTank</t>
        </is>
      </c>
      <c r="E47" s="6" t="n">
        <v>160000</v>
      </c>
      <c r="F47" s="6" t="n">
        <v>75</v>
      </c>
      <c r="G47" t="inlineStr">
        <is>
          <t>Heavy</t>
        </is>
      </c>
      <c r="H47" s="6" t="n">
        <v>1</v>
      </c>
      <c r="I47" s="6" t="n">
        <v>1</v>
      </c>
      <c r="J47" s="6" t="n">
        <v>1</v>
      </c>
      <c r="K47" s="6" t="n"/>
      <c r="P47">
        <f>MAX(P48)</f>
        <v/>
      </c>
      <c r="S47">
        <f>S48</f>
        <v/>
      </c>
      <c r="T47">
        <f>(E47/100000+F47/100+(P47/1000)*J47/5+S47/200)*200*I47*H47</f>
        <v/>
      </c>
      <c r="U47">
        <f>((E47*F47/25000)+((P47/1000)*J47*S47/2.5))*I47*H47</f>
        <v/>
      </c>
      <c r="V47">
        <f>(E47*F47*(P47/1000)*J47*S47*I47*H47)/12500000</f>
        <v/>
      </c>
      <c r="W47">
        <f>800*(T47/800+U47/800+V47/800)/3</f>
        <v/>
      </c>
      <c r="X47" s="6" t="n">
        <v>1300</v>
      </c>
      <c r="Y47">
        <f>IFERROR(W47-X47,"")</f>
        <v/>
      </c>
      <c r="Z47">
        <f>IFERROR(ABS(Y47)/MAX(X47,1),"")</f>
        <v/>
      </c>
      <c r="AA47">
        <f>IFERROR((X47-(((E47/100000+F47/100+S47/200)*200*I47*H47)+((E47*F47/25000)*I47*H47))/3)/(((J47/5)*200*I47*H47)+((J47*S47/2.5)*I47*H47)+((E47*F47*J47*S47*I47*H47)/12500000))/3*1000,"")</f>
        <v/>
      </c>
    </row>
    <row r="48">
      <c r="B48" s="7" t="inlineStr">
        <is>
          <t xml:space="preserve">  ↳ TigerCannon</t>
        </is>
      </c>
      <c r="C48" s="7" t="inlineStr">
        <is>
          <t>Armament</t>
        </is>
      </c>
      <c r="L48" s="6" t="n">
        <v>8000</v>
      </c>
      <c r="M48" s="6" t="n">
        <v>60</v>
      </c>
      <c r="N48" s="6" t="n">
        <v>1</v>
      </c>
      <c r="O48" s="6" t="n"/>
      <c r="P48" s="6" t="n">
        <v>5915</v>
      </c>
      <c r="Q48" s="6" t="n">
        <v>1.125</v>
      </c>
      <c r="R48">
        <f>M48+IF(N48&gt;1,N(O48)*(N48-1),0)</f>
        <v/>
      </c>
      <c r="S48">
        <f>IFERROR(L48*MAX(N48,1)/R48*Q48*IF(ISBLANK(K47),1,K47),0)</f>
        <v/>
      </c>
      <c r="AB48" s="7" t="inlineStr">
        <is>
          <t>^HeavyCannon, ^MediumCannon</t>
        </is>
      </c>
    </row>
    <row r="49">
      <c r="A49" t="inlineStr">
        <is>
          <t>redalert</t>
        </is>
      </c>
      <c r="B49" t="inlineStr">
        <is>
          <t>ra1_allies_sheridanassaulttank</t>
        </is>
      </c>
      <c r="C49" t="inlineStr">
        <is>
          <t>Sheridan Assault Tank</t>
        </is>
      </c>
      <c r="D49" s="6" t="inlineStr">
        <is>
          <t>MainBattleTank</t>
        </is>
      </c>
      <c r="E49" s="6" t="n">
        <v>85000</v>
      </c>
      <c r="F49" s="6" t="n">
        <v>85</v>
      </c>
      <c r="G49" t="inlineStr">
        <is>
          <t>Medium</t>
        </is>
      </c>
      <c r="H49" s="6" t="n">
        <v>1</v>
      </c>
      <c r="I49" s="6" t="n">
        <v>1</v>
      </c>
      <c r="J49" s="6" t="n">
        <v>1</v>
      </c>
      <c r="K49" s="6" t="n">
        <v>0.25</v>
      </c>
      <c r="P49">
        <f>MAX(P50,P51,P52,P53)</f>
        <v/>
      </c>
      <c r="S49">
        <f>S50+S51+S52+S53</f>
        <v/>
      </c>
      <c r="T49">
        <f>(E49/100000+F49/100+(P49/1000)*J49/5+S49/200)*200*I49*H49</f>
        <v/>
      </c>
      <c r="U49">
        <f>((E49*F49/25000)+((P49/1000)*J49*S49/2.5))*I49*H49</f>
        <v/>
      </c>
      <c r="V49">
        <f>(E49*F49*(P49/1000)*J49*S49*I49*H49)/12500000</f>
        <v/>
      </c>
      <c r="W49">
        <f>800*(T49/800+U49/800+V49/800)/3</f>
        <v/>
      </c>
      <c r="X49" s="6" t="n">
        <v>600</v>
      </c>
      <c r="Y49">
        <f>IFERROR(W49-X49,"")</f>
        <v/>
      </c>
      <c r="Z49">
        <f>IFERROR(ABS(Y49)/MAX(X49,1),"")</f>
        <v/>
      </c>
      <c r="AA49">
        <f>IFERROR((X49-(((E49/100000+F49/100+S49/200)*200*I49*H49)+((E49*F49/25000)*I49*H49))/3)/(((J49/5)*200*I49*H49)+((J49*S49/2.5)*I49*H49)+((E49*F49*J49*S49*I49*H49)/12500000))/3*1000,"")</f>
        <v/>
      </c>
    </row>
    <row r="50">
      <c r="B50" s="7" t="inlineStr">
        <is>
          <t xml:space="preserve">  ↳ SheridanCannon</t>
        </is>
      </c>
      <c r="C50" s="7" t="inlineStr">
        <is>
          <t>Armament</t>
        </is>
      </c>
      <c r="L50" s="6" t="n">
        <v>8000</v>
      </c>
      <c r="M50" s="6" t="n">
        <v>64</v>
      </c>
      <c r="N50" s="6" t="n">
        <v>1</v>
      </c>
      <c r="O50" s="6" t="n"/>
      <c r="P50" s="6" t="n">
        <v>5023</v>
      </c>
      <c r="Q50" s="6" t="n">
        <v>1</v>
      </c>
      <c r="R50">
        <f>M50+IF(N50&gt;1,N(O50)*(N50-1),0)</f>
        <v/>
      </c>
      <c r="S50">
        <f>IFERROR(L50*MAX(N50,1)/R50*Q50*IF(ISBLANK(K49),1,K49),0)</f>
        <v/>
      </c>
      <c r="AB50" s="7" t="inlineStr">
        <is>
          <t>^TankDestroyerCannon, ^MediumCannon</t>
        </is>
      </c>
    </row>
    <row r="51">
      <c r="B51" s="7" t="inlineStr">
        <is>
          <t xml:space="preserve">  ↳ SheridanMissiles</t>
        </is>
      </c>
      <c r="C51" s="7" t="inlineStr">
        <is>
          <t>Armament@Missile</t>
        </is>
      </c>
      <c r="L51" s="6" t="n">
        <v>8000</v>
      </c>
      <c r="M51" s="6" t="n">
        <v>64</v>
      </c>
      <c r="N51" s="6" t="n">
        <v>1</v>
      </c>
      <c r="O51" s="6" t="n"/>
      <c r="P51" s="6" t="n">
        <v>5023</v>
      </c>
      <c r="Q51" s="6" t="n">
        <v>0.875</v>
      </c>
      <c r="R51">
        <f>M51+IF(N51&gt;1,N(O51)*(N51-1),0)</f>
        <v/>
      </c>
      <c r="S51">
        <f>IFERROR(L51*MAX(N51,1)/R51*Q51*IF(ISBLANK(K49),1,K49),0)</f>
        <v/>
      </c>
      <c r="AB51" s="7" t="inlineStr">
        <is>
          <t>^MediumMissile, ^LightMissile</t>
        </is>
      </c>
    </row>
    <row r="52">
      <c r="B52" s="7" t="inlineStr">
        <is>
          <t xml:space="preserve">  ↳ SheridanMissilesCryo</t>
        </is>
      </c>
      <c r="C52" s="7" t="inlineStr">
        <is>
          <t>Armament@Upgrade</t>
        </is>
      </c>
      <c r="L52" s="6" t="n">
        <v>8000</v>
      </c>
      <c r="M52" s="6" t="n">
        <v>64</v>
      </c>
      <c r="N52" s="6" t="n">
        <v>1</v>
      </c>
      <c r="O52" s="6" t="n"/>
      <c r="P52" s="6" t="n">
        <v>5023</v>
      </c>
      <c r="Q52" s="6" t="n">
        <v>0.875</v>
      </c>
      <c r="R52">
        <f>M52+IF(N52&gt;1,N(O52)*(N52-1),0)</f>
        <v/>
      </c>
      <c r="S52">
        <f>IFERROR(L52*MAX(N52,1)/R52*Q52*IF(ISBLANK(K49),1,K49),0)</f>
        <v/>
      </c>
      <c r="AB52" s="7" t="inlineStr">
        <is>
          <t>^MediumMissile, ^LightMissile, ^CryoMissileProjectile</t>
        </is>
      </c>
    </row>
    <row r="53">
      <c r="B53" s="7" t="inlineStr">
        <is>
          <t xml:space="preserve">  ↳ SheridanVulcan</t>
        </is>
      </c>
      <c r="C53" s="7" t="inlineStr">
        <is>
          <t>Armament@MG</t>
        </is>
      </c>
      <c r="L53" s="6" t="n">
        <v>2000</v>
      </c>
      <c r="M53" s="6" t="n">
        <v>58</v>
      </c>
      <c r="N53" s="6" t="n">
        <v>4</v>
      </c>
      <c r="O53" s="6" t="n">
        <v>2</v>
      </c>
      <c r="P53" s="6" t="n">
        <v>5023</v>
      </c>
      <c r="Q53" s="6" t="n">
        <v>0.875</v>
      </c>
      <c r="R53">
        <f>M53+IF(N53&gt;1,N(O53)*(N53-1),0)</f>
        <v/>
      </c>
      <c r="S53">
        <f>IFERROR(L53*MAX(N53,1)/R53*Q53*IF(ISBLANK(K49),1,K49),0)</f>
        <v/>
      </c>
      <c r="AB53" s="7" t="inlineStr">
        <is>
          <t>^SmallArms, ^Chaingun</t>
        </is>
      </c>
    </row>
    <row r="54">
      <c r="A54" t="inlineStr">
        <is>
          <t>tiberiansun</t>
        </is>
      </c>
      <c r="B54" t="inlineStr">
        <is>
          <t>cabal_tarantula</t>
        </is>
      </c>
      <c r="C54" t="inlineStr">
        <is>
          <t>Tarantula</t>
        </is>
      </c>
      <c r="D54" s="6" t="inlineStr">
        <is>
          <t>MainBattleTank</t>
        </is>
      </c>
      <c r="E54" s="6" t="n">
        <v>110000</v>
      </c>
      <c r="F54" s="6" t="n">
        <v>70</v>
      </c>
      <c r="G54" t="inlineStr">
        <is>
          <t>Heavy</t>
        </is>
      </c>
      <c r="H54" s="6" t="n">
        <v>1</v>
      </c>
      <c r="I54" s="6" t="n">
        <v>1</v>
      </c>
      <c r="J54" s="6" t="n">
        <v>1</v>
      </c>
      <c r="K54" s="6" t="n"/>
      <c r="P54">
        <f>MAX(P55,P56)</f>
        <v/>
      </c>
      <c r="S54">
        <f>S55+S56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800*(T54/800+U54/800+V54/800)/3</f>
        <v/>
      </c>
      <c r="X54" s="6" t="n">
        <v>1000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CabalTarantulaCannon</t>
        </is>
      </c>
      <c r="C55" s="7" t="inlineStr">
        <is>
          <t>Armament@PRIMARY</t>
        </is>
      </c>
      <c r="L55" s="6" t="n">
        <v>16000</v>
      </c>
      <c r="M55" s="6" t="n">
        <v>48</v>
      </c>
      <c r="N55" s="6" t="n">
        <v>1</v>
      </c>
      <c r="O55" s="6" t="n"/>
      <c r="P55" s="6" t="n">
        <v>5278</v>
      </c>
      <c r="Q55" s="6" t="n">
        <v>1</v>
      </c>
      <c r="R55">
        <f>M55+IF(N55&gt;1,N(O55)*(N55-1),0)</f>
        <v/>
      </c>
      <c r="S55">
        <f>IFERROR(L55*MAX(N55,1)/R55*Q55*IF(ISBLANK(K54),1,K54),0)</f>
        <v/>
      </c>
      <c r="AB55" s="7" t="inlineStr">
        <is>
          <t>^MediumCannon</t>
        </is>
      </c>
    </row>
    <row r="56">
      <c r="B56" s="7" t="inlineStr">
        <is>
          <t xml:space="preserve">  ↳ TS120mm_bluenuke</t>
        </is>
      </c>
      <c r="C56" s="7" t="inlineStr">
        <is>
          <t>Armament@Upgraded</t>
        </is>
      </c>
      <c r="L56" s="6" t="n">
        <v>24000</v>
      </c>
      <c r="M56" s="6" t="n">
        <v>44</v>
      </c>
      <c r="N56" s="6" t="n">
        <v>1</v>
      </c>
      <c r="O56" s="6" t="n"/>
      <c r="P56" s="6" t="n">
        <v>6201</v>
      </c>
      <c r="Q56" s="6" t="n">
        <v>1</v>
      </c>
      <c r="R56">
        <f>M56+IF(N56&gt;1,N(O56)*(N56-1),0)</f>
        <v/>
      </c>
      <c r="S56">
        <f>IFERROR(L56*MAX(N56,1)/R56*Q56*IF(ISBLANK(K54),1,K54),0)</f>
        <v/>
      </c>
      <c r="AB56" s="7" t="inlineStr">
        <is>
          <t>^TSCannonEffect, ^MediumCannon</t>
        </is>
      </c>
    </row>
    <row r="57">
      <c r="A57" t="inlineStr">
        <is>
          <t>tiberiansun</t>
        </is>
      </c>
      <c r="B57" t="inlineStr">
        <is>
          <t>cabal_widow</t>
        </is>
      </c>
      <c r="C57" t="inlineStr">
        <is>
          <t>Widow</t>
        </is>
      </c>
      <c r="D57" s="6" t="inlineStr">
        <is>
          <t>MainBattleTank</t>
        </is>
      </c>
      <c r="E57" s="6" t="n">
        <v>120000</v>
      </c>
      <c r="F57" s="6" t="n">
        <v>60</v>
      </c>
      <c r="G57" t="inlineStr">
        <is>
          <t>Medium</t>
        </is>
      </c>
      <c r="H57" s="6" t="n">
        <v>1</v>
      </c>
      <c r="I57" s="6" t="n">
        <v>1</v>
      </c>
      <c r="J57" s="6" t="n">
        <v>1</v>
      </c>
      <c r="K57" s="6" t="n"/>
      <c r="P57">
        <f>MAX(P58)</f>
        <v/>
      </c>
      <c r="S57">
        <f>S58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800*(T57/800+U57/800+V57/800)/3</f>
        <v/>
      </c>
      <c r="X57" s="6" t="n">
        <v>3500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CabalLegionGun</t>
        </is>
      </c>
      <c r="C58" s="7" t="inlineStr">
        <is>
          <t>Armament@PRIMARY</t>
        </is>
      </c>
      <c r="L58" s="6" t="n">
        <v>60000</v>
      </c>
      <c r="M58" s="6" t="n">
        <v>40</v>
      </c>
      <c r="N58" s="6" t="n">
        <v>1</v>
      </c>
      <c r="O58" s="6" t="n"/>
      <c r="P58" s="6" t="n">
        <v>6813</v>
      </c>
      <c r="Q58" s="6" t="n">
        <v>0.875</v>
      </c>
      <c r="R58">
        <f>M58+IF(N58&gt;1,N(O58)*(N58-1),0)</f>
        <v/>
      </c>
      <c r="S58">
        <f>IFERROR(L58*MAX(N58,1)/R58*Q58*IF(ISBLANK(K57),1,K57),0)</f>
        <v/>
      </c>
      <c r="AB58" s="7" t="inlineStr">
        <is>
          <t>^SmallArms, ^LaserWeapon</t>
        </is>
      </c>
    </row>
    <row r="59">
      <c r="A59" t="inlineStr">
        <is>
          <t>tiberiansun</t>
        </is>
      </c>
      <c r="B59" t="inlineStr">
        <is>
          <t>ts_nod_ticktank</t>
        </is>
      </c>
      <c r="C59" t="inlineStr">
        <is>
          <t>Tick Tank</t>
        </is>
      </c>
      <c r="D59" s="6" t="inlineStr">
        <is>
          <t>MainBattleTank</t>
        </is>
      </c>
      <c r="E59" s="6" t="n">
        <v>100000</v>
      </c>
      <c r="F59" s="6" t="n">
        <v>90</v>
      </c>
      <c r="G59" t="inlineStr">
        <is>
          <t>Heavy</t>
        </is>
      </c>
      <c r="H59" s="6" t="n">
        <v>1</v>
      </c>
      <c r="I59" s="6" t="n">
        <v>1</v>
      </c>
      <c r="J59" s="6" t="n">
        <v>1</v>
      </c>
      <c r="K59" s="6" t="n"/>
      <c r="P59">
        <f>MAX(P60,P61,P62,P63,P64,P65)</f>
        <v/>
      </c>
      <c r="S59">
        <f>S60+S61+S62+S63+S64+S65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800*(T59/800+U59/800+V59/800)/3</f>
        <v/>
      </c>
      <c r="X59" s="6" t="n">
        <v>800</v>
      </c>
      <c r="Y59">
        <f>IFERROR(W59-X59,"")</f>
        <v/>
      </c>
      <c r="Z59">
        <f>IFERROR(ABS(Y59)/MAX(X59,1),"")</f>
        <v/>
      </c>
      <c r="AA59">
        <f>IFERROR((X59-(((E59/100000+F59/100+S59/200)*200*I59*H59)+((E59*F59/25000)*I59*H59))/3)/(((J59/5)*200*I59*H59)+((J59*S59/2.5)*I59*H59)+((E59*F59*J59*S59*I59*H59)/12500000))/3*1000,"")</f>
        <v/>
      </c>
    </row>
    <row r="60">
      <c r="B60" s="7" t="inlineStr">
        <is>
          <t xml:space="preserve">  ↳ TS90mm</t>
        </is>
      </c>
      <c r="C60" s="7" t="inlineStr">
        <is>
          <t>Armament@PRIMARY</t>
        </is>
      </c>
      <c r="L60" s="6" t="n">
        <v>6000</v>
      </c>
      <c r="M60" s="6" t="n">
        <v>26</v>
      </c>
      <c r="N60" s="6" t="n">
        <v>1</v>
      </c>
      <c r="O60" s="6" t="n"/>
      <c r="P60" s="6" t="n">
        <v>5319</v>
      </c>
      <c r="Q60" s="6" t="n">
        <v>1</v>
      </c>
      <c r="R60">
        <f>M60+IF(N60&gt;1,N(O60)*(N60-1),0)</f>
        <v/>
      </c>
      <c r="S60">
        <f>IFERROR(L60*MAX(N60,1)/R60*Q60*IF(ISBLANK(K59),1,K59),0)</f>
        <v/>
      </c>
      <c r="AB60" s="7" t="inlineStr">
        <is>
          <t>^TSCannonEffect, ^MediumCannon</t>
        </is>
      </c>
    </row>
    <row r="61">
      <c r="B61" s="7" t="inlineStr">
        <is>
          <t xml:space="preserve">  ↳ TSLaser90mm</t>
        </is>
      </c>
      <c r="C61" s="7" t="inlineStr">
        <is>
          <t>Armament@UPGRADE</t>
        </is>
      </c>
      <c r="L61" s="6" t="n">
        <v>6000</v>
      </c>
      <c r="M61" s="6" t="n">
        <v>32</v>
      </c>
      <c r="N61" s="6" t="n">
        <v>1</v>
      </c>
      <c r="O61" s="6" t="n"/>
      <c r="P61" s="6" t="n">
        <v>5423</v>
      </c>
      <c r="Q61" s="6" t="n">
        <v>1</v>
      </c>
      <c r="R61">
        <f>M61+IF(N61&gt;1,N(O61)*(N61-1),0)</f>
        <v/>
      </c>
      <c r="S61">
        <f>IFERROR(L61*MAX(N61,1)/R61*Q61*IF(ISBLANK(K59),1,K59),0)</f>
        <v/>
      </c>
      <c r="AB61" s="7" t="inlineStr">
        <is>
          <t>^MediumCannon, ^LaserWeapon, ^TSLaserEffect</t>
        </is>
      </c>
    </row>
    <row r="62">
      <c r="B62" s="7" t="inlineStr">
        <is>
          <t xml:space="preserve">  ↳ TS90mmDep</t>
        </is>
      </c>
      <c r="C62" s="7" t="inlineStr">
        <is>
          <t>Armament@deployed</t>
        </is>
      </c>
      <c r="L62" s="6" t="n">
        <v>6000</v>
      </c>
      <c r="M62" s="6" t="n">
        <v>22</v>
      </c>
      <c r="N62" s="6" t="n">
        <v>1</v>
      </c>
      <c r="O62" s="6" t="n"/>
      <c r="P62" s="6" t="n">
        <v>6679</v>
      </c>
      <c r="Q62" s="6" t="n">
        <v>1</v>
      </c>
      <c r="R62">
        <f>M62+IF(N62&gt;1,N(O62)*(N62-1),0)</f>
        <v/>
      </c>
      <c r="S62">
        <f>IFERROR(L62*MAX(N62,1)/R62*Q62*IF(ISBLANK(K59),1,K59),0)</f>
        <v/>
      </c>
      <c r="AB62" s="7" t="inlineStr">
        <is>
          <t>^TSCannonEffect, ^MediumCannon</t>
        </is>
      </c>
    </row>
    <row r="63">
      <c r="B63" s="7" t="inlineStr">
        <is>
          <t xml:space="preserve">  ↳ TSLaser90mmDep</t>
        </is>
      </c>
      <c r="C63" s="7" t="inlineStr">
        <is>
          <t>Armament@UPGRADEdeployed</t>
        </is>
      </c>
      <c r="L63" s="6" t="n">
        <v>6000</v>
      </c>
      <c r="M63" s="6" t="n">
        <v>26</v>
      </c>
      <c r="N63" s="6" t="n">
        <v>1</v>
      </c>
      <c r="O63" s="6" t="n"/>
      <c r="P63" s="6" t="n">
        <v>6754</v>
      </c>
      <c r="Q63" s="6" t="n">
        <v>1</v>
      </c>
      <c r="R63">
        <f>M63+IF(N63&gt;1,N(O63)*(N63-1),0)</f>
        <v/>
      </c>
      <c r="S63">
        <f>IFERROR(L63*MAX(N63,1)/R63*Q63*IF(ISBLANK(K59),1,K59),0)</f>
        <v/>
      </c>
      <c r="AB63" s="7" t="inlineStr">
        <is>
          <t>^MediumCannon, ^LaserWeapon, ^TSLaserEffect</t>
        </is>
      </c>
    </row>
    <row r="64">
      <c r="B64" s="7" t="inlineStr">
        <is>
          <t xml:space="preserve">  ↳ TS25mmDep</t>
        </is>
      </c>
      <c r="C64" s="7" t="inlineStr">
        <is>
          <t>Armament@SECONDARY</t>
        </is>
      </c>
      <c r="L64" s="6" t="n">
        <v>2000</v>
      </c>
      <c r="M64" s="6" t="n">
        <v>8</v>
      </c>
      <c r="N64" s="6" t="n">
        <v>1</v>
      </c>
      <c r="O64" s="6" t="n"/>
      <c r="P64" s="6" t="n">
        <v>6679</v>
      </c>
      <c r="Q64" s="6" t="n">
        <v>1</v>
      </c>
      <c r="R64">
        <f>M64+IF(N64&gt;1,N(O64)*(N64-1),0)</f>
        <v/>
      </c>
      <c r="S64">
        <f>IFERROR(L64*MAX(N64,1)/R64*Q64*IF(ISBLANK(K59),1,K59),0)</f>
        <v/>
      </c>
      <c r="AB64" s="7" t="inlineStr">
        <is>
          <t>^FlakWeapon</t>
        </is>
      </c>
    </row>
    <row r="65">
      <c r="B65" s="7" t="inlineStr">
        <is>
          <t xml:space="preserve">  ↳ TSLaser25mmDep</t>
        </is>
      </c>
      <c r="C65" s="7" t="inlineStr">
        <is>
          <t>Armament@UPGRADESECONDARY</t>
        </is>
      </c>
      <c r="L65" s="6" t="n">
        <v>2000</v>
      </c>
      <c r="M65" s="6" t="n">
        <v>8</v>
      </c>
      <c r="N65" s="6" t="n">
        <v>1</v>
      </c>
      <c r="O65" s="6" t="n"/>
      <c r="P65" s="6" t="n">
        <v>6679</v>
      </c>
      <c r="Q65" s="6" t="n">
        <v>1</v>
      </c>
      <c r="R65">
        <f>M65+IF(N65&gt;1,N(O65)*(N65-1),0)</f>
        <v/>
      </c>
      <c r="S65">
        <f>IFERROR(L65*MAX(N65,1)/R65*Q65*IF(ISBLANK(K59),1,K59),0)</f>
        <v/>
      </c>
      <c r="AB65" s="7" t="inlineStr">
        <is>
          <t>^FlakWeapon, ^LaserWeapon, ^TSLaserEffect</t>
        </is>
      </c>
    </row>
    <row r="66">
      <c r="A66" t="inlineStr">
        <is>
          <t>tiberiansun</t>
        </is>
      </c>
      <c r="B66" t="inlineStr">
        <is>
          <t>ts_gdi_titan</t>
        </is>
      </c>
      <c r="C66" t="inlineStr">
        <is>
          <t>Titan</t>
        </is>
      </c>
      <c r="D66" s="6" t="inlineStr">
        <is>
          <t>MainBattleTank</t>
        </is>
      </c>
      <c r="E66" s="6" t="n">
        <v>100000</v>
      </c>
      <c r="F66" s="6" t="n">
        <v>75</v>
      </c>
      <c r="G66" t="inlineStr">
        <is>
          <t>Heavy</t>
        </is>
      </c>
      <c r="H66" s="6" t="n">
        <v>1</v>
      </c>
      <c r="I66" s="6" t="n">
        <v>1</v>
      </c>
      <c r="J66" s="6" t="n">
        <v>1</v>
      </c>
      <c r="K66" s="6" t="n"/>
      <c r="P66">
        <f>MAX(P67,P68)</f>
        <v/>
      </c>
      <c r="S66">
        <f>S67+S68</f>
        <v/>
      </c>
      <c r="T66">
        <f>(E66/100000+F66/100+(P66/1000)*J66/5+S66/200)*200*I66*H66</f>
        <v/>
      </c>
      <c r="U66">
        <f>((E66*F66/25000)+((P66/1000)*J66*S66/2.5))*I66*H66</f>
        <v/>
      </c>
      <c r="V66">
        <f>(E66*F66*(P66/1000)*J66*S66*I66*H66)/12500000</f>
        <v/>
      </c>
      <c r="W66">
        <f>800*(T66/800+U66/800+V66/800)/3</f>
        <v/>
      </c>
      <c r="X66" s="6" t="n">
        <v>950</v>
      </c>
      <c r="Y66">
        <f>IFERROR(W66-X66,"")</f>
        <v/>
      </c>
      <c r="Z66">
        <f>IFERROR(ABS(Y66)/MAX(X66,1),"")</f>
        <v/>
      </c>
      <c r="AA66">
        <f>IFERROR((X66-(((E66/100000+F66/100+S66/200)*200*I66*H66)+((E66*F66/25000)*I66*H66))/3)/(((J66/5)*200*I66*H66)+((J66*S66/2.5)*I66*H66)+((E66*F66*J66*S66*I66*H66)/12500000))/3*1000,"")</f>
        <v/>
      </c>
    </row>
    <row r="67">
      <c r="B67" s="7" t="inlineStr">
        <is>
          <t xml:space="preserve">  ↳ TS120mm</t>
        </is>
      </c>
      <c r="C67" s="7" t="inlineStr">
        <is>
          <t>Armament@PRIMARY</t>
        </is>
      </c>
      <c r="L67" s="6" t="n">
        <v>12000</v>
      </c>
      <c r="M67" s="6" t="n">
        <v>44</v>
      </c>
      <c r="N67" s="6" t="n">
        <v>1</v>
      </c>
      <c r="O67" s="6" t="n"/>
      <c r="P67" s="6" t="n">
        <v>6201</v>
      </c>
      <c r="Q67" s="6" t="n">
        <v>1</v>
      </c>
      <c r="R67">
        <f>M67+IF(N67&gt;1,N(O67)*(N67-1),0)</f>
        <v/>
      </c>
      <c r="S67">
        <f>IFERROR(L67*MAX(N67,1)/R67*Q67*IF(ISBLANK(K66),1,K66),0)</f>
        <v/>
      </c>
      <c r="AB67" s="7" t="inlineStr">
        <is>
          <t>^TSCannonEffect, ^MediumCannon</t>
        </is>
      </c>
    </row>
    <row r="68">
      <c r="B68" s="7" t="inlineStr">
        <is>
          <t xml:space="preserve">  ↳ TS120mmRail</t>
        </is>
      </c>
      <c r="C68" s="7" t="inlineStr">
        <is>
          <t>Armament@Upgrade</t>
        </is>
      </c>
      <c r="L68" s="6" t="n">
        <v>8000</v>
      </c>
      <c r="M68" s="6" t="n">
        <v>44</v>
      </c>
      <c r="N68" s="6" t="n">
        <v>1</v>
      </c>
      <c r="O68" s="6" t="n"/>
      <c r="P68" s="6" t="n">
        <v>6201</v>
      </c>
      <c r="Q68" s="6" t="n">
        <v>1.125</v>
      </c>
      <c r="R68">
        <f>M68+IF(N68&gt;1,N(O68)*(N68-1),0)</f>
        <v/>
      </c>
      <c r="S68">
        <f>IFERROR(L68*MAX(N68,1)/R68*Q68*IF(ISBLANK(K66),1,K66),0)</f>
        <v/>
      </c>
      <c r="AB68" s="7" t="inlineStr">
        <is>
          <t>^MediumCannon, ^RailgunWeapon</t>
        </is>
      </c>
    </row>
    <row r="69">
      <c r="A69" t="inlineStr">
        <is>
          <t>tiberiansun</t>
        </is>
      </c>
      <c r="B69" t="inlineStr">
        <is>
          <t>ts_gdi_titanmkii</t>
        </is>
      </c>
      <c r="C69" t="inlineStr">
        <is>
          <t>Titan MK II</t>
        </is>
      </c>
      <c r="D69" s="6" t="inlineStr">
        <is>
          <t>MainBattleTank</t>
        </is>
      </c>
      <c r="E69" s="6" t="n">
        <v>120000</v>
      </c>
      <c r="F69" s="6" t="n">
        <v>75</v>
      </c>
      <c r="G69" t="inlineStr">
        <is>
          <t>Heavy</t>
        </is>
      </c>
      <c r="H69" s="6" t="n">
        <v>1</v>
      </c>
      <c r="I69" s="6" t="n">
        <v>1</v>
      </c>
      <c r="J69" s="6" t="n">
        <v>1</v>
      </c>
      <c r="K69" s="6" t="n"/>
      <c r="P69">
        <f>MAX(P70,P71)</f>
        <v/>
      </c>
      <c r="S69">
        <f>S70+S71</f>
        <v/>
      </c>
      <c r="T69">
        <f>(E69/100000+F69/100+(P69/1000)*J69/5+S69/200)*200*I69*H69</f>
        <v/>
      </c>
      <c r="U69">
        <f>((E69*F69/25000)+((P69/1000)*J69*S69/2.5))*I69*H69</f>
        <v/>
      </c>
      <c r="V69">
        <f>(E69*F69*(P69/1000)*J69*S69*I69*H69)/12500000</f>
        <v/>
      </c>
      <c r="W69">
        <f>800*(T69/800+U69/800+V69/800)/3</f>
        <v/>
      </c>
      <c r="X69" s="6" t="n">
        <v>1600</v>
      </c>
      <c r="Y69">
        <f>IFERROR(W69-X69,"")</f>
        <v/>
      </c>
      <c r="Z69">
        <f>IFERROR(ABS(Y69)/MAX(X69,1),"")</f>
        <v/>
      </c>
      <c r="AA69">
        <f>IFERROR((X69-(((E69/100000+F69/100+S69/200)*200*I69*H69)+((E69*F69/25000)*I69*H69))/3)/(((J69/5)*200*I69*H69)+((J69*S69/2.5)*I69*H69)+((E69*F69*J69*S69*I69*H69)/12500000))/3*1000,"")</f>
        <v/>
      </c>
    </row>
    <row r="70">
      <c r="B70" s="7" t="inlineStr">
        <is>
          <t xml:space="preserve">  ↳ TS120mmTal</t>
        </is>
      </c>
      <c r="C70" s="7" t="inlineStr">
        <is>
          <t>Armament@PRIMARY</t>
        </is>
      </c>
      <c r="L70" s="6" t="n">
        <v>24000</v>
      </c>
      <c r="M70" s="6" t="n">
        <v>50</v>
      </c>
      <c r="N70" s="6" t="n">
        <v>1</v>
      </c>
      <c r="O70" s="6" t="n"/>
      <c r="P70" s="6" t="n">
        <v>6201</v>
      </c>
      <c r="Q70" s="6" t="n">
        <v>1</v>
      </c>
      <c r="R70">
        <f>M70+IF(N70&gt;1,N(O70)*(N70-1),0)</f>
        <v/>
      </c>
      <c r="S70">
        <f>IFERROR(L70*MAX(N70,1)/R70*Q70*IF(ISBLANK(K69),1,K69),0)</f>
        <v/>
      </c>
      <c r="AB70" s="7" t="inlineStr">
        <is>
          <t>^TSCannonEffect, ^MediumCannon</t>
        </is>
      </c>
    </row>
    <row r="71">
      <c r="B71" s="7" t="inlineStr">
        <is>
          <t xml:space="preserve">  ↳ TS120mmTalRail</t>
        </is>
      </c>
      <c r="C71" s="7" t="inlineStr">
        <is>
          <t>Armament@Upgrade</t>
        </is>
      </c>
      <c r="L71" s="6" t="n">
        <v>18000</v>
      </c>
      <c r="M71" s="6" t="n">
        <v>50</v>
      </c>
      <c r="N71" s="6" t="n">
        <v>1</v>
      </c>
      <c r="O71" s="6" t="n"/>
      <c r="P71" s="6" t="n">
        <v>6201</v>
      </c>
      <c r="Q71" s="6" t="n">
        <v>1.125</v>
      </c>
      <c r="R71">
        <f>M71+IF(N71&gt;1,N(O71)*(N71-1),0)</f>
        <v/>
      </c>
      <c r="S71">
        <f>IFERROR(L71*MAX(N71,1)/R71*Q71*IF(ISBLANK(K69),1,K69),0)</f>
        <v/>
      </c>
      <c r="AB71" s="7" t="inlineStr">
        <is>
          <t>^MediumCannon, ^RailgunWeapon</t>
        </is>
      </c>
    </row>
    <row r="72">
      <c r="A72" t="inlineStr">
        <is>
          <t>tiberiansun</t>
        </is>
      </c>
      <c r="B72" t="inlineStr">
        <is>
          <t>forgotten_rattytank</t>
        </is>
      </c>
      <c r="C72" t="inlineStr">
        <is>
          <t>actor_forgotten_rattytank.name</t>
        </is>
      </c>
      <c r="D72" s="6" t="inlineStr">
        <is>
          <t>MainBattleTank</t>
        </is>
      </c>
      <c r="E72" s="6" t="n">
        <v>70000</v>
      </c>
      <c r="F72" s="6" t="n">
        <v>90</v>
      </c>
      <c r="G72" t="inlineStr">
        <is>
          <t>Medium</t>
        </is>
      </c>
      <c r="H72" s="6" t="n">
        <v>1</v>
      </c>
      <c r="I72" s="6" t="n">
        <v>1</v>
      </c>
      <c r="J72" s="6" t="n">
        <v>1</v>
      </c>
      <c r="K72" s="6" t="n"/>
      <c r="P72">
        <f>MAX(P73,P74)</f>
        <v/>
      </c>
      <c r="S72">
        <f>S73+S74</f>
        <v/>
      </c>
      <c r="T72">
        <f>(E72/100000+F72/100+(P72/1000)*J72/5+S72/200)*200*I72*H72</f>
        <v/>
      </c>
      <c r="U72">
        <f>((E72*F72/25000)+((P72/1000)*J72*S72/2.5))*I72*H72</f>
        <v/>
      </c>
      <c r="V72">
        <f>(E72*F72*(P72/1000)*J72*S72*I72*H72)/12500000</f>
        <v/>
      </c>
      <c r="W72">
        <f>800*(T72/800+U72/800+V72/800)/3</f>
        <v/>
      </c>
      <c r="X72" s="6" t="n">
        <v>600</v>
      </c>
      <c r="Y72">
        <f>IFERROR(W72-X72,"")</f>
        <v/>
      </c>
      <c r="Z72">
        <f>IFERROR(ABS(Y72)/MAX(X72,1),"")</f>
        <v/>
      </c>
      <c r="AA72">
        <f>IFERROR((X72-(((E72/100000+F72/100+S72/200)*200*I72*H72)+((E72*F72/25000)*I72*H72))/3)/(((J72/5)*200*I72*H72)+((J72*S72/2.5)*I72*H72)+((E72*F72*J72*S72*I72*H72)/12500000))/3*1000,"")</f>
        <v/>
      </c>
    </row>
    <row r="73">
      <c r="B73" s="7" t="inlineStr">
        <is>
          <t xml:space="preserve">  ↳ TS70mm</t>
        </is>
      </c>
      <c r="C73" s="7" t="inlineStr">
        <is>
          <t>Armament@PRIMARY</t>
        </is>
      </c>
      <c r="L73" s="6" t="n">
        <v>4000</v>
      </c>
      <c r="M73" s="6" t="n">
        <v>24</v>
      </c>
      <c r="N73" s="6" t="n">
        <v>1</v>
      </c>
      <c r="O73" s="6" t="n"/>
      <c r="P73" s="6" t="n">
        <v>5566</v>
      </c>
      <c r="Q73" s="6" t="n">
        <v>1</v>
      </c>
      <c r="R73">
        <f>M73+IF(N73&gt;1,N(O73)*(N73-1),0)</f>
        <v/>
      </c>
      <c r="S73">
        <f>IFERROR(L73*MAX(N73,1)/R73*Q73*IF(ISBLANK(K72),1,K72),0)</f>
        <v/>
      </c>
      <c r="AB73" s="7" t="inlineStr">
        <is>
          <t>^TSCannonEffect, ^MediumCannon</t>
        </is>
      </c>
    </row>
    <row r="74">
      <c r="B74" s="7" t="inlineStr">
        <is>
          <t xml:space="preserve">  ↳ TS70mmChem</t>
        </is>
      </c>
      <c r="C74" s="7" t="inlineStr">
        <is>
          <t>Armament@UPGRADE</t>
        </is>
      </c>
      <c r="L74" s="6" t="n">
        <v>4000</v>
      </c>
      <c r="M74" s="6" t="n">
        <v>24</v>
      </c>
      <c r="N74" s="6" t="n">
        <v>1</v>
      </c>
      <c r="O74" s="6" t="n"/>
      <c r="P74" s="6" t="n">
        <v>5566</v>
      </c>
      <c r="Q74" s="6" t="n">
        <v>0.875</v>
      </c>
      <c r="R74">
        <f>M74+IF(N74&gt;1,N(O74)*(N74-1),0)</f>
        <v/>
      </c>
      <c r="S74">
        <f>IFERROR(L74*MAX(N74,1)/R74*Q74*IF(ISBLANK(K72),1,K72),0)</f>
        <v/>
      </c>
      <c r="AB74" s="7" t="inlineStr">
        <is>
          <t>^TSCannonEffect, ^LightChemicalWeapon, ^MediumCannon</t>
        </is>
      </c>
    </row>
    <row r="75">
      <c r="A75" t="inlineStr">
        <is>
          <t>shared</t>
        </is>
      </c>
      <c r="B75" t="inlineStr">
        <is>
          <t>ra2_c_abram</t>
        </is>
      </c>
      <c r="C75" t="inlineStr">
        <is>
          <t>Civilian MBT</t>
        </is>
      </c>
      <c r="D75" s="6" t="inlineStr">
        <is>
          <t>MainBattleTank</t>
        </is>
      </c>
      <c r="E75" s="6" t="n">
        <v>190000</v>
      </c>
      <c r="F75" s="6" t="n">
        <v>75</v>
      </c>
      <c r="G75" t="inlineStr">
        <is>
          <t>Heavy</t>
        </is>
      </c>
      <c r="H75" s="6" t="n">
        <v>1</v>
      </c>
      <c r="I75" s="6" t="n">
        <v>1</v>
      </c>
      <c r="J75" s="6" t="n">
        <v>1</v>
      </c>
      <c r="K75" s="6" t="n"/>
      <c r="P75">
        <f>MAX(P76,P77,P78)</f>
        <v/>
      </c>
      <c r="S75">
        <f>S76+S77+S78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800*(T75/800+U75/800+V75/800)/3</f>
        <v/>
      </c>
      <c r="X75" s="6" t="n">
        <v>900</v>
      </c>
      <c r="Y75">
        <f>IFERROR(W75-X75,"")</f>
        <v/>
      </c>
      <c r="Z75">
        <f>IFERROR(ABS(Y75)/MAX(X75,1),"")</f>
        <v/>
      </c>
      <c r="AA75">
        <f>IFERROR((X75-(((E75/100000+F75/100+S75/200)*200*I75*H75)+((E75*F75/25000)*I75*H75))/3)/(((J75/5)*200*I75*H75)+((J75*S75/2.5)*I75*H75)+((E75*F75*J75*S75*I75*H75)/12500000))/3*1000,"")</f>
        <v/>
      </c>
    </row>
    <row r="76">
      <c r="B76" s="7" t="inlineStr">
        <is>
          <t xml:space="preserve">  ↳ RA2120mm</t>
        </is>
      </c>
      <c r="C76" s="7" t="inlineStr">
        <is>
          <t>Armament</t>
        </is>
      </c>
      <c r="L76" s="6" t="n">
        <v>10000</v>
      </c>
      <c r="M76" s="6" t="n">
        <v>54</v>
      </c>
      <c r="N76" s="6" t="n">
        <v>1</v>
      </c>
      <c r="O76" s="6" t="n"/>
      <c r="P76" s="6" t="n">
        <v>5374</v>
      </c>
      <c r="Q76" s="6" t="n">
        <v>1</v>
      </c>
      <c r="R76">
        <f>M76+IF(N76&gt;1,N(O76)*(N76-1),0)</f>
        <v/>
      </c>
      <c r="S76">
        <f>IFERROR(L76*MAX(N76,1)/R76*Q76*IF(ISBLANK(K75),1,K75),0)</f>
        <v/>
      </c>
      <c r="AB76" s="7" t="inlineStr">
        <is>
          <t>^RA2MediumCannon</t>
        </is>
      </c>
    </row>
    <row r="77">
      <c r="B77" s="7" t="inlineStr">
        <is>
          <t xml:space="preserve">  ↳ RA2120mm_elite</t>
        </is>
      </c>
      <c r="C77" s="7" t="inlineStr">
        <is>
          <t>Armament@elite</t>
        </is>
      </c>
      <c r="L77" s="6" t="n">
        <v>10000</v>
      </c>
      <c r="M77" s="6" t="n">
        <v>54</v>
      </c>
      <c r="N77" s="6" t="n">
        <v>2</v>
      </c>
      <c r="O77" s="6" t="n">
        <v>3</v>
      </c>
      <c r="P77" s="6" t="n">
        <v>6374</v>
      </c>
      <c r="Q77" s="6" t="n">
        <v>1</v>
      </c>
      <c r="R77">
        <f>M77+IF(N77&gt;1,N(O77)*(N77-1),0)</f>
        <v/>
      </c>
      <c r="S77">
        <f>IFERROR(L77*MAX(N77,1)/R77*Q77*IF(ISBLANK(K75),1,K75),0)</f>
        <v/>
      </c>
      <c r="AB77" s="7" t="inlineStr">
        <is>
          <t>^RA2MediumCannon, ^RA2EliteEffects</t>
        </is>
      </c>
    </row>
    <row r="78">
      <c r="B78" s="7" t="inlineStr">
        <is>
          <t xml:space="preserve">  ↳ RA2GattlingMG1</t>
        </is>
      </c>
      <c r="C78" s="7" t="inlineStr">
        <is>
          <t>Armament@machinegun</t>
        </is>
      </c>
      <c r="L78" s="6" t="n">
        <v>2000</v>
      </c>
      <c r="M78" s="6" t="n">
        <v>6</v>
      </c>
      <c r="N78" s="6" t="n">
        <v>1</v>
      </c>
      <c r="O78" s="6" t="n"/>
      <c r="P78" s="6" t="n">
        <v>5000</v>
      </c>
      <c r="Q78" s="6" t="n">
        <v>0.875</v>
      </c>
      <c r="R78">
        <f>M78+IF(N78&gt;1,N(O78)*(N78-1),0)</f>
        <v/>
      </c>
      <c r="S78">
        <f>IFERROR(L78*MAX(N78,1)/R78*Q78*IF(ISBLANK(K75),1,K75),0)</f>
        <v/>
      </c>
      <c r="AB78" s="7" t="inlineStr">
        <is>
          <t>^SmallArms, ^RA2Chaingun</t>
        </is>
      </c>
    </row>
    <row r="79">
      <c r="A79" t="inlineStr">
        <is>
          <t>shared</t>
        </is>
      </c>
      <c r="B79" t="inlineStr">
        <is>
          <t>ra2_c_ifv</t>
        </is>
      </c>
      <c r="C79" t="inlineStr">
        <is>
          <t>Machinegunner IFV</t>
        </is>
      </c>
      <c r="D79" s="6" t="inlineStr">
        <is>
          <t>MainBattleTank</t>
        </is>
      </c>
      <c r="E79" s="6" t="n">
        <v>120000</v>
      </c>
      <c r="F79" s="6" t="n">
        <v>100</v>
      </c>
      <c r="G79" t="inlineStr">
        <is>
          <t>Medium</t>
        </is>
      </c>
      <c r="H79" s="6" t="n">
        <v>1</v>
      </c>
      <c r="I79" s="6" t="n">
        <v>1</v>
      </c>
      <c r="J79" s="6" t="n">
        <v>1</v>
      </c>
      <c r="K79" s="6" t="n"/>
      <c r="P79">
        <f>MAX(P80,P81,P82,P83)</f>
        <v/>
      </c>
      <c r="S79">
        <f>S80+S81+S82+S83</f>
        <v/>
      </c>
      <c r="T79">
        <f>(E79/100000+F79/100+(P79/1000)*J79/5+S79/200)*200*I79*H79</f>
        <v/>
      </c>
      <c r="U79">
        <f>((E79*F79/25000)+((P79/1000)*J79*S79/2.5))*I79*H79</f>
        <v/>
      </c>
      <c r="V79">
        <f>(E79*F79*(P79/1000)*J79*S79*I79*H79)/12500000</f>
        <v/>
      </c>
      <c r="W79">
        <f>800*(T79/800+U79/800+V79/800)/3</f>
        <v/>
      </c>
      <c r="X79" s="6" t="n">
        <v>600</v>
      </c>
      <c r="Y79">
        <f>IFERROR(W79-X79,"")</f>
        <v/>
      </c>
      <c r="Z79">
        <f>IFERROR(ABS(Y79)/MAX(X79,1),"")</f>
        <v/>
      </c>
      <c r="AA79">
        <f>IFERROR((X79-(((E79/100000+F79/100+S79/200)*200*I79*H79)+((E79*F79/25000)*I79*H79))/3)/(((J79/5)*200*I79*H79)+((J79*S79/2.5)*I79*H79)+((E79*F79*J79*S79*I79*H79)/12500000))/3*1000,"")</f>
        <v/>
      </c>
    </row>
    <row r="80">
      <c r="B80" s="7" t="inlineStr">
        <is>
          <t xml:space="preserve">  ↳ RA2GattlingMG1</t>
        </is>
      </c>
      <c r="C80" s="7" t="inlineStr">
        <is>
          <t>Armament</t>
        </is>
      </c>
      <c r="L80" s="6" t="n">
        <v>2000</v>
      </c>
      <c r="M80" s="6" t="n">
        <v>6</v>
      </c>
      <c r="N80" s="6" t="n">
        <v>1</v>
      </c>
      <c r="O80" s="6" t="n"/>
      <c r="P80" s="6" t="n">
        <v>5000</v>
      </c>
      <c r="Q80" s="6" t="n">
        <v>0.875</v>
      </c>
      <c r="R80">
        <f>M80+IF(N80&gt;1,N(O80)*(N80-1),0)</f>
        <v/>
      </c>
      <c r="S80">
        <f>IFERROR(L80*MAX(N80,1)/R80*Q80*IF(ISBLANK(K79),1,K79),0)</f>
        <v/>
      </c>
      <c r="AB80" s="7" t="inlineStr">
        <is>
          <t>^SmallArms, ^RA2Chaingun</t>
        </is>
      </c>
    </row>
    <row r="81">
      <c r="B81" s="7" t="inlineStr">
        <is>
          <t xml:space="preserve">  ↳ RA2GattlingMG2</t>
        </is>
      </c>
      <c r="C81" s="7" t="inlineStr">
        <is>
          <t>Armament@elite</t>
        </is>
      </c>
      <c r="L81" s="6" t="n">
        <v>2000</v>
      </c>
      <c r="M81" s="6" t="n">
        <v>4</v>
      </c>
      <c r="N81" s="6" t="n">
        <v>1</v>
      </c>
      <c r="O81" s="6" t="n"/>
      <c r="P81" s="6" t="n">
        <v>5250</v>
      </c>
      <c r="Q81" s="6" t="n">
        <v>0.875</v>
      </c>
      <c r="R81">
        <f>M81+IF(N81&gt;1,N(O81)*(N81-1),0)</f>
        <v/>
      </c>
      <c r="S81">
        <f>IFERROR(L81*MAX(N81,1)/R81*Q81*IF(ISBLANK(K79),1,K79),0)</f>
        <v/>
      </c>
      <c r="AB81" s="7" t="inlineStr">
        <is>
          <t>^SmallArms, ^RA2Chaingun</t>
        </is>
      </c>
    </row>
    <row r="82">
      <c r="B82" s="7" t="inlineStr">
        <is>
          <t xml:space="preserve">  ↳ RA2GattlingMG1AA</t>
        </is>
      </c>
      <c r="C82" s="7" t="inlineStr">
        <is>
          <t>Armament@AA</t>
        </is>
      </c>
      <c r="L82" s="6" t="n">
        <v>4000</v>
      </c>
      <c r="M82" s="6" t="n">
        <v>6</v>
      </c>
      <c r="N82" s="6" t="n">
        <v>1</v>
      </c>
      <c r="O82" s="6" t="n"/>
      <c r="P82" s="6" t="n">
        <v>6750</v>
      </c>
      <c r="Q82" s="6" t="n">
        <v>0.875</v>
      </c>
      <c r="R82">
        <f>M82+IF(N82&gt;1,N(O82)*(N82-1),0)</f>
        <v/>
      </c>
      <c r="S82">
        <f>IFERROR(L82*MAX(N82,1)/R82*Q82*IF(ISBLANK(K79),1,K79),0)</f>
        <v/>
      </c>
      <c r="AB82" s="7" t="inlineStr">
        <is>
          <t>^SmallArms, ^RA2Chaingun</t>
        </is>
      </c>
    </row>
    <row r="83">
      <c r="B83" s="7" t="inlineStr">
        <is>
          <t xml:space="preserve">  ↳ RA2GattlingMG2AA</t>
        </is>
      </c>
      <c r="C83" s="7" t="inlineStr">
        <is>
          <t>Armament@eliteAA</t>
        </is>
      </c>
      <c r="L83" s="6" t="n">
        <v>4000</v>
      </c>
      <c r="M83" s="6" t="n">
        <v>4</v>
      </c>
      <c r="N83" s="6" t="n">
        <v>1</v>
      </c>
      <c r="O83" s="6" t="n"/>
      <c r="P83" s="6" t="n">
        <v>7500</v>
      </c>
      <c r="Q83" s="6" t="n">
        <v>0.875</v>
      </c>
      <c r="R83">
        <f>M83+IF(N83&gt;1,N(O83)*(N83-1),0)</f>
        <v/>
      </c>
      <c r="S83">
        <f>IFERROR(L83*MAX(N83,1)/R83*Q83*IF(ISBLANK(K79),1,K79),0)</f>
        <v/>
      </c>
      <c r="AB83" s="7" t="inlineStr">
        <is>
          <t>^SmallArms, ^RA2Chaingun</t>
        </is>
      </c>
    </row>
    <row r="84">
      <c r="A84" t="inlineStr">
        <is>
          <t>shared</t>
        </is>
      </c>
      <c r="B84" t="inlineStr">
        <is>
          <t>ra2leopard</t>
        </is>
      </c>
      <c r="C84" t="inlineStr">
        <is>
          <t>Leopard</t>
        </is>
      </c>
      <c r="D84" s="6" t="inlineStr">
        <is>
          <t>MainBattleTank</t>
        </is>
      </c>
      <c r="E84" s="6" t="n">
        <v>230000</v>
      </c>
      <c r="F84" s="6" t="n">
        <v>70</v>
      </c>
      <c r="G84" t="inlineStr">
        <is>
          <t>Heavy</t>
        </is>
      </c>
      <c r="H84" s="6" t="n">
        <v>1</v>
      </c>
      <c r="I84" s="6" t="n">
        <v>1</v>
      </c>
      <c r="J84" s="6" t="n">
        <v>1</v>
      </c>
      <c r="K84" s="6" t="n"/>
      <c r="P84">
        <f>MAX(P85,P86,P87)</f>
        <v/>
      </c>
      <c r="S84">
        <f>S85+S86+S87</f>
        <v/>
      </c>
      <c r="T84">
        <f>(E84/100000+F84/100+(P84/1000)*J84/5+S84/200)*200*I84*H84</f>
        <v/>
      </c>
      <c r="U84">
        <f>((E84*F84/25000)+((P84/1000)*J84*S84/2.5))*I84*H84</f>
        <v/>
      </c>
      <c r="V84">
        <f>(E84*F84*(P84/1000)*J84*S84*I84*H84)/12500000</f>
        <v/>
      </c>
      <c r="W84">
        <f>800*(T84/800+U84/800+V84/800)/3</f>
        <v/>
      </c>
      <c r="X84" s="6" t="n">
        <v>950</v>
      </c>
      <c r="Y84">
        <f>IFERROR(W84-X84,"")</f>
        <v/>
      </c>
      <c r="Z84">
        <f>IFERROR(ABS(Y84)/MAX(X84,1),"")</f>
        <v/>
      </c>
      <c r="AA84">
        <f>IFERROR((X84-(((E84/100000+F84/100+S84/200)*200*I84*H84)+((E84*F84/25000)*I84*H84))/3)/(((J84/5)*200*I84*H84)+((J84*S84/2.5)*I84*H84)+((E84*F84*J84*S84*I84*H84)/12500000))/3*1000,"")</f>
        <v/>
      </c>
    </row>
    <row r="85">
      <c r="B85" s="7" t="inlineStr">
        <is>
          <t xml:space="preserve">  ↳ RA2120mm</t>
        </is>
      </c>
      <c r="C85" s="7" t="inlineStr">
        <is>
          <t>Armament</t>
        </is>
      </c>
      <c r="L85" s="6" t="n">
        <v>10000</v>
      </c>
      <c r="M85" s="6" t="n">
        <v>54</v>
      </c>
      <c r="N85" s="6" t="n">
        <v>1</v>
      </c>
      <c r="O85" s="6" t="n"/>
      <c r="P85" s="6" t="n">
        <v>5374</v>
      </c>
      <c r="Q85" s="6" t="n">
        <v>1</v>
      </c>
      <c r="R85">
        <f>M85+IF(N85&gt;1,N(O85)*(N85-1),0)</f>
        <v/>
      </c>
      <c r="S85">
        <f>IFERROR(L85*MAX(N85,1)/R85*Q85*IF(ISBLANK(K84),1,K84),0)</f>
        <v/>
      </c>
      <c r="AB85" s="7" t="inlineStr">
        <is>
          <t>^RA2MediumCannon</t>
        </is>
      </c>
    </row>
    <row r="86">
      <c r="B86" s="7" t="inlineStr">
        <is>
          <t xml:space="preserve">  ↳ RA2120mm_elite</t>
        </is>
      </c>
      <c r="C86" s="7" t="inlineStr">
        <is>
          <t>Armament@elite</t>
        </is>
      </c>
      <c r="L86" s="6" t="n">
        <v>10000</v>
      </c>
      <c r="M86" s="6" t="n">
        <v>54</v>
      </c>
      <c r="N86" s="6" t="n">
        <v>2</v>
      </c>
      <c r="O86" s="6" t="n">
        <v>3</v>
      </c>
      <c r="P86" s="6" t="n">
        <v>6374</v>
      </c>
      <c r="Q86" s="6" t="n">
        <v>1</v>
      </c>
      <c r="R86">
        <f>M86+IF(N86&gt;1,N(O86)*(N86-1),0)</f>
        <v/>
      </c>
      <c r="S86">
        <f>IFERROR(L86*MAX(N86,1)/R86*Q86*IF(ISBLANK(K84),1,K84),0)</f>
        <v/>
      </c>
      <c r="AB86" s="7" t="inlineStr">
        <is>
          <t>^RA2MediumCannon, ^RA2EliteEffects</t>
        </is>
      </c>
    </row>
    <row r="87">
      <c r="B87" s="7" t="inlineStr">
        <is>
          <t xml:space="preserve">  ↳ RA2GattlingMG1</t>
        </is>
      </c>
      <c r="C87" s="7" t="inlineStr">
        <is>
          <t>Armament@machinegun</t>
        </is>
      </c>
      <c r="L87" s="6" t="n">
        <v>2000</v>
      </c>
      <c r="M87" s="6" t="n">
        <v>6</v>
      </c>
      <c r="N87" s="6" t="n">
        <v>1</v>
      </c>
      <c r="O87" s="6" t="n"/>
      <c r="P87" s="6" t="n">
        <v>5000</v>
      </c>
      <c r="Q87" s="6" t="n">
        <v>0.875</v>
      </c>
      <c r="R87">
        <f>M87+IF(N87&gt;1,N(O87)*(N87-1),0)</f>
        <v/>
      </c>
      <c r="S87">
        <f>IFERROR(L87*MAX(N87,1)/R87*Q87*IF(ISBLANK(K84),1,K84),0)</f>
        <v/>
      </c>
      <c r="AB87" s="7" t="inlineStr">
        <is>
          <t>^SmallArms, ^RA2Chaingun</t>
        </is>
      </c>
    </row>
    <row r="88">
      <c r="A88" t="inlineStr">
        <is>
          <t>shared</t>
        </is>
      </c>
      <c r="B88" t="inlineStr">
        <is>
          <t>yrrobo</t>
        </is>
      </c>
      <c r="C88" t="inlineStr">
        <is>
          <t>Robot Tank</t>
        </is>
      </c>
      <c r="D88" s="6" t="inlineStr">
        <is>
          <t>MainBattleTank</t>
        </is>
      </c>
      <c r="E88" s="6" t="n">
        <v>50000</v>
      </c>
      <c r="F88" s="6" t="n">
        <v>130</v>
      </c>
      <c r="G88" t="inlineStr">
        <is>
          <t>Medium</t>
        </is>
      </c>
      <c r="H88" s="6" t="n">
        <v>1</v>
      </c>
      <c r="I88" s="6" t="n">
        <v>1</v>
      </c>
      <c r="J88" s="6" t="n">
        <v>1</v>
      </c>
      <c r="K88" s="6" t="n"/>
      <c r="P88">
        <f>MAX(P89,P90)</f>
        <v/>
      </c>
      <c r="S88">
        <f>S89+S90</f>
        <v/>
      </c>
      <c r="T88">
        <f>(E88/100000+F88/100+(P88/1000)*J88/5+S88/200)*200*I88*H88</f>
        <v/>
      </c>
      <c r="U88">
        <f>((E88*F88/25000)+((P88/1000)*J88*S88/2.5))*I88*H88</f>
        <v/>
      </c>
      <c r="V88">
        <f>(E88*F88*(P88/1000)*J88*S88*I88*H88)/12500000</f>
        <v/>
      </c>
      <c r="W88">
        <f>800*(T88/800+U88/800+V88/800)/3</f>
        <v/>
      </c>
      <c r="X88" s="6" t="n">
        <v>1200</v>
      </c>
      <c r="Y88">
        <f>IFERROR(W88-X88,"")</f>
        <v/>
      </c>
      <c r="Z88">
        <f>IFERROR(ABS(Y88)/MAX(X88,1),"")</f>
        <v/>
      </c>
      <c r="AA88">
        <f>IFERROR((X88-(((E88/100000+F88/100+S88/200)*200*I88*H88)+((E88*F88/25000)*I88*H88))/3)/(((J88/5)*200*I88*H88)+((J88*S88/2.5)*I88*H88)+((E88*F88*J88*S88*I88*H88)/12500000))/3*1000,"")</f>
        <v/>
      </c>
    </row>
    <row r="89">
      <c r="B89" s="7" t="inlineStr">
        <is>
          <t xml:space="preserve">  ↳ RA2Robotmm</t>
        </is>
      </c>
      <c r="C89" s="7" t="inlineStr">
        <is>
          <t>Armament</t>
        </is>
      </c>
      <c r="L89" s="6" t="n">
        <v>8000</v>
      </c>
      <c r="M89" s="6" t="n">
        <v>48</v>
      </c>
      <c r="N89" s="6" t="n">
        <v>1</v>
      </c>
      <c r="O89" s="6" t="n"/>
      <c r="P89" s="6" t="n">
        <v>5780</v>
      </c>
      <c r="Q89" s="6" t="n">
        <v>1.083333333333333</v>
      </c>
      <c r="R89">
        <f>M89+IF(N89&gt;1,N(O89)*(N89-1),0)</f>
        <v/>
      </c>
      <c r="S89">
        <f>IFERROR(L89*MAX(N89,1)/R89*Q89*IF(ISBLANK(K88),1,K88),0)</f>
        <v/>
      </c>
      <c r="AB89" s="7" t="inlineStr">
        <is>
          <t>^TeslaWeapon, ^LaserWeapon, ^RA2RailgunWeapon</t>
        </is>
      </c>
    </row>
    <row r="90">
      <c r="B90" s="7" t="inlineStr">
        <is>
          <t xml:space="preserve">  ↳ RA2Robotmm_elite</t>
        </is>
      </c>
      <c r="C90" s="7" t="inlineStr">
        <is>
          <t>Armament@elite</t>
        </is>
      </c>
      <c r="L90" s="6" t="n">
        <v>8000</v>
      </c>
      <c r="M90" s="6" t="n">
        <v>48</v>
      </c>
      <c r="N90" s="6" t="n">
        <v>1</v>
      </c>
      <c r="O90" s="6" t="n"/>
      <c r="P90" s="6" t="n">
        <v>6780</v>
      </c>
      <c r="Q90" s="6" t="n">
        <v>1.083333333333333</v>
      </c>
      <c r="R90">
        <f>M90+IF(N90&gt;1,N(O90)*(N90-1),0)</f>
        <v/>
      </c>
      <c r="S90">
        <f>IFERROR(L90*MAX(N90,1)/R90*Q90*IF(ISBLANK(K88),1,K88),0)</f>
        <v/>
      </c>
      <c r="AB90" s="7" t="inlineStr">
        <is>
          <t>^TeslaWeapon, ^LaserWeapon, ^RA2RailgunWeapon</t>
        </is>
      </c>
    </row>
    <row r="91">
      <c r="A91" t="inlineStr">
        <is>
          <t>redalert2</t>
        </is>
      </c>
      <c r="B91" t="inlineStr">
        <is>
          <t>ra2_allies_grizzlytank</t>
        </is>
      </c>
      <c r="C91" t="inlineStr">
        <is>
          <t>Grizzly Tank</t>
        </is>
      </c>
      <c r="D91" s="6" t="inlineStr">
        <is>
          <t>MainBattleTank</t>
        </is>
      </c>
      <c r="E91" s="6" t="n">
        <v>100000</v>
      </c>
      <c r="F91" s="6" t="n">
        <v>95</v>
      </c>
      <c r="G91" t="inlineStr">
        <is>
          <t>Medium</t>
        </is>
      </c>
      <c r="H91" s="6" t="n">
        <v>1</v>
      </c>
      <c r="I91" s="6" t="n">
        <v>1</v>
      </c>
      <c r="J91" s="6" t="n">
        <v>1</v>
      </c>
      <c r="K91" s="6" t="n">
        <v>1.6</v>
      </c>
      <c r="P91">
        <f>MAX(P92,P93)</f>
        <v/>
      </c>
      <c r="S91">
        <f>S92+S93</f>
        <v/>
      </c>
      <c r="T91">
        <f>(E91/100000+F91/100+(P91/1000)*J91/5+S91/200)*200*I91*H91</f>
        <v/>
      </c>
      <c r="U91">
        <f>((E91*F91/25000)+((P91/1000)*J91*S91/2.5))*I91*H91</f>
        <v/>
      </c>
      <c r="V91">
        <f>(E91*F91*(P91/1000)*J91*S91*I91*H91)/12500000</f>
        <v/>
      </c>
      <c r="W91">
        <f>800*(T91/800+U91/800+V91/800)/3</f>
        <v/>
      </c>
      <c r="X91" s="6" t="n">
        <v>750</v>
      </c>
      <c r="Y91">
        <f>IFERROR(W91-X91,"")</f>
        <v/>
      </c>
      <c r="Z91">
        <f>IFERROR(ABS(Y91)/MAX(X91,1),"")</f>
        <v/>
      </c>
      <c r="AA91">
        <f>IFERROR((X91-(((E91/100000+F91/100+S91/200)*200*I91*H91)+((E91*F91/25000)*I91*H91))/3)/(((J91/5)*200*I91*H91)+((J91*S91/2.5)*I91*H91)+((E91*F91*J91*S91*I91*H91)/12500000))/3*1000,"")</f>
        <v/>
      </c>
    </row>
    <row r="92">
      <c r="B92" s="7" t="inlineStr">
        <is>
          <t xml:space="preserve">  ↳ RA2105mm</t>
        </is>
      </c>
      <c r="C92" s="7" t="inlineStr">
        <is>
          <t>Armament</t>
        </is>
      </c>
      <c r="L92" s="6" t="n">
        <v>8000</v>
      </c>
      <c r="M92" s="6" t="n">
        <v>45</v>
      </c>
      <c r="N92" s="6" t="n">
        <v>1</v>
      </c>
      <c r="O92" s="6" t="n"/>
      <c r="P92" s="6" t="n">
        <v>5289</v>
      </c>
      <c r="Q92" s="6" t="n">
        <v>1</v>
      </c>
      <c r="R92">
        <f>M92+IF(N92&gt;1,N(O92)*(N92-1),0)</f>
        <v/>
      </c>
      <c r="S92">
        <f>IFERROR(L92*MAX(N92,1)/R92*Q92*IF(ISBLANK(K91),1,K91),0)</f>
        <v/>
      </c>
      <c r="AB92" s="7" t="inlineStr">
        <is>
          <t>^RA2MediumCannon</t>
        </is>
      </c>
    </row>
    <row r="93">
      <c r="B93" s="7" t="inlineStr">
        <is>
          <t xml:space="preserve">  ↳ RA2105mm_elite</t>
        </is>
      </c>
      <c r="C93" s="7" t="inlineStr">
        <is>
          <t>Armament@elite</t>
        </is>
      </c>
      <c r="L93" s="6" t="n">
        <v>8000</v>
      </c>
      <c r="M93" s="6" t="n">
        <v>45</v>
      </c>
      <c r="N93" s="6" t="n">
        <v>2</v>
      </c>
      <c r="O93" s="6" t="n">
        <v>3</v>
      </c>
      <c r="P93" s="6" t="n">
        <v>6289</v>
      </c>
      <c r="Q93" s="6" t="n">
        <v>1</v>
      </c>
      <c r="R93">
        <f>M93+IF(N93&gt;1,N(O93)*(N93-1),0)</f>
        <v/>
      </c>
      <c r="S93">
        <f>IFERROR(L93*MAX(N93,1)/R93*Q93*IF(ISBLANK(K91),1,K91),0)</f>
        <v/>
      </c>
      <c r="AB93" s="7" t="inlineStr">
        <is>
          <t>^RA2MediumCannon, ^RA2EliteEffects</t>
        </is>
      </c>
    </row>
    <row r="94">
      <c r="A94" t="inlineStr">
        <is>
          <t>redalert2</t>
        </is>
      </c>
      <c r="B94" t="inlineStr">
        <is>
          <t>ra2_soviets_rhinoheavytank</t>
        </is>
      </c>
      <c r="C94" t="inlineStr">
        <is>
          <t>Rhino Heavy Tank</t>
        </is>
      </c>
      <c r="D94" s="6" t="inlineStr">
        <is>
          <t>MainBattleTank</t>
        </is>
      </c>
      <c r="E94" s="6" t="n">
        <v>130000</v>
      </c>
      <c r="F94" s="6" t="n">
        <v>85</v>
      </c>
      <c r="G94" t="inlineStr">
        <is>
          <t>Heavy</t>
        </is>
      </c>
      <c r="H94" s="6" t="n">
        <v>1</v>
      </c>
      <c r="I94" s="6" t="n">
        <v>1</v>
      </c>
      <c r="J94" s="6" t="n">
        <v>1</v>
      </c>
      <c r="K94" s="6" t="n"/>
      <c r="P94">
        <f>MAX(P95,P96,P97,P98,P99,P100,P101,P102)</f>
        <v/>
      </c>
      <c r="S94">
        <f>S95+S96+S97+S98+S99+S100+S101+S102</f>
        <v/>
      </c>
      <c r="T94">
        <f>(E94/100000+F94/100+(P94/1000)*J94/5+S94/200)*200*I94*H94</f>
        <v/>
      </c>
      <c r="U94">
        <f>((E94*F94/25000)+((P94/1000)*J94*S94/2.5))*I94*H94</f>
        <v/>
      </c>
      <c r="V94">
        <f>(E94*F94*(P94/1000)*J94*S94*I94*H94)/12500000</f>
        <v/>
      </c>
      <c r="W94">
        <f>800*(T94/800+U94/800+V94/800)/3</f>
        <v/>
      </c>
      <c r="X94" s="6" t="n">
        <v>850</v>
      </c>
      <c r="Y94">
        <f>IFERROR(W94-X94,"")</f>
        <v/>
      </c>
      <c r="Z94">
        <f>IFERROR(ABS(Y94)/MAX(X94,1),"")</f>
        <v/>
      </c>
      <c r="AA94">
        <f>IFERROR((X94-(((E94/100000+F94/100+S94/200)*200*I94*H94)+((E94*F94/25000)*I94*H94))/3)/(((J94/5)*200*I94*H94)+((J94*S94/2.5)*I94*H94)+((E94*F94*J94*S94*I94*H94)/12500000))/3*1000,"")</f>
        <v/>
      </c>
    </row>
    <row r="95">
      <c r="B95" s="7" t="inlineStr">
        <is>
          <t xml:space="preserve">  ↳ RA2120mm</t>
        </is>
      </c>
      <c r="C95" s="7" t="inlineStr">
        <is>
          <t>Armament@PRIMARY</t>
        </is>
      </c>
      <c r="L95" s="6" t="n">
        <v>10000</v>
      </c>
      <c r="M95" s="6" t="n">
        <v>54</v>
      </c>
      <c r="N95" s="6" t="n">
        <v>1</v>
      </c>
      <c r="O95" s="6" t="n"/>
      <c r="P95" s="6" t="n">
        <v>5374</v>
      </c>
      <c r="Q95" s="6" t="n">
        <v>1</v>
      </c>
      <c r="R95">
        <f>M95+IF(N95&gt;1,N(O95)*(N95-1),0)</f>
        <v/>
      </c>
      <c r="S95">
        <f>IFERROR(L95*MAX(N95,1)/R95*Q95*IF(ISBLANK(K94),1,K94),0)</f>
        <v/>
      </c>
      <c r="AB95" s="7" t="inlineStr">
        <is>
          <t>^RA2MediumCannon</t>
        </is>
      </c>
    </row>
    <row r="96">
      <c r="B96" s="7" t="inlineStr">
        <is>
          <t xml:space="preserve">  ↳ RA2120mm_rad</t>
        </is>
      </c>
      <c r="C96" s="7" t="inlineStr">
        <is>
          <t>Armament@PRIMARYRad</t>
        </is>
      </c>
      <c r="L96" s="6" t="n">
        <v>6000</v>
      </c>
      <c r="M96" s="6" t="n">
        <v>54</v>
      </c>
      <c r="N96" s="6" t="n">
        <v>1</v>
      </c>
      <c r="O96" s="6" t="n"/>
      <c r="P96" s="6" t="n">
        <v>5374</v>
      </c>
      <c r="Q96" s="6" t="n">
        <v>1</v>
      </c>
      <c r="R96">
        <f>M96+IF(N96&gt;1,N(O96)*(N96-1),0)</f>
        <v/>
      </c>
      <c r="S96">
        <f>IFERROR(L96*MAX(N96,1)/R96*Q96*IF(ISBLANK(K94),1,K94),0)</f>
        <v/>
      </c>
      <c r="AB96" s="7" t="inlineStr">
        <is>
          <t>^MediumChemicalWeapon, ^RA2MediumCannon, ^RA2RadShell</t>
        </is>
      </c>
    </row>
    <row r="97">
      <c r="B97" s="7" t="inlineStr">
        <is>
          <t xml:space="preserve">  ↳ RA2120mm_fire</t>
        </is>
      </c>
      <c r="C97" s="7" t="inlineStr">
        <is>
          <t>Armament@PRIMARYFire</t>
        </is>
      </c>
      <c r="L97" s="6" t="n">
        <v>10000</v>
      </c>
      <c r="M97" s="6" t="n">
        <v>54</v>
      </c>
      <c r="N97" s="6" t="n">
        <v>1</v>
      </c>
      <c r="O97" s="6" t="n"/>
      <c r="P97" s="6" t="n">
        <v>5374</v>
      </c>
      <c r="Q97" s="6" t="n">
        <v>1</v>
      </c>
      <c r="R97">
        <f>M97+IF(N97&gt;1,N(O97)*(N97-1),0)</f>
        <v/>
      </c>
      <c r="S97">
        <f>IFERROR(L97*MAX(N97,1)/R97*Q97*IF(ISBLANK(K94),1,K94),0)</f>
        <v/>
      </c>
      <c r="AB97" s="7" t="inlineStr">
        <is>
          <t>^RA2MediumCannon</t>
        </is>
      </c>
    </row>
    <row r="98">
      <c r="B98" s="7" t="inlineStr">
        <is>
          <t xml:space="preserve">  ↳ RA2120mm_tesla</t>
        </is>
      </c>
      <c r="C98" s="7" t="inlineStr">
        <is>
          <t>Armament@PRIMARYTesla</t>
        </is>
      </c>
      <c r="L98" s="6" t="n">
        <v>10000</v>
      </c>
      <c r="M98" s="6" t="n">
        <v>54</v>
      </c>
      <c r="N98" s="6" t="n">
        <v>1</v>
      </c>
      <c r="O98" s="6" t="n"/>
      <c r="P98" s="6" t="n">
        <v>5374</v>
      </c>
      <c r="Q98" s="6" t="n">
        <v>1</v>
      </c>
      <c r="R98">
        <f>M98+IF(N98&gt;1,N(O98)*(N98-1),0)</f>
        <v/>
      </c>
      <c r="S98">
        <f>IFERROR(L98*MAX(N98,1)/R98*Q98*IF(ISBLANK(K94),1,K94),0)</f>
        <v/>
      </c>
      <c r="AB98" s="7" t="inlineStr">
        <is>
          <t>^RA2MediumCannon</t>
        </is>
      </c>
    </row>
    <row r="99">
      <c r="B99" s="7" t="inlineStr">
        <is>
          <t xml:space="preserve">  ↳ RA2120mm_elite</t>
        </is>
      </c>
      <c r="C99" s="7" t="inlineStr">
        <is>
          <t>Armament@PRIMARYELITE</t>
        </is>
      </c>
      <c r="L99" s="6" t="n">
        <v>10000</v>
      </c>
      <c r="M99" s="6" t="n">
        <v>54</v>
      </c>
      <c r="N99" s="6" t="n">
        <v>2</v>
      </c>
      <c r="O99" s="6" t="n">
        <v>3</v>
      </c>
      <c r="P99" s="6" t="n">
        <v>6374</v>
      </c>
      <c r="Q99" s="6" t="n">
        <v>1</v>
      </c>
      <c r="R99">
        <f>M99+IF(N99&gt;1,N(O99)*(N99-1),0)</f>
        <v/>
      </c>
      <c r="S99">
        <f>IFERROR(L99*MAX(N99,1)/R99*Q99*IF(ISBLANK(K94),1,K94),0)</f>
        <v/>
      </c>
      <c r="AB99" s="7" t="inlineStr">
        <is>
          <t>^RA2MediumCannon, ^RA2EliteEffects</t>
        </is>
      </c>
    </row>
    <row r="100">
      <c r="B100" s="7" t="inlineStr">
        <is>
          <t xml:space="preserve">  ↳ RA2120mm_elite_rad</t>
        </is>
      </c>
      <c r="C100" s="7" t="inlineStr">
        <is>
          <t>Armament@PRIMARYELITERad</t>
        </is>
      </c>
      <c r="L100" s="6" t="n">
        <v>6000</v>
      </c>
      <c r="M100" s="6" t="n">
        <v>54</v>
      </c>
      <c r="N100" s="6" t="n">
        <v>2</v>
      </c>
      <c r="O100" s="6" t="n">
        <v>3</v>
      </c>
      <c r="P100" s="6" t="n">
        <v>6374</v>
      </c>
      <c r="Q100" s="6" t="n">
        <v>1</v>
      </c>
      <c r="R100">
        <f>M100+IF(N100&gt;1,N(O100)*(N100-1),0)</f>
        <v/>
      </c>
      <c r="S100">
        <f>IFERROR(L100*MAX(N100,1)/R100*Q100*IF(ISBLANK(K94),1,K94),0)</f>
        <v/>
      </c>
      <c r="AB100" s="7" t="inlineStr">
        <is>
          <t>^MediumChemicalWeapon, ^RA2MediumCannon, ^RA2RadShell, ^RA2EliteEffects</t>
        </is>
      </c>
    </row>
    <row r="101">
      <c r="B101" s="7" t="inlineStr">
        <is>
          <t xml:space="preserve">  ↳ RA2120mm_elite_fire</t>
        </is>
      </c>
      <c r="C101" s="7" t="inlineStr">
        <is>
          <t>Armament@PRIMARYELITEFire</t>
        </is>
      </c>
      <c r="L101" s="6" t="n">
        <v>10000</v>
      </c>
      <c r="M101" s="6" t="n">
        <v>54</v>
      </c>
      <c r="N101" s="6" t="n">
        <v>2</v>
      </c>
      <c r="O101" s="6" t="n">
        <v>3</v>
      </c>
      <c r="P101" s="6" t="n">
        <v>6374</v>
      </c>
      <c r="Q101" s="6" t="n">
        <v>1</v>
      </c>
      <c r="R101">
        <f>M101+IF(N101&gt;1,N(O101)*(N101-1),0)</f>
        <v/>
      </c>
      <c r="S101">
        <f>IFERROR(L101*MAX(N101,1)/R101*Q101*IF(ISBLANK(K94),1,K94),0)</f>
        <v/>
      </c>
      <c r="AB101" s="7" t="inlineStr">
        <is>
          <t>^RA2MediumCannon, ^RA2EliteEffects</t>
        </is>
      </c>
    </row>
    <row r="102">
      <c r="B102" s="7" t="inlineStr">
        <is>
          <t xml:space="preserve">  ↳ RA2120mm_elite_tesla</t>
        </is>
      </c>
      <c r="C102" s="7" t="inlineStr">
        <is>
          <t>Armament@PRIMARYELITETesla</t>
        </is>
      </c>
      <c r="L102" s="6" t="n">
        <v>10000</v>
      </c>
      <c r="M102" s="6" t="n">
        <v>54</v>
      </c>
      <c r="N102" s="6" t="n">
        <v>2</v>
      </c>
      <c r="O102" s="6" t="n">
        <v>3</v>
      </c>
      <c r="P102" s="6" t="n">
        <v>6374</v>
      </c>
      <c r="Q102" s="6" t="n">
        <v>1</v>
      </c>
      <c r="R102">
        <f>M102+IF(N102&gt;1,N(O102)*(N102-1),0)</f>
        <v/>
      </c>
      <c r="S102">
        <f>IFERROR(L102*MAX(N102,1)/R102*Q102*IF(ISBLANK(K94),1,K94),0)</f>
        <v/>
      </c>
      <c r="AB102" s="7" t="inlineStr">
        <is>
          <t>^RA2MediumCannon, ^RA2EliteEffects</t>
        </is>
      </c>
    </row>
    <row r="103">
      <c r="A103" t="inlineStr">
        <is>
          <t>redalert2</t>
        </is>
      </c>
      <c r="B103" t="inlineStr">
        <is>
          <t>yuri_lashertank</t>
        </is>
      </c>
      <c r="C103" t="inlineStr">
        <is>
          <t>Lasher Tank</t>
        </is>
      </c>
      <c r="D103" s="6" t="inlineStr">
        <is>
          <t>MainBattleTank</t>
        </is>
      </c>
      <c r="E103" s="6" t="n">
        <v>70000</v>
      </c>
      <c r="F103" s="6" t="n">
        <v>105</v>
      </c>
      <c r="G103" t="inlineStr">
        <is>
          <t>Medium</t>
        </is>
      </c>
      <c r="H103" s="6" t="n">
        <v>1</v>
      </c>
      <c r="I103" s="6" t="n">
        <v>1</v>
      </c>
      <c r="J103" s="6" t="n">
        <v>1</v>
      </c>
      <c r="K103" s="6" t="n"/>
      <c r="P103">
        <f>MAX(P104,P105,P106,P107,P108,P109)</f>
        <v/>
      </c>
      <c r="S103">
        <f>S104+S105+S106+S107+S108+S109</f>
        <v/>
      </c>
      <c r="T103">
        <f>(E103/100000+F103/100+(P103/1000)*J103/5+S103/200)*200*I103*H103</f>
        <v/>
      </c>
      <c r="U103">
        <f>((E103*F103/25000)+((P103/1000)*J103*S103/2.5))*I103*H103</f>
        <v/>
      </c>
      <c r="V103">
        <f>(E103*F103*(P103/1000)*J103*S103*I103*H103)/12500000</f>
        <v/>
      </c>
      <c r="W103">
        <f>800*(T103/800+U103/800+V103/800)/3</f>
        <v/>
      </c>
      <c r="X103" s="6" t="n">
        <v>600</v>
      </c>
      <c r="Y103">
        <f>IFERROR(W103-X103,"")</f>
        <v/>
      </c>
      <c r="Z103">
        <f>IFERROR(ABS(Y103)/MAX(X103,1),"")</f>
        <v/>
      </c>
      <c r="AA103">
        <f>IFERROR((X103-(((E103/100000+F103/100+S103/200)*200*I103*H103)+((E103*F103/25000)*I103*H103))/3)/(((J103/5)*200*I103*H103)+((J103*S103/2.5)*I103*H103)+((E103*F103*J103*S103*I103*H103)/12500000))/3*1000,"")</f>
        <v/>
      </c>
    </row>
    <row r="104">
      <c r="B104" s="7" t="inlineStr">
        <is>
          <t xml:space="preserve">  ↳ RA2LasherCannon</t>
        </is>
      </c>
      <c r="C104" s="7" t="inlineStr">
        <is>
          <t>Armament@PRIMARY</t>
        </is>
      </c>
      <c r="L104" s="6" t="n">
        <v>2000</v>
      </c>
      <c r="M104" s="6" t="n">
        <v>68</v>
      </c>
      <c r="N104" s="6" t="n">
        <v>1</v>
      </c>
      <c r="O104" s="6" t="n"/>
      <c r="P104" s="6" t="n">
        <v>5201</v>
      </c>
      <c r="Q104" s="6" t="n">
        <v>0.95</v>
      </c>
      <c r="R104">
        <f>M104+IF(N104&gt;1,N(O104)*(N104-1),0)</f>
        <v/>
      </c>
      <c r="S104">
        <f>IFERROR(L104*MAX(N104,1)/R104*Q104*IF(ISBLANK(K103),1,K103),0)</f>
        <v/>
      </c>
      <c r="AB104" s="7" t="inlineStr">
        <is>
          <t>^Grenade, ^ShrapnelWeapon, ^LightFlameWeapon, ^MediumChemicalWeapon, ^TankDestroyerCannon, ^RA2MediumCannon</t>
        </is>
      </c>
    </row>
    <row r="105">
      <c r="B105" s="7" t="inlineStr">
        <is>
          <t xml:space="preserve">  ↳ RA2LasherCannon_elite</t>
        </is>
      </c>
      <c r="C105" s="7" t="inlineStr">
        <is>
          <t>Armament@ELITE</t>
        </is>
      </c>
      <c r="L105" s="6" t="n">
        <v>2000</v>
      </c>
      <c r="M105" s="6" t="n">
        <v>68</v>
      </c>
      <c r="N105" s="6" t="n">
        <v>2</v>
      </c>
      <c r="O105" s="6" t="n">
        <v>3</v>
      </c>
      <c r="P105" s="6" t="n">
        <v>6201</v>
      </c>
      <c r="Q105" s="6" t="n">
        <v>0.95</v>
      </c>
      <c r="R105">
        <f>M105+IF(N105&gt;1,N(O105)*(N105-1),0)</f>
        <v/>
      </c>
      <c r="S105">
        <f>IFERROR(L105*MAX(N105,1)/R105*Q105*IF(ISBLANK(K103),1,K103),0)</f>
        <v/>
      </c>
      <c r="AB105" s="7" t="inlineStr">
        <is>
          <t>^Grenade, ^ShrapnelWeapon, ^LightFlameWeapon, ^MediumChemicalWeapon, ^TankDestroyerCannon, ^RA2MediumCannon, ^RA2EliteEffects</t>
        </is>
      </c>
    </row>
    <row r="106">
      <c r="B106" s="7" t="inlineStr">
        <is>
          <t xml:space="preserve">  ↳ RA2LasherToxicMortar</t>
        </is>
      </c>
      <c r="C106" s="7" t="inlineStr">
        <is>
          <t>Armament@Toxic</t>
        </is>
      </c>
      <c r="L106" s="6" t="n">
        <v>2000</v>
      </c>
      <c r="M106" s="6" t="n">
        <v>105</v>
      </c>
      <c r="N106" s="6" t="n">
        <v>1</v>
      </c>
      <c r="O106" s="6" t="n"/>
      <c r="P106" s="6" t="n">
        <v>9000</v>
      </c>
      <c r="Q106" s="6" t="n">
        <v>1.0625</v>
      </c>
      <c r="R106">
        <f>M106+IF(N106&gt;1,N(O106)*(N106-1),0)</f>
        <v/>
      </c>
      <c r="S106">
        <f>IFERROR(L106*MAX(N106,1)/R106*Q106*IF(ISBLANK(K103),1,K103),0)</f>
        <v/>
      </c>
      <c r="AB106" s="7" t="inlineStr">
        <is>
          <t>^Grenade, ^ShrapnelWeapon, ^HeavyBomb, ^LightChemicalWeapon, ^MediumChemicalWeapon, ^HeavyChemicalWeapon, ^TankDestroyerCannon, ^MediumCannon, ^HeavyCannon</t>
        </is>
      </c>
    </row>
    <row r="107">
      <c r="B107" s="7" t="inlineStr">
        <is>
          <t xml:space="preserve">  ↳ RA2LasherToxicMortar_elite</t>
        </is>
      </c>
      <c r="C107" s="7" t="inlineStr">
        <is>
          <t>Armament@ToxicELITE</t>
        </is>
      </c>
      <c r="L107" s="6" t="n">
        <v>4000</v>
      </c>
      <c r="M107" s="6" t="n">
        <v>105</v>
      </c>
      <c r="N107" s="6" t="n">
        <v>1</v>
      </c>
      <c r="O107" s="6" t="n"/>
      <c r="P107" s="6" t="n">
        <v>10000</v>
      </c>
      <c r="Q107" s="6" t="n">
        <v>1.0625</v>
      </c>
      <c r="R107">
        <f>M107+IF(N107&gt;1,N(O107)*(N107-1),0)</f>
        <v/>
      </c>
      <c r="S107">
        <f>IFERROR(L107*MAX(N107,1)/R107*Q107*IF(ISBLANK(K103),1,K103),0)</f>
        <v/>
      </c>
      <c r="AB107" s="7" t="inlineStr">
        <is>
          <t>^Grenade, ^ShrapnelWeapon, ^HeavyBomb, ^LightChemicalWeapon, ^MediumChemicalWeapon, ^HeavyChemicalWeapon, ^TankDestroyerCannon, ^MediumCannon, ^HeavyCannon</t>
        </is>
      </c>
    </row>
    <row r="108">
      <c r="B108" s="7" t="inlineStr">
        <is>
          <t xml:space="preserve">  ↳ RA2LasherLaser</t>
        </is>
      </c>
      <c r="C108" s="7" t="inlineStr">
        <is>
          <t>Armament@Laser</t>
        </is>
      </c>
      <c r="L108" s="6" t="n">
        <v>8000</v>
      </c>
      <c r="M108" s="6" t="n">
        <v>81</v>
      </c>
      <c r="N108" s="6" t="n">
        <v>1</v>
      </c>
      <c r="O108" s="6" t="n"/>
      <c r="P108" s="6" t="n">
        <v>7065</v>
      </c>
      <c r="Q108" s="6" t="n">
        <v>1</v>
      </c>
      <c r="R108">
        <f>M108+IF(N108&gt;1,N(O108)*(N108-1),0)</f>
        <v/>
      </c>
      <c r="S108">
        <f>IFERROR(L108*MAX(N108,1)/R108*Q108*IF(ISBLANK(K103),1,K103),0)</f>
        <v/>
      </c>
      <c r="AB108" s="7" t="inlineStr">
        <is>
          <t>^MediumCannon, ^LaserWeapon</t>
        </is>
      </c>
    </row>
    <row r="109">
      <c r="B109" s="7" t="inlineStr">
        <is>
          <t xml:space="preserve">  ↳ RA2LasherLaser_elite</t>
        </is>
      </c>
      <c r="C109" s="7" t="inlineStr">
        <is>
          <t>Armament@LaserELITE</t>
        </is>
      </c>
      <c r="L109" s="6" t="n">
        <v>16000</v>
      </c>
      <c r="M109" s="6" t="n">
        <v>81</v>
      </c>
      <c r="N109" s="6" t="n">
        <v>1</v>
      </c>
      <c r="O109" s="6" t="n"/>
      <c r="P109" s="6" t="n">
        <v>8065</v>
      </c>
      <c r="Q109" s="6" t="n">
        <v>1</v>
      </c>
      <c r="R109">
        <f>M109+IF(N109&gt;1,N(O109)*(N109-1),0)</f>
        <v/>
      </c>
      <c r="S109">
        <f>IFERROR(L109*MAX(N109,1)/R109*Q109*IF(ISBLANK(K103),1,K103),0)</f>
        <v/>
      </c>
      <c r="AB109" s="7" t="inlineStr">
        <is>
          <t>^MediumCannon, ^LaserWeapon</t>
        </is>
      </c>
    </row>
    <row r="110">
      <c r="A110" t="inlineStr">
        <is>
          <t>redalert2mod</t>
        </is>
      </c>
      <c r="B110" t="inlineStr">
        <is>
          <t>asianalliance_lynxtank</t>
        </is>
      </c>
      <c r="C110" t="inlineStr">
        <is>
          <t>Lynx Tank</t>
        </is>
      </c>
      <c r="D110" s="6" t="inlineStr">
        <is>
          <t>MainBattleTank</t>
        </is>
      </c>
      <c r="E110" s="6" t="n">
        <v>120000</v>
      </c>
      <c r="F110" s="6" t="n">
        <v>90</v>
      </c>
      <c r="G110" t="inlineStr">
        <is>
          <t>Medium</t>
        </is>
      </c>
      <c r="H110" s="6" t="n">
        <v>1</v>
      </c>
      <c r="I110" s="6" t="n">
        <v>1</v>
      </c>
      <c r="J110" s="6" t="n">
        <v>1</v>
      </c>
      <c r="K110" s="6" t="n"/>
      <c r="P110">
        <f>MAX(P111,P112,P113,P114)</f>
        <v/>
      </c>
      <c r="S110">
        <f>S111+S112+S113+S114</f>
        <v/>
      </c>
      <c r="T110">
        <f>(E110/100000+F110/100+(P110/1000)*J110/5+S110/200)*200*I110*H110</f>
        <v/>
      </c>
      <c r="U110">
        <f>((E110*F110/25000)+((P110/1000)*J110*S110/2.5))*I110*H110</f>
        <v/>
      </c>
      <c r="V110">
        <f>(E110*F110*(P110/1000)*J110*S110*I110*H110)/12500000</f>
        <v/>
      </c>
      <c r="W110">
        <f>800*(T110/800+U110/800+V110/800)/3</f>
        <v/>
      </c>
      <c r="X110" s="6" t="n">
        <v>850</v>
      </c>
      <c r="Y110">
        <f>IFERROR(W110-X110,"")</f>
        <v/>
      </c>
      <c r="Z110">
        <f>IFERROR(ABS(Y110)/MAX(X110,1),"")</f>
        <v/>
      </c>
      <c r="AA110">
        <f>IFERROR((X110-(((E110/100000+F110/100+S110/200)*200*I110*H110)+((E110*F110/25000)*I110*H110))/3)/(((J110/5)*200*I110*H110)+((J110*S110/2.5)*I110*H110)+((E110*F110*J110*S110*I110*H110)/12500000))/3*1000,"")</f>
        <v/>
      </c>
    </row>
    <row r="111">
      <c r="B111" s="7" t="inlineStr">
        <is>
          <t xml:space="preserve">  ↳ AsianLynxTankCannon</t>
        </is>
      </c>
      <c r="C111" s="7" t="inlineStr">
        <is>
          <t>Armament</t>
        </is>
      </c>
      <c r="L111" s="6" t="n">
        <v>2000</v>
      </c>
      <c r="M111" s="6" t="n">
        <v>55</v>
      </c>
      <c r="N111" s="6" t="n">
        <v>1</v>
      </c>
      <c r="O111" s="6" t="n"/>
      <c r="P111" s="6" t="n">
        <v>5357</v>
      </c>
      <c r="Q111" s="6" t="n">
        <v>0.95</v>
      </c>
      <c r="R111">
        <f>M111+IF(N111&gt;1,N(O111)*(N111-1),0)</f>
        <v/>
      </c>
      <c r="S111">
        <f>IFERROR(L111*MAX(N111,1)/R111*Q111*IF(ISBLANK(K110),1,K110),0)</f>
        <v/>
      </c>
      <c r="AB111" s="7" t="inlineStr">
        <is>
          <t>^Grenade, ^ShrapnelWeapon, ^LightFlameWeapon, ^MediumChemicalWeapon, ^TankDestroyerCannon, ^RA2MediumCannon</t>
        </is>
      </c>
    </row>
    <row r="112">
      <c r="B112" s="7" t="inlineStr">
        <is>
          <t xml:space="preserve">  ↳ AsianLynxTankCannon_elite</t>
        </is>
      </c>
      <c r="C112" s="7" t="inlineStr">
        <is>
          <t>Armament@elite</t>
        </is>
      </c>
      <c r="L112" s="6" t="n">
        <v>2000</v>
      </c>
      <c r="M112" s="6" t="n">
        <v>55</v>
      </c>
      <c r="N112" s="6" t="n">
        <v>2</v>
      </c>
      <c r="O112" s="6" t="n">
        <v>3</v>
      </c>
      <c r="P112" s="6" t="n">
        <v>6357</v>
      </c>
      <c r="Q112" s="6" t="n">
        <v>0.95</v>
      </c>
      <c r="R112">
        <f>M112+IF(N112&gt;1,N(O112)*(N112-1),0)</f>
        <v/>
      </c>
      <c r="S112">
        <f>IFERROR(L112*MAX(N112,1)/R112*Q112*IF(ISBLANK(K110),1,K110),0)</f>
        <v/>
      </c>
      <c r="AB112" s="7" t="inlineStr">
        <is>
          <t>^Grenade, ^ShrapnelWeapon, ^LightFlameWeapon, ^MediumChemicalWeapon, ^TankDestroyerCannon, ^RA2MediumCannon, ^RA2EliteEffects</t>
        </is>
      </c>
    </row>
    <row r="113">
      <c r="B113" s="7" t="inlineStr">
        <is>
          <t xml:space="preserve">  ↳ AsianLynxMG</t>
        </is>
      </c>
      <c r="C113" s="7" t="inlineStr">
        <is>
          <t>Armament@MG</t>
        </is>
      </c>
      <c r="L113" s="6" t="n">
        <v>2000</v>
      </c>
      <c r="M113" s="6" t="n">
        <v>51</v>
      </c>
      <c r="N113" s="6" t="n">
        <v>3</v>
      </c>
      <c r="O113" s="6" t="n">
        <v>2</v>
      </c>
      <c r="P113" s="6" t="n">
        <v>5357</v>
      </c>
      <c r="Q113" s="6" t="n">
        <v>0.875</v>
      </c>
      <c r="R113">
        <f>M113+IF(N113&gt;1,N(O113)*(N113-1),0)</f>
        <v/>
      </c>
      <c r="S113">
        <f>IFERROR(L113*MAX(N113,1)/R113*Q113*IF(ISBLANK(K110),1,K110),0)</f>
        <v/>
      </c>
      <c r="AB113" s="7" t="inlineStr">
        <is>
          <t>^RA2SmallArms, ^RA2Chaingun</t>
        </is>
      </c>
    </row>
    <row r="114">
      <c r="B114" s="7" t="inlineStr">
        <is>
          <t xml:space="preserve">  ↳ AsianLynxMG_elite</t>
        </is>
      </c>
      <c r="C114" s="7" t="inlineStr">
        <is>
          <t>Armament@MGelite</t>
        </is>
      </c>
      <c r="L114" s="6" t="n">
        <v>2000</v>
      </c>
      <c r="M114" s="6" t="n">
        <v>51</v>
      </c>
      <c r="N114" s="6" t="n">
        <v>6</v>
      </c>
      <c r="O114" s="6" t="n">
        <v>2</v>
      </c>
      <c r="P114" s="6" t="n">
        <v>6357</v>
      </c>
      <c r="Q114" s="6" t="n">
        <v>0.875</v>
      </c>
      <c r="R114">
        <f>M114+IF(N114&gt;1,N(O114)*(N114-1),0)</f>
        <v/>
      </c>
      <c r="S114">
        <f>IFERROR(L114*MAX(N114,1)/R114*Q114*IF(ISBLANK(K110),1,K110),0)</f>
        <v/>
      </c>
      <c r="AB114" s="7" t="inlineStr">
        <is>
          <t>^RA2SmallArms, ^RA2Chaingun, ^RA2EliteEffects</t>
        </is>
      </c>
    </row>
    <row r="115">
      <c r="A115" t="inlineStr">
        <is>
          <t>redalert2mod</t>
        </is>
      </c>
      <c r="B115" t="inlineStr">
        <is>
          <t>ptnk.asian</t>
        </is>
      </c>
      <c r="C115" t="inlineStr">
        <is>
          <t>Plasma Tank</t>
        </is>
      </c>
      <c r="D115" s="6" t="inlineStr">
        <is>
          <t>MainBattleTank</t>
        </is>
      </c>
      <c r="E115" s="6" t="n">
        <v>130000</v>
      </c>
      <c r="F115" s="6" t="n">
        <v>50</v>
      </c>
      <c r="G115" t="inlineStr">
        <is>
          <t>Heavy</t>
        </is>
      </c>
      <c r="H115" s="6" t="n">
        <v>1</v>
      </c>
      <c r="I115" s="6" t="n">
        <v>1</v>
      </c>
      <c r="J115" s="6" t="n">
        <v>1</v>
      </c>
      <c r="K115" s="6" t="n"/>
      <c r="P115">
        <f>MAX(P116,P117)</f>
        <v/>
      </c>
      <c r="S115">
        <f>S116+S117</f>
        <v/>
      </c>
      <c r="T115">
        <f>(E115/100000+F115/100+(P115/1000)*J115/5+S115/200)*200*I115*H115</f>
        <v/>
      </c>
      <c r="U115">
        <f>((E115*F115/25000)+((P115/1000)*J115*S115/2.5))*I115*H115</f>
        <v/>
      </c>
      <c r="V115">
        <f>(E115*F115*(P115/1000)*J115*S115*I115*H115)/12500000</f>
        <v/>
      </c>
      <c r="W115">
        <f>800*(T115/800+U115/800+V115/800)/3</f>
        <v/>
      </c>
      <c r="X115" s="6" t="n">
        <v>2400</v>
      </c>
      <c r="Y115">
        <f>IFERROR(W115-X115,"")</f>
        <v/>
      </c>
      <c r="Z115">
        <f>IFERROR(ABS(Y115)/MAX(X115,1),"")</f>
        <v/>
      </c>
      <c r="AA115">
        <f>IFERROR((X115-(((E115/100000+F115/100+S115/200)*200*I115*H115)+((E115*F115/25000)*I115*H115))/3)/(((J115/5)*200*I115*H115)+((J115*S115/2.5)*I115*H115)+((E115*F115*J115*S115*I115*H115)/12500000))/3*1000,"")</f>
        <v/>
      </c>
    </row>
    <row r="116">
      <c r="B116" s="7" t="inlineStr">
        <is>
          <t xml:space="preserve">  ↳ AsianTwinPlasma</t>
        </is>
      </c>
      <c r="C116" s="7" t="inlineStr">
        <is>
          <t>Armament@PRIMARY</t>
        </is>
      </c>
      <c r="L116" s="6" t="n">
        <v>2000</v>
      </c>
      <c r="M116" s="6" t="n">
        <v>25</v>
      </c>
      <c r="N116" s="6" t="n">
        <v>2</v>
      </c>
      <c r="O116" s="6" t="n">
        <v>5</v>
      </c>
      <c r="P116" s="6" t="n">
        <v>7777</v>
      </c>
      <c r="Q116" s="6" t="n">
        <v>1</v>
      </c>
      <c r="R116">
        <f>M116+IF(N116&gt;1,N(O116)*(N116-1),0)</f>
        <v/>
      </c>
      <c r="S116">
        <f>IFERROR(L116*MAX(N116,1)/R116*Q116*IF(ISBLANK(K115),1,K115),0)</f>
        <v/>
      </c>
      <c r="AB116" s="7" t="inlineStr">
        <is>
          <t>^LightFlameWeapon, ^LightChemicalWeapon, ^MediumFlameWeapon, ^MediumChemicalWeapon, ^MediumCannon, ^ShrapnelWeapon, ^HeavyBomb, ^RA2HeavyCannon</t>
        </is>
      </c>
    </row>
    <row r="117">
      <c r="B117" s="7" t="inlineStr">
        <is>
          <t xml:space="preserve">  ↳ AsianTwinPlasmaE</t>
        </is>
      </c>
      <c r="C117" s="7" t="inlineStr">
        <is>
          <t>Armament@ELITE</t>
        </is>
      </c>
      <c r="L117" s="6" t="n">
        <v>2000</v>
      </c>
      <c r="M117" s="6" t="n">
        <v>25</v>
      </c>
      <c r="N117" s="6" t="n">
        <v>4</v>
      </c>
      <c r="O117" s="6" t="n">
        <v>5</v>
      </c>
      <c r="P117" s="6" t="n">
        <v>8888</v>
      </c>
      <c r="Q117" s="6" t="n">
        <v>1</v>
      </c>
      <c r="R117">
        <f>M117+IF(N117&gt;1,N(O117)*(N117-1),0)</f>
        <v/>
      </c>
      <c r="S117">
        <f>IFERROR(L117*MAX(N117,1)/R117*Q117*IF(ISBLANK(K115),1,K115),0)</f>
        <v/>
      </c>
      <c r="AB117" s="7" t="inlineStr">
        <is>
          <t>^LightFlameWeapon, ^LightChemicalWeapon, ^MediumFlameWeapon, ^MediumChemicalWeapon, ^MediumCannon, ^ShrapnelWeapon, ^HeavyBomb, ^RA2HeavyCannon</t>
        </is>
      </c>
    </row>
    <row r="118">
      <c r="A118" t="inlineStr">
        <is>
          <t>redalert2mod</t>
        </is>
      </c>
      <c r="B118" t="inlineStr">
        <is>
          <t>oldqtnk.steel</t>
        </is>
      </c>
      <c r="C118" t="inlineStr">
        <is>
          <t>Beta Quantum Tank</t>
        </is>
      </c>
      <c r="D118" s="6" t="inlineStr">
        <is>
          <t>MainBattleTank</t>
        </is>
      </c>
      <c r="E118" s="6" t="n">
        <v>112500</v>
      </c>
      <c r="F118" s="6" t="n">
        <v>80</v>
      </c>
      <c r="G118" t="inlineStr">
        <is>
          <t>Heavy</t>
        </is>
      </c>
      <c r="H118" s="6" t="n">
        <v>1</v>
      </c>
      <c r="I118" s="6" t="n">
        <v>1</v>
      </c>
      <c r="J118" s="6" t="n">
        <v>1</v>
      </c>
      <c r="K118" s="6" t="n"/>
      <c r="P118">
        <f>MAX(P119)</f>
        <v/>
      </c>
      <c r="S118">
        <f>S119</f>
        <v/>
      </c>
      <c r="T118">
        <f>(E118/100000+F118/100+(P118/1000)*J118/5+S118/200)*200*I118*H118</f>
        <v/>
      </c>
      <c r="U118">
        <f>((E118*F118/25000)+((P118/1000)*J118*S118/2.5))*I118*H118</f>
        <v/>
      </c>
      <c r="V118">
        <f>(E118*F118*(P118/1000)*J118*S118*I118*H118)/12500000</f>
        <v/>
      </c>
      <c r="W118">
        <f>800*(T118/800+U118/800+V118/800)/3</f>
        <v/>
      </c>
      <c r="X118" s="6" t="n">
        <v>2400</v>
      </c>
      <c r="Y118">
        <f>IFERROR(W118-X118,"")</f>
        <v/>
      </c>
      <c r="Z118">
        <f>IFERROR(ABS(Y118)/MAX(X118,1),"")</f>
        <v/>
      </c>
      <c r="AA118">
        <f>IFERROR((X118-(((E118/100000+F118/100+S118/200)*200*I118*H118)+((E118*F118/25000)*I118*H118))/3)/(((J118/5)*200*I118*H118)+((J118*S118/2.5)*I118*H118)+((E118*F118*J118*S118*I118*H118)/12500000))/3*1000,"")</f>
        <v/>
      </c>
    </row>
    <row r="119">
      <c r="B119" s="7" t="inlineStr">
        <is>
          <t xml:space="preserve">  ↳ SteelQuantumCannon_elite</t>
        </is>
      </c>
      <c r="C119" s="7" t="inlineStr">
        <is>
          <t>Armament</t>
        </is>
      </c>
      <c r="L119" s="6" t="n">
        <v>12000</v>
      </c>
      <c r="M119" s="6" t="n">
        <v>65</v>
      </c>
      <c r="N119" s="6" t="n">
        <v>1</v>
      </c>
      <c r="O119" s="6" t="n"/>
      <c r="P119" s="6" t="n">
        <v>7000</v>
      </c>
      <c r="Q119" s="6" t="n">
        <v>1.083333333333333</v>
      </c>
      <c r="R119">
        <f>M119+IF(N119&gt;1,N(O119)*(N119-1),0)</f>
        <v/>
      </c>
      <c r="S119">
        <f>IFERROR(L119*MAX(N119,1)/R119*Q119*IF(ISBLANK(K118),1,K118),0)</f>
        <v/>
      </c>
      <c r="AB119" s="7" t="inlineStr">
        <is>
          <t>^TeslaWeapon, ^LaserWeapon, ^RailgunWeapon</t>
        </is>
      </c>
    </row>
    <row r="120">
      <c r="A120" t="inlineStr">
        <is>
          <t>redalert2mod</t>
        </is>
      </c>
      <c r="B120" t="inlineStr">
        <is>
          <t>steelconsortium_mako</t>
        </is>
      </c>
      <c r="C120" t="inlineStr">
        <is>
          <t>Mako</t>
        </is>
      </c>
      <c r="D120" s="6" t="inlineStr">
        <is>
          <t>MainBattleTank</t>
        </is>
      </c>
      <c r="E120" s="6" t="n">
        <v>95000</v>
      </c>
      <c r="F120" s="6" t="n">
        <v>85</v>
      </c>
      <c r="G120" t="inlineStr">
        <is>
          <t>Medium</t>
        </is>
      </c>
      <c r="H120" s="6" t="n">
        <v>1</v>
      </c>
      <c r="I120" s="6" t="n">
        <v>1</v>
      </c>
      <c r="J120" s="6" t="n">
        <v>0.75</v>
      </c>
      <c r="K120" s="6" t="n"/>
      <c r="P120">
        <f>MAX(P121,P122,P123,P124)</f>
        <v/>
      </c>
      <c r="S120">
        <f>S121+S122+S123+S124</f>
        <v/>
      </c>
      <c r="T120">
        <f>(E120/100000+F120/100+(P120/1000)*J120/5+S120/200)*200*I120*H120</f>
        <v/>
      </c>
      <c r="U120">
        <f>((E120*F120/25000)+((P120/1000)*J120*S120/2.5))*I120*H120</f>
        <v/>
      </c>
      <c r="V120">
        <f>(E120*F120*(P120/1000)*J120*S120*I120*H120)/12500000</f>
        <v/>
      </c>
      <c r="W120">
        <f>800*(T120/800+U120/800+V120/800)/3</f>
        <v/>
      </c>
      <c r="X120" s="6" t="n">
        <v>900</v>
      </c>
      <c r="Y120">
        <f>IFERROR(W120-X120,"")</f>
        <v/>
      </c>
      <c r="Z120">
        <f>IFERROR(ABS(Y120)/MAX(X120,1),"")</f>
        <v/>
      </c>
      <c r="AA120">
        <f>IFERROR((X120-(((E120/100000+F120/100+S120/200)*200*I120*H120)+((E120*F120/25000)*I120*H120))/3)/(((J120/5)*200*I120*H120)+((J120*S120/2.5)*I120*H120)+((E120*F120*J120*S120*I120*H120)/12500000))/3*1000,"")</f>
        <v/>
      </c>
    </row>
    <row r="121">
      <c r="B121" s="7" t="inlineStr">
        <is>
          <t xml:space="preserve">  ↳ SteelMakoGun</t>
        </is>
      </c>
      <c r="C121" s="7" t="inlineStr">
        <is>
          <t>Armament@PRIMARY</t>
        </is>
      </c>
      <c r="L121" s="6" t="n">
        <v>2000</v>
      </c>
      <c r="M121" s="6" t="n">
        <v>25</v>
      </c>
      <c r="N121" s="6" t="n">
        <v>1</v>
      </c>
      <c r="O121" s="6" t="n"/>
      <c r="P121" s="6" t="n">
        <v>6050</v>
      </c>
      <c r="Q121" s="6" t="n">
        <v>1.0625</v>
      </c>
      <c r="R121">
        <f>M121+IF(N121&gt;1,N(O121)*(N121-1),0)</f>
        <v/>
      </c>
      <c r="S121">
        <f>IFERROR(L121*MAX(N121,1)/R121*Q121*IF(ISBLANK(K120),1,K120),0)</f>
        <v/>
      </c>
      <c r="AB121" s="7" t="inlineStr">
        <is>
          <t>^MediumFlameWeapon, ^RA2Grenade, ^RA2RailgunWeapon, ^SteelMediumCannon</t>
        </is>
      </c>
    </row>
    <row r="122">
      <c r="B122" s="7" t="inlineStr">
        <is>
          <t xml:space="preserve">  ↳ SteelMakoGunE</t>
        </is>
      </c>
      <c r="C122" s="7" t="inlineStr">
        <is>
          <t>Armament@ELITE</t>
        </is>
      </c>
      <c r="L122" s="6" t="n">
        <v>2000</v>
      </c>
      <c r="M122" s="6" t="n">
        <v>25</v>
      </c>
      <c r="N122" s="6" t="n">
        <v>2</v>
      </c>
      <c r="O122" s="6" t="n">
        <v>3</v>
      </c>
      <c r="P122" s="6" t="n">
        <v>7050</v>
      </c>
      <c r="Q122" s="6" t="n">
        <v>1.0625</v>
      </c>
      <c r="R122">
        <f>M122+IF(N122&gt;1,N(O122)*(N122-1),0)</f>
        <v/>
      </c>
      <c r="S122">
        <f>IFERROR(L122*MAX(N122,1)/R122*Q122*IF(ISBLANK(K120),1,K120),0)</f>
        <v/>
      </c>
      <c r="AB122" s="7" t="inlineStr">
        <is>
          <t>^MediumFlameWeapon, ^RA2Grenade, ^RA2RailgunWeapon, ^SteelMediumCannon</t>
        </is>
      </c>
    </row>
    <row r="123">
      <c r="B123" s="7" t="inlineStr">
        <is>
          <t xml:space="preserve">  ↳ SteelMakoGunEMP</t>
        </is>
      </c>
      <c r="C123" s="7" t="inlineStr">
        <is>
          <t>Armament@UpgradePRIMARY</t>
        </is>
      </c>
      <c r="L123" s="6" t="n">
        <v>2000</v>
      </c>
      <c r="M123" s="6" t="n">
        <v>25</v>
      </c>
      <c r="N123" s="6" t="n">
        <v>1</v>
      </c>
      <c r="O123" s="6" t="n"/>
      <c r="P123" s="6" t="n">
        <v>6050</v>
      </c>
      <c r="Q123" s="6" t="n">
        <v>1</v>
      </c>
      <c r="R123">
        <f>M123+IF(N123&gt;1,N(O123)*(N123-1),0)</f>
        <v/>
      </c>
      <c r="S123">
        <f>IFERROR(L123*MAX(N123,1)/R123*Q123*IF(ISBLANK(K120),1,K120),0)</f>
        <v/>
      </c>
      <c r="AB123" s="7" t="inlineStr">
        <is>
          <t>^LightChemicalWeapon, ^TeslaWeapon, ^MediumFlameWeapon, ^RA2Grenade, ^RA2RailgunWeapon, ^SteelMediumCannon</t>
        </is>
      </c>
    </row>
    <row r="124">
      <c r="B124" s="7" t="inlineStr">
        <is>
          <t xml:space="preserve">  ↳ SteelMakoGunEMPE</t>
        </is>
      </c>
      <c r="C124" s="7" t="inlineStr">
        <is>
          <t>Armament@UpgradeELITE</t>
        </is>
      </c>
      <c r="L124" s="6" t="n">
        <v>2000</v>
      </c>
      <c r="M124" s="6" t="n">
        <v>25</v>
      </c>
      <c r="N124" s="6" t="n">
        <v>2</v>
      </c>
      <c r="O124" s="6" t="n">
        <v>3</v>
      </c>
      <c r="P124" s="6" t="n">
        <v>7050</v>
      </c>
      <c r="Q124" s="6" t="n">
        <v>1</v>
      </c>
      <c r="R124">
        <f>M124+IF(N124&gt;1,N(O124)*(N124-1),0)</f>
        <v/>
      </c>
      <c r="S124">
        <f>IFERROR(L124*MAX(N124,1)/R124*Q124*IF(ISBLANK(K120),1,K120),0)</f>
        <v/>
      </c>
      <c r="AB124" s="7" t="inlineStr">
        <is>
          <t>^LightChemicalWeapon, ^TeslaWeapon, ^MediumFlameWeapon, ^RA2Grenade, ^RA2RailgunWeapon, ^SteelMediumCannon</t>
        </is>
      </c>
    </row>
    <row r="125">
      <c r="A125" t="inlineStr">
        <is>
          <t>redalert2mod</t>
        </is>
      </c>
      <c r="B125" t="inlineStr">
        <is>
          <t>steelconsortium_quantumtank</t>
        </is>
      </c>
      <c r="C125" t="inlineStr">
        <is>
          <t>Quantum Tank</t>
        </is>
      </c>
      <c r="D125" s="6" t="inlineStr">
        <is>
          <t>MainBattleTank</t>
        </is>
      </c>
      <c r="E125" s="6" t="n">
        <v>100000</v>
      </c>
      <c r="F125" s="6" t="n">
        <v>100</v>
      </c>
      <c r="G125" t="inlineStr">
        <is>
          <t>Heavy</t>
        </is>
      </c>
      <c r="H125" s="6" t="n">
        <v>1</v>
      </c>
      <c r="I125" s="6" t="n">
        <v>1</v>
      </c>
      <c r="J125" s="6" t="n">
        <v>1</v>
      </c>
      <c r="K125" s="6" t="n"/>
      <c r="P125">
        <f>MAX(P126,P127,P128)</f>
        <v/>
      </c>
      <c r="S125">
        <f>S126+S127+S128</f>
        <v/>
      </c>
      <c r="T125">
        <f>(E125/100000+F125/100+(P125/1000)*J125/5+S125/200)*200*I125*H125</f>
        <v/>
      </c>
      <c r="U125">
        <f>((E125*F125/25000)+((P125/1000)*J125*S125/2.5))*I125*H125</f>
        <v/>
      </c>
      <c r="V125">
        <f>(E125*F125*(P125/1000)*J125*S125*I125*H125)/12500000</f>
        <v/>
      </c>
      <c r="W125">
        <f>800*(T125/800+U125/800+V125/800)/3</f>
        <v/>
      </c>
      <c r="X125" s="6" t="n">
        <v>1600</v>
      </c>
      <c r="Y125">
        <f>IFERROR(W125-X125,"")</f>
        <v/>
      </c>
      <c r="Z125">
        <f>IFERROR(ABS(Y125)/MAX(X125,1),"")</f>
        <v/>
      </c>
      <c r="AA125">
        <f>IFERROR((X125-(((E125/100000+F125/100+S125/200)*200*I125*H125)+((E125*F125/25000)*I125*H125))/3)/(((J125/5)*200*I125*H125)+((J125*S125/2.5)*I125*H125)+((E125*F125*J125*S125*I125*H125)/12500000))/3*1000,"")</f>
        <v/>
      </c>
    </row>
    <row r="126">
      <c r="B126" s="7" t="inlineStr">
        <is>
          <t xml:space="preserve">  ↳ SteelQuantumCannon</t>
        </is>
      </c>
      <c r="C126" s="7" t="inlineStr">
        <is>
          <t>Armament</t>
        </is>
      </c>
      <c r="L126" s="6" t="n">
        <v>12000</v>
      </c>
      <c r="M126" s="6" t="n">
        <v>65</v>
      </c>
      <c r="N126" s="6" t="n">
        <v>1</v>
      </c>
      <c r="O126" s="6" t="n"/>
      <c r="P126" s="6" t="n">
        <v>6000</v>
      </c>
      <c r="Q126" s="6" t="n">
        <v>1.125</v>
      </c>
      <c r="R126">
        <f>M126+IF(N126&gt;1,N(O126)*(N126-1),0)</f>
        <v/>
      </c>
      <c r="S126">
        <f>IFERROR(L126*MAX(N126,1)/R126*Q126*IF(ISBLANK(K125),1,K125),0)</f>
        <v/>
      </c>
      <c r="AB126" s="7" t="inlineStr">
        <is>
          <t>^LaserWeapon, ^RailgunWeapon</t>
        </is>
      </c>
    </row>
    <row r="127">
      <c r="B127" s="7" t="inlineStr">
        <is>
          <t xml:space="preserve">  ↳ SteelQuantumCannonEMP</t>
        </is>
      </c>
      <c r="C127" s="7" t="inlineStr">
        <is>
          <t>Armament@Upgrade</t>
        </is>
      </c>
      <c r="L127" s="6" t="n">
        <v>8000</v>
      </c>
      <c r="M127" s="6" t="n">
        <v>65</v>
      </c>
      <c r="N127" s="6" t="n">
        <v>1</v>
      </c>
      <c r="O127" s="6" t="n"/>
      <c r="P127" s="6" t="n">
        <v>6000</v>
      </c>
      <c r="Q127" s="6" t="n">
        <v>1.083333333333333</v>
      </c>
      <c r="R127">
        <f>M127+IF(N127&gt;1,N(O127)*(N127-1),0)</f>
        <v/>
      </c>
      <c r="S127">
        <f>IFERROR(L127*MAX(N127,1)/R127*Q127*IF(ISBLANK(K125),1,K125),0)</f>
        <v/>
      </c>
      <c r="AB127" s="7" t="inlineStr">
        <is>
          <t>^TeslaWeapon, ^LaserWeapon, ^RailgunWeapon</t>
        </is>
      </c>
    </row>
    <row r="128">
      <c r="B128" s="7" t="inlineStr">
        <is>
          <t xml:space="preserve">  ↳ SteelQuantumCannon_elite</t>
        </is>
      </c>
      <c r="C128" s="7" t="inlineStr">
        <is>
          <t>Armament@elite</t>
        </is>
      </c>
      <c r="L128" s="6" t="n">
        <v>12000</v>
      </c>
      <c r="M128" s="6" t="n">
        <v>65</v>
      </c>
      <c r="N128" s="6" t="n">
        <v>1</v>
      </c>
      <c r="O128" s="6" t="n"/>
      <c r="P128" s="6" t="n">
        <v>7000</v>
      </c>
      <c r="Q128" s="6" t="n">
        <v>1.083333333333333</v>
      </c>
      <c r="R128">
        <f>M128+IF(N128&gt;1,N(O128)*(N128-1),0)</f>
        <v/>
      </c>
      <c r="S128">
        <f>IFERROR(L128*MAX(N128,1)/R128*Q128*IF(ISBLANK(K125),1,K125),0)</f>
        <v/>
      </c>
      <c r="AB128" s="7" t="inlineStr">
        <is>
          <t>^TeslaWeapon, ^LaserWeapon, ^RailgunWeapon</t>
        </is>
      </c>
    </row>
    <row r="129">
      <c r="A129" t="inlineStr">
        <is>
          <t>redalert2mod</t>
        </is>
      </c>
      <c r="B129" t="inlineStr">
        <is>
          <t>latinsyndicate_rushertank</t>
        </is>
      </c>
      <c r="C129" t="inlineStr">
        <is>
          <t>Rusher Tank</t>
        </is>
      </c>
      <c r="D129" s="6" t="inlineStr">
        <is>
          <t>MainBattleTank</t>
        </is>
      </c>
      <c r="E129" s="6" t="n">
        <v>75000</v>
      </c>
      <c r="F129" s="6" t="n">
        <v>115</v>
      </c>
      <c r="G129" t="inlineStr">
        <is>
          <t>Medium</t>
        </is>
      </c>
      <c r="H129" s="6" t="n">
        <v>1</v>
      </c>
      <c r="I129" s="6" t="n">
        <v>1</v>
      </c>
      <c r="J129" s="6" t="n">
        <v>1</v>
      </c>
      <c r="K129" s="6" t="n"/>
      <c r="P129">
        <f>MAX(P130,P131,P132,P133)</f>
        <v/>
      </c>
      <c r="S129">
        <f>S130+S131+S132+S133</f>
        <v/>
      </c>
      <c r="T129">
        <f>(E129/100000+F129/100+(P129/1000)*J129/5+S129/200)*200*I129*H129</f>
        <v/>
      </c>
      <c r="U129">
        <f>((E129*F129/25000)+((P129/1000)*J129*S129/2.5))*I129*H129</f>
        <v/>
      </c>
      <c r="V129">
        <f>(E129*F129*(P129/1000)*J129*S129*I129*H129)/12500000</f>
        <v/>
      </c>
      <c r="W129">
        <f>800*(T129/800+U129/800+V129/800)/3</f>
        <v/>
      </c>
      <c r="X129" s="6" t="n">
        <v>650</v>
      </c>
      <c r="Y129">
        <f>IFERROR(W129-X129,"")</f>
        <v/>
      </c>
      <c r="Z129">
        <f>IFERROR(ABS(Y129)/MAX(X129,1),"")</f>
        <v/>
      </c>
      <c r="AA129">
        <f>IFERROR((X129-(((E129/100000+F129/100+S129/200)*200*I129*H129)+((E129*F129/25000)*I129*H129))/3)/(((J129/5)*200*I129*H129)+((J129*S129/2.5)*I129*H129)+((E129*F129*J129*S129*I129*H129)/12500000))/3*1000,"")</f>
        <v/>
      </c>
    </row>
    <row r="130">
      <c r="B130" s="7" t="inlineStr">
        <is>
          <t xml:space="preserve">  ↳ RA2Gren60mm</t>
        </is>
      </c>
      <c r="C130" s="7" t="inlineStr">
        <is>
          <t>Armament</t>
        </is>
      </c>
      <c r="L130" s="6" t="n">
        <v>2000</v>
      </c>
      <c r="M130" s="6" t="n">
        <v>38</v>
      </c>
      <c r="N130" s="6" t="n">
        <v>1</v>
      </c>
      <c r="O130" s="6" t="n"/>
      <c r="P130" s="6" t="n">
        <v>5031</v>
      </c>
      <c r="Q130" s="6" t="n">
        <v>1.125</v>
      </c>
      <c r="R130">
        <f>M130+IF(N130&gt;1,N(O130)*(N130-1),0)</f>
        <v/>
      </c>
      <c r="S130">
        <f>IFERROR(L130*MAX(N130,1)/R130*Q130*IF(ISBLANK(K129),1,K129),0)</f>
        <v/>
      </c>
      <c r="AB130" s="7" t="inlineStr">
        <is>
          <t>^RA2HeavyCannon, ^RA2MediumCannon, ^RA2TankDestroyerCannon</t>
        </is>
      </c>
    </row>
    <row r="131">
      <c r="B131" s="7" t="inlineStr">
        <is>
          <t xml:space="preserve">  ↳ RA2Gren60mmE</t>
        </is>
      </c>
      <c r="C131" s="7" t="inlineStr">
        <is>
          <t>Armament@elite</t>
        </is>
      </c>
      <c r="L131" s="6" t="n">
        <v>2000</v>
      </c>
      <c r="M131" s="6" t="n">
        <v>38</v>
      </c>
      <c r="N131" s="6" t="n">
        <v>2</v>
      </c>
      <c r="O131" s="6" t="n">
        <v>3</v>
      </c>
      <c r="P131" s="6" t="n">
        <v>6031</v>
      </c>
      <c r="Q131" s="6" t="n">
        <v>1.125</v>
      </c>
      <c r="R131">
        <f>M131+IF(N131&gt;1,N(O131)*(N131-1),0)</f>
        <v/>
      </c>
      <c r="S131">
        <f>IFERROR(L131*MAX(N131,1)/R131*Q131*IF(ISBLANK(K129),1,K129),0)</f>
        <v/>
      </c>
      <c r="AB131" s="7" t="inlineStr">
        <is>
          <t>^RA2HeavyCannon, ^RA2MediumCannon, ^RA2TankDestroyerCannon</t>
        </is>
      </c>
    </row>
    <row r="132">
      <c r="B132" s="7" t="inlineStr">
        <is>
          <t xml:space="preserve">  ↳ LatinRusherRocket</t>
        </is>
      </c>
      <c r="C132" s="7" t="inlineStr">
        <is>
          <t>Armament@AA</t>
        </is>
      </c>
      <c r="L132" s="6" t="n">
        <v>16000</v>
      </c>
      <c r="M132" s="6" t="n">
        <v>101</v>
      </c>
      <c r="N132" s="6" t="n">
        <v>1</v>
      </c>
      <c r="O132" s="6" t="n"/>
      <c r="P132" s="6" t="n">
        <v>5031</v>
      </c>
      <c r="Q132" s="6" t="n">
        <v>1</v>
      </c>
      <c r="R132">
        <f>M132+IF(N132&gt;1,N(O132)*(N132-1),0)</f>
        <v/>
      </c>
      <c r="S132">
        <f>IFERROR(L132*MAX(N132,1)/R132*Q132*IF(ISBLANK(K129),1,K129),0)</f>
        <v/>
      </c>
      <c r="AB132" s="7" t="inlineStr">
        <is>
          <t>^RA2MediumMissile</t>
        </is>
      </c>
    </row>
    <row r="133">
      <c r="B133" s="7" t="inlineStr">
        <is>
          <t xml:space="preserve">  ↳ LatinRusherRocketE</t>
        </is>
      </c>
      <c r="C133" s="7" t="inlineStr">
        <is>
          <t>Armament@AAE</t>
        </is>
      </c>
      <c r="L133" s="6" t="n">
        <v>32000</v>
      </c>
      <c r="M133" s="6" t="n">
        <v>101</v>
      </c>
      <c r="N133" s="6" t="n">
        <v>1</v>
      </c>
      <c r="O133" s="6" t="n"/>
      <c r="P133" s="6" t="n">
        <v>6031</v>
      </c>
      <c r="Q133" s="6" t="n">
        <v>1</v>
      </c>
      <c r="R133">
        <f>M133+IF(N133&gt;1,N(O133)*(N133-1),0)</f>
        <v/>
      </c>
      <c r="S133">
        <f>IFERROR(L133*MAX(N133,1)/R133*Q133*IF(ISBLANK(K129),1,K129),0)</f>
        <v/>
      </c>
      <c r="AB133" s="7" t="inlineStr">
        <is>
          <t>^RA2MediumMissile</t>
        </is>
      </c>
    </row>
    <row r="134">
      <c r="A134" t="inlineStr">
        <is>
          <t>redalert2mod</t>
        </is>
      </c>
      <c r="B134" t="inlineStr">
        <is>
          <t>latinsyndicate_smokertank</t>
        </is>
      </c>
      <c r="C134" t="inlineStr">
        <is>
          <t>Smoker Tank</t>
        </is>
      </c>
      <c r="D134" s="6" t="inlineStr">
        <is>
          <t>MainBattleTank</t>
        </is>
      </c>
      <c r="E134" s="6" t="n">
        <v>260000</v>
      </c>
      <c r="F134" s="6" t="n">
        <v>95</v>
      </c>
      <c r="G134" t="inlineStr">
        <is>
          <t>Heavy</t>
        </is>
      </c>
      <c r="H134" s="6" t="n">
        <v>1</v>
      </c>
      <c r="I134" s="6" t="n">
        <v>1</v>
      </c>
      <c r="J134" s="6" t="n">
        <v>1</v>
      </c>
      <c r="K134" s="6" t="n">
        <v>0.5</v>
      </c>
      <c r="P134">
        <f>MAX(P135,P136,P137,P138,P139,P140)</f>
        <v/>
      </c>
      <c r="S134">
        <f>S135+S136+S137+S138+S139+S140</f>
        <v/>
      </c>
      <c r="T134">
        <f>(E134/100000+F134/100+(P134/1000)*J134/5+S134/200)*200*I134*H134</f>
        <v/>
      </c>
      <c r="U134">
        <f>((E134*F134/25000)+((P134/1000)*J134*S134/2.5))*I134*H134</f>
        <v/>
      </c>
      <c r="V134">
        <f>(E134*F134*(P134/1000)*J134*S134*I134*H134)/12500000</f>
        <v/>
      </c>
      <c r="W134">
        <f>800*(T134/800+U134/800+V134/800)/3</f>
        <v/>
      </c>
      <c r="X134" s="6" t="n">
        <v>1800</v>
      </c>
      <c r="Y134">
        <f>IFERROR(W134-X134,"")</f>
        <v/>
      </c>
      <c r="Z134">
        <f>IFERROR(ABS(Y134)/MAX(X134,1),"")</f>
        <v/>
      </c>
      <c r="AA134">
        <f>IFERROR((X134-(((E134/100000+F134/100+S134/200)*200*I134*H134)+((E134*F134/25000)*I134*H134))/3)/(((J134/5)*200*I134*H134)+((J134*S134/2.5)*I134*H134)+((E134*F134*J134*S134*I134*H134)/12500000))/3*1000,"")</f>
        <v/>
      </c>
    </row>
    <row r="135">
      <c r="B135" s="7" t="inlineStr">
        <is>
          <t xml:space="preserve">  ↳ LatinSmokerCannon</t>
        </is>
      </c>
      <c r="C135" s="7" t="inlineStr">
        <is>
          <t>Armament</t>
        </is>
      </c>
      <c r="L135" s="6" t="n">
        <v>2000</v>
      </c>
      <c r="M135" s="6" t="n">
        <v>65</v>
      </c>
      <c r="N135" s="6" t="n">
        <v>1</v>
      </c>
      <c r="O135" s="6" t="n"/>
      <c r="P135" s="6" t="n">
        <v>6550</v>
      </c>
      <c r="Q135" s="6" t="n">
        <v>1.125</v>
      </c>
      <c r="R135">
        <f>M135+IF(N135&gt;1,N(O135)*(N135-1),0)</f>
        <v/>
      </c>
      <c r="S135">
        <f>IFERROR(L135*MAX(N135,1)/R135*Q135*IF(ISBLANK(K134),1,K134),0)</f>
        <v/>
      </c>
      <c r="AB135" s="7" t="inlineStr">
        <is>
          <t>^RailgunWeapon, ^MediumFlameWeapon, ^HeavyBomb, ^ShrapnelWeapon, ^RA2HeavyCannon, ^RA2MediumCannon</t>
        </is>
      </c>
    </row>
    <row r="136">
      <c r="B136" s="7" t="inlineStr">
        <is>
          <t xml:space="preserve">  ↳ LatinSmokerCannonE</t>
        </is>
      </c>
      <c r="C136" s="7" t="inlineStr">
        <is>
          <t>Armament@elite</t>
        </is>
      </c>
      <c r="L136" s="6" t="n">
        <v>2000</v>
      </c>
      <c r="M136" s="6" t="n">
        <v>65</v>
      </c>
      <c r="N136" s="6" t="n">
        <v>2</v>
      </c>
      <c r="O136" s="6" t="n">
        <v>3</v>
      </c>
      <c r="P136" s="6" t="n">
        <v>7550</v>
      </c>
      <c r="Q136" s="6" t="n">
        <v>1.125</v>
      </c>
      <c r="R136">
        <f>M136+IF(N136&gt;1,N(O136)*(N136-1),0)</f>
        <v/>
      </c>
      <c r="S136">
        <f>IFERROR(L136*MAX(N136,1)/R136*Q136*IF(ISBLANK(K134),1,K134),0)</f>
        <v/>
      </c>
      <c r="AB136" s="7" t="inlineStr">
        <is>
          <t>^RailgunWeapon, ^MediumFlameWeapon, ^HeavyBomb, ^ShrapnelWeapon, ^RA2HeavyCannon, ^RA2MediumCannon, ^RA2EliteEffects</t>
        </is>
      </c>
    </row>
    <row r="137">
      <c r="B137" s="7" t="inlineStr">
        <is>
          <t xml:space="preserve">  ↳ RA2GrenadePack</t>
        </is>
      </c>
      <c r="C137" s="7" t="inlineStr">
        <is>
          <t>Armament@GrenadePack</t>
        </is>
      </c>
      <c r="L137" s="6" t="n">
        <v>2000</v>
      </c>
      <c r="M137" s="6" t="n">
        <v>110</v>
      </c>
      <c r="N137" s="6" t="n">
        <v>4</v>
      </c>
      <c r="O137" s="6" t="n">
        <v>2</v>
      </c>
      <c r="P137" s="6" t="n">
        <v>6550</v>
      </c>
      <c r="Q137" s="6" t="n">
        <v>1.083333333333333</v>
      </c>
      <c r="R137">
        <f>M137+IF(N137&gt;1,N(O137)*(N137-1),0)</f>
        <v/>
      </c>
      <c r="S137">
        <f>IFERROR(L137*MAX(N137,1)/R137*Q137*IF(ISBLANK(K134),1,K134),0)</f>
        <v/>
      </c>
      <c r="AB137" s="7" t="inlineStr">
        <is>
          <t>^HeavyMissile, ^Grenade, ^RA2FlakWeapon</t>
        </is>
      </c>
    </row>
    <row r="138">
      <c r="B138" s="7" t="inlineStr">
        <is>
          <t xml:space="preserve">  ↳ RA2GrenadePackE</t>
        </is>
      </c>
      <c r="C138" s="7" t="inlineStr">
        <is>
          <t>Armament@GrenadePackE</t>
        </is>
      </c>
      <c r="L138" s="6" t="n">
        <v>2000</v>
      </c>
      <c r="M138" s="6" t="n">
        <v>110</v>
      </c>
      <c r="N138" s="6" t="n">
        <v>8</v>
      </c>
      <c r="O138" s="6" t="n">
        <v>2</v>
      </c>
      <c r="P138" s="6" t="n">
        <v>7550</v>
      </c>
      <c r="Q138" s="6" t="n">
        <v>1.083333333333333</v>
      </c>
      <c r="R138">
        <f>M138+IF(N138&gt;1,N(O138)*(N138-1),0)</f>
        <v/>
      </c>
      <c r="S138">
        <f>IFERROR(L138*MAX(N138,1)/R138*Q138*IF(ISBLANK(K134),1,K134),0)</f>
        <v/>
      </c>
      <c r="AB138" s="7" t="inlineStr">
        <is>
          <t>^HeavyMissile, ^Grenade, ^RA2FlakWeapon, ^RA2EliteEffects</t>
        </is>
      </c>
    </row>
    <row r="139">
      <c r="B139" s="7" t="inlineStr">
        <is>
          <t xml:space="preserve">  ↳ LatinSmokerRocket</t>
        </is>
      </c>
      <c r="C139" s="7" t="inlineStr">
        <is>
          <t>Armament@AA</t>
        </is>
      </c>
      <c r="L139" s="6" t="n">
        <v>24000</v>
      </c>
      <c r="M139" s="6" t="n">
        <v>116</v>
      </c>
      <c r="N139" s="6" t="n">
        <v>1</v>
      </c>
      <c r="O139" s="6" t="n"/>
      <c r="P139" s="6" t="n">
        <v>6550</v>
      </c>
      <c r="Q139" s="6" t="n">
        <v>1</v>
      </c>
      <c r="R139">
        <f>M139+IF(N139&gt;1,N(O139)*(N139-1),0)</f>
        <v/>
      </c>
      <c r="S139">
        <f>IFERROR(L139*MAX(N139,1)/R139*Q139*IF(ISBLANK(K134),1,K134),0)</f>
        <v/>
      </c>
      <c r="AB139" s="7" t="inlineStr">
        <is>
          <t>^RA2MediumMissile</t>
        </is>
      </c>
    </row>
    <row r="140">
      <c r="B140" s="7" t="inlineStr">
        <is>
          <t xml:space="preserve">  ↳ LatinSmokerRocketE</t>
        </is>
      </c>
      <c r="C140" s="7" t="inlineStr">
        <is>
          <t>Armament@AAE</t>
        </is>
      </c>
      <c r="L140" s="6" t="n">
        <v>48000</v>
      </c>
      <c r="M140" s="6" t="n">
        <v>116</v>
      </c>
      <c r="N140" s="6" t="n">
        <v>1</v>
      </c>
      <c r="O140" s="6" t="n"/>
      <c r="P140" s="6" t="n">
        <v>7550</v>
      </c>
      <c r="Q140" s="6" t="n">
        <v>1</v>
      </c>
      <c r="R140">
        <f>M140+IF(N140&gt;1,N(O140)*(N140-1),0)</f>
        <v/>
      </c>
      <c r="S140">
        <f>IFERROR(L140*MAX(N140,1)/R140*Q140*IF(ISBLANK(K134),1,K134),0)</f>
        <v/>
      </c>
      <c r="AB140" s="7" t="inlineStr">
        <is>
          <t>^RA2MediumMissile</t>
        </is>
      </c>
    </row>
    <row r="141">
      <c r="A141" t="inlineStr">
        <is>
          <t>redalert2mod</t>
        </is>
      </c>
      <c r="B141" t="inlineStr">
        <is>
          <t>assault.nax</t>
        </is>
      </c>
      <c r="C141" t="inlineStr">
        <is>
          <t>Imperial Assault Tank</t>
        </is>
      </c>
      <c r="D141" s="6" t="inlineStr">
        <is>
          <t>MainBattleTank</t>
        </is>
      </c>
      <c r="E141" s="6" t="n">
        <v>130000</v>
      </c>
      <c r="F141" s="6" t="n">
        <v>100</v>
      </c>
      <c r="G141" t="inlineStr">
        <is>
          <t>Heavy</t>
        </is>
      </c>
      <c r="H141" s="6" t="n">
        <v>1</v>
      </c>
      <c r="I141" s="6" t="n">
        <v>1</v>
      </c>
      <c r="J141" s="6" t="n">
        <v>1</v>
      </c>
      <c r="K141" s="6" t="n">
        <v>1.2</v>
      </c>
      <c r="P141">
        <f>MAX(P142,P143,P144)</f>
        <v/>
      </c>
      <c r="S141">
        <f>S142+S143+S144</f>
        <v/>
      </c>
      <c r="T141">
        <f>(E141/100000+F141/100+(P141/1000)*J141/5+S141/200)*200*I141*H141</f>
        <v/>
      </c>
      <c r="U141">
        <f>((E141*F141/25000)+((P141/1000)*J141*S141/2.5))*I141*H141</f>
        <v/>
      </c>
      <c r="V141">
        <f>(E141*F141*(P141/1000)*J141*S141*I141*H141)/12500000</f>
        <v/>
      </c>
      <c r="W141">
        <f>800*(T141/800+U141/800+V141/800)/3</f>
        <v/>
      </c>
      <c r="X141" s="6" t="n">
        <v>900</v>
      </c>
      <c r="Y141">
        <f>IFERROR(W141-X141,"")</f>
        <v/>
      </c>
      <c r="Z141">
        <f>IFERROR(ABS(Y141)/MAX(X141,1),"")</f>
        <v/>
      </c>
      <c r="AA141">
        <f>IFERROR((X141-(((E141/100000+F141/100+S141/200)*200*I141*H141)+((E141*F141/25000)*I141*H141))/3)/(((J141/5)*200*I141*H141)+((J141*S141/2.5)*I141*H141)+((E141*F141*J141*S141*I141*H141)/12500000))/3*1000,"")</f>
        <v/>
      </c>
    </row>
    <row r="142">
      <c r="B142" s="7" t="inlineStr">
        <is>
          <t xml:space="preserve">  ↳ Nax120mmAssault</t>
        </is>
      </c>
      <c r="C142" s="7" t="inlineStr">
        <is>
          <t>Armament</t>
        </is>
      </c>
      <c r="L142" s="6" t="n">
        <v>10000</v>
      </c>
      <c r="M142" s="6" t="n">
        <v>28</v>
      </c>
      <c r="N142" s="6" t="n">
        <v>1</v>
      </c>
      <c r="O142" s="6" t="n"/>
      <c r="P142" s="6" t="n">
        <v>5200</v>
      </c>
      <c r="Q142" s="6" t="n">
        <v>1</v>
      </c>
      <c r="R142">
        <f>M142+IF(N142&gt;1,N(O142)*(N142-1),0)</f>
        <v/>
      </c>
      <c r="S142">
        <f>IFERROR(L142*MAX(N142,1)/R142*Q142*IF(ISBLANK(K141),1,K141),0)</f>
        <v/>
      </c>
      <c r="AB142" s="7" t="inlineStr">
        <is>
          <t>^RA2MediumCannon</t>
        </is>
      </c>
    </row>
    <row r="143">
      <c r="B143" s="7" t="inlineStr">
        <is>
          <t xml:space="preserve">  ↳ Nax120mmAssault_elite</t>
        </is>
      </c>
      <c r="C143" s="7" t="inlineStr">
        <is>
          <t>Armament@elite</t>
        </is>
      </c>
      <c r="L143" s="6" t="n">
        <v>10000</v>
      </c>
      <c r="M143" s="6" t="n">
        <v>28</v>
      </c>
      <c r="N143" s="6" t="n">
        <v>2</v>
      </c>
      <c r="O143" s="6" t="n">
        <v>3</v>
      </c>
      <c r="P143" s="6" t="n">
        <v>6200</v>
      </c>
      <c r="Q143" s="6" t="n">
        <v>1</v>
      </c>
      <c r="R143">
        <f>M143+IF(N143&gt;1,N(O143)*(N143-1),0)</f>
        <v/>
      </c>
      <c r="S143">
        <f>IFERROR(L143*MAX(N143,1)/R143*Q143*IF(ISBLANK(K141),1,K141),0)</f>
        <v/>
      </c>
      <c r="AB143" s="7" t="inlineStr">
        <is>
          <t>^RA2MediumCannon, ^RA2EliteEffects</t>
        </is>
      </c>
    </row>
    <row r="144">
      <c r="B144" s="7" t="inlineStr">
        <is>
          <t xml:space="preserve">  ↳ SyndicateFireballLauncher</t>
        </is>
      </c>
      <c r="C144" s="7" t="inlineStr">
        <is>
          <t>Armament@Flam</t>
        </is>
      </c>
      <c r="L144" s="6" t="n">
        <v>2000</v>
      </c>
      <c r="M144" s="6" t="n">
        <v>44</v>
      </c>
      <c r="N144" s="6" t="n">
        <v>4</v>
      </c>
      <c r="O144" s="6" t="n">
        <v>4</v>
      </c>
      <c r="P144" s="6" t="n">
        <v>5555</v>
      </c>
      <c r="Q144" s="6" t="n">
        <v>1</v>
      </c>
      <c r="R144">
        <f>M144+IF(N144&gt;1,N(O144)*(N144-1),0)</f>
        <v/>
      </c>
      <c r="S144">
        <f>IFERROR(L144*MAX(N144,1)/R144*Q144*IF(ISBLANK(K141),1,K141),0)</f>
        <v/>
      </c>
      <c r="AB144" s="7" t="inlineStr">
        <is>
          <t>^LightFlameWeapon, ^MediumFlameWeapon, ^HeavyFlameWeapon</t>
        </is>
      </c>
    </row>
    <row r="145">
      <c r="A145" t="inlineStr">
        <is>
          <t>redalert2mod</t>
        </is>
      </c>
      <c r="B145" t="inlineStr">
        <is>
          <t>naxis_kingtigerheavytank</t>
        </is>
      </c>
      <c r="C145" t="inlineStr">
        <is>
          <t>King Tiger Heavy Tank</t>
        </is>
      </c>
      <c r="D145" s="6" t="inlineStr">
        <is>
          <t>MainBattleTank</t>
        </is>
      </c>
      <c r="E145" s="6" t="n">
        <v>200000</v>
      </c>
      <c r="F145" s="6" t="n">
        <v>100</v>
      </c>
      <c r="G145" t="inlineStr">
        <is>
          <t>Heavy</t>
        </is>
      </c>
      <c r="H145" s="6" t="n">
        <v>1</v>
      </c>
      <c r="I145" s="6" t="n">
        <v>1</v>
      </c>
      <c r="J145" s="6" t="n">
        <v>1</v>
      </c>
      <c r="K145" s="6" t="n"/>
      <c r="P145">
        <f>MAX(P146,P147)</f>
        <v/>
      </c>
      <c r="S145">
        <f>S146+S147</f>
        <v/>
      </c>
      <c r="T145">
        <f>(E145/100000+F145/100+(P145/1000)*J145/5+S145/200)*200*I145*H145</f>
        <v/>
      </c>
      <c r="U145">
        <f>((E145*F145/25000)+((P145/1000)*J145*S145/2.5))*I145*H145</f>
        <v/>
      </c>
      <c r="V145">
        <f>(E145*F145*(P145/1000)*J145*S145*I145*H145)/12500000</f>
        <v/>
      </c>
      <c r="W145">
        <f>800*(T145/800+U145/800+V145/800)/3</f>
        <v/>
      </c>
      <c r="X145" s="6" t="n">
        <v>2000</v>
      </c>
      <c r="Y145">
        <f>IFERROR(W145-X145,"")</f>
        <v/>
      </c>
      <c r="Z145">
        <f>IFERROR(ABS(Y145)/MAX(X145,1),"")</f>
        <v/>
      </c>
      <c r="AA145">
        <f>IFERROR((X145-(((E145/100000+F145/100+S145/200)*200*I145*H145)+((E145*F145/25000)*I145*H145))/3)/(((J145/5)*200*I145*H145)+((J145*S145/2.5)*I145*H145)+((E145*F145*J145*S145*I145*H145)/12500000))/3*1000,"")</f>
        <v/>
      </c>
    </row>
    <row r="146">
      <c r="B146" s="7" t="inlineStr">
        <is>
          <t xml:space="preserve">  ↳ KingNaxTigerCannon</t>
        </is>
      </c>
      <c r="C146" s="7" t="inlineStr">
        <is>
          <t>Armament</t>
        </is>
      </c>
      <c r="L146" s="6" t="n">
        <v>20000</v>
      </c>
      <c r="M146" s="6" t="n">
        <v>50</v>
      </c>
      <c r="N146" s="6" t="n">
        <v>1</v>
      </c>
      <c r="O146" s="6" t="n"/>
      <c r="P146" s="6" t="n">
        <v>5000</v>
      </c>
      <c r="Q146" s="6" t="n">
        <v>1</v>
      </c>
      <c r="R146">
        <f>M146+IF(N146&gt;1,N(O146)*(N146-1),0)</f>
        <v/>
      </c>
      <c r="S146">
        <f>IFERROR(L146*MAX(N146,1)/R146*Q146*IF(ISBLANK(K145),1,K145),0)</f>
        <v/>
      </c>
      <c r="AB146" s="7" t="inlineStr">
        <is>
          <t>^RA2MediumCannon</t>
        </is>
      </c>
    </row>
    <row r="147">
      <c r="B147" s="7" t="inlineStr">
        <is>
          <t xml:space="preserve">  ↳ KingNaxTigerCannon_elite</t>
        </is>
      </c>
      <c r="C147" s="7" t="inlineStr">
        <is>
          <t>Armament@elite</t>
        </is>
      </c>
      <c r="L147" s="6" t="n">
        <v>20000</v>
      </c>
      <c r="M147" s="6" t="n">
        <v>50</v>
      </c>
      <c r="N147" s="6" t="n">
        <v>2</v>
      </c>
      <c r="O147" s="6" t="n">
        <v>3</v>
      </c>
      <c r="P147" s="6" t="n">
        <v>6000</v>
      </c>
      <c r="Q147" s="6" t="n">
        <v>1</v>
      </c>
      <c r="R147">
        <f>M147+IF(N147&gt;1,N(O147)*(N147-1),0)</f>
        <v/>
      </c>
      <c r="S147">
        <f>IFERROR(L147*MAX(N147,1)/R147*Q147*IF(ISBLANK(K145),1,K145),0)</f>
        <v/>
      </c>
      <c r="AB147" s="7" t="inlineStr">
        <is>
          <t>^RA2MediumCannon, ^RA2EliteEffects</t>
        </is>
      </c>
    </row>
    <row r="148">
      <c r="A148" t="inlineStr">
        <is>
          <t>redalert2mod</t>
        </is>
      </c>
      <c r="B148" t="inlineStr">
        <is>
          <t>panzer.nax</t>
        </is>
      </c>
      <c r="C148" t="inlineStr">
        <is>
          <t>Panzer III</t>
        </is>
      </c>
      <c r="D148" s="6" t="inlineStr">
        <is>
          <t>MainBattleTank</t>
        </is>
      </c>
      <c r="E148" s="6" t="n">
        <v>100000</v>
      </c>
      <c r="F148" s="6" t="n">
        <v>100</v>
      </c>
      <c r="G148" t="inlineStr">
        <is>
          <t>Medium</t>
        </is>
      </c>
      <c r="H148" s="6" t="n">
        <v>1</v>
      </c>
      <c r="I148" s="6" t="n">
        <v>1</v>
      </c>
      <c r="J148" s="6" t="n">
        <v>1</v>
      </c>
      <c r="K148" s="6" t="n"/>
      <c r="P148">
        <f>MAX(P149,P150)</f>
        <v/>
      </c>
      <c r="S148">
        <f>S149+S150</f>
        <v/>
      </c>
      <c r="T148">
        <f>(E148/100000+F148/100+(P148/1000)*J148/5+S148/200)*200*I148*H148</f>
        <v/>
      </c>
      <c r="U148">
        <f>((E148*F148/25000)+((P148/1000)*J148*S148/2.5))*I148*H148</f>
        <v/>
      </c>
      <c r="V148">
        <f>(E148*F148*(P148/1000)*J148*S148*I148*H148)/12500000</f>
        <v/>
      </c>
      <c r="W148">
        <f>800*(T148/800+U148/800+V148/800)/3</f>
        <v/>
      </c>
      <c r="X148" s="6" t="n">
        <v>600</v>
      </c>
      <c r="Y148">
        <f>IFERROR(W148-X148,"")</f>
        <v/>
      </c>
      <c r="Z148">
        <f>IFERROR(ABS(Y148)/MAX(X148,1),"")</f>
        <v/>
      </c>
      <c r="AA148">
        <f>IFERROR((X148-(((E148/100000+F148/100+S148/200)*200*I148*H148)+((E148*F148/25000)*I148*H148))/3)/(((J148/5)*200*I148*H148)+((J148*S148/2.5)*I148*H148)+((E148*F148*J148*S148*I148*H148)/12500000))/3*1000,"")</f>
        <v/>
      </c>
    </row>
    <row r="149">
      <c r="B149" s="7" t="inlineStr">
        <is>
          <t xml:space="preserve">  ↳ RA2105mm</t>
        </is>
      </c>
      <c r="C149" s="7" t="inlineStr">
        <is>
          <t>Armament</t>
        </is>
      </c>
      <c r="L149" s="6" t="n">
        <v>8000</v>
      </c>
      <c r="M149" s="6" t="n">
        <v>45</v>
      </c>
      <c r="N149" s="6" t="n">
        <v>1</v>
      </c>
      <c r="O149" s="6" t="n"/>
      <c r="P149" s="6" t="n">
        <v>5289</v>
      </c>
      <c r="Q149" s="6" t="n">
        <v>1</v>
      </c>
      <c r="R149">
        <f>M149+IF(N149&gt;1,N(O149)*(N149-1),0)</f>
        <v/>
      </c>
      <c r="S149">
        <f>IFERROR(L149*MAX(N149,1)/R149*Q149*IF(ISBLANK(K148),1,K148),0)</f>
        <v/>
      </c>
      <c r="AB149" s="7" t="inlineStr">
        <is>
          <t>^RA2MediumCannon</t>
        </is>
      </c>
    </row>
    <row r="150">
      <c r="B150" s="7" t="inlineStr">
        <is>
          <t xml:space="preserve">  ↳ RA2105mm_elite</t>
        </is>
      </c>
      <c r="C150" s="7" t="inlineStr">
        <is>
          <t>Armament@elite</t>
        </is>
      </c>
      <c r="L150" s="6" t="n">
        <v>8000</v>
      </c>
      <c r="M150" s="6" t="n">
        <v>45</v>
      </c>
      <c r="N150" s="6" t="n">
        <v>2</v>
      </c>
      <c r="O150" s="6" t="n">
        <v>3</v>
      </c>
      <c r="P150" s="6" t="n">
        <v>6289</v>
      </c>
      <c r="Q150" s="6" t="n">
        <v>1</v>
      </c>
      <c r="R150">
        <f>M150+IF(N150&gt;1,N(O150)*(N150-1),0)</f>
        <v/>
      </c>
      <c r="S150">
        <f>IFERROR(L150*MAX(N150,1)/R150*Q150*IF(ISBLANK(K148),1,K148),0)</f>
        <v/>
      </c>
      <c r="AB150" s="7" t="inlineStr">
        <is>
          <t>^RA2MediumCannon, ^RA2EliteEffects</t>
        </is>
      </c>
    </row>
    <row r="151">
      <c r="A151" t="inlineStr">
        <is>
          <t>redalert2mod</t>
        </is>
      </c>
      <c r="B151" t="inlineStr">
        <is>
          <t>tiger.nax</t>
        </is>
      </c>
      <c r="C151" t="inlineStr">
        <is>
          <t>Tiger Heavy Tank</t>
        </is>
      </c>
      <c r="D151" s="6" t="inlineStr">
        <is>
          <t>MainBattleTank</t>
        </is>
      </c>
      <c r="E151" s="6" t="n">
        <v>100000</v>
      </c>
      <c r="F151" s="6" t="n">
        <v>100</v>
      </c>
      <c r="G151" t="inlineStr">
        <is>
          <t>Heavy</t>
        </is>
      </c>
      <c r="H151" s="6" t="n">
        <v>1</v>
      </c>
      <c r="I151" s="6" t="n">
        <v>1</v>
      </c>
      <c r="J151" s="6" t="n">
        <v>1</v>
      </c>
      <c r="K151" s="6" t="n"/>
      <c r="P151">
        <f>MAX(P152,P153)</f>
        <v/>
      </c>
      <c r="S151">
        <f>S152+S153</f>
        <v/>
      </c>
      <c r="T151">
        <f>(E151/100000+F151/100+(P151/1000)*J151/5+S151/200)*200*I151*H151</f>
        <v/>
      </c>
      <c r="U151">
        <f>((E151*F151/25000)+((P151/1000)*J151*S151/2.5))*I151*H151</f>
        <v/>
      </c>
      <c r="V151">
        <f>(E151*F151*(P151/1000)*J151*S151*I151*H151)/12500000</f>
        <v/>
      </c>
      <c r="W151">
        <f>800*(T151/800+U151/800+V151/800)/3</f>
        <v/>
      </c>
      <c r="X151" s="6" t="n">
        <v>800</v>
      </c>
      <c r="Y151">
        <f>IFERROR(W151-X151,"")</f>
        <v/>
      </c>
      <c r="Z151">
        <f>IFERROR(ABS(Y151)/MAX(X151,1),"")</f>
        <v/>
      </c>
      <c r="AA151">
        <f>IFERROR((X151-(((E151/100000+F151/100+S151/200)*200*I151*H151)+((E151*F151/25000)*I151*H151))/3)/(((J151/5)*200*I151*H151)+((J151*S151/2.5)*I151*H151)+((E151*F151*J151*S151*I151*H151)/12500000))/3*1000,"")</f>
        <v/>
      </c>
    </row>
    <row r="152">
      <c r="B152" s="7" t="inlineStr">
        <is>
          <t xml:space="preserve">  ↳ NaxTigerCannon</t>
        </is>
      </c>
      <c r="C152" s="7" t="inlineStr">
        <is>
          <t>Armament</t>
        </is>
      </c>
      <c r="L152" s="6" t="n">
        <v>10000</v>
      </c>
      <c r="M152" s="6" t="n">
        <v>50</v>
      </c>
      <c r="N152" s="6" t="n">
        <v>1</v>
      </c>
      <c r="O152" s="6" t="n"/>
      <c r="P152" s="6" t="n">
        <v>5000</v>
      </c>
      <c r="Q152" s="6" t="n">
        <v>1</v>
      </c>
      <c r="R152">
        <f>M152+IF(N152&gt;1,N(O152)*(N152-1),0)</f>
        <v/>
      </c>
      <c r="S152">
        <f>IFERROR(L152*MAX(N152,1)/R152*Q152*IF(ISBLANK(K151),1,K151),0)</f>
        <v/>
      </c>
      <c r="AB152" s="7" t="inlineStr">
        <is>
          <t>^RA2MediumCannon</t>
        </is>
      </c>
    </row>
    <row r="153">
      <c r="B153" s="7" t="inlineStr">
        <is>
          <t xml:space="preserve">  ↳ NaxTigerCannon_elite</t>
        </is>
      </c>
      <c r="C153" s="7" t="inlineStr">
        <is>
          <t>Armament@elite</t>
        </is>
      </c>
      <c r="L153" s="6" t="n">
        <v>10000</v>
      </c>
      <c r="M153" s="6" t="n">
        <v>50</v>
      </c>
      <c r="N153" s="6" t="n">
        <v>2</v>
      </c>
      <c r="O153" s="6" t="n">
        <v>3</v>
      </c>
      <c r="P153" s="6" t="n">
        <v>6000</v>
      </c>
      <c r="Q153" s="6" t="n">
        <v>1</v>
      </c>
      <c r="R153">
        <f>M153+IF(N153&gt;1,N(O153)*(N153-1),0)</f>
        <v/>
      </c>
      <c r="S153">
        <f>IFERROR(L153*MAX(N153,1)/R153*Q153*IF(ISBLANK(K151),1,K151),0)</f>
        <v/>
      </c>
      <c r="AB153" s="7" t="inlineStr">
        <is>
          <t>^RA2MediumCannon, ^RA2EliteEffects</t>
        </is>
      </c>
    </row>
    <row r="154">
      <c r="A154" t="inlineStr">
        <is>
          <t>redalert2mod</t>
        </is>
      </c>
      <c r="B154" t="inlineStr">
        <is>
          <t>schwarzermond_lunarpanzer</t>
        </is>
      </c>
      <c r="C154" t="inlineStr">
        <is>
          <t>Lunar Panzer</t>
        </is>
      </c>
      <c r="D154" s="6" t="inlineStr">
        <is>
          <t>MainBattleTank</t>
        </is>
      </c>
      <c r="E154" s="6" t="n">
        <v>90000</v>
      </c>
      <c r="F154" s="6" t="n">
        <v>90</v>
      </c>
      <c r="G154" t="inlineStr">
        <is>
          <t>Medium</t>
        </is>
      </c>
      <c r="H154" s="6" t="n">
        <v>1</v>
      </c>
      <c r="I154" s="6" t="n">
        <v>1</v>
      </c>
      <c r="J154" s="6" t="n">
        <v>1</v>
      </c>
      <c r="K154" s="6" t="n"/>
      <c r="P154">
        <f>MAX(P155,P156,P157,P158)</f>
        <v/>
      </c>
      <c r="S154">
        <f>S155+S156+S157+S158</f>
        <v/>
      </c>
      <c r="T154">
        <f>(E154/100000+F154/100+(P154/1000)*J154/5+S154/200)*200*I154*H154</f>
        <v/>
      </c>
      <c r="U154">
        <f>((E154*F154/25000)+((P154/1000)*J154*S154/2.5))*I154*H154</f>
        <v/>
      </c>
      <c r="V154">
        <f>(E154*F154*(P154/1000)*J154*S154*I154*H154)/12500000</f>
        <v/>
      </c>
      <c r="W154">
        <f>800*(T154/800+U154/800+V154/800)/3</f>
        <v/>
      </c>
      <c r="X154" s="6" t="n">
        <v>650</v>
      </c>
      <c r="Y154">
        <f>IFERROR(W154-X154,"")</f>
        <v/>
      </c>
      <c r="Z154">
        <f>IFERROR(ABS(Y154)/MAX(X154,1),"")</f>
        <v/>
      </c>
      <c r="AA154">
        <f>IFERROR((X154-(((E154/100000+F154/100+S154/200)*200*I154*H154)+((E154*F154/25000)*I154*H154))/3)/(((J154/5)*200*I154*H154)+((J154*S154/2.5)*I154*H154)+((E154*F154*J154*S154*I154*H154)/12500000))/3*1000,"")</f>
        <v/>
      </c>
    </row>
    <row r="155">
      <c r="B155" s="7" t="inlineStr">
        <is>
          <t xml:space="preserve">  ↳ LunarPanzerCannon</t>
        </is>
      </c>
      <c r="C155" s="7" t="inlineStr">
        <is>
          <t>Armament</t>
        </is>
      </c>
      <c r="L155" s="6" t="n">
        <v>10000</v>
      </c>
      <c r="M155" s="6" t="n">
        <v>60</v>
      </c>
      <c r="N155" s="6" t="n">
        <v>1</v>
      </c>
      <c r="O155" s="6" t="n"/>
      <c r="P155" s="6" t="n">
        <v>5121</v>
      </c>
      <c r="Q155" s="6" t="n">
        <v>1</v>
      </c>
      <c r="R155">
        <f>M155+IF(N155&gt;1,N(O155)*(N155-1),0)</f>
        <v/>
      </c>
      <c r="S155">
        <f>IFERROR(L155*MAX(N155,1)/R155*Q155*IF(ISBLANK(K154),1,K154),0)</f>
        <v/>
      </c>
      <c r="AB155" s="7" t="inlineStr">
        <is>
          <t>^RA2MediumCannon</t>
        </is>
      </c>
    </row>
    <row r="156">
      <c r="B156" s="7" t="inlineStr">
        <is>
          <t xml:space="preserve">  ↳ LunarPanzerCannonE</t>
        </is>
      </c>
      <c r="C156" s="7" t="inlineStr">
        <is>
          <t>Armament@elite</t>
        </is>
      </c>
      <c r="L156" s="6" t="n">
        <v>10000</v>
      </c>
      <c r="M156" s="6" t="n">
        <v>60</v>
      </c>
      <c r="N156" s="6" t="n">
        <v>2</v>
      </c>
      <c r="O156" s="6" t="n">
        <v>3</v>
      </c>
      <c r="P156" s="6" t="n">
        <v>6121</v>
      </c>
      <c r="Q156" s="6" t="n">
        <v>1</v>
      </c>
      <c r="R156">
        <f>M156+IF(N156&gt;1,N(O156)*(N156-1),0)</f>
        <v/>
      </c>
      <c r="S156">
        <f>IFERROR(L156*MAX(N156,1)/R156*Q156*IF(ISBLANK(K154),1,K154),0)</f>
        <v/>
      </c>
      <c r="AB156" s="7" t="inlineStr">
        <is>
          <t>^RA2MediumCannon, ^RA2EliteEffects</t>
        </is>
      </c>
    </row>
    <row r="157">
      <c r="B157" s="7" t="inlineStr">
        <is>
          <t xml:space="preserve">  ↳ Lunar_Green105mm</t>
        </is>
      </c>
      <c r="C157" s="7" t="inlineStr">
        <is>
          <t>Armament@upgraded</t>
        </is>
      </c>
      <c r="L157" s="6" t="n">
        <v>8000</v>
      </c>
      <c r="M157" s="6" t="n">
        <v>50</v>
      </c>
      <c r="N157" s="6" t="n">
        <v>1</v>
      </c>
      <c r="O157" s="6" t="n"/>
      <c r="P157" s="6" t="n">
        <v>5000</v>
      </c>
      <c r="Q157" s="6" t="n">
        <v>1</v>
      </c>
      <c r="R157">
        <f>M157+IF(N157&gt;1,N(O157)*(N157-1),0)</f>
        <v/>
      </c>
      <c r="S157">
        <f>IFERROR(L157*MAX(N157,1)/R157*Q157*IF(ISBLANK(K154),1,K154),0)</f>
        <v/>
      </c>
      <c r="AB157" s="7" t="inlineStr">
        <is>
          <t>^TeslaWeapon, ^RA2MediumCannon, ^LunarNaxisUpgradedCannons</t>
        </is>
      </c>
    </row>
    <row r="158">
      <c r="B158" s="7" t="inlineStr">
        <is>
          <t xml:space="preserve">  ↳ Lunar_Green105mm_elite</t>
        </is>
      </c>
      <c r="C158" s="7" t="inlineStr">
        <is>
          <t>Armament@upgraded-elite</t>
        </is>
      </c>
      <c r="L158" s="6" t="n">
        <v>8000</v>
      </c>
      <c r="M158" s="6" t="n">
        <v>50</v>
      </c>
      <c r="N158" s="6" t="n">
        <v>2</v>
      </c>
      <c r="O158" s="6" t="n">
        <v>5</v>
      </c>
      <c r="P158" s="6" t="n">
        <v>6000</v>
      </c>
      <c r="Q158" s="6" t="n">
        <v>1</v>
      </c>
      <c r="R158">
        <f>M158+IF(N158&gt;1,N(O158)*(N158-1),0)</f>
        <v/>
      </c>
      <c r="S158">
        <f>IFERROR(L158*MAX(N158,1)/R158*Q158*IF(ISBLANK(K154),1,K154),0)</f>
        <v/>
      </c>
      <c r="AB158" s="7" t="inlineStr">
        <is>
          <t>^TeslaWeapon, ^RA2MediumCannon, ^LunarNaxisUpgradedCannons</t>
        </is>
      </c>
    </row>
    <row r="159">
      <c r="A159" t="inlineStr">
        <is>
          <t>redalert2mod</t>
        </is>
      </c>
      <c r="B159" t="inlineStr">
        <is>
          <t>schwarzermond_lunartiger</t>
        </is>
      </c>
      <c r="C159" t="inlineStr">
        <is>
          <t>Lunar Tiger</t>
        </is>
      </c>
      <c r="D159" s="6" t="inlineStr">
        <is>
          <t>MainBattleTank</t>
        </is>
      </c>
      <c r="E159" s="6" t="n">
        <v>160000</v>
      </c>
      <c r="F159" s="6" t="n">
        <v>80</v>
      </c>
      <c r="G159" t="inlineStr">
        <is>
          <t>Heavy</t>
        </is>
      </c>
      <c r="H159" s="6" t="n">
        <v>1</v>
      </c>
      <c r="I159" s="6" t="n">
        <v>1</v>
      </c>
      <c r="J159" s="6" t="n">
        <v>1</v>
      </c>
      <c r="K159" s="6" t="n"/>
      <c r="P159">
        <f>MAX(P160,P161,P162,P163)</f>
        <v/>
      </c>
      <c r="S159">
        <f>S160+S161+S162+S163</f>
        <v/>
      </c>
      <c r="T159">
        <f>(E159/100000+F159/100+(P159/1000)*J159/5+S159/200)*200*I159*H159</f>
        <v/>
      </c>
      <c r="U159">
        <f>((E159*F159/25000)+((P159/1000)*J159*S159/2.5))*I159*H159</f>
        <v/>
      </c>
      <c r="V159">
        <f>(E159*F159*(P159/1000)*J159*S159*I159*H159)/12500000</f>
        <v/>
      </c>
      <c r="W159">
        <f>800*(T159/800+U159/800+V159/800)/3</f>
        <v/>
      </c>
      <c r="X159" s="6" t="n">
        <v>950</v>
      </c>
      <c r="Y159">
        <f>IFERROR(W159-X159,"")</f>
        <v/>
      </c>
      <c r="Z159">
        <f>IFERROR(ABS(Y159)/MAX(X159,1),"")</f>
        <v/>
      </c>
      <c r="AA159">
        <f>IFERROR((X159-(((E159/100000+F159/100+S159/200)*200*I159*H159)+((E159*F159/25000)*I159*H159))/3)/(((J159/5)*200*I159*H159)+((J159*S159/2.5)*I159*H159)+((E159*F159*J159*S159*I159*H159)/12500000))/3*1000,"")</f>
        <v/>
      </c>
    </row>
    <row r="160">
      <c r="B160" s="7" t="inlineStr">
        <is>
          <t xml:space="preserve">  ↳ LunarTigerCannon</t>
        </is>
      </c>
      <c r="C160" s="7" t="inlineStr">
        <is>
          <t>Armament</t>
        </is>
      </c>
      <c r="L160" s="6" t="n">
        <v>4000</v>
      </c>
      <c r="M160" s="6" t="n">
        <v>80</v>
      </c>
      <c r="N160" s="6" t="n">
        <v>1</v>
      </c>
      <c r="O160" s="6" t="n"/>
      <c r="P160" s="6" t="n">
        <v>5105</v>
      </c>
      <c r="Q160" s="6" t="n">
        <v>1</v>
      </c>
      <c r="R160">
        <f>M160+IF(N160&gt;1,N(O160)*(N160-1),0)</f>
        <v/>
      </c>
      <c r="S160">
        <f>IFERROR(L160*MAX(N160,1)/R160*Q160*IF(ISBLANK(K159),1,K159),0)</f>
        <v/>
      </c>
      <c r="AB160" s="7" t="inlineStr">
        <is>
          <t>^LightChemicalWeapon, ^HeavyBomb, ^MediumFlameWeapon, ^RA2MediumCannon</t>
        </is>
      </c>
    </row>
    <row r="161">
      <c r="B161" s="7" t="inlineStr">
        <is>
          <t xml:space="preserve">  ↳ LunarTigerCannonE</t>
        </is>
      </c>
      <c r="C161" s="7" t="inlineStr">
        <is>
          <t>Armament@elite</t>
        </is>
      </c>
      <c r="L161" s="6" t="n">
        <v>4000</v>
      </c>
      <c r="M161" s="6" t="n">
        <v>80</v>
      </c>
      <c r="N161" s="6" t="n">
        <v>2</v>
      </c>
      <c r="O161" s="6" t="n">
        <v>3</v>
      </c>
      <c r="P161" s="6" t="n">
        <v>6105</v>
      </c>
      <c r="Q161" s="6" t="n">
        <v>1</v>
      </c>
      <c r="R161">
        <f>M161+IF(N161&gt;1,N(O161)*(N161-1),0)</f>
        <v/>
      </c>
      <c r="S161">
        <f>IFERROR(L161*MAX(N161,1)/R161*Q161*IF(ISBLANK(K159),1,K159),0)</f>
        <v/>
      </c>
      <c r="AB161" s="7" t="inlineStr">
        <is>
          <t>^LightChemicalWeapon, ^HeavyBomb, ^MediumFlameWeapon, ^RA2MediumCannon</t>
        </is>
      </c>
    </row>
    <row r="162">
      <c r="B162" s="7" t="inlineStr">
        <is>
          <t xml:space="preserve">  ↳ Lunar_GreenTigerCannon</t>
        </is>
      </c>
      <c r="C162" s="7" t="inlineStr">
        <is>
          <t>Armament@-upgrade</t>
        </is>
      </c>
      <c r="L162" s="6" t="n">
        <v>4000</v>
      </c>
      <c r="M162" s="6" t="n">
        <v>80</v>
      </c>
      <c r="N162" s="6" t="n">
        <v>1</v>
      </c>
      <c r="O162" s="6" t="n"/>
      <c r="P162" s="6" t="n">
        <v>5105</v>
      </c>
      <c r="Q162" s="6" t="n">
        <v>1</v>
      </c>
      <c r="R162">
        <f>M162+IF(N162&gt;1,N(O162)*(N162-1),0)</f>
        <v/>
      </c>
      <c r="S162">
        <f>IFERROR(L162*MAX(N162,1)/R162*Q162*IF(ISBLANK(K159),1,K159),0)</f>
        <v/>
      </c>
      <c r="AB162" s="7" t="inlineStr">
        <is>
          <t>^TeslaWeapon, ^LightChemicalWeapon, ^HeavyBomb, ^MediumFlameWeapon, ^RA2MediumCannon, ^LunarNaxisUpgradedCannons</t>
        </is>
      </c>
    </row>
    <row r="163">
      <c r="B163" s="7" t="inlineStr">
        <is>
          <t xml:space="preserve">  ↳ Lunar_GreenTigerCannonE</t>
        </is>
      </c>
      <c r="C163" s="7" t="inlineStr">
        <is>
          <t>Armament@elite-upgrade</t>
        </is>
      </c>
      <c r="L163" s="6" t="n">
        <v>4000</v>
      </c>
      <c r="M163" s="6" t="n">
        <v>80</v>
      </c>
      <c r="N163" s="6" t="n">
        <v>2</v>
      </c>
      <c r="O163" s="6" t="n">
        <v>3</v>
      </c>
      <c r="P163" s="6" t="n">
        <v>6105</v>
      </c>
      <c r="Q163" s="6" t="n">
        <v>1</v>
      </c>
      <c r="R163">
        <f>M163+IF(N163&gt;1,N(O163)*(N163-1),0)</f>
        <v/>
      </c>
      <c r="S163">
        <f>IFERROR(L163*MAX(N163,1)/R163*Q163*IF(ISBLANK(K159),1,K159),0)</f>
        <v/>
      </c>
      <c r="AB163" s="7" t="inlineStr">
        <is>
          <t>^TeslaWeapon, ^LightChemicalWeapon, ^HeavyBomb, ^MediumFlameWeapon, ^RA2MediumCannon, ^LunarNaxisUpgradedCannons</t>
        </is>
      </c>
    </row>
    <row r="164">
      <c r="A164" t="inlineStr">
        <is>
          <t>redalert2mod</t>
        </is>
      </c>
      <c r="B164" t="inlineStr">
        <is>
          <t>futuretech_cannondroid</t>
        </is>
      </c>
      <c r="C164" t="inlineStr">
        <is>
          <t>Cannon Droid</t>
        </is>
      </c>
      <c r="D164" s="6" t="inlineStr">
        <is>
          <t>MainBattleTank</t>
        </is>
      </c>
      <c r="E164" s="6" t="n">
        <v>80000</v>
      </c>
      <c r="F164" s="6" t="n">
        <v>35</v>
      </c>
      <c r="G164" t="inlineStr">
        <is>
          <t>Plate</t>
        </is>
      </c>
      <c r="H164" s="6" t="n">
        <v>1</v>
      </c>
      <c r="I164" s="6" t="n">
        <v>1</v>
      </c>
      <c r="J164" s="6" t="n">
        <v>1</v>
      </c>
      <c r="K164" s="6" t="n"/>
      <c r="P164">
        <f>MAX(P165,P166)</f>
        <v/>
      </c>
      <c r="S164">
        <f>S165+S166</f>
        <v/>
      </c>
      <c r="T164">
        <f>(E164/100000+F164/100+(P164/1000)*J164/5+S164/200)*200*I164*H164</f>
        <v/>
      </c>
      <c r="U164">
        <f>((E164*F164/25000)+((P164/1000)*J164*S164/2.5))*I164*H164</f>
        <v/>
      </c>
      <c r="V164">
        <f>(E164*F164*(P164/1000)*J164*S164*I164*H164)/12500000</f>
        <v/>
      </c>
      <c r="W164">
        <f>800*(T164/800+U164/800+V164/800)/3</f>
        <v/>
      </c>
      <c r="X164" s="6" t="n">
        <v>525</v>
      </c>
      <c r="Y164">
        <f>IFERROR(W164-X164,"")</f>
        <v/>
      </c>
      <c r="Z164">
        <f>IFERROR(ABS(Y164)/MAX(X164,1),"")</f>
        <v/>
      </c>
      <c r="AA164">
        <f>IFERROR((X164-(((E164/100000+F164/100+S164/200)*200*I164*H164)+((E164*F164/25000)*I164*H164))/3)/(((J164/5)*200*I164*H164)+((J164*S164/2.5)*I164*H164)+((E164*F164*J164*S164*I164*H164)/12500000))/3*1000,"")</f>
        <v/>
      </c>
    </row>
    <row r="165">
      <c r="B165" s="7" t="inlineStr">
        <is>
          <t xml:space="preserve">  ↳ CannonAttackRobotGun</t>
        </is>
      </c>
      <c r="C165" s="7" t="inlineStr">
        <is>
          <t>Armament@PRIMARY</t>
        </is>
      </c>
      <c r="L165" s="6" t="n">
        <v>2000</v>
      </c>
      <c r="M165" s="6" t="n">
        <v>25</v>
      </c>
      <c r="N165" s="6" t="n">
        <v>1</v>
      </c>
      <c r="O165" s="6" t="n"/>
      <c r="P165" s="6" t="n">
        <v>6000</v>
      </c>
      <c r="Q165" s="6" t="n">
        <v>1.083333333333333</v>
      </c>
      <c r="R165">
        <f>M165+IF(N165&gt;1,N(O165)*(N165-1),0)</f>
        <v/>
      </c>
      <c r="S165">
        <f>IFERROR(L165*MAX(N165,1)/R165*Q165*IF(ISBLANK(K164),1,K164),0)</f>
        <v/>
      </c>
      <c r="AB165" s="7" t="inlineStr">
        <is>
          <t>^TankDestroyerCannon, ^MediumFlameWeapon, ^RA2RailgunWeapon, ^SteelMediumCannon</t>
        </is>
      </c>
    </row>
    <row r="166">
      <c r="B166" s="7" t="inlineStr">
        <is>
          <t xml:space="preserve">  ↳ CannonAttackRobotGunE</t>
        </is>
      </c>
      <c r="C166" s="7" t="inlineStr">
        <is>
          <t>Armament@ELITE</t>
        </is>
      </c>
      <c r="L166" s="6" t="n">
        <v>2000</v>
      </c>
      <c r="M166" s="6" t="n">
        <v>25</v>
      </c>
      <c r="N166" s="6" t="n">
        <v>2</v>
      </c>
      <c r="O166" s="6" t="n">
        <v>3</v>
      </c>
      <c r="P166" s="6" t="n">
        <v>7000</v>
      </c>
      <c r="Q166" s="6" t="n">
        <v>1.083333333333333</v>
      </c>
      <c r="R166">
        <f>M166+IF(N166&gt;1,N(O166)*(N166-1),0)</f>
        <v/>
      </c>
      <c r="S166">
        <f>IFERROR(L166*MAX(N166,1)/R166*Q166*IF(ISBLANK(K164),1,K164),0)</f>
        <v/>
      </c>
      <c r="AB166" s="7" t="inlineStr">
        <is>
          <t>^TankDestroyerCannon, ^MediumFlameWeapon, ^RA2RailgunWeapon, ^SteelMediumCannon</t>
        </is>
      </c>
    </row>
    <row r="167">
      <c r="A167" t="inlineStr">
        <is>
          <t>redalert2mod</t>
        </is>
      </c>
      <c r="B167" t="inlineStr">
        <is>
          <t>futuretech_guardiantank</t>
        </is>
      </c>
      <c r="C167" t="inlineStr">
        <is>
          <t>Guardian Tank</t>
        </is>
      </c>
      <c r="D167" s="6" t="inlineStr">
        <is>
          <t>MainBattleTank</t>
        </is>
      </c>
      <c r="E167" s="6" t="n">
        <v>115000</v>
      </c>
      <c r="F167" s="6" t="n">
        <v>85</v>
      </c>
      <c r="G167" t="inlineStr">
        <is>
          <t>Medium</t>
        </is>
      </c>
      <c r="H167" s="6" t="n">
        <v>1</v>
      </c>
      <c r="I167" s="6" t="n">
        <v>1</v>
      </c>
      <c r="J167" s="6" t="n">
        <v>1</v>
      </c>
      <c r="K167" s="6" t="n"/>
      <c r="P167">
        <f>MAX(P168,P169,P170,P171)</f>
        <v/>
      </c>
      <c r="S167">
        <f>S168+S169+S170+S171</f>
        <v/>
      </c>
      <c r="T167">
        <f>(E167/100000+F167/100+(P167/1000)*J167/5+S167/200)*200*I167*H167</f>
        <v/>
      </c>
      <c r="U167">
        <f>((E167*F167/25000)+((P167/1000)*J167*S167/2.5))*I167*H167</f>
        <v/>
      </c>
      <c r="V167">
        <f>(E167*F167*(P167/1000)*J167*S167*I167*H167)/12500000</f>
        <v/>
      </c>
      <c r="W167">
        <f>800*(T167/800+U167/800+V167/800)/3</f>
        <v/>
      </c>
      <c r="X167" s="6" t="n">
        <v>850</v>
      </c>
      <c r="Y167">
        <f>IFERROR(W167-X167,"")</f>
        <v/>
      </c>
      <c r="Z167">
        <f>IFERROR(ABS(Y167)/MAX(X167,1),"")</f>
        <v/>
      </c>
      <c r="AA167">
        <f>IFERROR((X167-(((E167/100000+F167/100+S167/200)*200*I167*H167)+((E167*F167/25000)*I167*H167))/3)/(((J167/5)*200*I167*H167)+((J167*S167/2.5)*I167*H167)+((E167*F167*J167*S167*I167*H167)/12500000))/3*1000,"")</f>
        <v/>
      </c>
    </row>
    <row r="168">
      <c r="B168" s="7" t="inlineStr">
        <is>
          <t xml:space="preserve">  ↳ GuardianTankCannon</t>
        </is>
      </c>
      <c r="C168" s="7" t="inlineStr">
        <is>
          <t>Armament</t>
        </is>
      </c>
      <c r="L168" s="6" t="n">
        <v>12000</v>
      </c>
      <c r="M168" s="6" t="n">
        <v>85</v>
      </c>
      <c r="N168" s="6" t="n">
        <v>1</v>
      </c>
      <c r="O168" s="6" t="n"/>
      <c r="P168" s="6" t="n">
        <v>7820</v>
      </c>
      <c r="Q168" s="6" t="n">
        <v>1</v>
      </c>
      <c r="R168">
        <f>M168+IF(N168&gt;1,N(O168)*(N168-1),0)</f>
        <v/>
      </c>
      <c r="S168">
        <f>IFERROR(L168*MAX(N168,1)/R168*Q168*IF(ISBLANK(K167),1,K167),0)</f>
        <v/>
      </c>
      <c r="AB168" s="7" t="inlineStr">
        <is>
          <t>^RA2MediumCannon</t>
        </is>
      </c>
    </row>
    <row r="169">
      <c r="B169" s="7" t="inlineStr">
        <is>
          <t xml:space="preserve">  ↳ GuardianTankCannonE</t>
        </is>
      </c>
      <c r="C169" s="7" t="inlineStr">
        <is>
          <t>Armament@elite</t>
        </is>
      </c>
      <c r="L169" s="6" t="n">
        <v>12000</v>
      </c>
      <c r="M169" s="6" t="n">
        <v>85</v>
      </c>
      <c r="N169" s="6" t="n">
        <v>2</v>
      </c>
      <c r="O169" s="6" t="n">
        <v>3</v>
      </c>
      <c r="P169" s="6" t="n">
        <v>8820</v>
      </c>
      <c r="Q169" s="6" t="n">
        <v>1</v>
      </c>
      <c r="R169">
        <f>M169+IF(N169&gt;1,N(O169)*(N169-1),0)</f>
        <v/>
      </c>
      <c r="S169">
        <f>IFERROR(L169*MAX(N169,1)/R169*Q169*IF(ISBLANK(K167),1,K167),0)</f>
        <v/>
      </c>
      <c r="AB169" s="7" t="inlineStr">
        <is>
          <t>^RA2MediumCannon, ^RA2EliteEffects</t>
        </is>
      </c>
    </row>
    <row r="170">
      <c r="B170" s="7" t="inlineStr">
        <is>
          <t xml:space="preserve">  ↳ Future_MBT_DebuffLaser</t>
        </is>
      </c>
      <c r="C170" s="7" t="inlineStr">
        <is>
          <t>Armament@debuff</t>
        </is>
      </c>
      <c r="L170" s="6" t="n"/>
      <c r="M170" s="6" t="n">
        <v>4</v>
      </c>
      <c r="N170" s="6" t="n">
        <v>1</v>
      </c>
      <c r="O170" s="6" t="n"/>
      <c r="P170" s="6" t="n">
        <v>7820</v>
      </c>
      <c r="Q170" s="6" t="n">
        <v>1</v>
      </c>
      <c r="R170">
        <f>M170+IF(N170&gt;1,N(O170)*(N170-1),0)</f>
        <v/>
      </c>
      <c r="S170">
        <f>IFERROR(L170*MAX(N170,1)/R170*Q170*IF(ISBLANK(K167),1,K167),0)</f>
        <v/>
      </c>
      <c r="AB170" s="7" t="inlineStr"/>
    </row>
    <row r="171">
      <c r="B171" s="7" t="inlineStr">
        <is>
          <t xml:space="preserve">  ↳ Future_MBT_DebuffLaserE</t>
        </is>
      </c>
      <c r="C171" s="7" t="inlineStr">
        <is>
          <t>Armament@debuffelite</t>
        </is>
      </c>
      <c r="L171" s="6" t="n"/>
      <c r="M171" s="6" t="n">
        <v>4</v>
      </c>
      <c r="N171" s="6" t="n">
        <v>1</v>
      </c>
      <c r="O171" s="6" t="n"/>
      <c r="P171" s="6" t="n">
        <v>8820</v>
      </c>
      <c r="Q171" s="6" t="n">
        <v>1</v>
      </c>
      <c r="R171">
        <f>M171+IF(N171&gt;1,N(O171)*(N171-1),0)</f>
        <v/>
      </c>
      <c r="S171">
        <f>IFERROR(L171*MAX(N171,1)/R171*Q171*IF(ISBLANK(K167),1,K167),0)</f>
        <v/>
      </c>
      <c r="AB171" s="7" t="inlineStr">
        <is>
          <t>Future_MBT_DebuffLaser</t>
        </is>
      </c>
    </row>
    <row r="172">
      <c r="A172" t="inlineStr">
        <is>
          <t>redalert2mod</t>
        </is>
      </c>
      <c r="B172" t="inlineStr">
        <is>
          <t>futuretech_robottank</t>
        </is>
      </c>
      <c r="C172" t="inlineStr">
        <is>
          <t>Robot Tank</t>
        </is>
      </c>
      <c r="D172" s="6" t="inlineStr">
        <is>
          <t>MainBattleTank</t>
        </is>
      </c>
      <c r="E172" s="6" t="n">
        <v>50000</v>
      </c>
      <c r="F172" s="6" t="n">
        <v>130</v>
      </c>
      <c r="G172" t="inlineStr">
        <is>
          <t>Medium</t>
        </is>
      </c>
      <c r="H172" s="6" t="n">
        <v>1</v>
      </c>
      <c r="I172" s="6" t="n">
        <v>1</v>
      </c>
      <c r="J172" s="6" t="n">
        <v>1</v>
      </c>
      <c r="K172" s="6" t="n"/>
      <c r="P172">
        <f>MAX(P173,P174)</f>
        <v/>
      </c>
      <c r="S172">
        <f>S173+S174</f>
        <v/>
      </c>
      <c r="T172">
        <f>(E172/100000+F172/100+(P172/1000)*J172/5+S172/200)*200*I172*H172</f>
        <v/>
      </c>
      <c r="U172">
        <f>((E172*F172/25000)+((P172/1000)*J172*S172/2.5))*I172*H172</f>
        <v/>
      </c>
      <c r="V172">
        <f>(E172*F172*(P172/1000)*J172*S172*I172*H172)/12500000</f>
        <v/>
      </c>
      <c r="W172">
        <f>800*(T172/800+U172/800+V172/800)/3</f>
        <v/>
      </c>
      <c r="X172" s="6" t="n">
        <v>1600</v>
      </c>
      <c r="Y172">
        <f>IFERROR(W172-X172,"")</f>
        <v/>
      </c>
      <c r="Z172">
        <f>IFERROR(ABS(Y172)/MAX(X172,1),"")</f>
        <v/>
      </c>
      <c r="AA172">
        <f>IFERROR((X172-(((E172/100000+F172/100+S172/200)*200*I172*H172)+((E172*F172/25000)*I172*H172))/3)/(((J172/5)*200*I172*H172)+((J172*S172/2.5)*I172*H172)+((E172*F172*J172*S172*I172*H172)/12500000))/3*1000,"")</f>
        <v/>
      </c>
    </row>
    <row r="173">
      <c r="B173" s="7" t="inlineStr">
        <is>
          <t xml:space="preserve">  ↳ RA2Robotmm</t>
        </is>
      </c>
      <c r="C173" s="7" t="inlineStr">
        <is>
          <t>Armament</t>
        </is>
      </c>
      <c r="L173" s="6" t="n">
        <v>8000</v>
      </c>
      <c r="M173" s="6" t="n">
        <v>48</v>
      </c>
      <c r="N173" s="6" t="n">
        <v>1</v>
      </c>
      <c r="O173" s="6" t="n"/>
      <c r="P173" s="6" t="n">
        <v>5780</v>
      </c>
      <c r="Q173" s="6" t="n">
        <v>1.083333333333333</v>
      </c>
      <c r="R173">
        <f>M173+IF(N173&gt;1,N(O173)*(N173-1),0)</f>
        <v/>
      </c>
      <c r="S173">
        <f>IFERROR(L173*MAX(N173,1)/R173*Q173*IF(ISBLANK(K172),1,K172),0)</f>
        <v/>
      </c>
      <c r="AB173" s="7" t="inlineStr">
        <is>
          <t>^TeslaWeapon, ^LaserWeapon, ^RA2RailgunWeapon</t>
        </is>
      </c>
    </row>
    <row r="174">
      <c r="B174" s="7" t="inlineStr">
        <is>
          <t xml:space="preserve">  ↳ RA2Robotmm_elite</t>
        </is>
      </c>
      <c r="C174" s="7" t="inlineStr">
        <is>
          <t>Armament@elite</t>
        </is>
      </c>
      <c r="L174" s="6" t="n">
        <v>8000</v>
      </c>
      <c r="M174" s="6" t="n">
        <v>48</v>
      </c>
      <c r="N174" s="6" t="n">
        <v>1</v>
      </c>
      <c r="O174" s="6" t="n"/>
      <c r="P174" s="6" t="n">
        <v>6780</v>
      </c>
      <c r="Q174" s="6" t="n">
        <v>1.083333333333333</v>
      </c>
      <c r="R174">
        <f>M174+IF(N174&gt;1,N(O174)*(N174-1),0)</f>
        <v/>
      </c>
      <c r="S174">
        <f>IFERROR(L174*MAX(N174,1)/R174*Q174*IF(ISBLANK(K172),1,K172),0)</f>
        <v/>
      </c>
      <c r="AB174" s="7" t="inlineStr">
        <is>
          <t>^TeslaWeapon, ^LaserWeapon, ^RA2RailgunWeapon</t>
        </is>
      </c>
    </row>
    <row r="175">
      <c r="A175" t="inlineStr">
        <is>
          <t>redalert2mod</t>
        </is>
      </c>
      <c r="B175" t="inlineStr">
        <is>
          <t>tkm_abrams</t>
        </is>
      </c>
      <c r="C175" t="inlineStr">
        <is>
          <t>Abrams</t>
        </is>
      </c>
      <c r="D175" s="6" t="inlineStr">
        <is>
          <t>MainBattleTank</t>
        </is>
      </c>
      <c r="E175" s="6" t="n">
        <v>120000</v>
      </c>
      <c r="F175" s="6" t="n">
        <v>80</v>
      </c>
      <c r="G175" t="inlineStr">
        <is>
          <t>Medium</t>
        </is>
      </c>
      <c r="H175" s="6" t="n">
        <v>1</v>
      </c>
      <c r="I175" s="6" t="n">
        <v>1</v>
      </c>
      <c r="J175" s="6" t="n">
        <v>1</v>
      </c>
      <c r="K175" s="6" t="n"/>
      <c r="P175">
        <f>MAX(P176)</f>
        <v/>
      </c>
      <c r="S175">
        <f>S176</f>
        <v/>
      </c>
      <c r="T175">
        <f>(E175/100000+F175/100+(P175/1000)*J175/5+S175/200)*200*I175*H175</f>
        <v/>
      </c>
      <c r="U175">
        <f>((E175*F175/25000)+((P175/1000)*J175*S175/2.5))*I175*H175</f>
        <v/>
      </c>
      <c r="V175">
        <f>(E175*F175*(P175/1000)*J175*S175*I175*H175)/12500000</f>
        <v/>
      </c>
      <c r="W175">
        <f>800*(T175/800+U175/800+V175/800)/3</f>
        <v/>
      </c>
      <c r="X175" s="6" t="n">
        <v>1000</v>
      </c>
      <c r="Y175">
        <f>IFERROR(W175-X175,"")</f>
        <v/>
      </c>
      <c r="Z175">
        <f>IFERROR(ABS(Y175)/MAX(X175,1),"")</f>
        <v/>
      </c>
      <c r="AA175">
        <f>IFERROR((X175-(((E175/100000+F175/100+S175/200)*200*I175*H175)+((E175*F175/25000)*I175*H175))/3)/(((J175/5)*200*I175*H175)+((J175*S175/2.5)*I175*H175)+((E175*F175*J175*S175*I175*H175)/12500000))/3*1000,"")</f>
        <v/>
      </c>
    </row>
    <row r="176">
      <c r="B176" s="7" t="inlineStr">
        <is>
          <t xml:space="preserve">  ↳ tkmrh120gun</t>
        </is>
      </c>
      <c r="C176" s="7" t="inlineStr">
        <is>
          <t>Armament@cannon</t>
        </is>
      </c>
      <c r="L176" s="6" t="n">
        <v>12000</v>
      </c>
      <c r="M176" s="6" t="n">
        <v>46</v>
      </c>
      <c r="N176" s="6" t="n">
        <v>1</v>
      </c>
      <c r="O176" s="6" t="n"/>
      <c r="P176" s="6" t="n">
        <v>5672</v>
      </c>
      <c r="Q176" s="6" t="n">
        <v>1</v>
      </c>
      <c r="R176">
        <f>M176+IF(N176&gt;1,N(O176)*(N176-1),0)</f>
        <v/>
      </c>
      <c r="S176">
        <f>IFERROR(L176*MAX(N176,1)/R176*Q176*IF(ISBLANK(K175),1,K175),0)</f>
        <v/>
      </c>
      <c r="AB176" s="7" t="inlineStr">
        <is>
          <t>^MediumCannon</t>
        </is>
      </c>
    </row>
    <row r="177">
      <c r="A177" t="inlineStr">
        <is>
          <t>redalert2mod</t>
        </is>
      </c>
      <c r="B177" t="inlineStr">
        <is>
          <t>tkm_t72m</t>
        </is>
      </c>
      <c r="C177" t="inlineStr">
        <is>
          <t>T-72M</t>
        </is>
      </c>
      <c r="D177" s="6" t="inlineStr">
        <is>
          <t>MainBattleTank</t>
        </is>
      </c>
      <c r="E177" s="6" t="n">
        <v>100000</v>
      </c>
      <c r="F177" s="6" t="n">
        <v>80</v>
      </c>
      <c r="G177" t="inlineStr">
        <is>
          <t>Medium</t>
        </is>
      </c>
      <c r="H177" s="6" t="n">
        <v>1</v>
      </c>
      <c r="I177" s="6" t="n">
        <v>1</v>
      </c>
      <c r="J177" s="6" t="n">
        <v>1</v>
      </c>
      <c r="K177" s="6" t="n"/>
      <c r="P177">
        <f>MAX(P178,P179,P180)</f>
        <v/>
      </c>
      <c r="S177">
        <f>S178+S179+S180</f>
        <v/>
      </c>
      <c r="T177">
        <f>(E177/100000+F177/100+(P177/1000)*J177/5+S177/200)*200*I177*H177</f>
        <v/>
      </c>
      <c r="U177">
        <f>((E177*F177/25000)+((P177/1000)*J177*S177/2.5))*I177*H177</f>
        <v/>
      </c>
      <c r="V177">
        <f>(E177*F177*(P177/1000)*J177*S177*I177*H177)/12500000</f>
        <v/>
      </c>
      <c r="W177">
        <f>800*(T177/800+U177/800+V177/800)/3</f>
        <v/>
      </c>
      <c r="X177" s="6" t="n">
        <v>900</v>
      </c>
      <c r="Y177">
        <f>IFERROR(W177-X177,"")</f>
        <v/>
      </c>
      <c r="Z177">
        <f>IFERROR(ABS(Y177)/MAX(X177,1),"")</f>
        <v/>
      </c>
      <c r="AA177">
        <f>IFERROR((X177-(((E177/100000+F177/100+S177/200)*200*I177*H177)+((E177*F177/25000)*I177*H177))/3)/(((J177/5)*200*I177*H177)+((J177*S177/2.5)*I177*H177)+((E177*F177*J177*S177*I177*H177)/12500000))/3*1000,"")</f>
        <v/>
      </c>
    </row>
    <row r="178">
      <c r="B178" s="7" t="inlineStr">
        <is>
          <t xml:space="preserve">  ↳ TKMPDLaser</t>
        </is>
      </c>
      <c r="C178" s="7" t="inlineStr">
        <is>
          <t>Armament@pointdefense</t>
        </is>
      </c>
      <c r="L178" s="6" t="n">
        <v>1</v>
      </c>
      <c r="M178" s="6" t="n">
        <v>25</v>
      </c>
      <c r="N178" s="6" t="n">
        <v>1</v>
      </c>
      <c r="O178" s="6" t="n"/>
      <c r="P178" s="6" t="n">
        <v>5000</v>
      </c>
      <c r="Q178" s="6" t="n">
        <v>1</v>
      </c>
      <c r="R178">
        <f>M178+IF(N178&gt;1,N(O178)*(N178-1),0)</f>
        <v/>
      </c>
      <c r="S178">
        <f>IFERROR(L178*MAX(N178,1)/R178*Q178*IF(ISBLANK(K177),1,K177),0)</f>
        <v/>
      </c>
      <c r="AB178" s="7" t="inlineStr">
        <is>
          <t>PDLaser</t>
        </is>
      </c>
    </row>
    <row r="179">
      <c r="B179" s="7" t="inlineStr">
        <is>
          <t xml:space="preserve">  ↳ tkm2a46gun</t>
        </is>
      </c>
      <c r="C179" s="7" t="inlineStr">
        <is>
          <t>Armament</t>
        </is>
      </c>
      <c r="L179" s="6" t="n">
        <v>10000</v>
      </c>
      <c r="M179" s="6" t="n">
        <v>42</v>
      </c>
      <c r="N179" s="6" t="n">
        <v>1</v>
      </c>
      <c r="O179" s="6" t="n"/>
      <c r="P179" s="6" t="n">
        <v>6196</v>
      </c>
      <c r="Q179" s="6" t="n">
        <v>1</v>
      </c>
      <c r="R179">
        <f>M179+IF(N179&gt;1,N(O179)*(N179-1),0)</f>
        <v/>
      </c>
      <c r="S179">
        <f>IFERROR(L179*MAX(N179,1)/R179*Q179*IF(ISBLANK(K177),1,K177),0)</f>
        <v/>
      </c>
      <c r="AB179" s="7" t="inlineStr">
        <is>
          <t>^MediumCannon</t>
        </is>
      </c>
    </row>
    <row r="180">
      <c r="B180" s="7" t="inlineStr">
        <is>
          <t xml:space="preserve">  ↳ tkmkord</t>
        </is>
      </c>
      <c r="C180" s="7" t="inlineStr">
        <is>
          <t>Armament@machinegun</t>
        </is>
      </c>
      <c r="L180" s="6" t="n">
        <v>2000</v>
      </c>
      <c r="M180" s="6" t="n">
        <v>10</v>
      </c>
      <c r="N180" s="6" t="n">
        <v>1</v>
      </c>
      <c r="O180" s="6" t="n"/>
      <c r="P180" s="6" t="n">
        <v>6195</v>
      </c>
      <c r="Q180" s="6" t="n">
        <v>1</v>
      </c>
      <c r="R180">
        <f>M180+IF(N180&gt;1,N(O180)*(N180-1),0)</f>
        <v/>
      </c>
      <c r="S180">
        <f>IFERROR(L180*MAX(N180,1)/R180*Q180*IF(ISBLANK(K177),1,K177),0)</f>
        <v/>
      </c>
      <c r="AB180" s="7" t="inlineStr">
        <is>
          <t>^RA2Chaingun</t>
        </is>
      </c>
    </row>
    <row r="181">
      <c r="A181" t="inlineStr">
        <is>
          <t>redalert2mod</t>
        </is>
      </c>
      <c r="B181" t="inlineStr">
        <is>
          <t>tkm_technicaltank</t>
        </is>
      </c>
      <c r="C181" t="inlineStr">
        <is>
          <t>Technical Tank</t>
        </is>
      </c>
      <c r="D181" s="6" t="inlineStr">
        <is>
          <t>MainBattleTank</t>
        </is>
      </c>
      <c r="E181" s="6" t="n">
        <v>70000</v>
      </c>
      <c r="F181" s="6" t="n">
        <v>110</v>
      </c>
      <c r="G181" t="inlineStr">
        <is>
          <t>Medium</t>
        </is>
      </c>
      <c r="H181" s="6" t="n">
        <v>1</v>
      </c>
      <c r="I181" s="6" t="n">
        <v>1</v>
      </c>
      <c r="J181" s="6" t="n">
        <v>1</v>
      </c>
      <c r="K181" s="6" t="n"/>
      <c r="P181">
        <f>MAX(P182,P183)</f>
        <v/>
      </c>
      <c r="S181">
        <f>S182+S183</f>
        <v/>
      </c>
      <c r="T181">
        <f>(E181/100000+F181/100+(P181/1000)*J181/5+S181/200)*200*I181*H181</f>
        <v/>
      </c>
      <c r="U181">
        <f>((E181*F181/25000)+((P181/1000)*J181*S181/2.5))*I181*H181</f>
        <v/>
      </c>
      <c r="V181">
        <f>(E181*F181*(P181/1000)*J181*S181*I181*H181)/12500000</f>
        <v/>
      </c>
      <c r="W181">
        <f>800*(T181/800+U181/800+V181/800)/3</f>
        <v/>
      </c>
      <c r="X181" s="6" t="n">
        <v>700</v>
      </c>
      <c r="Y181">
        <f>IFERROR(W181-X181,"")</f>
        <v/>
      </c>
      <c r="Z181">
        <f>IFERROR(ABS(Y181)/MAX(X181,1),"")</f>
        <v/>
      </c>
      <c r="AA181">
        <f>IFERROR((X181-(((E181/100000+F181/100+S181/200)*200*I181*H181)+((E181*F181/25000)*I181*H181))/3)/(((J181/5)*200*I181*H181)+((J181*S181/2.5)*I181*H181)+((E181*F181*J181*S181*I181*H181)/12500000))/3*1000,"")</f>
        <v/>
      </c>
    </row>
    <row r="182">
      <c r="B182" s="7" t="inlineStr">
        <is>
          <t xml:space="preserve">  ↳ tkmltgun</t>
        </is>
      </c>
      <c r="C182" s="7" t="inlineStr">
        <is>
          <t>Armament@cannon</t>
        </is>
      </c>
      <c r="L182" s="6" t="n">
        <v>8000</v>
      </c>
      <c r="M182" s="6" t="n">
        <v>42</v>
      </c>
      <c r="N182" s="6" t="n">
        <v>1</v>
      </c>
      <c r="O182" s="6" t="n"/>
      <c r="P182" s="6" t="n">
        <v>5316</v>
      </c>
      <c r="Q182" s="6" t="n">
        <v>1</v>
      </c>
      <c r="R182">
        <f>M182+IF(N182&gt;1,N(O182)*(N182-1),0)</f>
        <v/>
      </c>
      <c r="S182">
        <f>IFERROR(L182*MAX(N182,1)/R182*Q182*IF(ISBLANK(K181),1,K181),0)</f>
        <v/>
      </c>
      <c r="AB182" s="7" t="inlineStr">
        <is>
          <t>^MediumCannon</t>
        </is>
      </c>
    </row>
    <row r="183">
      <c r="B183" s="7" t="inlineStr">
        <is>
          <t xml:space="preserve">  ↳ tkmtwinrocketstechnicaltank</t>
        </is>
      </c>
      <c r="C183" s="7" t="inlineStr">
        <is>
          <t>Armament@missiles</t>
        </is>
      </c>
      <c r="L183" s="6" t="n">
        <v>18000</v>
      </c>
      <c r="M183" s="6" t="n">
        <v>64</v>
      </c>
      <c r="N183" s="6" t="n">
        <v>2</v>
      </c>
      <c r="O183" s="6" t="n"/>
      <c r="P183" s="6" t="n">
        <v>5243</v>
      </c>
      <c r="Q183" s="6" t="n">
        <v>0.75</v>
      </c>
      <c r="R183">
        <f>M183+IF(N183&gt;1,N(O183)*(N183-1),0)</f>
        <v/>
      </c>
      <c r="S183">
        <f>IFERROR(L183*MAX(N183,1)/R183*Q183*IF(ISBLANK(K181),1,K181),0)</f>
        <v/>
      </c>
      <c r="AB183" s="7" t="inlineStr">
        <is>
          <t>^LightMissile</t>
        </is>
      </c>
    </row>
    <row r="184">
      <c r="A184" t="inlineStr">
        <is>
          <t>redalert2mod</t>
        </is>
      </c>
      <c r="B184" t="inlineStr">
        <is>
          <t>tkm_trenchtank</t>
        </is>
      </c>
      <c r="C184" t="inlineStr">
        <is>
          <t>Trench Tank</t>
        </is>
      </c>
      <c r="D184" s="6" t="inlineStr">
        <is>
          <t>MainBattleTank</t>
        </is>
      </c>
      <c r="E184" s="6" t="n">
        <v>200000</v>
      </c>
      <c r="F184" s="6" t="n">
        <v>65</v>
      </c>
      <c r="G184" t="inlineStr">
        <is>
          <t>Heavy</t>
        </is>
      </c>
      <c r="H184" s="6" t="n">
        <v>1</v>
      </c>
      <c r="I184" s="6" t="n">
        <v>1</v>
      </c>
      <c r="J184" s="6" t="n">
        <v>1</v>
      </c>
      <c r="K184" s="6" t="n"/>
      <c r="P184">
        <f>MAX(P185)</f>
        <v/>
      </c>
      <c r="S184">
        <f>S185</f>
        <v/>
      </c>
      <c r="T184">
        <f>(E184/100000+F184/100+(P184/1000)*J184/5+S184/200)*200*I184*H184</f>
        <v/>
      </c>
      <c r="U184">
        <f>((E184*F184/25000)+((P184/1000)*J184*S184/2.5))*I184*H184</f>
        <v/>
      </c>
      <c r="V184">
        <f>(E184*F184*(P184/1000)*J184*S184*I184*H184)/12500000</f>
        <v/>
      </c>
      <c r="W184">
        <f>800*(T184/800+U184/800+V184/800)/3</f>
        <v/>
      </c>
      <c r="X184" s="6" t="n">
        <v>2500</v>
      </c>
      <c r="Y184">
        <f>IFERROR(W184-X184,"")</f>
        <v/>
      </c>
      <c r="Z184">
        <f>IFERROR(ABS(Y184)/MAX(X184,1),"")</f>
        <v/>
      </c>
      <c r="AA184">
        <f>IFERROR((X184-(((E184/100000+F184/100+S184/200)*200*I184*H184)+((E184*F184/25000)*I184*H184))/3)/(((J184/5)*200*I184*H184)+((J184*S184/2.5)*I184*H184)+((E184*F184*J184*S184*I184*H184)/12500000))/3*1000,"")</f>
        <v/>
      </c>
    </row>
    <row r="185">
      <c r="B185" s="7" t="inlineStr">
        <is>
          <t xml:space="preserve">  ↳ tkmtrenchcannon</t>
        </is>
      </c>
      <c r="C185" s="7" t="inlineStr">
        <is>
          <t>Armament</t>
        </is>
      </c>
      <c r="L185" s="6" t="n">
        <v>20000</v>
      </c>
      <c r="M185" s="6" t="n">
        <v>75</v>
      </c>
      <c r="N185" s="6" t="n">
        <v>1</v>
      </c>
      <c r="O185" s="6" t="n"/>
      <c r="P185" s="6" t="n">
        <v>9237</v>
      </c>
      <c r="Q185" s="6" t="n">
        <v>1.125</v>
      </c>
      <c r="R185">
        <f>M185+IF(N185&gt;1,N(O185)*(N185-1),0)</f>
        <v/>
      </c>
      <c r="S185">
        <f>IFERROR(L185*MAX(N185,1)/R185*Q185*IF(ISBLANK(K184),1,K184),0)</f>
        <v/>
      </c>
      <c r="AB185" s="7" t="inlineStr">
        <is>
          <t>^ShrapnelWeapon, ^HeavyCannon</t>
        </is>
      </c>
    </row>
    <row r="186">
      <c r="A186" t="inlineStr">
        <is>
          <t>d2k</t>
        </is>
      </c>
      <c r="B186" t="inlineStr">
        <is>
          <t>ordos_combatautoguntank</t>
        </is>
      </c>
      <c r="C186" t="inlineStr">
        <is>
          <t>Combat Autogun Tank</t>
        </is>
      </c>
      <c r="D186" s="6" t="inlineStr">
        <is>
          <t>MainBattleTank</t>
        </is>
      </c>
      <c r="E186" s="6" t="n">
        <v>95000</v>
      </c>
      <c r="F186" s="6" t="n">
        <v>80</v>
      </c>
      <c r="G186" t="inlineStr">
        <is>
          <t>Medium</t>
        </is>
      </c>
      <c r="H186" s="6" t="n">
        <v>1</v>
      </c>
      <c r="I186" s="6" t="n">
        <v>1</v>
      </c>
      <c r="J186" s="6" t="n">
        <v>1</v>
      </c>
      <c r="K186" s="6" t="n">
        <v>0.25</v>
      </c>
      <c r="P186">
        <f>MAX(P187)</f>
        <v/>
      </c>
      <c r="S186">
        <f>S187</f>
        <v/>
      </c>
      <c r="T186">
        <f>(E186/100000+F186/100+(P186/1000)*J186/5+S186/200)*200*I186*H186</f>
        <v/>
      </c>
      <c r="U186">
        <f>((E186*F186/25000)+((P186/1000)*J186*S186/2.5))*I186*H186</f>
        <v/>
      </c>
      <c r="V186">
        <f>(E186*F186*(P186/1000)*J186*S186*I186*H186)/12500000</f>
        <v/>
      </c>
      <c r="W186">
        <f>800*(T186/800+U186/800+V186/800)/3</f>
        <v/>
      </c>
      <c r="X186" s="6" t="n">
        <v>1500</v>
      </c>
      <c r="Y186">
        <f>IFERROR(W186-X186,"")</f>
        <v/>
      </c>
      <c r="Z186">
        <f>IFERROR(ABS(Y186)/MAX(X186,1),"")</f>
        <v/>
      </c>
      <c r="AA186">
        <f>IFERROR((X186-(((E186/100000+F186/100+S186/200)*200*I186*H186)+((E186*F186/25000)*I186*H186))/3)/(((J186/5)*200*I186*H186)+((J186*S186/2.5)*I186*H186)+((E186*F186*J186*S186*I186*H186)/12500000))/3*1000,"")</f>
        <v/>
      </c>
    </row>
    <row r="187">
      <c r="B187" s="7" t="inlineStr">
        <is>
          <t xml:space="preserve">  ↳ autogun_tank_small</t>
        </is>
      </c>
      <c r="C187" s="7" t="inlineStr">
        <is>
          <t>Armament</t>
        </is>
      </c>
      <c r="L187" s="6" t="n">
        <v>2000</v>
      </c>
      <c r="M187" s="6" t="n">
        <v>24</v>
      </c>
      <c r="N187" s="6" t="n">
        <v>4</v>
      </c>
      <c r="O187" s="6" t="n">
        <v>2</v>
      </c>
      <c r="P187" s="6" t="n">
        <v>6220</v>
      </c>
      <c r="Q187" s="6" t="n">
        <v>1.1</v>
      </c>
      <c r="R187">
        <f>M187+IF(N187&gt;1,N(O187)*(N187-1),0)</f>
        <v/>
      </c>
      <c r="S187">
        <f>IFERROR(L187*MAX(N187,1)/R187*Q187*IF(ISBLANK(K186),1,K186),0)</f>
        <v/>
      </c>
      <c r="AB187" s="7" t="inlineStr">
        <is>
          <t>^D2KMissile, ^HeavyCannon, ^HeavyAAWeapon, ^FlakWeapon, ^MediumMissile, ^Chaingun</t>
        </is>
      </c>
    </row>
    <row r="188">
      <c r="A188" t="inlineStr">
        <is>
          <t>d2k</t>
        </is>
      </c>
      <c r="B188" t="inlineStr">
        <is>
          <t>ordos_combattank</t>
        </is>
      </c>
      <c r="C188" t="inlineStr">
        <is>
          <t>Ordos Combat Tank</t>
        </is>
      </c>
      <c r="D188" s="6" t="inlineStr">
        <is>
          <t>MainBattleTank</t>
        </is>
      </c>
      <c r="E188" s="6" t="n">
        <v>85000</v>
      </c>
      <c r="F188" s="6" t="n">
        <v>85</v>
      </c>
      <c r="G188" t="inlineStr">
        <is>
          <t>Medium</t>
        </is>
      </c>
      <c r="H188" s="6" t="n">
        <v>1</v>
      </c>
      <c r="I188" s="6" t="n">
        <v>1</v>
      </c>
      <c r="J188" s="6" t="n">
        <v>1</v>
      </c>
      <c r="K188" s="6" t="n"/>
      <c r="P188">
        <f>MAX(P189)</f>
        <v/>
      </c>
      <c r="S188">
        <f>S189</f>
        <v/>
      </c>
      <c r="T188">
        <f>(E188/100000+F188/100+(P188/1000)*J188/5+S188/200)*200*I188*H188</f>
        <v/>
      </c>
      <c r="U188">
        <f>((E188*F188/25000)+((P188/1000)*J188*S188/2.5))*I188*H188</f>
        <v/>
      </c>
      <c r="V188">
        <f>(E188*F188*(P188/1000)*J188*S188*I188*H188)/12500000</f>
        <v/>
      </c>
      <c r="W188">
        <f>800*(T188/800+U188/800+V188/800)/3</f>
        <v/>
      </c>
      <c r="X188" s="6" t="n">
        <v>650</v>
      </c>
      <c r="Y188">
        <f>IFERROR(W188-X188,"")</f>
        <v/>
      </c>
      <c r="Z188">
        <f>IFERROR(ABS(Y188)/MAX(X188,1),"")</f>
        <v/>
      </c>
      <c r="AA188">
        <f>IFERROR((X188-(((E188/100000+F188/100+S188/200)*200*I188*H188)+((E188*F188/25000)*I188*H188))/3)/(((J188/5)*200*I188*H188)+((J188*S188/2.5)*I188*H188)+((E188*F188*J188*S188*I188*H188)/12500000))/3*1000,"")</f>
        <v/>
      </c>
    </row>
    <row r="189">
      <c r="B189" s="7" t="inlineStr">
        <is>
          <t xml:space="preserve">  ↳ OrdosCombatTankCannon</t>
        </is>
      </c>
      <c r="C189" s="7" t="inlineStr">
        <is>
          <t>Armament</t>
        </is>
      </c>
      <c r="L189" s="6" t="n">
        <v>8000</v>
      </c>
      <c r="M189" s="6" t="n">
        <v>44</v>
      </c>
      <c r="N189" s="6" t="n">
        <v>1</v>
      </c>
      <c r="O189" s="6" t="n"/>
      <c r="P189" s="6" t="n">
        <v>5230</v>
      </c>
      <c r="Q189" s="6" t="n">
        <v>1</v>
      </c>
      <c r="R189">
        <f>M189+IF(N189&gt;1,N(O189)*(N189-1),0)</f>
        <v/>
      </c>
      <c r="S189">
        <f>IFERROR(L189*MAX(N189,1)/R189*Q189*IF(ISBLANK(K188),1,K188),0)</f>
        <v/>
      </c>
      <c r="AB189" s="7" t="inlineStr">
        <is>
          <t>^D2K_Cannon</t>
        </is>
      </c>
    </row>
    <row r="190">
      <c r="A190" t="inlineStr">
        <is>
          <t>d2k</t>
        </is>
      </c>
      <c r="B190" t="inlineStr">
        <is>
          <t>ordos_heavycombattank</t>
        </is>
      </c>
      <c r="C190" t="inlineStr">
        <is>
          <t>Ordos Heavy Combat Tank</t>
        </is>
      </c>
      <c r="D190" s="6" t="inlineStr">
        <is>
          <t>MainBattleTank</t>
        </is>
      </c>
      <c r="E190" s="6" t="n">
        <v>115000</v>
      </c>
      <c r="F190" s="6" t="n">
        <v>75</v>
      </c>
      <c r="G190" t="inlineStr">
        <is>
          <t>Heavy</t>
        </is>
      </c>
      <c r="H190" s="6" t="n">
        <v>1</v>
      </c>
      <c r="I190" s="6" t="n">
        <v>1</v>
      </c>
      <c r="J190" s="6" t="n">
        <v>1</v>
      </c>
      <c r="K190" s="6" t="n"/>
      <c r="P190">
        <f>MAX(P191,P192)</f>
        <v/>
      </c>
      <c r="S190">
        <f>S191+S192</f>
        <v/>
      </c>
      <c r="T190">
        <f>(E190/100000+F190/100+(P190/1000)*J190/5+S190/200)*200*I190*H190</f>
        <v/>
      </c>
      <c r="U190">
        <f>((E190*F190/25000)+((P190/1000)*J190*S190/2.5))*I190*H190</f>
        <v/>
      </c>
      <c r="V190">
        <f>(E190*F190*(P190/1000)*J190*S190*I190*H190)/12500000</f>
        <v/>
      </c>
      <c r="W190">
        <f>800*(T190/800+U190/800+V190/800)/3</f>
        <v/>
      </c>
      <c r="X190" s="6" t="n">
        <v>950</v>
      </c>
      <c r="Y190">
        <f>IFERROR(W190-X190,"")</f>
        <v/>
      </c>
      <c r="Z190">
        <f>IFERROR(ABS(Y190)/MAX(X190,1),"")</f>
        <v/>
      </c>
      <c r="AA190">
        <f>IFERROR((X190-(((E190/100000+F190/100+S190/200)*200*I190*H190)+((E190*F190/25000)*I190*H190))/3)/(((J190/5)*200*I190*H190)+((J190*S190/2.5)*I190*H190)+((E190*F190*J190*S190*I190*H190)/12500000))/3*1000,"")</f>
        <v/>
      </c>
    </row>
    <row r="191">
      <c r="B191" s="7" t="inlineStr">
        <is>
          <t xml:space="preserve">  ↳ HeavyOrdosCombatTankCannon</t>
        </is>
      </c>
      <c r="C191" s="7" t="inlineStr">
        <is>
          <t>Armament</t>
        </is>
      </c>
      <c r="L191" s="6" t="n">
        <v>10000</v>
      </c>
      <c r="M191" s="6" t="n">
        <v>40</v>
      </c>
      <c r="N191" s="6" t="n">
        <v>1</v>
      </c>
      <c r="O191" s="6" t="n"/>
      <c r="P191" s="6" t="n">
        <v>6000</v>
      </c>
      <c r="Q191" s="6" t="n">
        <v>1</v>
      </c>
      <c r="R191">
        <f>M191+IF(N191&gt;1,N(O191)*(N191-1),0)</f>
        <v/>
      </c>
      <c r="S191">
        <f>IFERROR(L191*MAX(N191,1)/R191*Q191*IF(ISBLANK(K190),1,K190),0)</f>
        <v/>
      </c>
      <c r="AB191" s="7" t="inlineStr">
        <is>
          <t>^D2K_Cannon</t>
        </is>
      </c>
    </row>
    <row r="192">
      <c r="B192" s="7" t="inlineStr">
        <is>
          <t xml:space="preserve">  ↳ HeavyOrdosCombatTankRockets</t>
        </is>
      </c>
      <c r="C192" s="7" t="inlineStr">
        <is>
          <t>Armament@Rockets</t>
        </is>
      </c>
      <c r="L192" s="6" t="n">
        <v>2000</v>
      </c>
      <c r="M192" s="6" t="n">
        <v>70</v>
      </c>
      <c r="N192" s="6" t="n">
        <v>2</v>
      </c>
      <c r="O192" s="6" t="n">
        <v>10</v>
      </c>
      <c r="P192" s="6" t="n">
        <v>6000</v>
      </c>
      <c r="Q192" s="6" t="n">
        <v>0.9375</v>
      </c>
      <c r="R192">
        <f>M192+IF(N192&gt;1,N(O192)*(N192-1),0)</f>
        <v/>
      </c>
      <c r="S192">
        <f>IFERROR(L192*MAX(N192,1)/R192*Q192*IF(ISBLANK(K190),1,K190),0)</f>
        <v/>
      </c>
      <c r="AB192" s="7" t="inlineStr">
        <is>
          <t>^Chaingun, ^FlakWeapon, ^LightMissile, ^MediumMissile, ^D2KRocket</t>
        </is>
      </c>
    </row>
    <row r="193">
      <c r="A193" t="inlineStr">
        <is>
          <t>d2k</t>
        </is>
      </c>
      <c r="B193" t="inlineStr">
        <is>
          <t>ixian_koda_tank</t>
        </is>
      </c>
      <c r="C193" t="inlineStr">
        <is>
          <t>Koda Tank</t>
        </is>
      </c>
      <c r="D193" s="6" t="inlineStr">
        <is>
          <t>MainBattleTank</t>
        </is>
      </c>
      <c r="E193" s="6" t="n">
        <v>65000</v>
      </c>
      <c r="F193" s="6" t="n">
        <v>65</v>
      </c>
      <c r="G193" t="inlineStr">
        <is>
          <t>Medium</t>
        </is>
      </c>
      <c r="H193" s="6" t="n">
        <v>1</v>
      </c>
      <c r="I193" s="6" t="n">
        <v>1</v>
      </c>
      <c r="J193" s="6" t="n">
        <v>1</v>
      </c>
      <c r="K193" s="6" t="n"/>
      <c r="P193">
        <f>MAX(P194)</f>
        <v/>
      </c>
      <c r="S193">
        <f>S194</f>
        <v/>
      </c>
      <c r="T193">
        <f>(E193/100000+F193/100+(P193/1000)*J193/5+S193/200)*200*I193*H193</f>
        <v/>
      </c>
      <c r="U193">
        <f>((E193*F193/25000)+((P193/1000)*J193*S193/2.5))*I193*H193</f>
        <v/>
      </c>
      <c r="V193">
        <f>(E193*F193*(P193/1000)*J193*S193*I193*H193)/12500000</f>
        <v/>
      </c>
      <c r="W193">
        <f>800*(T193/800+U193/800+V193/800)/3</f>
        <v/>
      </c>
      <c r="X193" s="6" t="n">
        <v>800</v>
      </c>
      <c r="Y193">
        <f>IFERROR(W193-X193,"")</f>
        <v/>
      </c>
      <c r="Z193">
        <f>IFERROR(ABS(Y193)/MAX(X193,1),"")</f>
        <v/>
      </c>
      <c r="AA193">
        <f>IFERROR((X193-(((E193/100000+F193/100+S193/200)*200*I193*H193)+((E193*F193/25000)*I193*H193))/3)/(((J193/5)*200*I193*H193)+((J193*S193/2.5)*I193*H193)+((E193*F193*J193*S193*I193*H193)/12500000))/3*1000,"")</f>
        <v/>
      </c>
    </row>
    <row r="194">
      <c r="B194" s="7" t="inlineStr">
        <is>
          <t xml:space="preserve">  ↳ IxianCombatTankCannon</t>
        </is>
      </c>
      <c r="C194" s="7" t="inlineStr">
        <is>
          <t>Armament</t>
        </is>
      </c>
      <c r="L194" s="6" t="n">
        <v>4000</v>
      </c>
      <c r="M194" s="6" t="n">
        <v>35</v>
      </c>
      <c r="N194" s="6" t="n">
        <v>1</v>
      </c>
      <c r="O194" s="6" t="n"/>
      <c r="P194" s="6" t="n">
        <v>5555</v>
      </c>
      <c r="Q194" s="6" t="n">
        <v>1.25</v>
      </c>
      <c r="R194">
        <f>M194+IF(N194&gt;1,N(O194)*(N194-1),0)</f>
        <v/>
      </c>
      <c r="S194">
        <f>IFERROR(L194*MAX(N194,1)/R194*Q194*IF(ISBLANK(K193),1,K193),0)</f>
        <v/>
      </c>
      <c r="AB194" s="7" t="inlineStr">
        <is>
          <t>^TankDestroyerCannon, ^HeavyCannon, ^D2K_Cannon</t>
        </is>
      </c>
    </row>
    <row r="195">
      <c r="A195" t="inlineStr">
        <is>
          <t>d2k</t>
        </is>
      </c>
      <c r="B195" t="inlineStr">
        <is>
          <t>ixian_mongoose</t>
        </is>
      </c>
      <c r="C195" t="inlineStr">
        <is>
          <t>Mongoose</t>
        </is>
      </c>
      <c r="D195" s="6" t="inlineStr">
        <is>
          <t>MainBattleTank</t>
        </is>
      </c>
      <c r="E195" s="6" t="n">
        <v>75000</v>
      </c>
      <c r="F195" s="6" t="n">
        <v>75</v>
      </c>
      <c r="G195" t="inlineStr">
        <is>
          <t>Medium</t>
        </is>
      </c>
      <c r="H195" s="6" t="n">
        <v>1</v>
      </c>
      <c r="I195" s="6" t="n">
        <v>1</v>
      </c>
      <c r="J195" s="6" t="n">
        <v>1</v>
      </c>
      <c r="K195" s="6" t="n"/>
      <c r="P195">
        <f>MAX(P196)</f>
        <v/>
      </c>
      <c r="S195">
        <f>S196</f>
        <v/>
      </c>
      <c r="T195">
        <f>(E195/100000+F195/100+(P195/1000)*J195/5+S195/200)*200*I195*H195</f>
        <v/>
      </c>
      <c r="U195">
        <f>((E195*F195/25000)+((P195/1000)*J195*S195/2.5))*I195*H195</f>
        <v/>
      </c>
      <c r="V195">
        <f>(E195*F195*(P195/1000)*J195*S195*I195*H195)/12500000</f>
        <v/>
      </c>
      <c r="W195">
        <f>800*(T195/800+U195/800+V195/800)/3</f>
        <v/>
      </c>
      <c r="X195" s="6" t="n">
        <v>1300</v>
      </c>
      <c r="Y195">
        <f>IFERROR(W195-X195,"")</f>
        <v/>
      </c>
      <c r="Z195">
        <f>IFERROR(ABS(Y195)/MAX(X195,1),"")</f>
        <v/>
      </c>
      <c r="AA195">
        <f>IFERROR((X195-(((E195/100000+F195/100+S195/200)*200*I195*H195)+((E195*F195/25000)*I195*H195))/3)/(((J195/5)*200*I195*H195)+((J195*S195/2.5)*I195*H195)+((E195*F195*J195*S195*I195*H195)/12500000))/3*1000,"")</f>
        <v/>
      </c>
    </row>
    <row r="196">
      <c r="B196" s="7" t="inlineStr">
        <is>
          <t xml:space="preserve">  ↳ MongooseRocket</t>
        </is>
      </c>
      <c r="C196" s="7" t="inlineStr">
        <is>
          <t>Armament@primary</t>
        </is>
      </c>
      <c r="L196" s="6" t="n">
        <v>4000</v>
      </c>
      <c r="M196" s="6" t="n">
        <v>64</v>
      </c>
      <c r="N196" s="6" t="n">
        <v>1</v>
      </c>
      <c r="O196" s="6" t="n"/>
      <c r="P196" s="6" t="n">
        <v>6183</v>
      </c>
      <c r="Q196" s="6" t="n">
        <v>1.041666666666667</v>
      </c>
      <c r="R196">
        <f>M196+IF(N196&gt;1,N(O196)*(N196-1),0)</f>
        <v/>
      </c>
      <c r="S196">
        <f>IFERROR(L196*MAX(N196,1)/R196*Q196*IF(ISBLANK(K195),1,K195),0)</f>
        <v/>
      </c>
      <c r="AB196" s="7" t="inlineStr">
        <is>
          <t>^Grenade, ^ShrapnelWeapon, ^Chaingun, ^FlakWeapon, ^TankDestroyerCannon, ^RailgunWeapon, ^MediumMissile, ^D2KRocket</t>
        </is>
      </c>
    </row>
    <row r="197">
      <c r="A197" t="inlineStr">
        <is>
          <t>d2k</t>
        </is>
      </c>
      <c r="B197" t="inlineStr">
        <is>
          <t>combat_tank.atreides</t>
        </is>
      </c>
      <c r="C197" t="inlineStr">
        <is>
          <t>Combat Tank</t>
        </is>
      </c>
      <c r="D197" s="6" t="inlineStr">
        <is>
          <t>MainBattleTank</t>
        </is>
      </c>
      <c r="E197" s="6" t="n">
        <v>100000</v>
      </c>
      <c r="F197" s="6" t="n">
        <v>75</v>
      </c>
      <c r="G197" t="inlineStr">
        <is>
          <t>Medium</t>
        </is>
      </c>
      <c r="H197" s="6" t="n">
        <v>1</v>
      </c>
      <c r="I197" s="6" t="n">
        <v>1</v>
      </c>
      <c r="J197" s="6" t="n">
        <v>1</v>
      </c>
      <c r="K197" s="6" t="n"/>
      <c r="P197">
        <f>MAX(P198)</f>
        <v/>
      </c>
      <c r="S197">
        <f>S198</f>
        <v/>
      </c>
      <c r="T197">
        <f>(E197/100000+F197/100+(P197/1000)*J197/5+S197/200)*200*I197*H197</f>
        <v/>
      </c>
      <c r="U197">
        <f>((E197*F197/25000)+((P197/1000)*J197*S197/2.5))*I197*H197</f>
        <v/>
      </c>
      <c r="V197">
        <f>(E197*F197*(P197/1000)*J197*S197*I197*H197)/12500000</f>
        <v/>
      </c>
      <c r="W197">
        <f>800*(T197/800+U197/800+V197/800)/3</f>
        <v/>
      </c>
      <c r="X197" s="6" t="n">
        <v>600</v>
      </c>
      <c r="Y197">
        <f>IFERROR(W197-X197,"")</f>
        <v/>
      </c>
      <c r="Z197">
        <f>IFERROR(ABS(Y197)/MAX(X197,1),"")</f>
        <v/>
      </c>
      <c r="AA197">
        <f>IFERROR((X197-(((E197/100000+F197/100+S197/200)*200*I197*H197)+((E197*F197/25000)*I197*H197))/3)/(((J197/5)*200*I197*H197)+((J197*S197/2.5)*I197*H197)+((E197*F197*J197*S197*I197*H197)/12500000))/3*1000,"")</f>
        <v/>
      </c>
    </row>
    <row r="198">
      <c r="B198" s="7" t="inlineStr">
        <is>
          <t xml:space="preserve">  ↳ 80mm_A</t>
        </is>
      </c>
      <c r="C198" s="7" t="inlineStr">
        <is>
          <t>Armament</t>
        </is>
      </c>
      <c r="L198" s="6" t="n">
        <v>8000</v>
      </c>
      <c r="M198" s="6" t="n">
        <v>25</v>
      </c>
      <c r="N198" s="6" t="n">
        <v>1</v>
      </c>
      <c r="O198" s="6" t="n"/>
      <c r="P198" s="6" t="n">
        <v>5120</v>
      </c>
      <c r="Q198" s="6" t="n">
        <v>1</v>
      </c>
      <c r="R198">
        <f>M198+IF(N198&gt;1,N(O198)*(N198-1),0)</f>
        <v/>
      </c>
      <c r="S198">
        <f>IFERROR(L198*MAX(N198,1)/R198*Q198*IF(ISBLANK(K197),1,K197),0)</f>
        <v/>
      </c>
      <c r="AB198" s="7" t="inlineStr">
        <is>
          <t>^D2K_Cannon</t>
        </is>
      </c>
    </row>
    <row r="199">
      <c r="A199" t="inlineStr">
        <is>
          <t>d2k</t>
        </is>
      </c>
      <c r="B199" t="inlineStr">
        <is>
          <t>combat_tank.harkonnen</t>
        </is>
      </c>
      <c r="C199" t="inlineStr">
        <is>
          <t>Harkonnen Combat Tank</t>
        </is>
      </c>
      <c r="D199" s="6" t="inlineStr">
        <is>
          <t>MainBattleTank</t>
        </is>
      </c>
      <c r="E199" s="6" t="n">
        <v>70000</v>
      </c>
      <c r="F199" s="6" t="n">
        <v>65</v>
      </c>
      <c r="G199" t="inlineStr">
        <is>
          <t>Medium</t>
        </is>
      </c>
      <c r="H199" s="6" t="n">
        <v>1</v>
      </c>
      <c r="I199" s="6" t="n">
        <v>1</v>
      </c>
      <c r="J199" s="6" t="n">
        <v>1</v>
      </c>
      <c r="K199" s="6" t="n"/>
      <c r="P199">
        <f>MAX(P200)</f>
        <v/>
      </c>
      <c r="S199">
        <f>S200</f>
        <v/>
      </c>
      <c r="T199">
        <f>(E199/100000+F199/100+(P199/1000)*J199/5+S199/200)*200*I199*H199</f>
        <v/>
      </c>
      <c r="U199">
        <f>((E199*F199/25000)+((P199/1000)*J199*S199/2.5))*I199*H199</f>
        <v/>
      </c>
      <c r="V199">
        <f>(E199*F199*(P199/1000)*J199*S199*I199*H199)/12500000</f>
        <v/>
      </c>
      <c r="W199">
        <f>800*(T199/800+U199/800+V199/800)/3</f>
        <v/>
      </c>
      <c r="X199" s="6" t="n">
        <v>600</v>
      </c>
      <c r="Y199">
        <f>IFERROR(W199-X199,"")</f>
        <v/>
      </c>
      <c r="Z199">
        <f>IFERROR(ABS(Y199)/MAX(X199,1),"")</f>
        <v/>
      </c>
      <c r="AA199">
        <f>IFERROR((X199-(((E199/100000+F199/100+S199/200)*200*I199*H199)+((E199*F199/25000)*I199*H199))/3)/(((J199/5)*200*I199*H199)+((J199*S199/2.5)*I199*H199)+((E199*F199*J199*S199*I199*H199)/12500000))/3*1000,"")</f>
        <v/>
      </c>
    </row>
    <row r="200">
      <c r="B200" s="7" t="inlineStr">
        <is>
          <t xml:space="preserve">  ↳ 80mm_H</t>
        </is>
      </c>
      <c r="C200" s="7" t="inlineStr">
        <is>
          <t>Armament</t>
        </is>
      </c>
      <c r="L200" s="6" t="n">
        <v>8000</v>
      </c>
      <c r="M200" s="6" t="n">
        <v>55</v>
      </c>
      <c r="N200" s="6" t="n">
        <v>1</v>
      </c>
      <c r="O200" s="6" t="n"/>
      <c r="P200" s="6" t="n">
        <v>5120</v>
      </c>
      <c r="Q200" s="6" t="n">
        <v>1</v>
      </c>
      <c r="R200">
        <f>M200+IF(N200&gt;1,N(O200)*(N200-1),0)</f>
        <v/>
      </c>
      <c r="S200">
        <f>IFERROR(L200*MAX(N200,1)/R200*Q200*IF(ISBLANK(K199),1,K199),0)</f>
        <v/>
      </c>
      <c r="AB200" s="7" t="inlineStr">
        <is>
          <t>^D2K_Cannon</t>
        </is>
      </c>
    </row>
    <row r="201">
      <c r="A201" t="inlineStr">
        <is>
          <t>starcraft</t>
        </is>
      </c>
      <c r="B201" t="inlineStr">
        <is>
          <t>protoss_dragoon</t>
        </is>
      </c>
      <c r="C201" t="inlineStr">
        <is>
          <t>Dragoon</t>
        </is>
      </c>
      <c r="D201" s="6" t="inlineStr">
        <is>
          <t>MainBattleTank</t>
        </is>
      </c>
      <c r="E201" s="6" t="n">
        <v>75000</v>
      </c>
      <c r="F201" s="6" t="n">
        <v>80</v>
      </c>
      <c r="G201" t="inlineStr">
        <is>
          <t>Medium</t>
        </is>
      </c>
      <c r="H201" s="6" t="n">
        <v>1</v>
      </c>
      <c r="I201" s="6" t="n">
        <v>1</v>
      </c>
      <c r="J201" s="6" t="n">
        <v>1</v>
      </c>
      <c r="K201" s="6" t="n">
        <v>0.5</v>
      </c>
      <c r="P201">
        <f>MAX(P202)</f>
        <v/>
      </c>
      <c r="S201">
        <f>S202</f>
        <v/>
      </c>
      <c r="T201">
        <f>(E201/100000+F201/100+(P201/1000)*J201/5+S201/200)*200*I201*H201</f>
        <v/>
      </c>
      <c r="U201">
        <f>((E201*F201/25000)+((P201/1000)*J201*S201/2.5))*I201*H201</f>
        <v/>
      </c>
      <c r="V201">
        <f>(E201*F201*(P201/1000)*J201*S201*I201*H201)/12500000</f>
        <v/>
      </c>
      <c r="W201">
        <f>800*(T201/800+U201/800+V201/800)/3</f>
        <v/>
      </c>
      <c r="X201" s="6" t="n">
        <v>1200</v>
      </c>
      <c r="Y201">
        <f>IFERROR(W201-X201,"")</f>
        <v/>
      </c>
      <c r="Z201">
        <f>IFERROR(ABS(Y201)/MAX(X201,1),"")</f>
        <v/>
      </c>
      <c r="AA201">
        <f>IFERROR((X201-(((E201/100000+F201/100+S201/200)*200*I201*H201)+((E201*F201/25000)*I201*H201))/3)/(((J201/5)*200*I201*H201)+((J201*S201/2.5)*I201*H201)+((E201*F201*J201*S201*I201*H201)/12500000))/3*1000,"")</f>
        <v/>
      </c>
    </row>
    <row r="202">
      <c r="B202" s="7" t="inlineStr">
        <is>
          <t xml:space="preserve">  ↳ DragoonCannon</t>
        </is>
      </c>
      <c r="C202" s="7" t="inlineStr">
        <is>
          <t>Armament</t>
        </is>
      </c>
      <c r="L202" s="6" t="n">
        <v>10000</v>
      </c>
      <c r="M202" s="6" t="n">
        <v>40</v>
      </c>
      <c r="N202" s="6" t="n">
        <v>1</v>
      </c>
      <c r="O202" s="6" t="n"/>
      <c r="P202" s="6" t="n">
        <v>5000</v>
      </c>
      <c r="Q202" s="6" t="n">
        <v>1.083333333333333</v>
      </c>
      <c r="R202">
        <f>M202+IF(N202&gt;1,N(O202)*(N202-1),0)</f>
        <v/>
      </c>
      <c r="S202">
        <f>IFERROR(L202*MAX(N202,1)/R202*Q202*IF(ISBLANK(K201),1,K201),0)</f>
        <v/>
      </c>
      <c r="AB202" s="7" t="inlineStr">
        <is>
          <t>^FlakWeapon, ^HeavyCannon, ^MediumCannon, ^TankDestroyerCannon</t>
        </is>
      </c>
    </row>
    <row r="203">
      <c r="A203" t="inlineStr">
        <is>
          <t>starcraft</t>
        </is>
      </c>
      <c r="B203" t="inlineStr">
        <is>
          <t>terran_matador</t>
        </is>
      </c>
      <c r="C203" t="inlineStr">
        <is>
          <t>Matador</t>
        </is>
      </c>
      <c r="D203" s="6" t="inlineStr">
        <is>
          <t>MainBattleTank</t>
        </is>
      </c>
      <c r="E203" s="6" t="n">
        <v>100000</v>
      </c>
      <c r="F203" s="6" t="n">
        <v>100</v>
      </c>
      <c r="G203" t="inlineStr">
        <is>
          <t>Medium</t>
        </is>
      </c>
      <c r="H203" s="6" t="n">
        <v>1</v>
      </c>
      <c r="I203" s="6" t="n">
        <v>1</v>
      </c>
      <c r="J203" s="6" t="n">
        <v>1</v>
      </c>
      <c r="K203" s="6" t="n"/>
      <c r="P203">
        <f>MAX(P204,P205)</f>
        <v/>
      </c>
      <c r="S203">
        <f>S204+S205</f>
        <v/>
      </c>
      <c r="T203">
        <f>(E203/100000+F203/100+(P203/1000)*J203/5+S203/200)*200*I203*H203</f>
        <v/>
      </c>
      <c r="U203">
        <f>((E203*F203/25000)+((P203/1000)*J203*S203/2.5))*I203*H203</f>
        <v/>
      </c>
      <c r="V203">
        <f>(E203*F203*(P203/1000)*J203*S203*I203*H203)/12500000</f>
        <v/>
      </c>
      <c r="W203">
        <f>800*(T203/800+U203/800+V203/800)/3</f>
        <v/>
      </c>
      <c r="X203" s="6" t="n">
        <v>1700</v>
      </c>
      <c r="Y203">
        <f>IFERROR(W203-X203,"")</f>
        <v/>
      </c>
      <c r="Z203">
        <f>IFERROR(ABS(Y203)/MAX(X203,1),"")</f>
        <v/>
      </c>
      <c r="AA203">
        <f>IFERROR((X203-(((E203/100000+F203/100+S203/200)*200*I203*H203)+((E203*F203/25000)*I203*H203))/3)/(((J203/5)*200*I203*H203)+((J203*S203/2.5)*I203*H203)+((E203*F203*J203*S203*I203*H203)/12500000))/3*1000,"")</f>
        <v/>
      </c>
    </row>
    <row r="204">
      <c r="B204" s="7" t="inlineStr">
        <is>
          <t xml:space="preserve">  ↳ MatadorFlamer</t>
        </is>
      </c>
      <c r="C204" s="7" t="inlineStr">
        <is>
          <t>Armament</t>
        </is>
      </c>
      <c r="L204" s="6" t="n">
        <v>2000</v>
      </c>
      <c r="M204" s="6" t="n">
        <v>18</v>
      </c>
      <c r="N204" s="6" t="n">
        <v>13</v>
      </c>
      <c r="O204" s="6" t="n">
        <v>2</v>
      </c>
      <c r="P204" s="6" t="n">
        <v>5938</v>
      </c>
      <c r="Q204" s="6" t="n">
        <v>1</v>
      </c>
      <c r="R204">
        <f>M204+IF(N204&gt;1,N(O204)*(N204-1),0)</f>
        <v/>
      </c>
      <c r="S204">
        <f>IFERROR(L204*MAX(N204,1)/R204*Q204*IF(ISBLANK(K203),1,K203),0)</f>
        <v/>
      </c>
      <c r="AB204" s="7" t="inlineStr">
        <is>
          <t>^LightFlameWeapon, ^MediumFlameWeapon, ^HeavyFlameWeapon</t>
        </is>
      </c>
    </row>
    <row r="205">
      <c r="B205" s="7" t="inlineStr">
        <is>
          <t xml:space="preserve">  ↳ MatadorLaser</t>
        </is>
      </c>
      <c r="C205" s="7" t="inlineStr">
        <is>
          <t>Armament@DEPLOYED</t>
        </is>
      </c>
      <c r="L205" s="6" t="n">
        <v>32000</v>
      </c>
      <c r="M205" s="6" t="n">
        <v>39</v>
      </c>
      <c r="N205" s="6" t="n">
        <v>1</v>
      </c>
      <c r="O205" s="6" t="n"/>
      <c r="P205" s="6" t="n">
        <v>6590</v>
      </c>
      <c r="Q205" s="6" t="n">
        <v>1</v>
      </c>
      <c r="R205">
        <f>M205+IF(N205&gt;1,N(O205)*(N205-1),0)</f>
        <v/>
      </c>
      <c r="S205">
        <f>IFERROR(L205*MAX(N205,1)/R205*Q205*IF(ISBLANK(K203),1,K203),0)</f>
        <v/>
      </c>
      <c r="AB205" s="7" t="inlineStr">
        <is>
          <t>^LaserWeapon</t>
        </is>
      </c>
    </row>
    <row r="206">
      <c r="A206" t="inlineStr">
        <is>
          <t>starcraft</t>
        </is>
      </c>
      <c r="B206" t="inlineStr">
        <is>
          <t>terran_siegetank</t>
        </is>
      </c>
      <c r="C206" t="inlineStr">
        <is>
          <t>Siege Tank</t>
        </is>
      </c>
      <c r="D206" s="6" t="inlineStr">
        <is>
          <t>MainBattleTank</t>
        </is>
      </c>
      <c r="E206" s="6" t="n">
        <v>150000</v>
      </c>
      <c r="F206" s="6" t="n">
        <v>75</v>
      </c>
      <c r="G206" t="inlineStr">
        <is>
          <t>Heavy</t>
        </is>
      </c>
      <c r="H206" s="6" t="n">
        <v>1</v>
      </c>
      <c r="I206" s="6" t="n">
        <v>1</v>
      </c>
      <c r="J206" s="6" t="n">
        <v>1</v>
      </c>
      <c r="K206" s="6" t="n"/>
      <c r="P206">
        <f>MAX(P207,P208)</f>
        <v/>
      </c>
      <c r="S206">
        <f>S207+S208</f>
        <v/>
      </c>
      <c r="T206">
        <f>(E206/100000+F206/100+(P206/1000)*J206/5+S206/200)*200*I206*H206</f>
        <v/>
      </c>
      <c r="U206">
        <f>((E206*F206/25000)+((P206/1000)*J206*S206/2.5))*I206*H206</f>
        <v/>
      </c>
      <c r="V206">
        <f>(E206*F206*(P206/1000)*J206*S206*I206*H206)/12500000</f>
        <v/>
      </c>
      <c r="W206">
        <f>800*(T206/800+U206/800+V206/800)/3</f>
        <v/>
      </c>
      <c r="X206" s="6" t="n">
        <v>2800</v>
      </c>
      <c r="Y206">
        <f>IFERROR(W206-X206,"")</f>
        <v/>
      </c>
      <c r="Z206">
        <f>IFERROR(ABS(Y206)/MAX(X206,1),"")</f>
        <v/>
      </c>
      <c r="AA206">
        <f>IFERROR((X206-(((E206/100000+F206/100+S206/200)*200*I206*H206)+((E206*F206/25000)*I206*H206))/3)/(((J206/5)*200*I206*H206)+((J206*S206/2.5)*I206*H206)+((E206*F206*J206*S206*I206*H206)/12500000))/3*1000,"")</f>
        <v/>
      </c>
    </row>
    <row r="207">
      <c r="B207" s="7" t="inlineStr">
        <is>
          <t xml:space="preserve">  ↳ SiegeTankCannon</t>
        </is>
      </c>
      <c r="C207" s="7" t="inlineStr">
        <is>
          <t>Armament</t>
        </is>
      </c>
      <c r="L207" s="6" t="n">
        <v>10000</v>
      </c>
      <c r="M207" s="6" t="n">
        <v>37</v>
      </c>
      <c r="N207" s="6" t="n">
        <v>1</v>
      </c>
      <c r="O207" s="6" t="n"/>
      <c r="P207" s="6" t="n">
        <v>6114</v>
      </c>
      <c r="Q207" s="6" t="n">
        <v>1.125</v>
      </c>
      <c r="R207">
        <f>M207+IF(N207&gt;1,N(O207)*(N207-1),0)</f>
        <v/>
      </c>
      <c r="S207">
        <f>IFERROR(L207*MAX(N207,1)/R207*Q207*IF(ISBLANK(K206),1,K206),0)</f>
        <v/>
      </c>
      <c r="AB207" s="7" t="inlineStr">
        <is>
          <t>^HeavyCannon, ^MediumCannon, ^TankDestroyerCannon</t>
        </is>
      </c>
    </row>
    <row r="208">
      <c r="B208" s="7" t="inlineStr">
        <is>
          <t xml:space="preserve">  ↳ SiegeTankSiegeCannon</t>
        </is>
      </c>
      <c r="C208" s="7" t="inlineStr">
        <is>
          <t>Armament@DEPLOYED</t>
        </is>
      </c>
      <c r="L208" s="6" t="n">
        <v>10000</v>
      </c>
      <c r="M208" s="6" t="n">
        <v>148</v>
      </c>
      <c r="N208" s="6" t="n">
        <v>1</v>
      </c>
      <c r="O208" s="6" t="n"/>
      <c r="P208" s="6" t="n">
        <v>11775</v>
      </c>
      <c r="Q208" s="6" t="n">
        <v>1.326923076923077</v>
      </c>
      <c r="R208">
        <f>M208+IF(N208&gt;1,N(O208)*(N208-1),0)</f>
        <v/>
      </c>
      <c r="S208">
        <f>IFERROR(L208*MAX(N208,1)/R208*Q208*IF(ISBLANK(K206),1,K206),0)</f>
        <v/>
      </c>
      <c r="AB208" s="7" t="inlineStr">
        <is>
          <t>^NuclearWarhead, ^LightMissile, ^LightChemicalWeapon, ^MediumChemicalWeapon, ^HeavyChemicalWeapon, ^LightFlameWeapon, ^MediumFlameWeapon, ^HeavyFlameWeapon, ^Grenade, ^ShrapnelWeapon, ^HeavyBomb, ^HeavyCannon, ^MediumCannon, ^TankDestroyerCannon</t>
        </is>
      </c>
    </row>
    <row r="209">
      <c r="A209" s="4" t="inlineStr">
        <is>
          <t>HighTechTank</t>
        </is>
      </c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</row>
    <row r="210">
      <c r="A210" t="inlineStr">
        <is>
          <t>tiberiandawn</t>
        </is>
      </c>
      <c r="B210" t="inlineStr">
        <is>
          <t>td_gdi_mammothtank</t>
        </is>
      </c>
      <c r="C210" t="inlineStr">
        <is>
          <t>GDI Mammoth Tank</t>
        </is>
      </c>
      <c r="D210" s="6" t="inlineStr">
        <is>
          <t>HighTechTank</t>
        </is>
      </c>
      <c r="E210" s="6" t="n">
        <v>225000</v>
      </c>
      <c r="F210" s="6" t="n">
        <v>60</v>
      </c>
      <c r="G210" t="inlineStr">
        <is>
          <t>Heavy</t>
        </is>
      </c>
      <c r="H210" s="6" t="n">
        <v>0.75</v>
      </c>
      <c r="I210" s="6" t="n">
        <v>1</v>
      </c>
      <c r="J210" s="6" t="n">
        <v>1</v>
      </c>
      <c r="K210" s="6" t="n"/>
      <c r="P210">
        <f>MAX(P211,P212,P213,P214)</f>
        <v/>
      </c>
      <c r="S210">
        <f>S211+S212+S213+S214</f>
        <v/>
      </c>
      <c r="T210">
        <f>(E210/100000+F210/100+(P210/1000)*J210/5+S210/200)*200*I210*H210</f>
        <v/>
      </c>
      <c r="U210">
        <f>((E210*F210/25000)+((P210/1000)*J210*S210/2.5))*I210*H210</f>
        <v/>
      </c>
      <c r="V210">
        <f>(E210*F210*(P210/1000)*J210*S210*I210*H210)/12500000</f>
        <v/>
      </c>
      <c r="W210">
        <f>(T210+U210+V210)/3</f>
        <v/>
      </c>
      <c r="X210" s="6" t="n">
        <v>1600</v>
      </c>
      <c r="Y210">
        <f>IFERROR(W210-X210,"")</f>
        <v/>
      </c>
      <c r="Z210">
        <f>IFERROR(ABS(Y210)/MAX(X210,1),"")</f>
        <v/>
      </c>
      <c r="AA210">
        <f>IFERROR((X210-(((E210/100000+F210/100+S210/200)*200*I210*H210)+((E210*F210/25000)*I210*H210))/3)/(((J210/5)*200*I210*H210)+((J210*S210/2.5)*I210*H210)+((E210*F210*J210*S210*I210*H210)/12500000))/3*1000,"")</f>
        <v/>
      </c>
    </row>
    <row r="211">
      <c r="B211" s="7" t="inlineStr">
        <is>
          <t xml:space="preserve">  ↳ 120mmDual</t>
        </is>
      </c>
      <c r="C211" s="7" t="inlineStr">
        <is>
          <t>Armament@PRIMARY</t>
        </is>
      </c>
      <c r="L211" s="6" t="n">
        <v>8000</v>
      </c>
      <c r="M211" s="6" t="n">
        <v>72</v>
      </c>
      <c r="N211" s="6" t="n">
        <v>2</v>
      </c>
      <c r="O211" s="6" t="n">
        <v>8</v>
      </c>
      <c r="P211" s="6" t="n">
        <v>6141</v>
      </c>
      <c r="Q211" s="6" t="n">
        <v>1.25</v>
      </c>
      <c r="R211">
        <f>M211+IF(N211&gt;1,N(O211)*(N211-1),0)</f>
        <v/>
      </c>
      <c r="S211">
        <f>IFERROR(L211*MAX(N211,1)/R211*Q211*IF(ISBLANK(K210),1,K210),0)</f>
        <v/>
      </c>
      <c r="AB211" s="7" t="inlineStr">
        <is>
          <t>^HeavyCannon</t>
        </is>
      </c>
    </row>
    <row r="212">
      <c r="B212" s="7" t="inlineStr">
        <is>
          <t xml:space="preserve">  ↳ 120mmDualHV</t>
        </is>
      </c>
      <c r="C212" s="7" t="inlineStr">
        <is>
          <t>Armament@HV</t>
        </is>
      </c>
      <c r="L212" s="6" t="n">
        <v>16000</v>
      </c>
      <c r="M212" s="6" t="n">
        <v>72</v>
      </c>
      <c r="N212" s="6" t="n">
        <v>2</v>
      </c>
      <c r="O212" s="6" t="n">
        <v>8</v>
      </c>
      <c r="P212" s="6" t="n">
        <v>6141</v>
      </c>
      <c r="Q212" s="6" t="n">
        <v>1.25</v>
      </c>
      <c r="R212">
        <f>M212+IF(N212&gt;1,N(O212)*(N212-1),0)</f>
        <v/>
      </c>
      <c r="S212">
        <f>IFERROR(L212*MAX(N212,1)/R212*Q212*IF(ISBLANK(K210),1,K210),0)</f>
        <v/>
      </c>
      <c r="AB212" s="7" t="inlineStr">
        <is>
          <t>^HeavyCannon, ^HVProjectile</t>
        </is>
      </c>
    </row>
    <row r="213">
      <c r="B213" s="7" t="inlineStr">
        <is>
          <t xml:space="preserve">  ↳ MammothMissiles</t>
        </is>
      </c>
      <c r="C213" s="7" t="inlineStr">
        <is>
          <t>Armament@SECONDARY</t>
        </is>
      </c>
      <c r="L213" s="6" t="n">
        <v>8000</v>
      </c>
      <c r="M213" s="6" t="n">
        <v>68</v>
      </c>
      <c r="N213" s="6" t="n">
        <v>2</v>
      </c>
      <c r="O213" s="6" t="n">
        <v>12</v>
      </c>
      <c r="P213" s="6" t="n">
        <v>6141</v>
      </c>
      <c r="Q213" s="6" t="n">
        <v>1.25</v>
      </c>
      <c r="R213">
        <f>M213+IF(N213&gt;1,N(O213)*(N213-1),0)</f>
        <v/>
      </c>
      <c r="S213">
        <f>IFERROR(L213*MAX(N213,1)/R213*Q213*IF(ISBLANK(K210),1,K210),0)</f>
        <v/>
      </c>
      <c r="AB213" s="7" t="inlineStr">
        <is>
          <t>^HeavyMissile, ^ImpactGlow</t>
        </is>
      </c>
    </row>
    <row r="214">
      <c r="B214" s="7" t="inlineStr">
        <is>
          <t xml:space="preserve">  ↳ MammothMissilesAMT</t>
        </is>
      </c>
      <c r="C214" s="7" t="inlineStr">
        <is>
          <t>Armament@AdvancedMissileTargeting</t>
        </is>
      </c>
      <c r="L214" s="6" t="n">
        <v>8000</v>
      </c>
      <c r="M214" s="6" t="n">
        <v>68</v>
      </c>
      <c r="N214" s="6" t="n">
        <v>2</v>
      </c>
      <c r="O214" s="6" t="n">
        <v>12</v>
      </c>
      <c r="P214" s="6" t="n">
        <v>6141</v>
      </c>
      <c r="Q214" s="6" t="n">
        <v>1.25</v>
      </c>
      <c r="R214">
        <f>M214+IF(N214&gt;1,N(O214)*(N214-1),0)</f>
        <v/>
      </c>
      <c r="S214">
        <f>IFERROR(L214*MAX(N214,1)/R214*Q214*IF(ISBLANK(K210),1,K210),0)</f>
        <v/>
      </c>
      <c r="AB214" s="7" t="inlineStr">
        <is>
          <t>^HeavyMissile, ^ImpactGlow, ^AMTProjectile</t>
        </is>
      </c>
    </row>
    <row r="215">
      <c r="A215" t="inlineStr">
        <is>
          <t>tiberiandawn</t>
        </is>
      </c>
      <c r="B215" t="inlineStr">
        <is>
          <t>td_gdi_mammothtankmkiii</t>
        </is>
      </c>
      <c r="C215" t="inlineStr">
        <is>
          <t>Mammoth Tank Mk. III</t>
        </is>
      </c>
      <c r="D215" s="6" t="inlineStr">
        <is>
          <t>HighTechTank</t>
        </is>
      </c>
      <c r="E215" s="6" t="n">
        <v>500000</v>
      </c>
      <c r="F215" s="6" t="n">
        <v>55</v>
      </c>
      <c r="G215" t="inlineStr">
        <is>
          <t>Superheavy</t>
        </is>
      </c>
      <c r="H215" s="6" t="n">
        <v>1</v>
      </c>
      <c r="I215" s="6" t="n">
        <v>1</v>
      </c>
      <c r="J215" s="6" t="n">
        <v>1</v>
      </c>
      <c r="K215" s="6" t="n"/>
      <c r="P215">
        <f>MAX(P216,P217,P218,P219)</f>
        <v/>
      </c>
      <c r="S215">
        <f>S216+S217+S218+S219</f>
        <v/>
      </c>
      <c r="T215">
        <f>(E215/100000+F215/100+(P215/1000)*J215/5+S215/200)*200*I215*H215</f>
        <v/>
      </c>
      <c r="U215">
        <f>((E215*F215/25000)+((P215/1000)*J215*S215/2.5))*I215*H215</f>
        <v/>
      </c>
      <c r="V215">
        <f>(E215*F215*(P215/1000)*J215*S215*I215*H215)/12500000</f>
        <v/>
      </c>
      <c r="W215">
        <f>(T215+U215+V215)/3</f>
        <v/>
      </c>
      <c r="X215" s="6" t="n">
        <v>3000</v>
      </c>
      <c r="Y215">
        <f>IFERROR(W215-X215,"")</f>
        <v/>
      </c>
      <c r="Z215">
        <f>IFERROR(ABS(Y215)/MAX(X215,1),"")</f>
        <v/>
      </c>
      <c r="AA215">
        <f>IFERROR((X215-(((E215/100000+F215/100+S215/200)*200*I215*H215)+((E215*F215/25000)*I215*H215))/3)/(((J215/5)*200*I215*H215)+((J215*S215/2.5)*I215*H215)+((E215*F215*J215*S215*I215*H215)/12500000))/3*1000,"")</f>
        <v/>
      </c>
    </row>
    <row r="216">
      <c r="B216" s="7" t="inlineStr">
        <is>
          <t xml:space="preserve">  ↳ MammothTank3Cannons</t>
        </is>
      </c>
      <c r="C216" s="7" t="inlineStr">
        <is>
          <t>Armament@PRIMARY</t>
        </is>
      </c>
      <c r="L216" s="6" t="n">
        <v>12000</v>
      </c>
      <c r="M216" s="6" t="n">
        <v>102</v>
      </c>
      <c r="N216" s="6" t="n">
        <v>2</v>
      </c>
      <c r="O216" s="6" t="n">
        <v>8</v>
      </c>
      <c r="P216" s="6" t="n">
        <v>6340</v>
      </c>
      <c r="Q216" s="6" t="n">
        <v>1.25</v>
      </c>
      <c r="R216">
        <f>M216+IF(N216&gt;1,N(O216)*(N216-1),0)</f>
        <v/>
      </c>
      <c r="S216">
        <f>IFERROR(L216*MAX(N216,1)/R216*Q216*IF(ISBLANK(K215),1,K215),0)</f>
        <v/>
      </c>
      <c r="AB216" s="7" t="inlineStr">
        <is>
          <t>^HeavyCannon</t>
        </is>
      </c>
    </row>
    <row r="217">
      <c r="B217" s="7" t="inlineStr">
        <is>
          <t xml:space="preserve">  ↳ MammothTank3CannonsHV</t>
        </is>
      </c>
      <c r="C217" s="7" t="inlineStr">
        <is>
          <t>Armament@HV</t>
        </is>
      </c>
      <c r="L217" s="6" t="n">
        <v>24000</v>
      </c>
      <c r="M217" s="6" t="n">
        <v>102</v>
      </c>
      <c r="N217" s="6" t="n">
        <v>2</v>
      </c>
      <c r="O217" s="6" t="n">
        <v>8</v>
      </c>
      <c r="P217" s="6" t="n">
        <v>6340</v>
      </c>
      <c r="Q217" s="6" t="n">
        <v>1.25</v>
      </c>
      <c r="R217">
        <f>M217+IF(N217&gt;1,N(O217)*(N217-1),0)</f>
        <v/>
      </c>
      <c r="S217">
        <f>IFERROR(L217*MAX(N217,1)/R217*Q217*IF(ISBLANK(K215),1,K215),0)</f>
        <v/>
      </c>
      <c r="AB217" s="7" t="inlineStr">
        <is>
          <t>^HeavyCannon, ^HVProjectile</t>
        </is>
      </c>
    </row>
    <row r="218">
      <c r="B218" s="7" t="inlineStr">
        <is>
          <t xml:space="preserve">  ↳ MammothTank3Missiles</t>
        </is>
      </c>
      <c r="C218" s="7" t="inlineStr">
        <is>
          <t>Armament@SECONDARY</t>
        </is>
      </c>
      <c r="L218" s="6" t="n">
        <v>12000</v>
      </c>
      <c r="M218" s="6" t="n">
        <v>98</v>
      </c>
      <c r="N218" s="6" t="n">
        <v>2</v>
      </c>
      <c r="O218" s="6" t="n">
        <v>12</v>
      </c>
      <c r="P218" s="6" t="n">
        <v>6340</v>
      </c>
      <c r="Q218" s="6" t="n">
        <v>1.25</v>
      </c>
      <c r="R218">
        <f>M218+IF(N218&gt;1,N(O218)*(N218-1),0)</f>
        <v/>
      </c>
      <c r="S218">
        <f>IFERROR(L218*MAX(N218,1)/R218*Q218*IF(ISBLANK(K215),1,K215),0)</f>
        <v/>
      </c>
      <c r="AB218" s="7" t="inlineStr">
        <is>
          <t>^HeavyMissile, ^ImpactGlow</t>
        </is>
      </c>
    </row>
    <row r="219">
      <c r="B219" s="7" t="inlineStr">
        <is>
          <t xml:space="preserve">  ↳ MammothTank3MissilesAMT</t>
        </is>
      </c>
      <c r="C219" s="7" t="inlineStr">
        <is>
          <t>Armament@AdvancedMissileTargeting</t>
        </is>
      </c>
      <c r="L219" s="6" t="n">
        <v>12000</v>
      </c>
      <c r="M219" s="6" t="n">
        <v>98</v>
      </c>
      <c r="N219" s="6" t="n">
        <v>2</v>
      </c>
      <c r="O219" s="6" t="n">
        <v>12</v>
      </c>
      <c r="P219" s="6" t="n">
        <v>6340</v>
      </c>
      <c r="Q219" s="6" t="n">
        <v>1.25</v>
      </c>
      <c r="R219">
        <f>M219+IF(N219&gt;1,N(O219)*(N219-1),0)</f>
        <v/>
      </c>
      <c r="S219">
        <f>IFERROR(L219*MAX(N219,1)/R219*Q219*IF(ISBLANK(K215),1,K215),0)</f>
        <v/>
      </c>
      <c r="AB219" s="7" t="inlineStr">
        <is>
          <t>^HeavyMissile, ^ImpactGlow, ^AMTProjectile</t>
        </is>
      </c>
    </row>
    <row r="220">
      <c r="A220" t="inlineStr">
        <is>
          <t>tiberiandawn</t>
        </is>
      </c>
      <c r="B220" t="inlineStr">
        <is>
          <t>td_nod_chemicalstealthtank</t>
        </is>
      </c>
      <c r="C220" t="inlineStr">
        <is>
          <t>Chemical Stealth Tank</t>
        </is>
      </c>
      <c r="D220" s="6" t="inlineStr">
        <is>
          <t>HighTechTank</t>
        </is>
      </c>
      <c r="E220" s="6" t="n">
        <v>90000</v>
      </c>
      <c r="F220" s="6" t="n">
        <v>120</v>
      </c>
      <c r="G220" t="inlineStr">
        <is>
          <t>Medium</t>
        </is>
      </c>
      <c r="H220" s="6" t="n">
        <v>0.75</v>
      </c>
      <c r="I220" s="6" t="n">
        <v>1</v>
      </c>
      <c r="J220" s="6" t="n">
        <v>1.25</v>
      </c>
      <c r="K220" s="6" t="n"/>
      <c r="P220">
        <f>MAX(P221)</f>
        <v/>
      </c>
      <c r="S220">
        <f>S221</f>
        <v/>
      </c>
      <c r="T220">
        <f>(E220/100000+F220/100+(P220/1000)*J220/5+S220/200)*200*I220*H220</f>
        <v/>
      </c>
      <c r="U220">
        <f>((E220*F220/25000)+((P220/1000)*J220*S220/2.5))*I220*H220</f>
        <v/>
      </c>
      <c r="V220">
        <f>(E220*F220*(P220/1000)*J220*S220*I220*H220)/12500000</f>
        <v/>
      </c>
      <c r="W220">
        <f>(T220+U220+V220)/3</f>
        <v/>
      </c>
      <c r="X220" s="6" t="n">
        <v>1800</v>
      </c>
      <c r="Y220">
        <f>IFERROR(W220-X220,"")</f>
        <v/>
      </c>
      <c r="Z220">
        <f>IFERROR(ABS(Y220)/MAX(X220,1),"")</f>
        <v/>
      </c>
      <c r="AA220">
        <f>IFERROR((X220-(((E220/100000+F220/100+S220/200)*200*I220*H220)+((E220*F220/25000)*I220*H220))/3)/(((J220/5)*200*I220*H220)+((J220*S220/2.5)*I220*H220)+((E220*F220*J220*S220*I220*H220)/12500000))/3*1000,"")</f>
        <v/>
      </c>
    </row>
    <row r="221">
      <c r="B221" s="7" t="inlineStr">
        <is>
          <t xml:space="preserve">  ↳ ChemicalStealthTankMissiles</t>
        </is>
      </c>
      <c r="C221" s="7" t="inlineStr">
        <is>
          <t>Armament</t>
        </is>
      </c>
      <c r="L221" s="6" t="n">
        <v>10000</v>
      </c>
      <c r="M221" s="6" t="n">
        <v>60</v>
      </c>
      <c r="N221" s="6" t="n">
        <v>1</v>
      </c>
      <c r="O221" s="6" t="n"/>
      <c r="P221" s="6" t="n">
        <v>6962</v>
      </c>
      <c r="Q221" s="6" t="n">
        <v>1</v>
      </c>
      <c r="R221">
        <f>M221+IF(N221&gt;1,N(O221)*(N221-1),0)</f>
        <v/>
      </c>
      <c r="S221">
        <f>IFERROR(L221*MAX(N221,1)/R221*Q221*IF(ISBLANK(K220),1,K220),0)</f>
        <v/>
      </c>
      <c r="AB221" s="7" t="inlineStr">
        <is>
          <t>^ShrapnelWeapon, ^MediumChemicalWeapon, ^MediumMissile</t>
        </is>
      </c>
    </row>
    <row r="222">
      <c r="A222" t="inlineStr">
        <is>
          <t>redalert</t>
        </is>
      </c>
      <c r="B222" t="inlineStr">
        <is>
          <t>japan_exorcistoitank</t>
        </is>
      </c>
      <c r="C222" t="inlineStr">
        <is>
          <t>Exorcist O-I Tank</t>
        </is>
      </c>
      <c r="D222" s="6" t="inlineStr">
        <is>
          <t>HighTechTank</t>
        </is>
      </c>
      <c r="E222" s="6" t="n">
        <v>750000</v>
      </c>
      <c r="F222" s="6" t="n">
        <v>50</v>
      </c>
      <c r="G222" t="inlineStr">
        <is>
          <t>Superheavy</t>
        </is>
      </c>
      <c r="H222" s="6" t="n">
        <v>0.75</v>
      </c>
      <c r="I222" s="6" t="n">
        <v>0.4</v>
      </c>
      <c r="J222" s="6" t="n">
        <v>1.25</v>
      </c>
      <c r="K222" s="6" t="n"/>
      <c r="P222">
        <f>MAX(P223,P224,P225,P226,P227,P228,P229,P230,P231,P232,P233,P234)</f>
        <v/>
      </c>
      <c r="S222">
        <f>S223+S224+S225+S226+S227+S228+S229+S230+S231+S232+S233+S234</f>
        <v/>
      </c>
      <c r="T222">
        <f>(E222/100000+F222/100+(P222/1000)*J222/5+S222/200)*200*I222*H222</f>
        <v/>
      </c>
      <c r="U222">
        <f>((E222*F222/25000)+((P222/1000)*J222*S222/2.5))*I222*H222</f>
        <v/>
      </c>
      <c r="V222">
        <f>(E222*F222*(P222/1000)*J222*S222*I222*H222)/12500000</f>
        <v/>
      </c>
      <c r="W222">
        <f>(T222+U222+V222)/3</f>
        <v/>
      </c>
      <c r="X222" s="6" t="n">
        <v>10000</v>
      </c>
      <c r="Y222">
        <f>IFERROR(W222-X222,"")</f>
        <v/>
      </c>
      <c r="Z222">
        <f>IFERROR(ABS(Y222)/MAX(X222,1),"")</f>
        <v/>
      </c>
      <c r="AA222">
        <f>IFERROR((X222-(((E222/100000+F222/100+S222/200)*200*I222*H222)+((E222*F222/25000)*I222*H222))/3)/(((J222/5)*200*I222*H222)+((J222*S222/2.5)*I222*H222)+((E222*F222*J222*S222*I222*H222)/12500000))/3*1000,"")</f>
        <v/>
      </c>
    </row>
    <row r="223">
      <c r="B223" s="7" t="inlineStr">
        <is>
          <t xml:space="preserve">  ↳ OIHakureiring</t>
        </is>
      </c>
      <c r="C223" s="7" t="inlineStr">
        <is>
          <t>Armament@MAIN</t>
        </is>
      </c>
      <c r="L223" s="6" t="n">
        <v>10000</v>
      </c>
      <c r="M223" s="6" t="n">
        <v>30</v>
      </c>
      <c r="N223" s="6" t="n">
        <v>3</v>
      </c>
      <c r="O223" s="6" t="n">
        <v>10</v>
      </c>
      <c r="P223" s="6" t="n">
        <v>5394</v>
      </c>
      <c r="Q223" s="6" t="n">
        <v>1</v>
      </c>
      <c r="R223">
        <f>M223+IF(N223&gt;1,N(O223)*(N223-1),0)</f>
        <v/>
      </c>
      <c r="S223">
        <f>IFERROR(L223*MAX(N223,1)/R223*Q223*IF(ISBLANK(K222),1,K222),0)</f>
        <v/>
      </c>
      <c r="AB223" s="7" t="inlineStr">
        <is>
          <t>^TeslaWeapon, ^MagicWeapon, ^EMPDamage</t>
        </is>
      </c>
    </row>
    <row r="224">
      <c r="B224" s="7" t="inlineStr">
        <is>
          <t xml:space="preserve">  ↳ OIHakureiring2</t>
        </is>
      </c>
      <c r="C224" s="7" t="inlineStr">
        <is>
          <t>Armament@AntiEpic</t>
        </is>
      </c>
      <c r="L224" s="6" t="n">
        <v>120000</v>
      </c>
      <c r="M224" s="6" t="n">
        <v>100</v>
      </c>
      <c r="N224" s="6" t="n">
        <v>1</v>
      </c>
      <c r="O224" s="6" t="n">
        <v>10</v>
      </c>
      <c r="P224" s="6" t="n">
        <v>5394</v>
      </c>
      <c r="Q224" s="6" t="n">
        <v>1</v>
      </c>
      <c r="R224">
        <f>M224+IF(N224&gt;1,N(O224)*(N224-1),0)</f>
        <v/>
      </c>
      <c r="S224">
        <f>IFERROR(L224*MAX(N224,1)/R224*Q224*IF(ISBLANK(K222),1,K222),0)</f>
        <v/>
      </c>
      <c r="AB224" s="7" t="inlineStr">
        <is>
          <t>^TeslaWeapon, ^MagicWeapon, ^EMPDamage</t>
        </is>
      </c>
    </row>
    <row r="225">
      <c r="B225" s="7" t="inlineStr">
        <is>
          <t xml:space="preserve">  ↳ OISmallCannon</t>
        </is>
      </c>
      <c r="C225" s="7" t="inlineStr">
        <is>
          <t>Armament@PRIMARY</t>
        </is>
      </c>
      <c r="L225" s="6" t="n">
        <v>8000</v>
      </c>
      <c r="M225" s="6" t="n">
        <v>45</v>
      </c>
      <c r="N225" s="6" t="n">
        <v>1</v>
      </c>
      <c r="O225" s="6" t="n"/>
      <c r="P225" s="6" t="n">
        <v>5394</v>
      </c>
      <c r="Q225" s="6" t="n">
        <v>1</v>
      </c>
      <c r="R225">
        <f>M225+IF(N225&gt;1,N(O225)*(N225-1),0)</f>
        <v/>
      </c>
      <c r="S225">
        <f>IFERROR(L225*MAX(N225,1)/R225*Q225*IF(ISBLANK(K222),1,K222),0)</f>
        <v/>
      </c>
      <c r="AB225" s="7" t="inlineStr">
        <is>
          <t>^MediumCannon</t>
        </is>
      </c>
    </row>
    <row r="226">
      <c r="B226" s="7" t="inlineStr">
        <is>
          <t xml:space="preserve">  ↳ OISmallCannon</t>
        </is>
      </c>
      <c r="C226" s="7" t="inlineStr">
        <is>
          <t>Armament@SECONDARY</t>
        </is>
      </c>
      <c r="L226" s="6" t="n">
        <v>8000</v>
      </c>
      <c r="M226" s="6" t="n">
        <v>45</v>
      </c>
      <c r="N226" s="6" t="n">
        <v>1</v>
      </c>
      <c r="O226" s="6" t="n"/>
      <c r="P226" s="6" t="n">
        <v>5394</v>
      </c>
      <c r="Q226" s="6" t="n">
        <v>1</v>
      </c>
      <c r="R226">
        <f>M226+IF(N226&gt;1,N(O226)*(N226-1),0)</f>
        <v/>
      </c>
      <c r="S226">
        <f>IFERROR(L226*MAX(N226,1)/R226*Q226*IF(ISBLANK(K222),1,K222),0)</f>
        <v/>
      </c>
      <c r="AB226" s="7" t="inlineStr">
        <is>
          <t>^MediumCannon</t>
        </is>
      </c>
    </row>
    <row r="227">
      <c r="B227" s="7" t="inlineStr">
        <is>
          <t xml:space="preserve">  ↳ OISmallCannon</t>
        </is>
      </c>
      <c r="C227" s="7" t="inlineStr">
        <is>
          <t>Armament@Back</t>
        </is>
      </c>
      <c r="L227" s="6" t="n">
        <v>8000</v>
      </c>
      <c r="M227" s="6" t="n">
        <v>45</v>
      </c>
      <c r="N227" s="6" t="n">
        <v>1</v>
      </c>
      <c r="O227" s="6" t="n"/>
      <c r="P227" s="6" t="n">
        <v>5394</v>
      </c>
      <c r="Q227" s="6" t="n">
        <v>1</v>
      </c>
      <c r="R227">
        <f>M227+IF(N227&gt;1,N(O227)*(N227-1),0)</f>
        <v/>
      </c>
      <c r="S227">
        <f>IFERROR(L227*MAX(N227,1)/R227*Q227*IF(ISBLANK(K222),1,K222),0)</f>
        <v/>
      </c>
      <c r="AB227" s="7" t="inlineStr">
        <is>
          <t>^MediumCannon</t>
        </is>
      </c>
    </row>
    <row r="228">
      <c r="B228" s="7" t="inlineStr">
        <is>
          <t xml:space="preserve">  ↳ OISmallPlasmaCannon</t>
        </is>
      </c>
      <c r="C228" s="7" t="inlineStr">
        <is>
          <t>Armament@UpgradePRIMARY</t>
        </is>
      </c>
      <c r="L228" s="6" t="n">
        <v>2000</v>
      </c>
      <c r="M228" s="6" t="n">
        <v>45</v>
      </c>
      <c r="N228" s="6" t="n">
        <v>1</v>
      </c>
      <c r="O228" s="6" t="n"/>
      <c r="P228" s="6" t="n">
        <v>5394</v>
      </c>
      <c r="Q228" s="6" t="n">
        <v>1.1875</v>
      </c>
      <c r="R228">
        <f>M228+IF(N228&gt;1,N(O228)*(N228-1),0)</f>
        <v/>
      </c>
      <c r="S228">
        <f>IFERROR(L228*MAX(N228,1)/R228*Q228*IF(ISBLANK(K222),1,K222),0)</f>
        <v/>
      </c>
      <c r="AB228" s="7" t="inlineStr">
        <is>
          <t>^HeavyChemicalWeapon, ^TeslaWeapon, ^RailgunWeapon, ^HeavyCannon</t>
        </is>
      </c>
    </row>
    <row r="229">
      <c r="B229" s="7" t="inlineStr">
        <is>
          <t xml:space="preserve">  ↳ OISmallPlasmaCannon</t>
        </is>
      </c>
      <c r="C229" s="7" t="inlineStr">
        <is>
          <t>Armament@UpgradeSECONDARY</t>
        </is>
      </c>
      <c r="L229" s="6" t="n">
        <v>2000</v>
      </c>
      <c r="M229" s="6" t="n">
        <v>45</v>
      </c>
      <c r="N229" s="6" t="n">
        <v>1</v>
      </c>
      <c r="O229" s="6" t="n"/>
      <c r="P229" s="6" t="n">
        <v>5394</v>
      </c>
      <c r="Q229" s="6" t="n">
        <v>1.1875</v>
      </c>
      <c r="R229">
        <f>M229+IF(N229&gt;1,N(O229)*(N229-1),0)</f>
        <v/>
      </c>
      <c r="S229">
        <f>IFERROR(L229*MAX(N229,1)/R229*Q229*IF(ISBLANK(K222),1,K222),0)</f>
        <v/>
      </c>
      <c r="AB229" s="7" t="inlineStr">
        <is>
          <t>^HeavyChemicalWeapon, ^TeslaWeapon, ^RailgunWeapon, ^HeavyCannon</t>
        </is>
      </c>
    </row>
    <row r="230">
      <c r="B230" s="7" t="inlineStr">
        <is>
          <t xml:space="preserve">  ↳ OISmallPlasmaCannon</t>
        </is>
      </c>
      <c r="C230" s="7" t="inlineStr">
        <is>
          <t>Armament@UpgradeBack</t>
        </is>
      </c>
      <c r="L230" s="6" t="n">
        <v>2000</v>
      </c>
      <c r="M230" s="6" t="n">
        <v>45</v>
      </c>
      <c r="N230" s="6" t="n">
        <v>1</v>
      </c>
      <c r="O230" s="6" t="n"/>
      <c r="P230" s="6" t="n">
        <v>5394</v>
      </c>
      <c r="Q230" s="6" t="n">
        <v>1.1875</v>
      </c>
      <c r="R230">
        <f>M230+IF(N230&gt;1,N(O230)*(N230-1),0)</f>
        <v/>
      </c>
      <c r="S230">
        <f>IFERROR(L230*MAX(N230,1)/R230*Q230*IF(ISBLANK(K222),1,K222),0)</f>
        <v/>
      </c>
      <c r="AB230" s="7" t="inlineStr">
        <is>
          <t>^HeavyChemicalWeapon, ^TeslaWeapon, ^RailgunWeapon, ^HeavyCannon</t>
        </is>
      </c>
    </row>
    <row r="231">
      <c r="B231" s="7" t="inlineStr">
        <is>
          <t xml:space="preserve">  ↳ OIFlamer</t>
        </is>
      </c>
      <c r="C231" s="7" t="inlineStr">
        <is>
          <t>Armament@PRIMARYFlame</t>
        </is>
      </c>
      <c r="L231" s="6" t="n">
        <v>2000</v>
      </c>
      <c r="M231" s="6" t="n">
        <v>60</v>
      </c>
      <c r="N231" s="6" t="n">
        <v>20</v>
      </c>
      <c r="O231" s="6" t="n">
        <v>1</v>
      </c>
      <c r="P231" s="6" t="n">
        <v>5394</v>
      </c>
      <c r="Q231" s="6" t="n">
        <v>1</v>
      </c>
      <c r="R231">
        <f>M231+IF(N231&gt;1,N(O231)*(N231-1),0)</f>
        <v/>
      </c>
      <c r="S231">
        <f>IFERROR(L231*MAX(N231,1)/R231*Q231*IF(ISBLANK(K222),1,K222),0)</f>
        <v/>
      </c>
      <c r="AB231" s="7" t="inlineStr">
        <is>
          <t>^MediumFlameWeapon</t>
        </is>
      </c>
    </row>
    <row r="232">
      <c r="B232" s="7" t="inlineStr">
        <is>
          <t xml:space="preserve">  ↳ OIFlamer</t>
        </is>
      </c>
      <c r="C232" s="7" t="inlineStr">
        <is>
          <t>Armament@SECONDARYFlame</t>
        </is>
      </c>
      <c r="L232" s="6" t="n">
        <v>2000</v>
      </c>
      <c r="M232" s="6" t="n">
        <v>60</v>
      </c>
      <c r="N232" s="6" t="n">
        <v>20</v>
      </c>
      <c r="O232" s="6" t="n">
        <v>1</v>
      </c>
      <c r="P232" s="6" t="n">
        <v>5394</v>
      </c>
      <c r="Q232" s="6" t="n">
        <v>1</v>
      </c>
      <c r="R232">
        <f>M232+IF(N232&gt;1,N(O232)*(N232-1),0)</f>
        <v/>
      </c>
      <c r="S232">
        <f>IFERROR(L232*MAX(N232,1)/R232*Q232*IF(ISBLANK(K222),1,K222),0)</f>
        <v/>
      </c>
      <c r="AB232" s="7" t="inlineStr">
        <is>
          <t>^MediumFlameWeapon</t>
        </is>
      </c>
    </row>
    <row r="233">
      <c r="B233" s="7" t="inlineStr">
        <is>
          <t xml:space="preserve">  ↳ OIPlasmaFlamer</t>
        </is>
      </c>
      <c r="C233" s="7" t="inlineStr">
        <is>
          <t>Armament@UpgradePRIMARYFlame</t>
        </is>
      </c>
      <c r="L233" s="6" t="n">
        <v>2000</v>
      </c>
      <c r="M233" s="6" t="n">
        <v>60</v>
      </c>
      <c r="N233" s="6" t="n">
        <v>20</v>
      </c>
      <c r="O233" s="6" t="n">
        <v>1</v>
      </c>
      <c r="P233" s="6" t="n">
        <v>5394</v>
      </c>
      <c r="Q233" s="6" t="n">
        <v>1.25</v>
      </c>
      <c r="R233">
        <f>M233+IF(N233&gt;1,N(O233)*(N233-1),0)</f>
        <v/>
      </c>
      <c r="S233">
        <f>IFERROR(L233*MAX(N233,1)/R233*Q233*IF(ISBLANK(K222),1,K222),0)</f>
        <v/>
      </c>
      <c r="AB233" s="7" t="inlineStr">
        <is>
          <t>^HeavyChemicalWeapon, ^HeavyFlameWeapon</t>
        </is>
      </c>
    </row>
    <row r="234">
      <c r="B234" s="7" t="inlineStr">
        <is>
          <t xml:space="preserve">  ↳ OIPlasmaFlamer</t>
        </is>
      </c>
      <c r="C234" s="7" t="inlineStr">
        <is>
          <t>Armament@UpgradeSECONDARYFlame</t>
        </is>
      </c>
      <c r="L234" s="6" t="n">
        <v>2000</v>
      </c>
      <c r="M234" s="6" t="n">
        <v>60</v>
      </c>
      <c r="N234" s="6" t="n">
        <v>20</v>
      </c>
      <c r="O234" s="6" t="n">
        <v>1</v>
      </c>
      <c r="P234" s="6" t="n">
        <v>5394</v>
      </c>
      <c r="Q234" s="6" t="n">
        <v>1.25</v>
      </c>
      <c r="R234">
        <f>M234+IF(N234&gt;1,N(O234)*(N234-1),0)</f>
        <v/>
      </c>
      <c r="S234">
        <f>IFERROR(L234*MAX(N234,1)/R234*Q234*IF(ISBLANK(K222),1,K222),0)</f>
        <v/>
      </c>
      <c r="AB234" s="7" t="inlineStr">
        <is>
          <t>^HeavyChemicalWeapon, ^HeavyFlameWeapon</t>
        </is>
      </c>
    </row>
    <row r="235">
      <c r="A235" t="inlineStr">
        <is>
          <t>redalert</t>
        </is>
      </c>
      <c r="B235" t="inlineStr">
        <is>
          <t>japan_hovercraftflametank</t>
        </is>
      </c>
      <c r="C235" t="inlineStr">
        <is>
          <t>Hovercraft Flametank</t>
        </is>
      </c>
      <c r="D235" s="6" t="inlineStr">
        <is>
          <t>HighTechTank</t>
        </is>
      </c>
      <c r="E235" s="6" t="n">
        <v>120000</v>
      </c>
      <c r="F235" s="6" t="n">
        <v>90</v>
      </c>
      <c r="G235" t="inlineStr">
        <is>
          <t>Medium</t>
        </is>
      </c>
      <c r="H235" s="6" t="n">
        <v>0.75</v>
      </c>
      <c r="I235" s="6" t="n">
        <v>1</v>
      </c>
      <c r="J235" s="6" t="n">
        <v>1</v>
      </c>
      <c r="K235" s="6" t="n"/>
      <c r="P235">
        <f>MAX(P236,P237)</f>
        <v/>
      </c>
      <c r="S235">
        <f>S236+S237</f>
        <v/>
      </c>
      <c r="T235">
        <f>(E235/100000+F235/100+(P235/1000)*J235/5+S235/200)*200*I235*H235</f>
        <v/>
      </c>
      <c r="U235">
        <f>((E235*F235/25000)+((P235/1000)*J235*S235/2.5))*I235*H235</f>
        <v/>
      </c>
      <c r="V235">
        <f>(E235*F235*(P235/1000)*J235*S235*I235*H235)/12500000</f>
        <v/>
      </c>
      <c r="W235">
        <f>(T235+U235+V235)/3</f>
        <v/>
      </c>
      <c r="X235" s="6" t="n">
        <v>1700</v>
      </c>
      <c r="Y235">
        <f>IFERROR(W235-X235,"")</f>
        <v/>
      </c>
      <c r="Z235">
        <f>IFERROR(ABS(Y235)/MAX(X235,1),"")</f>
        <v/>
      </c>
      <c r="AA235">
        <f>IFERROR((X235-(((E235/100000+F235/100+S235/200)*200*I235*H235)+((E235*F235/25000)*I235*H235))/3)/(((J235/5)*200*I235*H235)+((J235*S235/2.5)*I235*H235)+((E235*F235*J235*S235*I235*H235)/12500000))/3*1000,"")</f>
        <v/>
      </c>
    </row>
    <row r="236">
      <c r="B236" s="7" t="inlineStr">
        <is>
          <t xml:space="preserve">  ↳ HeavyFlamer</t>
        </is>
      </c>
      <c r="C236" s="7" t="inlineStr">
        <is>
          <t>Armament</t>
        </is>
      </c>
      <c r="L236" s="6" t="n">
        <v>2000</v>
      </c>
      <c r="M236" s="6" t="n">
        <v>60</v>
      </c>
      <c r="N236" s="6" t="n">
        <v>30</v>
      </c>
      <c r="O236" s="6" t="n">
        <v>1</v>
      </c>
      <c r="P236" s="6" t="n">
        <v>6000</v>
      </c>
      <c r="Q236" s="6" t="n">
        <v>1</v>
      </c>
      <c r="R236">
        <f>M236+IF(N236&gt;1,N(O236)*(N236-1),0)</f>
        <v/>
      </c>
      <c r="S236">
        <f>IFERROR(L236*MAX(N236,1)/R236*Q236*IF(ISBLANK(K235),1,K235),0)</f>
        <v/>
      </c>
      <c r="AB236" s="7" t="inlineStr">
        <is>
          <t>^MediumFlameWeapon</t>
        </is>
      </c>
    </row>
    <row r="237">
      <c r="B237" s="7" t="inlineStr">
        <is>
          <t xml:space="preserve">  ↳ HeavyPlasmaFlamer</t>
        </is>
      </c>
      <c r="C237" s="7" t="inlineStr">
        <is>
          <t>Armament@Upgrade</t>
        </is>
      </c>
      <c r="L237" s="6" t="n">
        <v>2000</v>
      </c>
      <c r="M237" s="6" t="n">
        <v>60</v>
      </c>
      <c r="N237" s="6" t="n">
        <v>30</v>
      </c>
      <c r="O237" s="6" t="n">
        <v>1</v>
      </c>
      <c r="P237" s="6" t="n">
        <v>6000</v>
      </c>
      <c r="Q237" s="6" t="n">
        <v>1.25</v>
      </c>
      <c r="R237">
        <f>M237+IF(N237&gt;1,N(O237)*(N237-1),0)</f>
        <v/>
      </c>
      <c r="S237">
        <f>IFERROR(L237*MAX(N237,1)/R237*Q237*IF(ISBLANK(K235),1,K235),0)</f>
        <v/>
      </c>
      <c r="AB237" s="7" t="inlineStr">
        <is>
          <t>^HeavyChemicalWeapon, ^HeavyFlameWeapon</t>
        </is>
      </c>
    </row>
    <row r="238">
      <c r="A238" t="inlineStr">
        <is>
          <t>redalert</t>
        </is>
      </c>
      <c r="B238" t="inlineStr">
        <is>
          <t>japan_oitank</t>
        </is>
      </c>
      <c r="C238" t="inlineStr">
        <is>
          <t>O-I Tank</t>
        </is>
      </c>
      <c r="D238" s="6" t="inlineStr">
        <is>
          <t>HighTechTank</t>
        </is>
      </c>
      <c r="E238" s="6" t="n">
        <v>650000</v>
      </c>
      <c r="F238" s="6" t="n">
        <v>50</v>
      </c>
      <c r="G238" t="inlineStr">
        <is>
          <t>Superheavy</t>
        </is>
      </c>
      <c r="H238" s="6" t="n">
        <v>0.75</v>
      </c>
      <c r="I238" s="6" t="n">
        <v>1</v>
      </c>
      <c r="J238" s="6" t="n">
        <v>1</v>
      </c>
      <c r="K238" s="6" t="n"/>
      <c r="P238">
        <f>MAX(P239,P240,P241,P242,P243,P244,P245,P246,P247,P248,P249,P250)</f>
        <v/>
      </c>
      <c r="S238">
        <f>S239+S240+S241+S242+S243+S244+S245+S246+S247+S248+S249+S250</f>
        <v/>
      </c>
      <c r="T238">
        <f>(E238/100000+F238/100+(P238/1000)*J238/5+S238/200)*200*I238*H238</f>
        <v/>
      </c>
      <c r="U238">
        <f>((E238*F238/25000)+((P238/1000)*J238*S238/2.5))*I238*H238</f>
        <v/>
      </c>
      <c r="V238">
        <f>(E238*F238*(P238/1000)*J238*S238*I238*H238)/12500000</f>
        <v/>
      </c>
      <c r="W238">
        <f>(T238+U238+V238)/3</f>
        <v/>
      </c>
      <c r="X238" s="6" t="n">
        <v>7000</v>
      </c>
      <c r="Y238">
        <f>IFERROR(W238-X238,"")</f>
        <v/>
      </c>
      <c r="Z238">
        <f>IFERROR(ABS(Y238)/MAX(X238,1),"")</f>
        <v/>
      </c>
      <c r="AA238">
        <f>IFERROR((X238-(((E238/100000+F238/100+S238/200)*200*I238*H238)+((E238*F238/25000)*I238*H238))/3)/(((J238/5)*200*I238*H238)+((J238*S238/2.5)*I238*H238)+((E238*F238*J238*S238*I238*H238)/12500000))/3*1000,"")</f>
        <v/>
      </c>
    </row>
    <row r="239">
      <c r="B239" s="7" t="inlineStr">
        <is>
          <t xml:space="preserve">  ↳ OIBigCannon</t>
        </is>
      </c>
      <c r="C239" s="7" t="inlineStr">
        <is>
          <t>Armament@MAIN</t>
        </is>
      </c>
      <c r="L239" s="6" t="n">
        <v>24000</v>
      </c>
      <c r="M239" s="6" t="n">
        <v>55</v>
      </c>
      <c r="N239" s="6" t="n">
        <v>1</v>
      </c>
      <c r="O239" s="6" t="n"/>
      <c r="P239" s="6" t="n">
        <v>5394</v>
      </c>
      <c r="Q239" s="6" t="n">
        <v>1.25</v>
      </c>
      <c r="R239">
        <f>M239+IF(N239&gt;1,N(O239)*(N239-1),0)</f>
        <v/>
      </c>
      <c r="S239">
        <f>IFERROR(L239*MAX(N239,1)/R239*Q239*IF(ISBLANK(K238),1,K238),0)</f>
        <v/>
      </c>
      <c r="AB239" s="7" t="inlineStr">
        <is>
          <t>^HeavyCannon</t>
        </is>
      </c>
    </row>
    <row r="240">
      <c r="B240" s="7" t="inlineStr">
        <is>
          <t xml:space="preserve">  ↳ OIBigPlasmaCannon</t>
        </is>
      </c>
      <c r="C240" s="7" t="inlineStr">
        <is>
          <t>Armament@Upgrade</t>
        </is>
      </c>
      <c r="L240" s="6" t="n">
        <v>8000</v>
      </c>
      <c r="M240" s="6" t="n">
        <v>55</v>
      </c>
      <c r="N240" s="6" t="n">
        <v>1</v>
      </c>
      <c r="O240" s="6" t="n"/>
      <c r="P240" s="6" t="n">
        <v>5394</v>
      </c>
      <c r="Q240" s="6" t="n">
        <v>1.166666666666667</v>
      </c>
      <c r="R240">
        <f>M240+IF(N240&gt;1,N(O240)*(N240-1),0)</f>
        <v/>
      </c>
      <c r="S240">
        <f>IFERROR(L240*MAX(N240,1)/R240*Q240*IF(ISBLANK(K238),1,K238),0)</f>
        <v/>
      </c>
      <c r="AB240" s="7" t="inlineStr">
        <is>
          <t>^TeslaWeapon, ^RailgunWeapon, ^HeavyCannon</t>
        </is>
      </c>
    </row>
    <row r="241">
      <c r="B241" s="7" t="inlineStr">
        <is>
          <t xml:space="preserve">  ↳ OISmallCannon</t>
        </is>
      </c>
      <c r="C241" s="7" t="inlineStr">
        <is>
          <t>Armament@PRIMARY</t>
        </is>
      </c>
      <c r="L241" s="6" t="n">
        <v>8000</v>
      </c>
      <c r="M241" s="6" t="n">
        <v>45</v>
      </c>
      <c r="N241" s="6" t="n">
        <v>1</v>
      </c>
      <c r="O241" s="6" t="n"/>
      <c r="P241" s="6" t="n">
        <v>5394</v>
      </c>
      <c r="Q241" s="6" t="n">
        <v>1</v>
      </c>
      <c r="R241">
        <f>M241+IF(N241&gt;1,N(O241)*(N241-1),0)</f>
        <v/>
      </c>
      <c r="S241">
        <f>IFERROR(L241*MAX(N241,1)/R241*Q241*IF(ISBLANK(K238),1,K238),0)</f>
        <v/>
      </c>
      <c r="AB241" s="7" t="inlineStr">
        <is>
          <t>^MediumCannon</t>
        </is>
      </c>
    </row>
    <row r="242">
      <c r="B242" s="7" t="inlineStr">
        <is>
          <t xml:space="preserve">  ↳ OISmallCannon</t>
        </is>
      </c>
      <c r="C242" s="7" t="inlineStr">
        <is>
          <t>Armament@SECONDARY</t>
        </is>
      </c>
      <c r="L242" s="6" t="n">
        <v>8000</v>
      </c>
      <c r="M242" s="6" t="n">
        <v>45</v>
      </c>
      <c r="N242" s="6" t="n">
        <v>1</v>
      </c>
      <c r="O242" s="6" t="n"/>
      <c r="P242" s="6" t="n">
        <v>5394</v>
      </c>
      <c r="Q242" s="6" t="n">
        <v>1</v>
      </c>
      <c r="R242">
        <f>M242+IF(N242&gt;1,N(O242)*(N242-1),0)</f>
        <v/>
      </c>
      <c r="S242">
        <f>IFERROR(L242*MAX(N242,1)/R242*Q242*IF(ISBLANK(K238),1,K238),0)</f>
        <v/>
      </c>
      <c r="AB242" s="7" t="inlineStr">
        <is>
          <t>^MediumCannon</t>
        </is>
      </c>
    </row>
    <row r="243">
      <c r="B243" s="7" t="inlineStr">
        <is>
          <t xml:space="preserve">  ↳ OISmallCannon</t>
        </is>
      </c>
      <c r="C243" s="7" t="inlineStr">
        <is>
          <t>Armament@Back</t>
        </is>
      </c>
      <c r="L243" s="6" t="n">
        <v>8000</v>
      </c>
      <c r="M243" s="6" t="n">
        <v>45</v>
      </c>
      <c r="N243" s="6" t="n">
        <v>1</v>
      </c>
      <c r="O243" s="6" t="n"/>
      <c r="P243" s="6" t="n">
        <v>5394</v>
      </c>
      <c r="Q243" s="6" t="n">
        <v>1</v>
      </c>
      <c r="R243">
        <f>M243+IF(N243&gt;1,N(O243)*(N243-1),0)</f>
        <v/>
      </c>
      <c r="S243">
        <f>IFERROR(L243*MAX(N243,1)/R243*Q243*IF(ISBLANK(K238),1,K238),0)</f>
        <v/>
      </c>
      <c r="AB243" s="7" t="inlineStr">
        <is>
          <t>^MediumCannon</t>
        </is>
      </c>
    </row>
    <row r="244">
      <c r="B244" s="7" t="inlineStr">
        <is>
          <t xml:space="preserve">  ↳ OISmallPlasmaCannon</t>
        </is>
      </c>
      <c r="C244" s="7" t="inlineStr">
        <is>
          <t>Armament@UpgradePRIMARY</t>
        </is>
      </c>
      <c r="L244" s="6" t="n">
        <v>2000</v>
      </c>
      <c r="M244" s="6" t="n">
        <v>45</v>
      </c>
      <c r="N244" s="6" t="n">
        <v>1</v>
      </c>
      <c r="O244" s="6" t="n"/>
      <c r="P244" s="6" t="n">
        <v>5394</v>
      </c>
      <c r="Q244" s="6" t="n">
        <v>1.1875</v>
      </c>
      <c r="R244">
        <f>M244+IF(N244&gt;1,N(O244)*(N244-1),0)</f>
        <v/>
      </c>
      <c r="S244">
        <f>IFERROR(L244*MAX(N244,1)/R244*Q244*IF(ISBLANK(K238),1,K238),0)</f>
        <v/>
      </c>
      <c r="AB244" s="7" t="inlineStr">
        <is>
          <t>^HeavyChemicalWeapon, ^TeslaWeapon, ^RailgunWeapon, ^HeavyCannon</t>
        </is>
      </c>
    </row>
    <row r="245">
      <c r="B245" s="7" t="inlineStr">
        <is>
          <t xml:space="preserve">  ↳ OISmallPlasmaCannon</t>
        </is>
      </c>
      <c r="C245" s="7" t="inlineStr">
        <is>
          <t>Armament@UpgradeSECONDARY</t>
        </is>
      </c>
      <c r="L245" s="6" t="n">
        <v>2000</v>
      </c>
      <c r="M245" s="6" t="n">
        <v>45</v>
      </c>
      <c r="N245" s="6" t="n">
        <v>1</v>
      </c>
      <c r="O245" s="6" t="n"/>
      <c r="P245" s="6" t="n">
        <v>5394</v>
      </c>
      <c r="Q245" s="6" t="n">
        <v>1.1875</v>
      </c>
      <c r="R245">
        <f>M245+IF(N245&gt;1,N(O245)*(N245-1),0)</f>
        <v/>
      </c>
      <c r="S245">
        <f>IFERROR(L245*MAX(N245,1)/R245*Q245*IF(ISBLANK(K238),1,K238),0)</f>
        <v/>
      </c>
      <c r="AB245" s="7" t="inlineStr">
        <is>
          <t>^HeavyChemicalWeapon, ^TeslaWeapon, ^RailgunWeapon, ^HeavyCannon</t>
        </is>
      </c>
    </row>
    <row r="246">
      <c r="B246" s="7" t="inlineStr">
        <is>
          <t xml:space="preserve">  ↳ OISmallPlasmaCannon</t>
        </is>
      </c>
      <c r="C246" s="7" t="inlineStr">
        <is>
          <t>Armament@UpgradeBack</t>
        </is>
      </c>
      <c r="L246" s="6" t="n">
        <v>2000</v>
      </c>
      <c r="M246" s="6" t="n">
        <v>45</v>
      </c>
      <c r="N246" s="6" t="n">
        <v>1</v>
      </c>
      <c r="O246" s="6" t="n"/>
      <c r="P246" s="6" t="n">
        <v>5394</v>
      </c>
      <c r="Q246" s="6" t="n">
        <v>1.1875</v>
      </c>
      <c r="R246">
        <f>M246+IF(N246&gt;1,N(O246)*(N246-1),0)</f>
        <v/>
      </c>
      <c r="S246">
        <f>IFERROR(L246*MAX(N246,1)/R246*Q246*IF(ISBLANK(K238),1,K238),0)</f>
        <v/>
      </c>
      <c r="AB246" s="7" t="inlineStr">
        <is>
          <t>^HeavyChemicalWeapon, ^TeslaWeapon, ^RailgunWeapon, ^HeavyCannon</t>
        </is>
      </c>
    </row>
    <row r="247">
      <c r="B247" s="7" t="inlineStr">
        <is>
          <t xml:space="preserve">  ↳ OIFlamer</t>
        </is>
      </c>
      <c r="C247" s="7" t="inlineStr">
        <is>
          <t>Armament@PRIMARYFlame</t>
        </is>
      </c>
      <c r="L247" s="6" t="n">
        <v>2000</v>
      </c>
      <c r="M247" s="6" t="n">
        <v>60</v>
      </c>
      <c r="N247" s="6" t="n">
        <v>20</v>
      </c>
      <c r="O247" s="6" t="n">
        <v>1</v>
      </c>
      <c r="P247" s="6" t="n">
        <v>5394</v>
      </c>
      <c r="Q247" s="6" t="n">
        <v>1</v>
      </c>
      <c r="R247">
        <f>M247+IF(N247&gt;1,N(O247)*(N247-1),0)</f>
        <v/>
      </c>
      <c r="S247">
        <f>IFERROR(L247*MAX(N247,1)/R247*Q247*IF(ISBLANK(K238),1,K238),0)</f>
        <v/>
      </c>
      <c r="AB247" s="7" t="inlineStr">
        <is>
          <t>^MediumFlameWeapon</t>
        </is>
      </c>
    </row>
    <row r="248">
      <c r="B248" s="7" t="inlineStr">
        <is>
          <t xml:space="preserve">  ↳ OIFlamer</t>
        </is>
      </c>
      <c r="C248" s="7" t="inlineStr">
        <is>
          <t>Armament@SECONDARYFlame</t>
        </is>
      </c>
      <c r="L248" s="6" t="n">
        <v>2000</v>
      </c>
      <c r="M248" s="6" t="n">
        <v>60</v>
      </c>
      <c r="N248" s="6" t="n">
        <v>20</v>
      </c>
      <c r="O248" s="6" t="n">
        <v>1</v>
      </c>
      <c r="P248" s="6" t="n">
        <v>5394</v>
      </c>
      <c r="Q248" s="6" t="n">
        <v>1</v>
      </c>
      <c r="R248">
        <f>M248+IF(N248&gt;1,N(O248)*(N248-1),0)</f>
        <v/>
      </c>
      <c r="S248">
        <f>IFERROR(L248*MAX(N248,1)/R248*Q248*IF(ISBLANK(K238),1,K238),0)</f>
        <v/>
      </c>
      <c r="AB248" s="7" t="inlineStr">
        <is>
          <t>^MediumFlameWeapon</t>
        </is>
      </c>
    </row>
    <row r="249">
      <c r="B249" s="7" t="inlineStr">
        <is>
          <t xml:space="preserve">  ↳ OIPlasmaFlamer</t>
        </is>
      </c>
      <c r="C249" s="7" t="inlineStr">
        <is>
          <t>Armament@UpgradePRIMARYFlame</t>
        </is>
      </c>
      <c r="L249" s="6" t="n">
        <v>2000</v>
      </c>
      <c r="M249" s="6" t="n">
        <v>60</v>
      </c>
      <c r="N249" s="6" t="n">
        <v>20</v>
      </c>
      <c r="O249" s="6" t="n">
        <v>1</v>
      </c>
      <c r="P249" s="6" t="n">
        <v>5394</v>
      </c>
      <c r="Q249" s="6" t="n">
        <v>1.25</v>
      </c>
      <c r="R249">
        <f>M249+IF(N249&gt;1,N(O249)*(N249-1),0)</f>
        <v/>
      </c>
      <c r="S249">
        <f>IFERROR(L249*MAX(N249,1)/R249*Q249*IF(ISBLANK(K238),1,K238),0)</f>
        <v/>
      </c>
      <c r="AB249" s="7" t="inlineStr">
        <is>
          <t>^HeavyChemicalWeapon, ^HeavyFlameWeapon</t>
        </is>
      </c>
    </row>
    <row r="250">
      <c r="B250" s="7" t="inlineStr">
        <is>
          <t xml:space="preserve">  ↳ OIPlasmaFlamer</t>
        </is>
      </c>
      <c r="C250" s="7" t="inlineStr">
        <is>
          <t>Armament@UpgradeSECONDARYFlame</t>
        </is>
      </c>
      <c r="L250" s="6" t="n">
        <v>2000</v>
      </c>
      <c r="M250" s="6" t="n">
        <v>60</v>
      </c>
      <c r="N250" s="6" t="n">
        <v>20</v>
      </c>
      <c r="O250" s="6" t="n">
        <v>1</v>
      </c>
      <c r="P250" s="6" t="n">
        <v>5394</v>
      </c>
      <c r="Q250" s="6" t="n">
        <v>1.25</v>
      </c>
      <c r="R250">
        <f>M250+IF(N250&gt;1,N(O250)*(N250-1),0)</f>
        <v/>
      </c>
      <c r="S250">
        <f>IFERROR(L250*MAX(N250,1)/R250*Q250*IF(ISBLANK(K238),1,K238),0)</f>
        <v/>
      </c>
      <c r="AB250" s="7" t="inlineStr">
        <is>
          <t>^HeavyChemicalWeapon, ^HeavyFlameWeapon</t>
        </is>
      </c>
    </row>
    <row r="251">
      <c r="A251" t="inlineStr">
        <is>
          <t>redalert</t>
        </is>
      </c>
      <c r="B251" t="inlineStr">
        <is>
          <t>ra1_soviets_heavyteslatank</t>
        </is>
      </c>
      <c r="C251" t="inlineStr">
        <is>
          <t>Heavy Tesla Tank</t>
        </is>
      </c>
      <c r="D251" s="6" t="inlineStr">
        <is>
          <t>HighTechTank</t>
        </is>
      </c>
      <c r="E251" s="6" t="n">
        <v>150000</v>
      </c>
      <c r="F251" s="6" t="n">
        <v>60</v>
      </c>
      <c r="G251" t="inlineStr">
        <is>
          <t>Medium</t>
        </is>
      </c>
      <c r="H251" s="6" t="n">
        <v>0.75</v>
      </c>
      <c r="I251" s="6" t="n">
        <v>1</v>
      </c>
      <c r="J251" s="6" t="n">
        <v>1.25</v>
      </c>
      <c r="K251" s="6" t="n"/>
      <c r="P251">
        <f>MAX(P252,P253,P254)</f>
        <v/>
      </c>
      <c r="S251">
        <f>S252+S253+S254</f>
        <v/>
      </c>
      <c r="T251">
        <f>(E251/100000+F251/100+(P251/1000)*J251/5+S251/200)*200*I251*H251</f>
        <v/>
      </c>
      <c r="U251">
        <f>((E251*F251/25000)+((P251/1000)*J251*S251/2.5))*I251*H251</f>
        <v/>
      </c>
      <c r="V251">
        <f>(E251*F251*(P251/1000)*J251*S251*I251*H251)/12500000</f>
        <v/>
      </c>
      <c r="W251">
        <f>(T251+U251+V251)/3</f>
        <v/>
      </c>
      <c r="X251" s="6" t="n">
        <v>3500</v>
      </c>
      <c r="Y251">
        <f>IFERROR(W251-X251,"")</f>
        <v/>
      </c>
      <c r="Z251">
        <f>IFERROR(ABS(Y251)/MAX(X251,1),"")</f>
        <v/>
      </c>
      <c r="AA251">
        <f>IFERROR((X251-(((E251/100000+F251/100+S251/200)*200*I251*H251)+((E251*F251/25000)*I251*H251))/3)/(((J251/5)*200*I251*H251)+((J251*S251/2.5)*I251*H251)+((E251*F251*J251*S251*I251*H251)/12500000))/3*1000,"")</f>
        <v/>
      </c>
    </row>
    <row r="252">
      <c r="B252" s="7" t="inlineStr">
        <is>
          <t xml:space="preserve">  ↳ PointDefenseTesla</t>
        </is>
      </c>
      <c r="C252" s="7" t="inlineStr">
        <is>
          <t>Armament@pointdefense</t>
        </is>
      </c>
      <c r="L252" s="6" t="n">
        <v>10000</v>
      </c>
      <c r="M252" s="6" t="n">
        <v>10</v>
      </c>
      <c r="N252" s="6" t="n">
        <v>1</v>
      </c>
      <c r="O252" s="6" t="n"/>
      <c r="P252" s="6" t="n">
        <v>6650</v>
      </c>
      <c r="Q252" s="6" t="n">
        <v>1</v>
      </c>
      <c r="R252">
        <f>M252+IF(N252&gt;1,N(O252)*(N252-1),0)</f>
        <v/>
      </c>
      <c r="S252">
        <f>IFERROR(L252*MAX(N252,1)/R252*Q252*IF(ISBLANK(K251),1,K251),0)</f>
        <v/>
      </c>
      <c r="AB252" s="7" t="inlineStr">
        <is>
          <t>^TeslaWeapon</t>
        </is>
      </c>
    </row>
    <row r="253">
      <c r="B253" s="7" t="inlineStr">
        <is>
          <t xml:space="preserve">  ↳ TTankZap2EMP</t>
        </is>
      </c>
      <c r="C253" s="7" t="inlineStr">
        <is>
          <t>Armament</t>
        </is>
      </c>
      <c r="L253" s="6" t="n">
        <v>40000</v>
      </c>
      <c r="M253" s="6" t="n">
        <v>80</v>
      </c>
      <c r="N253" s="6" t="n">
        <v>1</v>
      </c>
      <c r="O253" s="6" t="n"/>
      <c r="P253" s="6" t="n">
        <v>6650</v>
      </c>
      <c r="Q253" s="6" t="n">
        <v>1</v>
      </c>
      <c r="R253">
        <f>M253+IF(N253&gt;1,N(O253)*(N253-1),0)</f>
        <v/>
      </c>
      <c r="S253">
        <f>IFERROR(L253*MAX(N253,1)/R253*Q253*IF(ISBLANK(K251),1,K251),0)</f>
        <v/>
      </c>
      <c r="AB253" s="7" t="inlineStr">
        <is>
          <t>^TeslaChargedWeapon</t>
        </is>
      </c>
    </row>
    <row r="254">
      <c r="B254" s="7" t="inlineStr">
        <is>
          <t xml:space="preserve">  ↳ TTankZap2EMPArc</t>
        </is>
      </c>
      <c r="C254" s="7" t="inlineStr">
        <is>
          <t>Armament@Arcing</t>
        </is>
      </c>
      <c r="L254" s="6" t="n">
        <v>40000</v>
      </c>
      <c r="M254" s="6" t="n">
        <v>80</v>
      </c>
      <c r="N254" s="6" t="n">
        <v>1</v>
      </c>
      <c r="O254" s="6" t="n"/>
      <c r="P254" s="6" t="n">
        <v>6650</v>
      </c>
      <c r="Q254" s="6" t="n">
        <v>1</v>
      </c>
      <c r="R254">
        <f>M254+IF(N254&gt;1,N(O254)*(N254-1),0)</f>
        <v/>
      </c>
      <c r="S254">
        <f>IFERROR(L254*MAX(N254,1)/R254*Q254*IF(ISBLANK(K251),1,K251),0)</f>
        <v/>
      </c>
      <c r="AB254" s="7" t="inlineStr">
        <is>
          <t>^TeslaChargedWeapon</t>
        </is>
      </c>
    </row>
    <row r="255">
      <c r="A255" t="inlineStr">
        <is>
          <t>redalert</t>
        </is>
      </c>
      <c r="B255" t="inlineStr">
        <is>
          <t>ra1_soviets_mammothtank</t>
        </is>
      </c>
      <c r="C255" t="inlineStr">
        <is>
          <t>Soviet Mammoth Tank</t>
        </is>
      </c>
      <c r="D255" s="6" t="inlineStr">
        <is>
          <t>HighTechTank</t>
        </is>
      </c>
      <c r="E255" s="6" t="n">
        <v>375000</v>
      </c>
      <c r="F255" s="6" t="n">
        <v>50</v>
      </c>
      <c r="G255" t="inlineStr">
        <is>
          <t>Superheavy</t>
        </is>
      </c>
      <c r="H255" s="6" t="n">
        <v>0.75</v>
      </c>
      <c r="I255" s="6" t="n">
        <v>1</v>
      </c>
      <c r="J255" s="6" t="n">
        <v>1</v>
      </c>
      <c r="K255" s="6" t="n"/>
      <c r="P255">
        <f>MAX(P256,P257,P258,P259,P260,P261,P262,P263,P264,P265)</f>
        <v/>
      </c>
      <c r="S255">
        <f>S256+S257+S258+S259+S260+S261+S262+S263+S264+S265</f>
        <v/>
      </c>
      <c r="T255">
        <f>(E255/100000+F255/100+(P255/1000)*J255/5+S255/200)*200*I255*H255</f>
        <v/>
      </c>
      <c r="U255">
        <f>((E255*F255/25000)+((P255/1000)*J255*S255/2.5))*I255*H255</f>
        <v/>
      </c>
      <c r="V255">
        <f>(E255*F255*(P255/1000)*J255*S255*I255*H255)/12500000</f>
        <v/>
      </c>
      <c r="W255">
        <f>(T255+U255+V255)/3</f>
        <v/>
      </c>
      <c r="X255" s="6" t="n">
        <v>2000</v>
      </c>
      <c r="Y255">
        <f>IFERROR(W255-X255,"")</f>
        <v/>
      </c>
      <c r="Z255">
        <f>IFERROR(ABS(Y255)/MAX(X255,1),"")</f>
        <v/>
      </c>
      <c r="AA255">
        <f>IFERROR((X255-(((E255/100000+F255/100+S255/200)*200*I255*H255)+((E255*F255/25000)*I255*H255))/3)/(((J255/5)*200*I255*H255)+((J255*S255/2.5)*I255*H255)+((E255*F255*J255*S255*I255*H255)/12500000))/3*1000,"")</f>
        <v/>
      </c>
    </row>
    <row r="256">
      <c r="B256" s="7" t="inlineStr">
        <is>
          <t xml:space="preserve">  ↳ ra120mm</t>
        </is>
      </c>
      <c r="C256" s="7" t="inlineStr">
        <is>
          <t>Armament@PRIMARY</t>
        </is>
      </c>
      <c r="L256" s="6" t="n">
        <v>6000</v>
      </c>
      <c r="M256" s="6" t="n">
        <v>95</v>
      </c>
      <c r="N256" s="6" t="n">
        <v>2</v>
      </c>
      <c r="O256" s="6" t="n">
        <v>8</v>
      </c>
      <c r="P256" s="6" t="n">
        <v>6412</v>
      </c>
      <c r="Q256" s="6" t="n">
        <v>1.083333333333333</v>
      </c>
      <c r="R256">
        <f>M256+IF(N256&gt;1,N(O256)*(N256-1),0)</f>
        <v/>
      </c>
      <c r="S256">
        <f>IFERROR(L256*MAX(N256,1)/R256*Q256*IF(ISBLANK(K255),1,K255),0)</f>
        <v/>
      </c>
      <c r="AB256" s="7" t="inlineStr">
        <is>
          <t>^HeavyCannon, ^MediumCannon, ^ShrapnelWeapon, ^TankDestroyerCannon</t>
        </is>
      </c>
    </row>
    <row r="257">
      <c r="B257" s="7" t="inlineStr">
        <is>
          <t xml:space="preserve">  ↳ ra120mmTargetingComputer</t>
        </is>
      </c>
      <c r="C257" s="7" t="inlineStr">
        <is>
          <t>Armament@PRIMARYTargetingComputer</t>
        </is>
      </c>
      <c r="L257" s="6" t="n">
        <v>6000</v>
      </c>
      <c r="M257" s="6" t="n">
        <v>95</v>
      </c>
      <c r="N257" s="6" t="n">
        <v>2</v>
      </c>
      <c r="O257" s="6" t="n">
        <v>8</v>
      </c>
      <c r="P257" s="6" t="n">
        <v>6412</v>
      </c>
      <c r="Q257" s="6" t="n">
        <v>1.083333333333333</v>
      </c>
      <c r="R257">
        <f>M257+IF(N257&gt;1,N(O257)*(N257-1),0)</f>
        <v/>
      </c>
      <c r="S257">
        <f>IFERROR(L257*MAX(N257,1)/R257*Q257*IF(ISBLANK(K255),1,K255),0)</f>
        <v/>
      </c>
      <c r="AB257" s="7" t="inlineStr">
        <is>
          <t>^HeavyCannon, ^MediumCannon, ^ShrapnelWeapon, ^TankDestroyerCannon</t>
        </is>
      </c>
    </row>
    <row r="258">
      <c r="B258" s="7" t="inlineStr">
        <is>
          <t xml:space="preserve">  ↳ ra120mmThermobaric</t>
        </is>
      </c>
      <c r="C258" s="7" t="inlineStr">
        <is>
          <t>Armament@Upgrade</t>
        </is>
      </c>
      <c r="L258" s="6" t="n">
        <v>8000</v>
      </c>
      <c r="M258" s="6" t="n">
        <v>95</v>
      </c>
      <c r="N258" s="6" t="n">
        <v>2</v>
      </c>
      <c r="O258" s="6" t="n">
        <v>8</v>
      </c>
      <c r="P258" s="6" t="n">
        <v>6412</v>
      </c>
      <c r="Q258" s="6" t="n">
        <v>1.25</v>
      </c>
      <c r="R258">
        <f>M258+IF(N258&gt;1,N(O258)*(N258-1),0)</f>
        <v/>
      </c>
      <c r="S258">
        <f>IFERROR(L258*MAX(N258,1)/R258*Q258*IF(ISBLANK(K255),1,K255),0)</f>
        <v/>
      </c>
      <c r="AB258" s="7" t="inlineStr">
        <is>
          <t>^HeavyFlameWeapon, ^HeavyBomb, ^HeavyCannon</t>
        </is>
      </c>
    </row>
    <row r="259">
      <c r="B259" s="7" t="inlineStr">
        <is>
          <t xml:space="preserve">  ↳ ra120mmThermobaricTargetingComputer</t>
        </is>
      </c>
      <c r="C259" s="7" t="inlineStr">
        <is>
          <t>Armament@UpgradeTargetingComputer</t>
        </is>
      </c>
      <c r="L259" s="6" t="n">
        <v>8000</v>
      </c>
      <c r="M259" s="6" t="n">
        <v>95</v>
      </c>
      <c r="N259" s="6" t="n">
        <v>2</v>
      </c>
      <c r="O259" s="6" t="n">
        <v>8</v>
      </c>
      <c r="P259" s="6" t="n">
        <v>6412</v>
      </c>
      <c r="Q259" s="6" t="n">
        <v>1.25</v>
      </c>
      <c r="R259">
        <f>M259+IF(N259&gt;1,N(O259)*(N259-1),0)</f>
        <v/>
      </c>
      <c r="S259">
        <f>IFERROR(L259*MAX(N259,1)/R259*Q259*IF(ISBLANK(K255),1,K255),0)</f>
        <v/>
      </c>
      <c r="AB259" s="7" t="inlineStr">
        <is>
          <t>^HeavyFlameWeapon, ^HeavyBomb, ^HeavyCannon</t>
        </is>
      </c>
    </row>
    <row r="260">
      <c r="B260" s="7" t="inlineStr">
        <is>
          <t xml:space="preserve">  ↳ MammothTusk</t>
        </is>
      </c>
      <c r="C260" s="7" t="inlineStr">
        <is>
          <t>Armament@SECONDARY</t>
        </is>
      </c>
      <c r="L260" s="6" t="n">
        <v>6000</v>
      </c>
      <c r="M260" s="6" t="n">
        <v>91</v>
      </c>
      <c r="N260" s="6" t="n">
        <v>2</v>
      </c>
      <c r="O260" s="6" t="n">
        <v>12</v>
      </c>
      <c r="P260" s="6" t="n">
        <v>6412</v>
      </c>
      <c r="Q260" s="6" t="n">
        <v>1.0625</v>
      </c>
      <c r="R260">
        <f>M260+IF(N260&gt;1,N(O260)*(N260-1),0)</f>
        <v/>
      </c>
      <c r="S260">
        <f>IFERROR(L260*MAX(N260,1)/R260*Q260*IF(ISBLANK(K255),1,K255),0)</f>
        <v/>
      </c>
      <c r="AB260" s="7" t="inlineStr">
        <is>
          <t>^Grenade, ^FlakWeapon, ^MediumMissile, ^HeavyMissile, ^ImpactGlow</t>
        </is>
      </c>
    </row>
    <row r="261">
      <c r="B261" s="7" t="inlineStr">
        <is>
          <t xml:space="preserve">  ↳ MammothTuskTargetingComputer</t>
        </is>
      </c>
      <c r="C261" s="7" t="inlineStr">
        <is>
          <t>Armament@SECONDARYTargetingComputer</t>
        </is>
      </c>
      <c r="L261" s="6" t="n">
        <v>6000</v>
      </c>
      <c r="M261" s="6" t="n">
        <v>91</v>
      </c>
      <c r="N261" s="6" t="n">
        <v>2</v>
      </c>
      <c r="O261" s="6" t="n">
        <v>12</v>
      </c>
      <c r="P261" s="6" t="n">
        <v>6412</v>
      </c>
      <c r="Q261" s="6" t="n">
        <v>1.0625</v>
      </c>
      <c r="R261">
        <f>M261+IF(N261&gt;1,N(O261)*(N261-1),0)</f>
        <v/>
      </c>
      <c r="S261">
        <f>IFERROR(L261*MAX(N261,1)/R261*Q261*IF(ISBLANK(K255),1,K255),0)</f>
        <v/>
      </c>
      <c r="AB261" s="7" t="inlineStr">
        <is>
          <t>^Grenade, ^FlakWeapon, ^MediumMissile, ^HeavyMissile, ^ImpactGlow</t>
        </is>
      </c>
    </row>
    <row r="262">
      <c r="B262" s="7" t="inlineStr">
        <is>
          <t xml:space="preserve">  ↳ MammothTuskTesla</t>
        </is>
      </c>
      <c r="C262" s="7" t="inlineStr">
        <is>
          <t>Armament@TeslaSECONDARY</t>
        </is>
      </c>
      <c r="L262" s="6" t="n">
        <v>8000</v>
      </c>
      <c r="M262" s="6" t="n">
        <v>91</v>
      </c>
      <c r="N262" s="6" t="n">
        <v>2</v>
      </c>
      <c r="O262" s="6" t="n">
        <v>12</v>
      </c>
      <c r="P262" s="6" t="n">
        <v>6412</v>
      </c>
      <c r="Q262" s="6" t="n">
        <v>1</v>
      </c>
      <c r="R262">
        <f>M262+IF(N262&gt;1,N(O262)*(N262-1),0)</f>
        <v/>
      </c>
      <c r="S262">
        <f>IFERROR(L262*MAX(N262,1)/R262*Q262*IF(ISBLANK(K255),1,K255),0)</f>
        <v/>
      </c>
      <c r="AB262" s="7" t="inlineStr">
        <is>
          <t>^Grenade, ^LightFlameWeapon, ^TeslaWeapon, ^HeavyMissile</t>
        </is>
      </c>
    </row>
    <row r="263">
      <c r="B263" s="7" t="inlineStr">
        <is>
          <t xml:space="preserve">  ↳ MammothTuskTeslaTargetingComputer</t>
        </is>
      </c>
      <c r="C263" s="7" t="inlineStr">
        <is>
          <t>Armament@TeslaSECONDARYTargetingComputer</t>
        </is>
      </c>
      <c r="L263" s="6" t="n">
        <v>8000</v>
      </c>
      <c r="M263" s="6" t="n">
        <v>91</v>
      </c>
      <c r="N263" s="6" t="n">
        <v>2</v>
      </c>
      <c r="O263" s="6" t="n">
        <v>12</v>
      </c>
      <c r="P263" s="6" t="n">
        <v>6412</v>
      </c>
      <c r="Q263" s="6" t="n">
        <v>1</v>
      </c>
      <c r="R263">
        <f>M263+IF(N263&gt;1,N(O263)*(N263-1),0)</f>
        <v/>
      </c>
      <c r="S263">
        <f>IFERROR(L263*MAX(N263,1)/R263*Q263*IF(ISBLANK(K255),1,K255),0)</f>
        <v/>
      </c>
      <c r="AB263" s="7" t="inlineStr">
        <is>
          <t>^Grenade, ^LightFlameWeapon, ^TeslaWeapon, ^HeavyMissile</t>
        </is>
      </c>
    </row>
    <row r="264">
      <c r="B264" s="7" t="inlineStr">
        <is>
          <t xml:space="preserve">  ↳ MammothTuskThermobaric</t>
        </is>
      </c>
      <c r="C264" s="7" t="inlineStr">
        <is>
          <t>Armament@NukeSECONDARY</t>
        </is>
      </c>
      <c r="L264" s="6" t="n">
        <v>4000</v>
      </c>
      <c r="M264" s="6" t="n">
        <v>91</v>
      </c>
      <c r="N264" s="6" t="n">
        <v>2</v>
      </c>
      <c r="O264" s="6" t="n">
        <v>12</v>
      </c>
      <c r="P264" s="6" t="n">
        <v>6412</v>
      </c>
      <c r="Q264" s="6" t="n">
        <v>1.03125</v>
      </c>
      <c r="R264">
        <f>M264+IF(N264&gt;1,N(O264)*(N264-1),0)</f>
        <v/>
      </c>
      <c r="S264">
        <f>IFERROR(L264*MAX(N264,1)/R264*Q264*IF(ISBLANK(K255),1,K255),0)</f>
        <v/>
      </c>
      <c r="AB264" s="7" t="inlineStr">
        <is>
          <t>^LightFlameWeapon, ^MediumFlameWeapon, ^HeavyFlameWeapon, ^Grenade, ^FlakWeapon, ^ShrapnelWeapon, ^MediumMissile, ^HeavyMissile</t>
        </is>
      </c>
    </row>
    <row r="265">
      <c r="B265" s="7" t="inlineStr">
        <is>
          <t xml:space="preserve">  ↳ MammothTuskThermobaricTargetingComputer</t>
        </is>
      </c>
      <c r="C265" s="7" t="inlineStr">
        <is>
          <t>Armament@NukeSECONDARYTargetingComputer</t>
        </is>
      </c>
      <c r="L265" s="6" t="n">
        <v>4000</v>
      </c>
      <c r="M265" s="6" t="n">
        <v>91</v>
      </c>
      <c r="N265" s="6" t="n">
        <v>2</v>
      </c>
      <c r="O265" s="6" t="n">
        <v>12</v>
      </c>
      <c r="P265" s="6" t="n">
        <v>6412</v>
      </c>
      <c r="Q265" s="6" t="n">
        <v>1.03125</v>
      </c>
      <c r="R265">
        <f>M265+IF(N265&gt;1,N(O265)*(N265-1),0)</f>
        <v/>
      </c>
      <c r="S265">
        <f>IFERROR(L265*MAX(N265,1)/R265*Q265*IF(ISBLANK(K255),1,K255),0)</f>
        <v/>
      </c>
      <c r="AB265" s="7" t="inlineStr">
        <is>
          <t>^LightFlameWeapon, ^MediumFlameWeapon, ^HeavyFlameWeapon, ^Grenade, ^FlakWeapon, ^ShrapnelWeapon, ^MediumMissile, ^HeavyMissile</t>
        </is>
      </c>
    </row>
    <row r="266">
      <c r="A266" t="inlineStr">
        <is>
          <t>redalert</t>
        </is>
      </c>
      <c r="B266" t="inlineStr">
        <is>
          <t>ra1_soviets_siegemammothtank</t>
        </is>
      </c>
      <c r="C266" t="inlineStr">
        <is>
          <t>Siege Mammoth Tank</t>
        </is>
      </c>
      <c r="D266" s="6" t="inlineStr">
        <is>
          <t>HighTechTank</t>
        </is>
      </c>
      <c r="E266" s="6" t="n">
        <v>625000</v>
      </c>
      <c r="F266" s="6" t="n">
        <v>45</v>
      </c>
      <c r="G266" t="inlineStr">
        <is>
          <t>Superheavy</t>
        </is>
      </c>
      <c r="H266" s="6" t="n">
        <v>1</v>
      </c>
      <c r="I266" s="6" t="n">
        <v>1</v>
      </c>
      <c r="J266" s="6" t="n">
        <v>1</v>
      </c>
      <c r="K266" s="6" t="n"/>
      <c r="P266">
        <f>MAX(P267,P268,P269,P270,P271,P272,P273,P274)</f>
        <v/>
      </c>
      <c r="S266">
        <f>S267+S268+S269+S270+S271+S272+S273+S274</f>
        <v/>
      </c>
      <c r="T266">
        <f>(E266/100000+F266/100+(P266/1000)*J266/5+S266/200)*200*I266*H266</f>
        <v/>
      </c>
      <c r="U266">
        <f>((E266*F266/25000)+((P266/1000)*J266*S266/2.5))*I266*H266</f>
        <v/>
      </c>
      <c r="V266">
        <f>(E266*F266*(P266/1000)*J266*S266*I266*H266)/12500000</f>
        <v/>
      </c>
      <c r="W266">
        <f>(T266+U266+V266)/3</f>
        <v/>
      </c>
      <c r="X266" s="6" t="n">
        <v>4000</v>
      </c>
      <c r="Y266">
        <f>IFERROR(W266-X266,"")</f>
        <v/>
      </c>
      <c r="Z266">
        <f>IFERROR(ABS(Y266)/MAX(X266,1),"")</f>
        <v/>
      </c>
      <c r="AA266">
        <f>IFERROR((X266-(((E266/100000+F266/100+S266/200)*200*I266*H266)+((E266*F266/25000)*I266*H266))/3)/(((J266/5)*200*I266*H266)+((J266*S266/2.5)*I266*H266)+((E266*F266*J266*S266*I266*H266)/12500000))/3*1000,"")</f>
        <v/>
      </c>
    </row>
    <row r="267">
      <c r="B267" s="7" t="inlineStr">
        <is>
          <t xml:space="preserve">  ↳ ra120mm2</t>
        </is>
      </c>
      <c r="C267" s="7" t="inlineStr">
        <is>
          <t>Armament@PRIMARY</t>
        </is>
      </c>
      <c r="L267" s="6" t="n">
        <v>16000</v>
      </c>
      <c r="M267" s="6" t="n">
        <v>125</v>
      </c>
      <c r="N267" s="6" t="n">
        <v>2</v>
      </c>
      <c r="O267" s="6" t="n">
        <v>10</v>
      </c>
      <c r="P267" s="6" t="n">
        <v>6666</v>
      </c>
      <c r="Q267" s="6" t="n">
        <v>1</v>
      </c>
      <c r="R267">
        <f>M267+IF(N267&gt;1,N(O267)*(N267-1),0)</f>
        <v/>
      </c>
      <c r="S267">
        <f>IFERROR(L267*MAX(N267,1)/R267*Q267*IF(ISBLANK(K266),1,K266),0)</f>
        <v/>
      </c>
      <c r="AB267" s="7" t="inlineStr">
        <is>
          <t>^LightChemicalWeapon, ^MediumFlameWeapon, ^HeavyCannon</t>
        </is>
      </c>
    </row>
    <row r="268">
      <c r="B268" s="7" t="inlineStr">
        <is>
          <t xml:space="preserve">  ↳ ra120mm2TargetingComputer</t>
        </is>
      </c>
      <c r="C268" s="7" t="inlineStr">
        <is>
          <t>Armament@PRIMARYTargetingComputer</t>
        </is>
      </c>
      <c r="L268" s="6" t="n">
        <v>16000</v>
      </c>
      <c r="M268" s="6" t="n">
        <v>105</v>
      </c>
      <c r="N268" s="6" t="n">
        <v>2</v>
      </c>
      <c r="O268" s="6" t="n">
        <v>10</v>
      </c>
      <c r="P268" s="6" t="n">
        <v>6666</v>
      </c>
      <c r="Q268" s="6" t="n">
        <v>1</v>
      </c>
      <c r="R268">
        <f>M268+IF(N268&gt;1,N(O268)*(N268-1),0)</f>
        <v/>
      </c>
      <c r="S268">
        <f>IFERROR(L268*MAX(N268,1)/R268*Q268*IF(ISBLANK(K266),1,K266),0)</f>
        <v/>
      </c>
      <c r="AB268" s="7" t="inlineStr">
        <is>
          <t>^LightChemicalWeapon, ^MediumFlameWeapon, ^HeavyCannon</t>
        </is>
      </c>
    </row>
    <row r="269">
      <c r="B269" s="7" t="inlineStr">
        <is>
          <t xml:space="preserve">  ↳ ra120mm2Thermobaric</t>
        </is>
      </c>
      <c r="C269" s="7" t="inlineStr">
        <is>
          <t>Armament@Upgrade</t>
        </is>
      </c>
      <c r="L269" s="6" t="n">
        <v>16000</v>
      </c>
      <c r="M269" s="6" t="n">
        <v>125</v>
      </c>
      <c r="N269" s="6" t="n">
        <v>2</v>
      </c>
      <c r="O269" s="6" t="n">
        <v>10</v>
      </c>
      <c r="P269" s="6" t="n">
        <v>6666</v>
      </c>
      <c r="Q269" s="6" t="n">
        <v>1.25</v>
      </c>
      <c r="R269">
        <f>M269+IF(N269&gt;1,N(O269)*(N269-1),0)</f>
        <v/>
      </c>
      <c r="S269">
        <f>IFERROR(L269*MAX(N269,1)/R269*Q269*IF(ISBLANK(K266),1,K266),0)</f>
        <v/>
      </c>
      <c r="AB269" s="7" t="inlineStr">
        <is>
          <t>^HeavyFlameWeapon, ^HeavyBomb, ^HeavyCannon</t>
        </is>
      </c>
    </row>
    <row r="270">
      <c r="B270" s="7" t="inlineStr">
        <is>
          <t xml:space="preserve">  ↳ ra120mm2ThermobaricTargetingComputer</t>
        </is>
      </c>
      <c r="C270" s="7" t="inlineStr">
        <is>
          <t>Armament@UpgradeTargetingComputer</t>
        </is>
      </c>
      <c r="L270" s="6" t="n">
        <v>16000</v>
      </c>
      <c r="M270" s="6" t="n">
        <v>105</v>
      </c>
      <c r="N270" s="6" t="n">
        <v>2</v>
      </c>
      <c r="O270" s="6" t="n">
        <v>10</v>
      </c>
      <c r="P270" s="6" t="n">
        <v>6666</v>
      </c>
      <c r="Q270" s="6" t="n">
        <v>1.25</v>
      </c>
      <c r="R270">
        <f>M270+IF(N270&gt;1,N(O270)*(N270-1),0)</f>
        <v/>
      </c>
      <c r="S270">
        <f>IFERROR(L270*MAX(N270,1)/R270*Q270*IF(ISBLANK(K266),1,K266),0)</f>
        <v/>
      </c>
      <c r="AB270" s="7" t="inlineStr">
        <is>
          <t>^HeavyFlameWeapon, ^HeavyBomb, ^HeavyCannon</t>
        </is>
      </c>
    </row>
    <row r="271">
      <c r="B271" s="7" t="inlineStr">
        <is>
          <t xml:space="preserve">  ↳ MammothTusk2</t>
        </is>
      </c>
      <c r="C271" s="7" t="inlineStr">
        <is>
          <t>Armament@SECONDARY</t>
        </is>
      </c>
      <c r="L271" s="6" t="n">
        <v>16000</v>
      </c>
      <c r="M271" s="6" t="n">
        <v>125</v>
      </c>
      <c r="N271" s="6" t="n">
        <v>2</v>
      </c>
      <c r="O271" s="6" t="n">
        <v>10</v>
      </c>
      <c r="P271" s="6" t="n">
        <v>6666</v>
      </c>
      <c r="Q271" s="6" t="n">
        <v>1</v>
      </c>
      <c r="R271">
        <f>M271+IF(N271&gt;1,N(O271)*(N271-1),0)</f>
        <v/>
      </c>
      <c r="S271">
        <f>IFERROR(L271*MAX(N271,1)/R271*Q271*IF(ISBLANK(K266),1,K266),0)</f>
        <v/>
      </c>
      <c r="AB271" s="7" t="inlineStr">
        <is>
          <t>^LightFlameWeapon, ^MediumChemicalWeapon, ^HeavyMissile, ^ImpactGlow</t>
        </is>
      </c>
    </row>
    <row r="272">
      <c r="B272" s="7" t="inlineStr">
        <is>
          <t xml:space="preserve">  ↳ MammothTusk2TargetingComputer</t>
        </is>
      </c>
      <c r="C272" s="7" t="inlineStr">
        <is>
          <t>Armament@SECONDARYTargetingComputer</t>
        </is>
      </c>
      <c r="L272" s="6" t="n">
        <v>16000</v>
      </c>
      <c r="M272" s="6" t="n">
        <v>105</v>
      </c>
      <c r="N272" s="6" t="n">
        <v>2</v>
      </c>
      <c r="O272" s="6" t="n">
        <v>10</v>
      </c>
      <c r="P272" s="6" t="n">
        <v>6666</v>
      </c>
      <c r="Q272" s="6" t="n">
        <v>1</v>
      </c>
      <c r="R272">
        <f>M272+IF(N272&gt;1,N(O272)*(N272-1),0)</f>
        <v/>
      </c>
      <c r="S272">
        <f>IFERROR(L272*MAX(N272,1)/R272*Q272*IF(ISBLANK(K266),1,K266),0)</f>
        <v/>
      </c>
      <c r="AB272" s="7" t="inlineStr">
        <is>
          <t>^LightFlameWeapon, ^MediumChemicalWeapon, ^HeavyMissile, ^ImpactGlow</t>
        </is>
      </c>
    </row>
    <row r="273">
      <c r="B273" s="7" t="inlineStr">
        <is>
          <t xml:space="preserve">  ↳ MammothTusk2Thermobaric</t>
        </is>
      </c>
      <c r="C273" s="7" t="inlineStr">
        <is>
          <t>Armament@UpgradeSECONDARY</t>
        </is>
      </c>
      <c r="L273" s="6" t="n">
        <v>16000</v>
      </c>
      <c r="M273" s="6" t="n">
        <v>125</v>
      </c>
      <c r="N273" s="6" t="n">
        <v>2</v>
      </c>
      <c r="O273" s="6" t="n">
        <v>10</v>
      </c>
      <c r="P273" s="6" t="n">
        <v>6666</v>
      </c>
      <c r="Q273" s="6" t="n">
        <v>1.25</v>
      </c>
      <c r="R273">
        <f>M273+IF(N273&gt;1,N(O273)*(N273-1),0)</f>
        <v/>
      </c>
      <c r="S273">
        <f>IFERROR(L273*MAX(N273,1)/R273*Q273*IF(ISBLANK(K266),1,K266),0)</f>
        <v/>
      </c>
      <c r="AB273" s="7" t="inlineStr">
        <is>
          <t>^HeavyFlameWeapon, ^HeavyBomb, ^HeavyMissile</t>
        </is>
      </c>
    </row>
    <row r="274">
      <c r="B274" s="7" t="inlineStr">
        <is>
          <t xml:space="preserve">  ↳ MammothTusk2ThermobaricTargetingComputer</t>
        </is>
      </c>
      <c r="C274" s="7" t="inlineStr">
        <is>
          <t>Armament@UpgradeSECONDARYTargetingComputer</t>
        </is>
      </c>
      <c r="L274" s="6" t="n">
        <v>16000</v>
      </c>
      <c r="M274" s="6" t="n">
        <v>105</v>
      </c>
      <c r="N274" s="6" t="n">
        <v>2</v>
      </c>
      <c r="O274" s="6" t="n">
        <v>10</v>
      </c>
      <c r="P274" s="6" t="n">
        <v>6666</v>
      </c>
      <c r="Q274" s="6" t="n">
        <v>1.25</v>
      </c>
      <c r="R274">
        <f>M274+IF(N274&gt;1,N(O274)*(N274-1),0)</f>
        <v/>
      </c>
      <c r="S274">
        <f>IFERROR(L274*MAX(N274,1)/R274*Q274*IF(ISBLANK(K266),1,K266),0)</f>
        <v/>
      </c>
      <c r="AB274" s="7" t="inlineStr">
        <is>
          <t>^HeavyFlameWeapon, ^HeavyBomb, ^HeavyMissile</t>
        </is>
      </c>
    </row>
    <row r="275">
      <c r="A275" t="inlineStr">
        <is>
          <t>tiberiansun</t>
        </is>
      </c>
      <c r="B275" t="inlineStr">
        <is>
          <t>cabal_avatar</t>
        </is>
      </c>
      <c r="C275" t="inlineStr">
        <is>
          <t>Avatar</t>
        </is>
      </c>
      <c r="D275" s="6" t="inlineStr">
        <is>
          <t>HighTechTank</t>
        </is>
      </c>
      <c r="E275" s="6" t="n">
        <v>1000000</v>
      </c>
      <c r="F275" s="6" t="n">
        <v>25</v>
      </c>
      <c r="G275" t="inlineStr">
        <is>
          <t>Medium</t>
        </is>
      </c>
      <c r="H275" s="6" t="n">
        <v>0.75</v>
      </c>
      <c r="I275" s="6" t="n">
        <v>1</v>
      </c>
      <c r="J275" s="6" t="n">
        <v>1</v>
      </c>
      <c r="K275" s="6" t="n"/>
      <c r="P275">
        <f>MAX(P276,P277)</f>
        <v/>
      </c>
      <c r="S275">
        <f>S276+S277</f>
        <v/>
      </c>
      <c r="T275">
        <f>(E275/100000+F275/100+(P275/1000)*J275/5+S275/200)*200*I275*H275</f>
        <v/>
      </c>
      <c r="U275">
        <f>((E275*F275/25000)+((P275/1000)*J275*S275/2.5))*I275*H275</f>
        <v/>
      </c>
      <c r="V275">
        <f>(E275*F275*(P275/1000)*J275*S275*I275*H275)/12500000</f>
        <v/>
      </c>
      <c r="W275">
        <f>(T275+U275+V275)/3</f>
        <v/>
      </c>
      <c r="X275" s="6" t="n">
        <v>7500</v>
      </c>
      <c r="Y275">
        <f>IFERROR(W275-X275,"")</f>
        <v/>
      </c>
      <c r="Z275">
        <f>IFERROR(ABS(Y275)/MAX(X275,1),"")</f>
        <v/>
      </c>
      <c r="AA275">
        <f>IFERROR((X275-(((E275/100000+F275/100+S275/200)*200*I275*H275)+((E275*F275/25000)*I275*H275))/3)/(((J275/5)*200*I275*H275)+((J275*S275/2.5)*I275*H275)+((E275*F275*J275*S275*I275*H275)/12500000))/3*1000,"")</f>
        <v/>
      </c>
    </row>
    <row r="276">
      <c r="B276" s="7" t="inlineStr">
        <is>
          <t xml:space="preserve">  ↳ CabalAvatarLaser</t>
        </is>
      </c>
      <c r="C276" s="7" t="inlineStr">
        <is>
          <t>Armament@PRIMARY</t>
        </is>
      </c>
      <c r="L276" s="6" t="n">
        <v>80000</v>
      </c>
      <c r="M276" s="6" t="n">
        <v>70</v>
      </c>
      <c r="N276" s="6" t="n">
        <v>1</v>
      </c>
      <c r="O276" s="6" t="n"/>
      <c r="P276" s="6" t="n">
        <v>6332</v>
      </c>
      <c r="Q276" s="6" t="n">
        <v>1</v>
      </c>
      <c r="R276">
        <f>M276+IF(N276&gt;1,N(O276)*(N276-1),0)</f>
        <v/>
      </c>
      <c r="S276">
        <f>IFERROR(L276*MAX(N276,1)/R276*Q276*IF(ISBLANK(K275),1,K275),0)</f>
        <v/>
      </c>
      <c r="AB276" s="7" t="inlineStr">
        <is>
          <t>^LaserWeapon</t>
        </is>
      </c>
    </row>
    <row r="277">
      <c r="B277" s="7" t="inlineStr">
        <is>
          <t xml:space="preserve">  ↳ CabalAvatarLaser</t>
        </is>
      </c>
      <c r="C277" s="7" t="inlineStr">
        <is>
          <t>Armament@RIGHT</t>
        </is>
      </c>
      <c r="L277" s="6" t="n">
        <v>80000</v>
      </c>
      <c r="M277" s="6" t="n">
        <v>70</v>
      </c>
      <c r="N277" s="6" t="n">
        <v>1</v>
      </c>
      <c r="O277" s="6" t="n"/>
      <c r="P277" s="6" t="n">
        <v>6332</v>
      </c>
      <c r="Q277" s="6" t="n">
        <v>1</v>
      </c>
      <c r="R277">
        <f>M277+IF(N277&gt;1,N(O277)*(N277-1),0)</f>
        <v/>
      </c>
      <c r="S277">
        <f>IFERROR(L277*MAX(N277,1)/R277*Q277*IF(ISBLANK(K275),1,K275),0)</f>
        <v/>
      </c>
      <c r="AB277" s="7" t="inlineStr">
        <is>
          <t>^LaserWeapon</t>
        </is>
      </c>
    </row>
    <row r="278">
      <c r="A278" t="inlineStr">
        <is>
          <t>tiberiansun</t>
        </is>
      </c>
      <c r="B278" t="inlineStr">
        <is>
          <t>ts_nod_stealthtank</t>
        </is>
      </c>
      <c r="C278" t="inlineStr">
        <is>
          <t>Stealth Tank</t>
        </is>
      </c>
      <c r="D278" s="6" t="inlineStr">
        <is>
          <t>HighTechTank</t>
        </is>
      </c>
      <c r="E278" s="6" t="n">
        <v>80000</v>
      </c>
      <c r="F278" s="6" t="n">
        <v>100</v>
      </c>
      <c r="G278" t="inlineStr">
        <is>
          <t>Heavy</t>
        </is>
      </c>
      <c r="H278" s="6" t="n">
        <v>1</v>
      </c>
      <c r="I278" s="6" t="n">
        <v>1</v>
      </c>
      <c r="J278" s="6" t="n">
        <v>1</v>
      </c>
      <c r="K278" s="6" t="n"/>
      <c r="P278">
        <f>MAX(P279,P280)</f>
        <v/>
      </c>
      <c r="S278">
        <f>S279+S280</f>
        <v/>
      </c>
      <c r="T278">
        <f>(E278/100000+F278/100+(P278/1000)*J278/5+S278/200)*200*I278*H278</f>
        <v/>
      </c>
      <c r="U278">
        <f>((E278*F278/25000)+((P278/1000)*J278*S278/2.5))*I278*H278</f>
        <v/>
      </c>
      <c r="V278">
        <f>(E278*F278*(P278/1000)*J278*S278*I278*H278)/12500000</f>
        <v/>
      </c>
      <c r="W278">
        <f>(T278+U278+V278)/3</f>
        <v/>
      </c>
      <c r="X278" s="6" t="n">
        <v>1750</v>
      </c>
      <c r="Y278">
        <f>IFERROR(W278-X278,"")</f>
        <v/>
      </c>
      <c r="Z278">
        <f>IFERROR(ABS(Y278)/MAX(X278,1),"")</f>
        <v/>
      </c>
      <c r="AA278">
        <f>IFERROR((X278-(((E278/100000+F278/100+S278/200)*200*I278*H278)+((E278*F278/25000)*I278*H278))/3)/(((J278/5)*200*I278*H278)+((J278*S278/2.5)*I278*H278)+((E278*F278*J278*S278*I278*H278)/12500000))/3*1000,"")</f>
        <v/>
      </c>
    </row>
    <row r="279">
      <c r="B279" s="7" t="inlineStr">
        <is>
          <t xml:space="preserve">  ↳ TSStankTusk</t>
        </is>
      </c>
      <c r="C279" s="7" t="inlineStr">
        <is>
          <t>Armament@PRIMARY</t>
        </is>
      </c>
      <c r="L279" s="6" t="n">
        <v>10000</v>
      </c>
      <c r="M279" s="6" t="n">
        <v>60</v>
      </c>
      <c r="N279" s="6" t="n">
        <v>2</v>
      </c>
      <c r="O279" s="6" t="n">
        <v>2</v>
      </c>
      <c r="P279" s="6" t="n">
        <v>6385</v>
      </c>
      <c r="Q279" s="6" t="n">
        <v>1</v>
      </c>
      <c r="R279">
        <f>M279+IF(N279&gt;1,N(O279)*(N279-1),0)</f>
        <v/>
      </c>
      <c r="S279">
        <f>IFERROR(L279*MAX(N279,1)/R279*Q279*IF(ISBLANK(K278),1,K278),0)</f>
        <v/>
      </c>
      <c r="AB279" s="7" t="inlineStr">
        <is>
          <t>^MediumCannon, ^MediumMissile</t>
        </is>
      </c>
    </row>
    <row r="280">
      <c r="B280" s="7" t="inlineStr">
        <is>
          <t xml:space="preserve">  ↳ TSStankTibTusk</t>
        </is>
      </c>
      <c r="C280" s="7" t="inlineStr">
        <is>
          <t>Armament@UPGRADE</t>
        </is>
      </c>
      <c r="L280" s="6" t="n">
        <v>10000</v>
      </c>
      <c r="M280" s="6" t="n">
        <v>60</v>
      </c>
      <c r="N280" s="6" t="n">
        <v>2</v>
      </c>
      <c r="O280" s="6" t="n">
        <v>2</v>
      </c>
      <c r="P280" s="6" t="n">
        <v>6385</v>
      </c>
      <c r="Q280" s="6" t="n">
        <v>1</v>
      </c>
      <c r="R280">
        <f>M280+IF(N280&gt;1,N(O280)*(N280-1),0)</f>
        <v/>
      </c>
      <c r="S280">
        <f>IFERROR(L280*MAX(N280,1)/R280*Q280*IF(ISBLANK(K278),1,K278),0)</f>
        <v/>
      </c>
      <c r="AB280" s="7" t="inlineStr">
        <is>
          <t>^MediumCannon, ^MediumChemicalWeapon, ^MediumMissile</t>
        </is>
      </c>
    </row>
    <row r="281">
      <c r="A281" t="inlineStr">
        <is>
          <t>tiberiansun</t>
        </is>
      </c>
      <c r="B281" t="inlineStr">
        <is>
          <t>forgotten_scoopertank</t>
        </is>
      </c>
      <c r="C281" t="inlineStr">
        <is>
          <t>actor_forgotten_scoopertank.name</t>
        </is>
      </c>
      <c r="D281" s="6" t="inlineStr">
        <is>
          <t>HighTechTank</t>
        </is>
      </c>
      <c r="E281" s="6" t="n">
        <v>250000</v>
      </c>
      <c r="F281" s="6" t="n">
        <v>65</v>
      </c>
      <c r="G281" t="inlineStr">
        <is>
          <t>Heavy</t>
        </is>
      </c>
      <c r="H281" s="6" t="n">
        <v>1</v>
      </c>
      <c r="I281" s="6" t="n">
        <v>1</v>
      </c>
      <c r="J281" s="6" t="n">
        <v>1</v>
      </c>
      <c r="K281" s="6" t="n"/>
      <c r="P281">
        <f>MAX(P282,P283)</f>
        <v/>
      </c>
      <c r="S281">
        <f>S282+S283</f>
        <v/>
      </c>
      <c r="T281">
        <f>(E281/100000+F281/100+(P281/1000)*J281/5+S281/200)*200*I281*H281</f>
        <v/>
      </c>
      <c r="U281">
        <f>((E281*F281/25000)+((P281/1000)*J281*S281/2.5))*I281*H281</f>
        <v/>
      </c>
      <c r="V281">
        <f>(E281*F281*(P281/1000)*J281*S281*I281*H281)/12500000</f>
        <v/>
      </c>
      <c r="W281">
        <f>(T281+U281+V281)/3</f>
        <v/>
      </c>
      <c r="X281" s="6" t="n">
        <v>2250</v>
      </c>
      <c r="Y281">
        <f>IFERROR(W281-X281,"")</f>
        <v/>
      </c>
      <c r="Z281">
        <f>IFERROR(ABS(Y281)/MAX(X281,1),"")</f>
        <v/>
      </c>
      <c r="AA281">
        <f>IFERROR((X281-(((E281/100000+F281/100+S281/200)*200*I281*H281)+((E281*F281/25000)*I281*H281))/3)/(((J281/5)*200*I281*H281)+((J281*S281/2.5)*I281*H281)+((E281*F281*J281*S281*I281*H281)/12500000))/3*1000,"")</f>
        <v/>
      </c>
    </row>
    <row r="282">
      <c r="B282" s="7" t="inlineStr">
        <is>
          <t xml:space="preserve">  ↳ TSScoopDual</t>
        </is>
      </c>
      <c r="C282" s="7" t="inlineStr">
        <is>
          <t>Armament@PRIMARY</t>
        </is>
      </c>
      <c r="L282" s="6" t="n">
        <v>20000</v>
      </c>
      <c r="M282" s="6" t="n">
        <v>60</v>
      </c>
      <c r="N282" s="6" t="n">
        <v>2</v>
      </c>
      <c r="O282" s="6" t="n">
        <v>2</v>
      </c>
      <c r="P282" s="6" t="n">
        <v>6224</v>
      </c>
      <c r="Q282" s="6" t="n">
        <v>1</v>
      </c>
      <c r="R282">
        <f>M282+IF(N282&gt;1,N(O282)*(N282-1),0)</f>
        <v/>
      </c>
      <c r="S282">
        <f>IFERROR(L282*MAX(N282,1)/R282*Q282*IF(ISBLANK(K281),1,K281),0)</f>
        <v/>
      </c>
      <c r="AB282" s="7" t="inlineStr">
        <is>
          <t>^TSCannonEffect, ^MediumCannon</t>
        </is>
      </c>
    </row>
    <row r="283">
      <c r="B283" s="7" t="inlineStr">
        <is>
          <t xml:space="preserve">  ↳ TSScoopDualChem</t>
        </is>
      </c>
      <c r="C283" s="7" t="inlineStr">
        <is>
          <t>Armament@UPGRADE</t>
        </is>
      </c>
      <c r="L283" s="6" t="n">
        <v>20000</v>
      </c>
      <c r="M283" s="6" t="n">
        <v>60</v>
      </c>
      <c r="N283" s="6" t="n">
        <v>2</v>
      </c>
      <c r="O283" s="6" t="n">
        <v>2</v>
      </c>
      <c r="P283" s="6" t="n">
        <v>6224</v>
      </c>
      <c r="Q283" s="6" t="n">
        <v>1</v>
      </c>
      <c r="R283">
        <f>M283+IF(N283&gt;1,N(O283)*(N283-1),0)</f>
        <v/>
      </c>
      <c r="S283">
        <f>IFERROR(L283*MAX(N283,1)/R283*Q283*IF(ISBLANK(K281),1,K281),0)</f>
        <v/>
      </c>
      <c r="AB283" s="7" t="inlineStr">
        <is>
          <t>^TSCannonEffect, ^MediumChemicalWeapon, ^MediumCannon</t>
        </is>
      </c>
    </row>
    <row r="284">
      <c r="A284" t="inlineStr">
        <is>
          <t>redalert2</t>
        </is>
      </c>
      <c r="B284" t="inlineStr">
        <is>
          <t>ra2_allies_heavymiragetank</t>
        </is>
      </c>
      <c r="C284" t="inlineStr">
        <is>
          <t>Heavy Mirage Tank</t>
        </is>
      </c>
      <c r="D284" s="6" t="inlineStr">
        <is>
          <t>HighTechTank</t>
        </is>
      </c>
      <c r="E284" s="6" t="n">
        <v>240000</v>
      </c>
      <c r="F284" s="6" t="n">
        <v>60</v>
      </c>
      <c r="G284" t="inlineStr">
        <is>
          <t>Heavy</t>
        </is>
      </c>
      <c r="H284" s="6" t="n">
        <v>0.75</v>
      </c>
      <c r="I284" s="6" t="n">
        <v>1</v>
      </c>
      <c r="J284" s="6" t="n">
        <v>1</v>
      </c>
      <c r="K284" s="6" t="n"/>
      <c r="P284">
        <f>MAX(P285,P286)</f>
        <v/>
      </c>
      <c r="S284">
        <f>S285+S286</f>
        <v/>
      </c>
      <c r="T284">
        <f>(E284/100000+F284/100+(P284/1000)*J284/5+S284/200)*200*I284*H284</f>
        <v/>
      </c>
      <c r="U284">
        <f>((E284*F284/25000)+((P284/1000)*J284*S284/2.5))*I284*H284</f>
        <v/>
      </c>
      <c r="V284">
        <f>(E284*F284*(P284/1000)*J284*S284*I284*H284)/12500000</f>
        <v/>
      </c>
      <c r="W284">
        <f>(T284+U284+V284)/3</f>
        <v/>
      </c>
      <c r="X284" s="6" t="n">
        <v>2000</v>
      </c>
      <c r="Y284">
        <f>IFERROR(W284-X284,"")</f>
        <v/>
      </c>
      <c r="Z284">
        <f>IFERROR(ABS(Y284)/MAX(X284,1),"")</f>
        <v/>
      </c>
      <c r="AA284">
        <f>IFERROR((X284-(((E284/100000+F284/100+S284/200)*200*I284*H284)+((E284*F284/25000)*I284*H284))/3)/(((J284/5)*200*I284*H284)+((J284*S284/2.5)*I284*H284)+((E284*F284*J284*S284*I284*H284)/12500000))/3*1000,"")</f>
        <v/>
      </c>
    </row>
    <row r="285">
      <c r="B285" s="7" t="inlineStr">
        <is>
          <t xml:space="preserve">  ↳ RA2HeavyMirageGun</t>
        </is>
      </c>
      <c r="C285" s="7" t="inlineStr">
        <is>
          <t>Armament</t>
        </is>
      </c>
      <c r="L285" s="6" t="n">
        <v>8000</v>
      </c>
      <c r="M285" s="6" t="n">
        <v>51</v>
      </c>
      <c r="N285" s="6" t="n">
        <v>1</v>
      </c>
      <c r="O285" s="6" t="n"/>
      <c r="P285" s="6" t="n">
        <v>6112</v>
      </c>
      <c r="Q285" s="6" t="n">
        <v>1.083333333333333</v>
      </c>
      <c r="R285">
        <f>M285+IF(N285&gt;1,N(O285)*(N285-1),0)</f>
        <v/>
      </c>
      <c r="S285">
        <f>IFERROR(L285*MAX(N285,1)/R285*Q285*IF(ISBLANK(K284),1,K284),0)</f>
        <v/>
      </c>
      <c r="AB285" s="7" t="inlineStr">
        <is>
          <t>^RailgunWeapon, ^ShrapnelWeapon, ^MediumChemicalWeapon, ^RA2TankDestroyerCannon</t>
        </is>
      </c>
    </row>
    <row r="286">
      <c r="B286" s="7" t="inlineStr">
        <is>
          <t xml:space="preserve">  ↳ RA2HeavyMirageGun_elite</t>
        </is>
      </c>
      <c r="C286" s="7" t="inlineStr">
        <is>
          <t>Armament@elite</t>
        </is>
      </c>
      <c r="L286" s="6" t="n">
        <v>8000</v>
      </c>
      <c r="M286" s="6" t="n">
        <v>51</v>
      </c>
      <c r="N286" s="6" t="n">
        <v>2</v>
      </c>
      <c r="O286" s="6" t="n">
        <v>3</v>
      </c>
      <c r="P286" s="6" t="n">
        <v>7112</v>
      </c>
      <c r="Q286" s="6" t="n">
        <v>1.083333333333333</v>
      </c>
      <c r="R286">
        <f>M286+IF(N286&gt;1,N(O286)*(N286-1),0)</f>
        <v/>
      </c>
      <c r="S286">
        <f>IFERROR(L286*MAX(N286,1)/R286*Q286*IF(ISBLANK(K284),1,K284),0)</f>
        <v/>
      </c>
      <c r="AB286" s="7" t="inlineStr">
        <is>
          <t>^RailgunWeapon, ^ShrapnelWeapon, ^MediumChemicalWeapon, ^RA2TankDestroyerCannon, ^RA2EliteEffects</t>
        </is>
      </c>
    </row>
    <row r="287">
      <c r="A287" t="inlineStr">
        <is>
          <t>redalert2</t>
        </is>
      </c>
      <c r="B287" t="inlineStr">
        <is>
          <t>ra2_allies_miragetank</t>
        </is>
      </c>
      <c r="C287" t="inlineStr">
        <is>
          <t>Mirage Tank</t>
        </is>
      </c>
      <c r="D287" s="6" t="inlineStr">
        <is>
          <t>HighTechTank</t>
        </is>
      </c>
      <c r="E287" s="6" t="n">
        <v>120000</v>
      </c>
      <c r="F287" s="6" t="n">
        <v>90</v>
      </c>
      <c r="G287" t="inlineStr">
        <is>
          <t>Medium</t>
        </is>
      </c>
      <c r="H287" s="6" t="n">
        <v>0.75</v>
      </c>
      <c r="I287" s="6" t="n">
        <v>1</v>
      </c>
      <c r="J287" s="6" t="n">
        <v>1</v>
      </c>
      <c r="K287" s="6" t="n"/>
      <c r="P287">
        <f>MAX(P288,P289)</f>
        <v/>
      </c>
      <c r="S287">
        <f>S288+S289</f>
        <v/>
      </c>
      <c r="T287">
        <f>(E287/100000+F287/100+(P287/1000)*J287/5+S287/200)*200*I287*H287</f>
        <v/>
      </c>
      <c r="U287">
        <f>((E287*F287/25000)+((P287/1000)*J287*S287/2.5))*I287*H287</f>
        <v/>
      </c>
      <c r="V287">
        <f>(E287*F287*(P287/1000)*J287*S287*I287*H287)/12500000</f>
        <v/>
      </c>
      <c r="W287">
        <f>(T287+U287+V287)/3</f>
        <v/>
      </c>
      <c r="X287" s="6" t="n">
        <v>1600</v>
      </c>
      <c r="Y287">
        <f>IFERROR(W287-X287,"")</f>
        <v/>
      </c>
      <c r="Z287">
        <f>IFERROR(ABS(Y287)/MAX(X287,1),"")</f>
        <v/>
      </c>
      <c r="AA287">
        <f>IFERROR((X287-(((E287/100000+F287/100+S287/200)*200*I287*H287)+((E287*F287/25000)*I287*H287))/3)/(((J287/5)*200*I287*H287)+((J287*S287/2.5)*I287*H287)+((E287*F287*J287*S287*I287*H287)/12500000))/3*1000,"")</f>
        <v/>
      </c>
    </row>
    <row r="288">
      <c r="B288" s="7" t="inlineStr">
        <is>
          <t xml:space="preserve">  ↳ RA2MirageGun</t>
        </is>
      </c>
      <c r="C288" s="7" t="inlineStr">
        <is>
          <t>Armament</t>
        </is>
      </c>
      <c r="L288" s="6" t="n">
        <v>8000</v>
      </c>
      <c r="M288" s="6" t="n">
        <v>39</v>
      </c>
      <c r="N288" s="6" t="n">
        <v>1</v>
      </c>
      <c r="O288" s="6" t="n"/>
      <c r="P288" s="6" t="n">
        <v>6031</v>
      </c>
      <c r="Q288" s="6" t="n">
        <v>1.125</v>
      </c>
      <c r="R288">
        <f>M288+IF(N288&gt;1,N(O288)*(N288-1),0)</f>
        <v/>
      </c>
      <c r="S288">
        <f>IFERROR(L288*MAX(N288,1)/R288*Q288*IF(ISBLANK(K287),1,K287),0)</f>
        <v/>
      </c>
      <c r="AB288" s="7" t="inlineStr">
        <is>
          <t>^RailgunWeapon, ^MediumChemicalWeapon, ^RA2TankDestroyerCannon</t>
        </is>
      </c>
    </row>
    <row r="289">
      <c r="B289" s="7" t="inlineStr">
        <is>
          <t xml:space="preserve">  ↳ RA2MirageGun_elite</t>
        </is>
      </c>
      <c r="C289" s="7" t="inlineStr">
        <is>
          <t>Armament@elite</t>
        </is>
      </c>
      <c r="L289" s="6" t="n">
        <v>8000</v>
      </c>
      <c r="M289" s="6" t="n">
        <v>39</v>
      </c>
      <c r="N289" s="6" t="n">
        <v>2</v>
      </c>
      <c r="O289" s="6" t="n">
        <v>3</v>
      </c>
      <c r="P289" s="6" t="n">
        <v>7031</v>
      </c>
      <c r="Q289" s="6" t="n">
        <v>1.125</v>
      </c>
      <c r="R289">
        <f>M289+IF(N289&gt;1,N(O289)*(N289-1),0)</f>
        <v/>
      </c>
      <c r="S289">
        <f>IFERROR(L289*MAX(N289,1)/R289*Q289*IF(ISBLANK(K287),1,K287),0)</f>
        <v/>
      </c>
      <c r="AB289" s="7" t="inlineStr">
        <is>
          <t>^RailgunWeapon, ^MediumChemicalWeapon, ^RA2TankDestroyerCannon, ^RA2EliteEffects</t>
        </is>
      </c>
    </row>
    <row r="290">
      <c r="A290" t="inlineStr">
        <is>
          <t>redalert2</t>
        </is>
      </c>
      <c r="B290" t="inlineStr">
        <is>
          <t>ra2_soviets_apocalypsetank</t>
        </is>
      </c>
      <c r="C290" t="inlineStr">
        <is>
          <t>Apocalypse Tank</t>
        </is>
      </c>
      <c r="D290" s="6" t="inlineStr">
        <is>
          <t>HighTechTank</t>
        </is>
      </c>
      <c r="E290" s="6" t="n">
        <v>350000</v>
      </c>
      <c r="F290" s="6" t="n">
        <v>55</v>
      </c>
      <c r="G290" t="inlineStr">
        <is>
          <t>Superheavy</t>
        </is>
      </c>
      <c r="H290" s="6" t="n">
        <v>0.75</v>
      </c>
      <c r="I290" s="6" t="n">
        <v>1</v>
      </c>
      <c r="J290" s="6" t="n">
        <v>1</v>
      </c>
      <c r="K290" s="6" t="n">
        <v>1.25</v>
      </c>
      <c r="P290">
        <f>MAX(P291,P292,P293,P294,P295,P296,P297,P298,P299,P300)</f>
        <v/>
      </c>
      <c r="S290">
        <f>S291+S292+S293+S294+S295+S296+S297+S298+S299+S300</f>
        <v/>
      </c>
      <c r="T290">
        <f>(E290/100000+F290/100+(P290/1000)*J290/5+S290/200)*200*I290*H290</f>
        <v/>
      </c>
      <c r="U290">
        <f>((E290*F290/25000)+((P290/1000)*J290*S290/2.5))*I290*H290</f>
        <v/>
      </c>
      <c r="V290">
        <f>(E290*F290*(P290/1000)*J290*S290*I290*H290)/12500000</f>
        <v/>
      </c>
      <c r="W290">
        <f>(T290+U290+V290)/3</f>
        <v/>
      </c>
      <c r="X290" s="6" t="n">
        <v>1750</v>
      </c>
      <c r="Y290">
        <f>IFERROR(W290-X290,"")</f>
        <v/>
      </c>
      <c r="Z290">
        <f>IFERROR(ABS(Y290)/MAX(X290,1),"")</f>
        <v/>
      </c>
      <c r="AA290">
        <f>IFERROR((X290-(((E290/100000+F290/100+S290/200)*200*I290*H290)+((E290*F290/25000)*I290*H290))/3)/(((J290/5)*200*I290*H290)+((J290*S290/2.5)*I290*H290)+((E290*F290*J290*S290*I290*H290)/12500000))/3*1000,"")</f>
        <v/>
      </c>
    </row>
    <row r="291">
      <c r="B291" s="7" t="inlineStr">
        <is>
          <t xml:space="preserve">  ↳ RA2120xmm</t>
        </is>
      </c>
      <c r="C291" s="7" t="inlineStr">
        <is>
          <t>Armament@PRIMARY</t>
        </is>
      </c>
      <c r="L291" s="6" t="n">
        <v>4000</v>
      </c>
      <c r="M291" s="6" t="n">
        <v>63</v>
      </c>
      <c r="N291" s="6" t="n">
        <v>2</v>
      </c>
      <c r="O291" s="6" t="n">
        <v>5</v>
      </c>
      <c r="P291" s="6" t="n">
        <v>6992</v>
      </c>
      <c r="Q291" s="6" t="n">
        <v>1.125</v>
      </c>
      <c r="R291">
        <f>M291+IF(N291&gt;1,N(O291)*(N291-1),0)</f>
        <v/>
      </c>
      <c r="S291">
        <f>IFERROR(L291*MAX(N291,1)/R291*Q291*IF(ISBLANK(K290),1,K290),0)</f>
        <v/>
      </c>
      <c r="AB291" s="7" t="inlineStr">
        <is>
          <t>^TankDestroyerCannon, ^ShrapnelWeapon, ^RA2HeavyCannon</t>
        </is>
      </c>
    </row>
    <row r="292">
      <c r="B292" s="7" t="inlineStr">
        <is>
          <t xml:space="preserve">  ↳ RA2120xmm_rad</t>
        </is>
      </c>
      <c r="C292" s="7" t="inlineStr">
        <is>
          <t>Armament@PRIMARYRad</t>
        </is>
      </c>
      <c r="L292" s="6" t="n">
        <v>2000</v>
      </c>
      <c r="M292" s="6" t="n">
        <v>63</v>
      </c>
      <c r="N292" s="6" t="n">
        <v>2</v>
      </c>
      <c r="O292" s="6" t="n">
        <v>5</v>
      </c>
      <c r="P292" s="6" t="n">
        <v>6992</v>
      </c>
      <c r="Q292" s="6" t="n">
        <v>1.05</v>
      </c>
      <c r="R292">
        <f>M292+IF(N292&gt;1,N(O292)*(N292-1),0)</f>
        <v/>
      </c>
      <c r="S292">
        <f>IFERROR(L292*MAX(N292,1)/R292*Q292*IF(ISBLANK(K290),1,K290),0)</f>
        <v/>
      </c>
      <c r="AB292" s="7" t="inlineStr">
        <is>
          <t>^LightChemicalWeapon, ^MediumChemicalWeapon, ^HeavyChemicalWeapon, ^TankDestroyerCannon, ^ShrapnelWeapon, ^RA2HeavyCannon, ^RA2RadShell</t>
        </is>
      </c>
    </row>
    <row r="293">
      <c r="B293" s="7" t="inlineStr">
        <is>
          <t xml:space="preserve">  ↳ RA2120xmm_fire</t>
        </is>
      </c>
      <c r="C293" s="7" t="inlineStr">
        <is>
          <t>Armament@PRIMARYFire</t>
        </is>
      </c>
      <c r="L293" s="6" t="n">
        <v>4000</v>
      </c>
      <c r="M293" s="6" t="n">
        <v>63</v>
      </c>
      <c r="N293" s="6" t="n">
        <v>2</v>
      </c>
      <c r="O293" s="6" t="n">
        <v>5</v>
      </c>
      <c r="P293" s="6" t="n">
        <v>6992</v>
      </c>
      <c r="Q293" s="6" t="n">
        <v>1.125</v>
      </c>
      <c r="R293">
        <f>M293+IF(N293&gt;1,N(O293)*(N293-1),0)</f>
        <v/>
      </c>
      <c r="S293">
        <f>IFERROR(L293*MAX(N293,1)/R293*Q293*IF(ISBLANK(K290),1,K290),0)</f>
        <v/>
      </c>
      <c r="AB293" s="7" t="inlineStr">
        <is>
          <t>^TankDestroyerCannon, ^ShrapnelWeapon, ^RA2HeavyCannon</t>
        </is>
      </c>
    </row>
    <row r="294">
      <c r="B294" s="7" t="inlineStr">
        <is>
          <t xml:space="preserve">  ↳ RA2120xmm_tesla</t>
        </is>
      </c>
      <c r="C294" s="7" t="inlineStr">
        <is>
          <t>Armament@PRIMARYTesla</t>
        </is>
      </c>
      <c r="L294" s="6" t="n">
        <v>4000</v>
      </c>
      <c r="M294" s="6" t="n">
        <v>63</v>
      </c>
      <c r="N294" s="6" t="n">
        <v>2</v>
      </c>
      <c r="O294" s="6" t="n">
        <v>5</v>
      </c>
      <c r="P294" s="6" t="n">
        <v>6992</v>
      </c>
      <c r="Q294" s="6" t="n">
        <v>1.125</v>
      </c>
      <c r="R294">
        <f>M294+IF(N294&gt;1,N(O294)*(N294-1),0)</f>
        <v/>
      </c>
      <c r="S294">
        <f>IFERROR(L294*MAX(N294,1)/R294*Q294*IF(ISBLANK(K290),1,K290),0)</f>
        <v/>
      </c>
      <c r="AB294" s="7" t="inlineStr">
        <is>
          <t>^TankDestroyerCannon, ^ShrapnelWeapon, ^RA2HeavyCannon</t>
        </is>
      </c>
    </row>
    <row r="295">
      <c r="B295" s="7" t="inlineStr">
        <is>
          <t xml:space="preserve">  ↳ RA2MammothTusk</t>
        </is>
      </c>
      <c r="C295" s="7" t="inlineStr">
        <is>
          <t>Armament@SECONDARY</t>
        </is>
      </c>
      <c r="L295" s="6" t="n">
        <v>16000</v>
      </c>
      <c r="M295" s="6" t="n">
        <v>68</v>
      </c>
      <c r="N295" s="6" t="n">
        <v>2</v>
      </c>
      <c r="O295" s="6" t="n"/>
      <c r="P295" s="6" t="n">
        <v>6100</v>
      </c>
      <c r="Q295" s="6" t="n">
        <v>1</v>
      </c>
      <c r="R295">
        <f>M295+IF(N295&gt;1,N(O295)*(N295-1),0)</f>
        <v/>
      </c>
      <c r="S295">
        <f>IFERROR(L295*MAX(N295,1)/R295*Q295*IF(ISBLANK(K290),1,K290),0)</f>
        <v/>
      </c>
      <c r="AB295" s="7" t="inlineStr">
        <is>
          <t>^RA2MediumMissile</t>
        </is>
      </c>
    </row>
    <row r="296">
      <c r="B296" s="7" t="inlineStr">
        <is>
          <t xml:space="preserve">  ↳ RA2120xmm_elite</t>
        </is>
      </c>
      <c r="C296" s="7" t="inlineStr">
        <is>
          <t>Armament@PRIMARYELITE</t>
        </is>
      </c>
      <c r="L296" s="6" t="n">
        <v>4000</v>
      </c>
      <c r="M296" s="6" t="n">
        <v>63</v>
      </c>
      <c r="N296" s="6" t="n">
        <v>4</v>
      </c>
      <c r="O296" s="6" t="n">
        <v>3</v>
      </c>
      <c r="P296" s="6" t="n">
        <v>7992</v>
      </c>
      <c r="Q296" s="6" t="n">
        <v>1.125</v>
      </c>
      <c r="R296">
        <f>M296+IF(N296&gt;1,N(O296)*(N296-1),0)</f>
        <v/>
      </c>
      <c r="S296">
        <f>IFERROR(L296*MAX(N296,1)/R296*Q296*IF(ISBLANK(K290),1,K290),0)</f>
        <v/>
      </c>
      <c r="AB296" s="7" t="inlineStr">
        <is>
          <t>^TankDestroyerCannon, ^ShrapnelWeapon, ^RA2HeavyCannon, ^RA2EliteEffects</t>
        </is>
      </c>
    </row>
    <row r="297">
      <c r="B297" s="7" t="inlineStr">
        <is>
          <t xml:space="preserve">  ↳ RA2120xmm_elite_rad</t>
        </is>
      </c>
      <c r="C297" s="7" t="inlineStr">
        <is>
          <t>Armament@PRIMARYELITERad</t>
        </is>
      </c>
      <c r="L297" s="6" t="n">
        <v>2000</v>
      </c>
      <c r="M297" s="6" t="n">
        <v>63</v>
      </c>
      <c r="N297" s="6" t="n">
        <v>4</v>
      </c>
      <c r="O297" s="6" t="n">
        <v>3</v>
      </c>
      <c r="P297" s="6" t="n">
        <v>7992</v>
      </c>
      <c r="Q297" s="6" t="n">
        <v>1.05</v>
      </c>
      <c r="R297">
        <f>M297+IF(N297&gt;1,N(O297)*(N297-1),0)</f>
        <v/>
      </c>
      <c r="S297">
        <f>IFERROR(L297*MAX(N297,1)/R297*Q297*IF(ISBLANK(K290),1,K290),0)</f>
        <v/>
      </c>
      <c r="AB297" s="7" t="inlineStr">
        <is>
          <t>^LightChemicalWeapon, ^MediumChemicalWeapon, ^HeavyChemicalWeapon, ^TankDestroyerCannon, ^ShrapnelWeapon, ^RA2HeavyCannon, ^RA2RadShell, ^RA2EliteEffects</t>
        </is>
      </c>
    </row>
    <row r="298">
      <c r="B298" s="7" t="inlineStr">
        <is>
          <t xml:space="preserve">  ↳ RA2120xmm_elite_fire</t>
        </is>
      </c>
      <c r="C298" s="7" t="inlineStr">
        <is>
          <t>Armament@PRIMARYELITEFire</t>
        </is>
      </c>
      <c r="L298" s="6" t="n">
        <v>4000</v>
      </c>
      <c r="M298" s="6" t="n">
        <v>63</v>
      </c>
      <c r="N298" s="6" t="n">
        <v>4</v>
      </c>
      <c r="O298" s="6" t="n">
        <v>3</v>
      </c>
      <c r="P298" s="6" t="n">
        <v>7992</v>
      </c>
      <c r="Q298" s="6" t="n">
        <v>1.125</v>
      </c>
      <c r="R298">
        <f>M298+IF(N298&gt;1,N(O298)*(N298-1),0)</f>
        <v/>
      </c>
      <c r="S298">
        <f>IFERROR(L298*MAX(N298,1)/R298*Q298*IF(ISBLANK(K290),1,K290),0)</f>
        <v/>
      </c>
      <c r="AB298" s="7" t="inlineStr">
        <is>
          <t>^TankDestroyerCannon, ^ShrapnelWeapon, ^RA2HeavyCannon, ^RA2EliteEffects</t>
        </is>
      </c>
    </row>
    <row r="299">
      <c r="B299" s="7" t="inlineStr">
        <is>
          <t xml:space="preserve">  ↳ RA2120xmm_elite_tesla</t>
        </is>
      </c>
      <c r="C299" s="7" t="inlineStr">
        <is>
          <t>Armament@PRIMARYELITETesla</t>
        </is>
      </c>
      <c r="L299" s="6" t="n">
        <v>4000</v>
      </c>
      <c r="M299" s="6" t="n">
        <v>63</v>
      </c>
      <c r="N299" s="6" t="n">
        <v>4</v>
      </c>
      <c r="O299" s="6" t="n">
        <v>3</v>
      </c>
      <c r="P299" s="6" t="n">
        <v>7992</v>
      </c>
      <c r="Q299" s="6" t="n">
        <v>1.125</v>
      </c>
      <c r="R299">
        <f>M299+IF(N299&gt;1,N(O299)*(N299-1),0)</f>
        <v/>
      </c>
      <c r="S299">
        <f>IFERROR(L299*MAX(N299,1)/R299*Q299*IF(ISBLANK(K290),1,K290),0)</f>
        <v/>
      </c>
      <c r="AB299" s="7" t="inlineStr">
        <is>
          <t>^TankDestroyerCannon, ^ShrapnelWeapon, ^RA2HeavyCannon, ^RA2EliteEffects</t>
        </is>
      </c>
    </row>
    <row r="300">
      <c r="B300" s="7" t="inlineStr">
        <is>
          <t xml:space="preserve">  ↳ RA2MammothTusk_elite</t>
        </is>
      </c>
      <c r="C300" s="7" t="inlineStr">
        <is>
          <t>Armament@SECONDARYELITE</t>
        </is>
      </c>
      <c r="L300" s="6" t="n">
        <v>16000</v>
      </c>
      <c r="M300" s="6" t="n">
        <v>68</v>
      </c>
      <c r="N300" s="6" t="n">
        <v>4</v>
      </c>
      <c r="O300" s="6" t="n"/>
      <c r="P300" s="6" t="n">
        <v>7100</v>
      </c>
      <c r="Q300" s="6" t="n">
        <v>1</v>
      </c>
      <c r="R300">
        <f>M300+IF(N300&gt;1,N(O300)*(N300-1),0)</f>
        <v/>
      </c>
      <c r="S300">
        <f>IFERROR(L300*MAX(N300,1)/R300*Q300*IF(ISBLANK(K290),1,K290),0)</f>
        <v/>
      </c>
      <c r="AB300" s="7" t="inlineStr">
        <is>
          <t>^RA2MediumMissile</t>
        </is>
      </c>
    </row>
    <row r="301">
      <c r="A301" t="inlineStr">
        <is>
          <t>redalert2</t>
        </is>
      </c>
      <c r="B301" t="inlineStr">
        <is>
          <t>yuri_mastermind</t>
        </is>
      </c>
      <c r="C301" t="inlineStr">
        <is>
          <t>Master Mind</t>
        </is>
      </c>
      <c r="D301" s="6" t="inlineStr">
        <is>
          <t>HighTechTank</t>
        </is>
      </c>
      <c r="E301" s="6" t="n">
        <v>100000</v>
      </c>
      <c r="F301" s="6" t="n">
        <v>120</v>
      </c>
      <c r="G301" t="inlineStr">
        <is>
          <t>Heavy</t>
        </is>
      </c>
      <c r="H301" s="6" t="n">
        <v>1</v>
      </c>
      <c r="I301" s="6" t="n">
        <v>1</v>
      </c>
      <c r="J301" s="6" t="n">
        <v>1</v>
      </c>
      <c r="K301" s="6" t="n"/>
      <c r="P301">
        <f>MAX(P302)</f>
        <v/>
      </c>
      <c r="S301">
        <f>S302</f>
        <v/>
      </c>
      <c r="T301">
        <f>(E301/100000+F301/100+(P301/1000)*J301/5+S301/200)*200*I301*H301</f>
        <v/>
      </c>
      <c r="U301">
        <f>((E301*F301/25000)+((P301/1000)*J301*S301/2.5))*I301*H301</f>
        <v/>
      </c>
      <c r="V301">
        <f>(E301*F301*(P301/1000)*J301*S301*I301*H301)/12500000</f>
        <v/>
      </c>
      <c r="W301">
        <f>(T301+U301+V301)/3</f>
        <v/>
      </c>
      <c r="X301" s="6" t="n">
        <v>1500</v>
      </c>
      <c r="Y301">
        <f>IFERROR(W301-X301,"")</f>
        <v/>
      </c>
      <c r="Z301">
        <f>IFERROR(ABS(Y301)/MAX(X301,1),"")</f>
        <v/>
      </c>
      <c r="AA301">
        <f>IFERROR((X301-(((E301/100000+F301/100+S301/200)*200*I301*H301)+((E301*F301/25000)*I301*H301))/3)/(((J301/5)*200*I301*H301)+((J301*S301/2.5)*I301*H301)+((E301*F301*J301*S301*I301*H301)/12500000))/3*1000,"")</f>
        <v/>
      </c>
    </row>
    <row r="302">
      <c r="B302" s="7" t="inlineStr">
        <is>
          <t xml:space="preserve">  ↳ RA2SMindControl</t>
        </is>
      </c>
      <c r="C302" s="7" t="inlineStr">
        <is>
          <t>Armament@PRIMARY</t>
        </is>
      </c>
      <c r="L302" s="6" t="n">
        <v>0</v>
      </c>
      <c r="M302" s="6" t="n">
        <v>75</v>
      </c>
      <c r="N302" s="6" t="n">
        <v>1</v>
      </c>
      <c r="O302" s="6" t="n"/>
      <c r="P302" s="6" t="n">
        <v>7000</v>
      </c>
      <c r="Q302" s="6" t="n">
        <v>1</v>
      </c>
      <c r="R302">
        <f>M302+IF(N302&gt;1,N(O302)*(N302-1),0)</f>
        <v/>
      </c>
      <c r="S302">
        <f>IFERROR(L302*MAX(N302,1)/R302*Q302*IF(ISBLANK(K301),1,K301),0)</f>
        <v/>
      </c>
      <c r="AB302" s="7" t="inlineStr">
        <is>
          <t>RA2MindControl</t>
        </is>
      </c>
    </row>
    <row r="303">
      <c r="A303" t="inlineStr">
        <is>
          <t>redalert2mod</t>
        </is>
      </c>
      <c r="B303" t="inlineStr">
        <is>
          <t>steelconsortium_katytank</t>
        </is>
      </c>
      <c r="C303" t="inlineStr">
        <is>
          <t>Katy Tank</t>
        </is>
      </c>
      <c r="D303" s="6" t="inlineStr">
        <is>
          <t>HighTechTank</t>
        </is>
      </c>
      <c r="E303" s="6" t="n">
        <v>275000</v>
      </c>
      <c r="F303" s="6" t="n">
        <v>45</v>
      </c>
      <c r="G303" t="inlineStr">
        <is>
          <t>Superheavy</t>
        </is>
      </c>
      <c r="H303" s="6" t="n">
        <v>1</v>
      </c>
      <c r="I303" s="6" t="n">
        <v>1</v>
      </c>
      <c r="J303" s="6" t="n">
        <v>1</v>
      </c>
      <c r="K303" s="6" t="n"/>
      <c r="P303">
        <f>MAX(P304,P305,P306,P307)</f>
        <v/>
      </c>
      <c r="S303">
        <f>S304+S305+S306+S307</f>
        <v/>
      </c>
      <c r="T303">
        <f>(E303/100000+F303/100+(P303/1000)*J303/5+S303/200)*200*I303*H303</f>
        <v/>
      </c>
      <c r="U303">
        <f>((E303*F303/25000)+((P303/1000)*J303*S303/2.5))*I303*H303</f>
        <v/>
      </c>
      <c r="V303">
        <f>(E303*F303*(P303/1000)*J303*S303*I303*H303)/12500000</f>
        <v/>
      </c>
      <c r="W303">
        <f>(T303+U303+V303)/3</f>
        <v/>
      </c>
      <c r="X303" s="6" t="n">
        <v>3800</v>
      </c>
      <c r="Y303">
        <f>IFERROR(W303-X303,"")</f>
        <v/>
      </c>
      <c r="Z303">
        <f>IFERROR(ABS(Y303)/MAX(X303,1),"")</f>
        <v/>
      </c>
      <c r="AA303">
        <f>IFERROR((X303-(((E303/100000+F303/100+S303/200)*200*I303*H303)+((E303*F303/25000)*I303*H303))/3)/(((J303/5)*200*I303*H303)+((J303*S303/2.5)*I303*H303)+((E303*F303*J303*S303*I303*H303)/12500000))/3*1000,"")</f>
        <v/>
      </c>
    </row>
    <row r="304">
      <c r="B304" s="7" t="inlineStr">
        <is>
          <t xml:space="preserve">  ↳ SteelKatyCannons</t>
        </is>
      </c>
      <c r="C304" s="7" t="inlineStr">
        <is>
          <t>Armament</t>
        </is>
      </c>
      <c r="L304" s="6" t="n">
        <v>10000</v>
      </c>
      <c r="M304" s="6" t="n">
        <v>50</v>
      </c>
      <c r="N304" s="6" t="n">
        <v>2</v>
      </c>
      <c r="O304" s="6" t="n">
        <v>10</v>
      </c>
      <c r="P304" s="6" t="n">
        <v>7250</v>
      </c>
      <c r="Q304" s="6" t="n">
        <v>1</v>
      </c>
      <c r="R304">
        <f>M304+IF(N304&gt;1,N(O304)*(N304-1),0)</f>
        <v/>
      </c>
      <c r="S304">
        <f>IFERROR(L304*MAX(N304,1)/R304*Q304*IF(ISBLANK(K303),1,K303),0)</f>
        <v/>
      </c>
      <c r="AB304" s="7" t="inlineStr">
        <is>
          <t>^LightFlameWeapon, ^MediumChemicalWeapon, ^SteelHeavyCannon</t>
        </is>
      </c>
    </row>
    <row r="305">
      <c r="B305" s="7" t="inlineStr">
        <is>
          <t xml:space="preserve">  ↳ SteelKatyCannonsE</t>
        </is>
      </c>
      <c r="C305" s="7" t="inlineStr">
        <is>
          <t>Armament@ELITE</t>
        </is>
      </c>
      <c r="L305" s="6" t="n">
        <v>10000</v>
      </c>
      <c r="M305" s="6" t="n">
        <v>50</v>
      </c>
      <c r="N305" s="6" t="n">
        <v>4</v>
      </c>
      <c r="O305" s="6" t="n">
        <v>5</v>
      </c>
      <c r="P305" s="6" t="n">
        <v>8250</v>
      </c>
      <c r="Q305" s="6" t="n">
        <v>1</v>
      </c>
      <c r="R305">
        <f>M305+IF(N305&gt;1,N(O305)*(N305-1),0)</f>
        <v/>
      </c>
      <c r="S305">
        <f>IFERROR(L305*MAX(N305,1)/R305*Q305*IF(ISBLANK(K303),1,K303),0)</f>
        <v/>
      </c>
      <c r="AB305" s="7" t="inlineStr">
        <is>
          <t>^LightFlameWeapon, ^MediumChemicalWeapon, ^SteelHeavyCannon</t>
        </is>
      </c>
    </row>
    <row r="306">
      <c r="B306" s="7" t="inlineStr">
        <is>
          <t xml:space="preserve">  ↳ SteelKatyCannonsEMP</t>
        </is>
      </c>
      <c r="C306" s="7" t="inlineStr">
        <is>
          <t>Armament@Upgrade</t>
        </is>
      </c>
      <c r="L306" s="6" t="n">
        <v>10000</v>
      </c>
      <c r="M306" s="6" t="n">
        <v>50</v>
      </c>
      <c r="N306" s="6" t="n">
        <v>2</v>
      </c>
      <c r="O306" s="6" t="n">
        <v>10</v>
      </c>
      <c r="P306" s="6" t="n">
        <v>7250</v>
      </c>
      <c r="Q306" s="6" t="n">
        <v>1</v>
      </c>
      <c r="R306">
        <f>M306+IF(N306&gt;1,N(O306)*(N306-1),0)</f>
        <v/>
      </c>
      <c r="S306">
        <f>IFERROR(L306*MAX(N306,1)/R306*Q306*IF(ISBLANK(K303),1,K303),0)</f>
        <v/>
      </c>
      <c r="AB306" s="7" t="inlineStr">
        <is>
          <t>^TankDestroyerCannon, ^TeslaWeapon, ^LightFlameWeapon, ^MediumChemicalWeapon, ^SteelHeavyCannon</t>
        </is>
      </c>
    </row>
    <row r="307">
      <c r="B307" s="7" t="inlineStr">
        <is>
          <t xml:space="preserve">  ↳ SteelKatyCannonsEMPE</t>
        </is>
      </c>
      <c r="C307" s="7" t="inlineStr">
        <is>
          <t>Armament@UpgradeELITE</t>
        </is>
      </c>
      <c r="L307" s="6" t="n">
        <v>10000</v>
      </c>
      <c r="M307" s="6" t="n">
        <v>50</v>
      </c>
      <c r="N307" s="6" t="n">
        <v>4</v>
      </c>
      <c r="O307" s="6" t="n">
        <v>5</v>
      </c>
      <c r="P307" s="6" t="n">
        <v>8250</v>
      </c>
      <c r="Q307" s="6" t="n">
        <v>1</v>
      </c>
      <c r="R307">
        <f>M307+IF(N307&gt;1,N(O307)*(N307-1),0)</f>
        <v/>
      </c>
      <c r="S307">
        <f>IFERROR(L307*MAX(N307,1)/R307*Q307*IF(ISBLANK(K303),1,K303),0)</f>
        <v/>
      </c>
      <c r="AB307" s="7" t="inlineStr">
        <is>
          <t>^TankDestroyerCannon, ^TeslaWeapon, ^LightFlameWeapon, ^MediumChemicalWeapon, ^SteelHeavyCannon</t>
        </is>
      </c>
    </row>
    <row r="308">
      <c r="A308" t="inlineStr">
        <is>
          <t>redalert2mod</t>
        </is>
      </c>
      <c r="B308" t="inlineStr">
        <is>
          <t>naxis_maus</t>
        </is>
      </c>
      <c r="C308" t="inlineStr">
        <is>
          <t>Maus</t>
        </is>
      </c>
      <c r="D308" s="6" t="inlineStr">
        <is>
          <t>HighTechTank</t>
        </is>
      </c>
      <c r="E308" s="6" t="n">
        <v>600000</v>
      </c>
      <c r="F308" s="6" t="n">
        <v>60</v>
      </c>
      <c r="G308" t="inlineStr">
        <is>
          <t>Superheavy</t>
        </is>
      </c>
      <c r="H308" s="6" t="n">
        <v>0.75</v>
      </c>
      <c r="I308" s="6" t="n">
        <v>1</v>
      </c>
      <c r="J308" s="6" t="n">
        <v>1</v>
      </c>
      <c r="K308" s="6" t="n"/>
      <c r="P308">
        <f>MAX(P309,P310)</f>
        <v/>
      </c>
      <c r="S308">
        <f>S309+S310</f>
        <v/>
      </c>
      <c r="T308">
        <f>(E308/100000+F308/100+(P308/1000)*J308/5+S308/200)*200*I308*H308</f>
        <v/>
      </c>
      <c r="U308">
        <f>((E308*F308/25000)+((P308/1000)*J308*S308/2.5))*I308*H308</f>
        <v/>
      </c>
      <c r="V308">
        <f>(E308*F308*(P308/1000)*J308*S308*I308*H308)/12500000</f>
        <v/>
      </c>
      <c r="W308">
        <f>(T308+U308+V308)/3</f>
        <v/>
      </c>
      <c r="X308" s="6" t="n">
        <v>4200</v>
      </c>
      <c r="Y308">
        <f>IFERROR(W308-X308,"")</f>
        <v/>
      </c>
      <c r="Z308">
        <f>IFERROR(ABS(Y308)/MAX(X308,1),"")</f>
        <v/>
      </c>
      <c r="AA308">
        <f>IFERROR((X308-(((E308/100000+F308/100+S308/200)*200*I308*H308)+((E308*F308/25000)*I308*H308))/3)/(((J308/5)*200*I308*H308)+((J308*S308/2.5)*I308*H308)+((E308*F308*J308*S308*I308*H308)/12500000))/3*1000,"")</f>
        <v/>
      </c>
    </row>
    <row r="309">
      <c r="B309" s="7" t="inlineStr">
        <is>
          <t xml:space="preserve">  ↳ NaxMausCannon</t>
        </is>
      </c>
      <c r="C309" s="7" t="inlineStr">
        <is>
          <t>Armament</t>
        </is>
      </c>
      <c r="L309" s="6" t="n">
        <v>10000</v>
      </c>
      <c r="M309" s="6" t="n">
        <v>99</v>
      </c>
      <c r="N309" s="6" t="n">
        <v>1</v>
      </c>
      <c r="O309" s="6" t="n"/>
      <c r="P309" s="6" t="n">
        <v>6666</v>
      </c>
      <c r="Q309" s="6" t="n">
        <v>1.05</v>
      </c>
      <c r="R309">
        <f>M309+IF(N309&gt;1,N(O309)*(N309-1),0)</f>
        <v/>
      </c>
      <c r="S309">
        <f>IFERROR(L309*MAX(N309,1)/R309*Q309*IF(ISBLANK(K308),1,K308),0)</f>
        <v/>
      </c>
      <c r="AB309" s="7" t="inlineStr">
        <is>
          <t>^LightChemicalWeapon, ^HeavyFlameWeapon, ^ShrapnelWeapon, ^HeavyBomb, ^TankDestroyerCannon, ^RA2MediumCannon</t>
        </is>
      </c>
    </row>
    <row r="310">
      <c r="B310" s="7" t="inlineStr">
        <is>
          <t xml:space="preserve">  ↳ NaxMausCannon_elite</t>
        </is>
      </c>
      <c r="C310" s="7" t="inlineStr">
        <is>
          <t>Armament@elite</t>
        </is>
      </c>
      <c r="L310" s="6" t="n">
        <v>10000</v>
      </c>
      <c r="M310" s="6" t="n">
        <v>99</v>
      </c>
      <c r="N310" s="6" t="n">
        <v>2</v>
      </c>
      <c r="O310" s="6" t="n">
        <v>3</v>
      </c>
      <c r="P310" s="6" t="n">
        <v>7777</v>
      </c>
      <c r="Q310" s="6" t="n">
        <v>1.05</v>
      </c>
      <c r="R310">
        <f>M310+IF(N310&gt;1,N(O310)*(N310-1),0)</f>
        <v/>
      </c>
      <c r="S310">
        <f>IFERROR(L310*MAX(N310,1)/R310*Q310*IF(ISBLANK(K308),1,K308),0)</f>
        <v/>
      </c>
      <c r="AB310" s="7" t="inlineStr">
        <is>
          <t>^LightChemicalWeapon, ^HeavyFlameWeapon, ^ShrapnelWeapon, ^HeavyBomb, ^TankDestroyerCannon, ^RA2MediumCannon, ^RA2EliteEffects</t>
        </is>
      </c>
    </row>
    <row r="311">
      <c r="A311" t="inlineStr">
        <is>
          <t>redalert2mod</t>
        </is>
      </c>
      <c r="B311" t="inlineStr">
        <is>
          <t>naxis_shoekarn</t>
        </is>
      </c>
      <c r="C311" t="inlineStr">
        <is>
          <t>Shoe Karn</t>
        </is>
      </c>
      <c r="D311" s="6" t="inlineStr">
        <is>
          <t>HighTechTank</t>
        </is>
      </c>
      <c r="E311" s="6" t="n">
        <v>150000</v>
      </c>
      <c r="F311" s="6" t="n">
        <v>75</v>
      </c>
      <c r="G311" t="inlineStr">
        <is>
          <t>Heavy</t>
        </is>
      </c>
      <c r="H311" s="6" t="n">
        <v>1</v>
      </c>
      <c r="I311" s="6" t="n">
        <v>1</v>
      </c>
      <c r="J311" s="6" t="n">
        <v>1</v>
      </c>
      <c r="K311" s="6" t="n"/>
      <c r="P311">
        <f>MAX(P312,P313,P314,P315)</f>
        <v/>
      </c>
      <c r="S311">
        <f>S312+S313+S314+S315</f>
        <v/>
      </c>
      <c r="T311">
        <f>(E311/100000+F311/100+(P311/1000)*J311/5+S311/200)*200*I311*H311</f>
        <v/>
      </c>
      <c r="U311">
        <f>((E311*F311/25000)+((P311/1000)*J311*S311/2.5))*I311*H311</f>
        <v/>
      </c>
      <c r="V311">
        <f>(E311*F311*(P311/1000)*J311*S311*I311*H311)/12500000</f>
        <v/>
      </c>
      <c r="W311">
        <f>(T311+U311+V311)/3</f>
        <v/>
      </c>
      <c r="X311" s="6" t="n">
        <v>2500</v>
      </c>
      <c r="Y311">
        <f>IFERROR(W311-X311,"")</f>
        <v/>
      </c>
      <c r="Z311">
        <f>IFERROR(ABS(Y311)/MAX(X311,1),"")</f>
        <v/>
      </c>
      <c r="AA311">
        <f>IFERROR((X311-(((E311/100000+F311/100+S311/200)*200*I311*H311)+((E311*F311/25000)*I311*H311))/3)/(((J311/5)*200*I311*H311)+((J311*S311/2.5)*I311*H311)+((E311*F311*J311*S311*I311*H311)/12500000))/3*1000,"")</f>
        <v/>
      </c>
    </row>
    <row r="312">
      <c r="B312" s="7" t="inlineStr">
        <is>
          <t xml:space="preserve">  ↳ RA2120mm</t>
        </is>
      </c>
      <c r="C312" s="7" t="inlineStr">
        <is>
          <t>Armament</t>
        </is>
      </c>
      <c r="L312" s="6" t="n">
        <v>10000</v>
      </c>
      <c r="M312" s="6" t="n">
        <v>54</v>
      </c>
      <c r="N312" s="6" t="n">
        <v>1</v>
      </c>
      <c r="O312" s="6" t="n"/>
      <c r="P312" s="6" t="n">
        <v>5374</v>
      </c>
      <c r="Q312" s="6" t="n">
        <v>1</v>
      </c>
      <c r="R312">
        <f>M312+IF(N312&gt;1,N(O312)*(N312-1),0)</f>
        <v/>
      </c>
      <c r="S312">
        <f>IFERROR(L312*MAX(N312,1)/R312*Q312*IF(ISBLANK(K311),1,K311),0)</f>
        <v/>
      </c>
      <c r="AB312" s="7" t="inlineStr">
        <is>
          <t>^RA2MediumCannon</t>
        </is>
      </c>
    </row>
    <row r="313">
      <c r="B313" s="7" t="inlineStr">
        <is>
          <t xml:space="preserve">  ↳ RA2120mm_elite</t>
        </is>
      </c>
      <c r="C313" s="7" t="inlineStr">
        <is>
          <t>Armament@elite</t>
        </is>
      </c>
      <c r="L313" s="6" t="n">
        <v>10000</v>
      </c>
      <c r="M313" s="6" t="n">
        <v>54</v>
      </c>
      <c r="N313" s="6" t="n">
        <v>2</v>
      </c>
      <c r="O313" s="6" t="n">
        <v>3</v>
      </c>
      <c r="P313" s="6" t="n">
        <v>6374</v>
      </c>
      <c r="Q313" s="6" t="n">
        <v>1</v>
      </c>
      <c r="R313">
        <f>M313+IF(N313&gt;1,N(O313)*(N313-1),0)</f>
        <v/>
      </c>
      <c r="S313">
        <f>IFERROR(L313*MAX(N313,1)/R313*Q313*IF(ISBLANK(K311),1,K311),0)</f>
        <v/>
      </c>
      <c r="AB313" s="7" t="inlineStr">
        <is>
          <t>^RA2MediumCannon, ^RA2EliteEffects</t>
        </is>
      </c>
    </row>
    <row r="314">
      <c r="B314" s="7" t="inlineStr">
        <is>
          <t xml:space="preserve">  ↳ NaxGrilleArty</t>
        </is>
      </c>
      <c r="C314" s="7" t="inlineStr">
        <is>
          <t>Armament@mortar</t>
        </is>
      </c>
      <c r="L314" s="6" t="n">
        <v>16000</v>
      </c>
      <c r="M314" s="6" t="n">
        <v>111</v>
      </c>
      <c r="N314" s="6" t="n">
        <v>1</v>
      </c>
      <c r="O314" s="6" t="n"/>
      <c r="P314" s="6" t="n">
        <v>12345</v>
      </c>
      <c r="Q314" s="6" t="n">
        <v>1.083333333333333</v>
      </c>
      <c r="R314">
        <f>M314+IF(N314&gt;1,N(O314)*(N314-1),0)</f>
        <v/>
      </c>
      <c r="S314">
        <f>IFERROR(L314*MAX(N314,1)/R314*Q314*IF(ISBLANK(K311),1,K311),0)</f>
        <v/>
      </c>
      <c r="AB314" s="7" t="inlineStr">
        <is>
          <t>^HeavyCannon, ^ShrapnelWeapon, ^RA2Grenade</t>
        </is>
      </c>
    </row>
    <row r="315">
      <c r="B315" s="7" t="inlineStr">
        <is>
          <t xml:space="preserve">  ↳ NaxShoeRocket</t>
        </is>
      </c>
      <c r="C315" s="7" t="inlineStr">
        <is>
          <t>Armament@scud</t>
        </is>
      </c>
      <c r="L315" s="6" t="n">
        <v>8000</v>
      </c>
      <c r="M315" s="6" t="n">
        <v>250</v>
      </c>
      <c r="N315" s="6" t="n">
        <v>1</v>
      </c>
      <c r="O315" s="6" t="n"/>
      <c r="P315" s="6" t="n">
        <v>12000</v>
      </c>
      <c r="Q315" s="6" t="n">
        <v>1.083333333333333</v>
      </c>
      <c r="R315">
        <f>M315+IF(N315&gt;1,N(O315)*(N315-1),0)</f>
        <v/>
      </c>
      <c r="S315">
        <f>IFERROR(L315*MAX(N315,1)/R315*Q315*IF(ISBLANK(K311),1,K311),0)</f>
        <v/>
      </c>
      <c r="AB315" s="7" t="inlineStr">
        <is>
          <t>^HeavyBomb, ^RA2Grenade, ^RA2MediumMissile</t>
        </is>
      </c>
    </row>
    <row r="316">
      <c r="A316" t="inlineStr">
        <is>
          <t>redalert2mod</t>
        </is>
      </c>
      <c r="B316" t="inlineStr">
        <is>
          <t>futuretech_oriontank</t>
        </is>
      </c>
      <c r="C316" t="inlineStr">
        <is>
          <t>Orion Tank</t>
        </is>
      </c>
      <c r="D316" s="6" t="inlineStr">
        <is>
          <t>HighTechTank</t>
        </is>
      </c>
      <c r="E316" s="6" t="n">
        <v>180000</v>
      </c>
      <c r="F316" s="6" t="n">
        <v>60</v>
      </c>
      <c r="G316" t="inlineStr">
        <is>
          <t>Heavy</t>
        </is>
      </c>
      <c r="H316" s="6" t="n">
        <v>0.75</v>
      </c>
      <c r="I316" s="6" t="n">
        <v>1</v>
      </c>
      <c r="J316" s="6" t="n">
        <v>1</v>
      </c>
      <c r="K316" s="6" t="n"/>
      <c r="P316">
        <f>MAX(P317,P318)</f>
        <v/>
      </c>
      <c r="S316">
        <f>S317+S318</f>
        <v/>
      </c>
      <c r="T316">
        <f>(E316/100000+F316/100+(P316/1000)*J316/5+S316/200)*200*I316*H316</f>
        <v/>
      </c>
      <c r="U316">
        <f>((E316*F316/25000)+((P316/1000)*J316*S316/2.5))*I316*H316</f>
        <v/>
      </c>
      <c r="V316">
        <f>(E316*F316*(P316/1000)*J316*S316*I316*H316)/12500000</f>
        <v/>
      </c>
      <c r="W316">
        <f>(T316+U316+V316)/3</f>
        <v/>
      </c>
      <c r="X316" s="6" t="n">
        <v>2400</v>
      </c>
      <c r="Y316">
        <f>IFERROR(W316-X316,"")</f>
        <v/>
      </c>
      <c r="Z316">
        <f>IFERROR(ABS(Y316)/MAX(X316,1),"")</f>
        <v/>
      </c>
      <c r="AA316">
        <f>IFERROR((X316-(((E316/100000+F316/100+S316/200)*200*I316*H316)+((E316*F316/25000)*I316*H316))/3)/(((J316/5)*200*I316*H316)+((J316*S316/2.5)*I316*H316)+((E316*F316*J316*S316*I316*H316)/12500000))/3*1000,"")</f>
        <v/>
      </c>
    </row>
    <row r="317">
      <c r="B317" s="7" t="inlineStr">
        <is>
          <t xml:space="preserve">  ↳ OrionRailgun</t>
        </is>
      </c>
      <c r="C317" s="7" t="inlineStr">
        <is>
          <t>Armament</t>
        </is>
      </c>
      <c r="L317" s="6" t="n">
        <v>30000</v>
      </c>
      <c r="M317" s="6" t="n">
        <v>60</v>
      </c>
      <c r="N317" s="6" t="n">
        <v>1</v>
      </c>
      <c r="O317" s="6" t="n"/>
      <c r="P317" s="6" t="n">
        <v>7500</v>
      </c>
      <c r="Q317" s="6" t="n">
        <v>1.25</v>
      </c>
      <c r="R317">
        <f>M317+IF(N317&gt;1,N(O317)*(N317-1),0)</f>
        <v/>
      </c>
      <c r="S317">
        <f>IFERROR(L317*MAX(N317,1)/R317*Q317*IF(ISBLANK(K316),1,K316),0)</f>
        <v/>
      </c>
      <c r="AB317" s="7" t="inlineStr">
        <is>
          <t>^RailgunWeapon, ^RA2HeavyCannon</t>
        </is>
      </c>
    </row>
    <row r="318">
      <c r="B318" s="7" t="inlineStr">
        <is>
          <t xml:space="preserve">  ↳ OrionRailgunE</t>
        </is>
      </c>
      <c r="C318" s="7" t="inlineStr">
        <is>
          <t>Armament@elite</t>
        </is>
      </c>
      <c r="L318" s="6" t="n">
        <v>60000</v>
      </c>
      <c r="M318" s="6" t="n">
        <v>60</v>
      </c>
      <c r="N318" s="6" t="n">
        <v>1</v>
      </c>
      <c r="O318" s="6" t="n"/>
      <c r="P318" s="6" t="n">
        <v>9000</v>
      </c>
      <c r="Q318" s="6" t="n">
        <v>1.25</v>
      </c>
      <c r="R318">
        <f>M318+IF(N318&gt;1,N(O318)*(N318-1),0)</f>
        <v/>
      </c>
      <c r="S318">
        <f>IFERROR(L318*MAX(N318,1)/R318*Q318*IF(ISBLANK(K316),1,K316),0)</f>
        <v/>
      </c>
      <c r="AB318" s="7" t="inlineStr">
        <is>
          <t>^RailgunWeapon, ^RA2HeavyCannon, ^RA2EliteEffects</t>
        </is>
      </c>
    </row>
    <row r="319">
      <c r="A319" t="inlineStr">
        <is>
          <t>d2k</t>
        </is>
      </c>
      <c r="B319" t="inlineStr">
        <is>
          <t>ordos_deviatortank</t>
        </is>
      </c>
      <c r="C319" t="inlineStr">
        <is>
          <t>Deviator Tank</t>
        </is>
      </c>
      <c r="D319" s="6" t="inlineStr">
        <is>
          <t>HighTechTank</t>
        </is>
      </c>
      <c r="E319" s="6" t="n">
        <v>85000</v>
      </c>
      <c r="F319" s="6" t="n">
        <v>115</v>
      </c>
      <c r="G319" t="inlineStr">
        <is>
          <t>Medium</t>
        </is>
      </c>
      <c r="H319" s="6" t="n">
        <v>0.75</v>
      </c>
      <c r="I319" s="6" t="n">
        <v>1</v>
      </c>
      <c r="J319" s="6" t="n">
        <v>1.25</v>
      </c>
      <c r="K319" s="6" t="n"/>
      <c r="P319">
        <f>MAX(P320)</f>
        <v/>
      </c>
      <c r="S319">
        <f>S320</f>
        <v/>
      </c>
      <c r="T319">
        <f>(E319/100000+F319/100+(P319/1000)*J319/5+S319/200)*200*I319*H319</f>
        <v/>
      </c>
      <c r="U319">
        <f>((E319*F319/25000)+((P319/1000)*J319*S319/2.5))*I319*H319</f>
        <v/>
      </c>
      <c r="V319">
        <f>(E319*F319*(P319/1000)*J319*S319*I319*H319)/12500000</f>
        <v/>
      </c>
      <c r="W319">
        <f>(T319+U319+V319)/3</f>
        <v/>
      </c>
      <c r="X319" s="6" t="n">
        <v>1600</v>
      </c>
      <c r="Y319">
        <f>IFERROR(W319-X319,"")</f>
        <v/>
      </c>
      <c r="Z319">
        <f>IFERROR(ABS(Y319)/MAX(X319,1),"")</f>
        <v/>
      </c>
      <c r="AA319">
        <f>IFERROR((X319-(((E319/100000+F319/100+S319/200)*200*I319*H319)+((E319*F319/25000)*I319*H319))/3)/(((J319/5)*200*I319*H319)+((J319*S319/2.5)*I319*H319)+((E319*F319*J319*S319*I319*H319)/12500000))/3*1000,"")</f>
        <v/>
      </c>
    </row>
    <row r="320">
      <c r="B320" s="7" t="inlineStr">
        <is>
          <t xml:space="preserve">  ↳ DeviatorMissile</t>
        </is>
      </c>
      <c r="C320" s="7" t="inlineStr">
        <is>
          <t>Armament</t>
        </is>
      </c>
      <c r="L320" s="6" t="n">
        <v>10000</v>
      </c>
      <c r="M320" s="6" t="n">
        <v>98</v>
      </c>
      <c r="N320" s="6" t="n">
        <v>1</v>
      </c>
      <c r="O320" s="6" t="n"/>
      <c r="P320" s="6" t="n">
        <v>7070</v>
      </c>
      <c r="Q320" s="6" t="n">
        <v>1.083333333333333</v>
      </c>
      <c r="R320">
        <f>M320+IF(N320&gt;1,N(O320)*(N320-1),0)</f>
        <v/>
      </c>
      <c r="S320">
        <f>IFERROR(L320*MAX(N320,1)/R320*Q320*IF(ISBLANK(K319),1,K319),0)</f>
        <v/>
      </c>
      <c r="AB320" s="7" t="inlineStr">
        <is>
          <t>^MediumChemicalWeapon, ^HeavyCannon, ^MediumMissile, ^D2KMissile</t>
        </is>
      </c>
    </row>
    <row r="321">
      <c r="A321" t="inlineStr">
        <is>
          <t>d2k</t>
        </is>
      </c>
      <c r="B321" t="inlineStr">
        <is>
          <t>ordos_lasertank</t>
        </is>
      </c>
      <c r="C321" t="inlineStr">
        <is>
          <t>Laser Tank</t>
        </is>
      </c>
      <c r="D321" s="6" t="inlineStr">
        <is>
          <t>HighTechTank</t>
        </is>
      </c>
      <c r="E321" s="6" t="n">
        <v>105000</v>
      </c>
      <c r="F321" s="6" t="n">
        <v>105</v>
      </c>
      <c r="G321" t="inlineStr">
        <is>
          <t>Medium</t>
        </is>
      </c>
      <c r="H321" s="6" t="n">
        <v>1</v>
      </c>
      <c r="I321" s="6" t="n">
        <v>1</v>
      </c>
      <c r="J321" s="6" t="n">
        <v>1</v>
      </c>
      <c r="K321" s="6" t="n"/>
      <c r="P321">
        <f>MAX(P322)</f>
        <v/>
      </c>
      <c r="S321">
        <f>S322</f>
        <v/>
      </c>
      <c r="T321">
        <f>(E321/100000+F321/100+(P321/1000)*J321/5+S321/200)*200*I321*H321</f>
        <v/>
      </c>
      <c r="U321">
        <f>((E321*F321/25000)+((P321/1000)*J321*S321/2.5))*I321*H321</f>
        <v/>
      </c>
      <c r="V321">
        <f>(E321*F321*(P321/1000)*J321*S321*I321*H321)/12500000</f>
        <v/>
      </c>
      <c r="W321">
        <f>(T321+U321+V321)/3</f>
        <v/>
      </c>
      <c r="X321" s="6" t="n">
        <v>2400</v>
      </c>
      <c r="Y321">
        <f>IFERROR(W321-X321,"")</f>
        <v/>
      </c>
      <c r="Z321">
        <f>IFERROR(ABS(Y321)/MAX(X321,1),"")</f>
        <v/>
      </c>
      <c r="AA321">
        <f>IFERROR((X321-(((E321/100000+F321/100+S321/200)*200*I321*H321)+((E321*F321/25000)*I321*H321))/3)/(((J321/5)*200*I321*H321)+((J321*S321/2.5)*I321*H321)+((E321*F321*J321*S321*I321*H321)/12500000))/3*1000,"")</f>
        <v/>
      </c>
    </row>
    <row r="322">
      <c r="B322" s="7" t="inlineStr">
        <is>
          <t xml:space="preserve">  ↳ ordos_lasertank</t>
        </is>
      </c>
      <c r="C322" s="7" t="inlineStr">
        <is>
          <t>Armament</t>
        </is>
      </c>
      <c r="L322" s="6" t="n">
        <v>10000</v>
      </c>
      <c r="M322" s="6" t="n">
        <v>55</v>
      </c>
      <c r="N322" s="6" t="n">
        <v>1</v>
      </c>
      <c r="O322" s="6" t="n"/>
      <c r="P322" s="6" t="n">
        <v>7275</v>
      </c>
      <c r="Q322" s="6" t="n">
        <v>1.0625</v>
      </c>
      <c r="R322">
        <f>M322+IF(N322&gt;1,N(O322)*(N322-1),0)</f>
        <v/>
      </c>
      <c r="S322">
        <f>IFERROR(L322*MAX(N322,1)/R322*Q322*IF(ISBLANK(K321),1,K321),0)</f>
        <v/>
      </c>
      <c r="AB322" s="7" t="inlineStr">
        <is>
          <t>^FlakWeapon, ^MediumMissile, ^RailgunWeapon, ^LaserWeapon</t>
        </is>
      </c>
    </row>
    <row r="323">
      <c r="A323" t="inlineStr">
        <is>
          <t>d2k</t>
        </is>
      </c>
      <c r="B323" t="inlineStr">
        <is>
          <t>duelist_tank.ixian</t>
        </is>
      </c>
      <c r="C323" t="inlineStr">
        <is>
          <t>Ix Duelist Tank</t>
        </is>
      </c>
      <c r="D323" s="6" t="inlineStr">
        <is>
          <t>HighTechTank</t>
        </is>
      </c>
      <c r="E323" s="6" t="n">
        <v>240000</v>
      </c>
      <c r="F323" s="6" t="n">
        <v>45</v>
      </c>
      <c r="G323" t="inlineStr">
        <is>
          <t>Heavy</t>
        </is>
      </c>
      <c r="H323" s="6" t="n">
        <v>0.75</v>
      </c>
      <c r="I323" s="6" t="n">
        <v>1</v>
      </c>
      <c r="J323" s="6" t="n">
        <v>1</v>
      </c>
      <c r="K323" s="6" t="n">
        <v>0.5</v>
      </c>
      <c r="P323">
        <f>MAX(P324,P325,P326)</f>
        <v/>
      </c>
      <c r="S323">
        <f>S324+S325+S326</f>
        <v/>
      </c>
      <c r="T323">
        <f>(E323/100000+F323/100+(P323/1000)*J323/5+S323/200)*200*I323*H323</f>
        <v/>
      </c>
      <c r="U323">
        <f>((E323*F323/25000)+((P323/1000)*J323*S323/2.5))*I323*H323</f>
        <v/>
      </c>
      <c r="V323">
        <f>(E323*F323*(P323/1000)*J323*S323*I323*H323)/12500000</f>
        <v/>
      </c>
      <c r="W323">
        <f>(T323+U323+V323)/3</f>
        <v/>
      </c>
      <c r="X323" s="6" t="n">
        <v>1800</v>
      </c>
      <c r="Y323">
        <f>IFERROR(W323-X323,"")</f>
        <v/>
      </c>
      <c r="Z323">
        <f>IFERROR(ABS(Y323)/MAX(X323,1),"")</f>
        <v/>
      </c>
      <c r="AA323">
        <f>IFERROR((X323-(((E323/100000+F323/100+S323/200)*200*I323*H323)+((E323*F323/25000)*I323*H323))/3)/(((J323/5)*200*I323*H323)+((J323*S323/2.5)*I323*H323)+((E323*F323*J323*S323*I323*H323)/12500000))/3*1000,"")</f>
        <v/>
      </c>
    </row>
    <row r="324">
      <c r="B324" s="7" t="inlineStr">
        <is>
          <t xml:space="preserve">  ↳ DuelistTankCannon</t>
        </is>
      </c>
      <c r="C324" s="7" t="inlineStr">
        <is>
          <t>Armament</t>
        </is>
      </c>
      <c r="L324" s="6" t="n">
        <v>14000</v>
      </c>
      <c r="M324" s="6" t="n">
        <v>140</v>
      </c>
      <c r="N324" s="6" t="n">
        <v>1</v>
      </c>
      <c r="O324" s="6" t="n"/>
      <c r="P324" s="6" t="n">
        <v>7000</v>
      </c>
      <c r="Q324" s="6" t="n">
        <v>1.125</v>
      </c>
      <c r="R324">
        <f>M324+IF(N324&gt;1,N(O324)*(N324-1),0)</f>
        <v/>
      </c>
      <c r="S324">
        <f>IFERROR(L324*MAX(N324,1)/R324*Q324*IF(ISBLANK(K323),1,K323),0)</f>
        <v/>
      </c>
      <c r="AB324" s="7" t="inlineStr">
        <is>
          <t>^MediumFlameWeapon, ^Grenade, ^HeavyBomb, ^TankDestroyerCannon, ^HeavyCannon, ^D2K_Cannon</t>
        </is>
      </c>
    </row>
    <row r="325">
      <c r="B325" s="7" t="inlineStr">
        <is>
          <t xml:space="preserve">  ↳ HMG_Duelist</t>
        </is>
      </c>
      <c r="C325" s="7" t="inlineStr">
        <is>
          <t>Armament@Guns</t>
        </is>
      </c>
      <c r="L325" s="6" t="n">
        <v>2000</v>
      </c>
      <c r="M325" s="6" t="n">
        <v>64</v>
      </c>
      <c r="N325" s="6" t="n">
        <v>4</v>
      </c>
      <c r="O325" s="6" t="n">
        <v>2</v>
      </c>
      <c r="P325" s="6" t="n">
        <v>7000</v>
      </c>
      <c r="Q325" s="6" t="n">
        <v>0.9166666666666666</v>
      </c>
      <c r="R325">
        <f>M325+IF(N325&gt;1,N(O325)*(N325-1),0)</f>
        <v/>
      </c>
      <c r="S325">
        <f>IFERROR(L325*MAX(N325,1)/R325*Q325*IF(ISBLANK(K323),1,K323),0)</f>
        <v/>
      </c>
      <c r="AB325" s="7" t="inlineStr">
        <is>
          <t>^LightMissile, ^Grenade, ^SmallArms, ^MediumMissile, ^FlakWeapon, ^Chaingun</t>
        </is>
      </c>
    </row>
    <row r="326">
      <c r="B326" s="7" t="inlineStr">
        <is>
          <t xml:space="preserve">  ↳ HMG_Duelist_upgrade</t>
        </is>
      </c>
      <c r="C326" s="7" t="inlineStr">
        <is>
          <t>Armament@Upgrade</t>
        </is>
      </c>
      <c r="L326" s="6" t="n">
        <v>2000</v>
      </c>
      <c r="M326" s="6" t="n">
        <v>64</v>
      </c>
      <c r="N326" s="6" t="n">
        <v>4</v>
      </c>
      <c r="O326" s="6" t="n">
        <v>2</v>
      </c>
      <c r="P326" s="6" t="n">
        <v>7000</v>
      </c>
      <c r="Q326" s="6" t="n">
        <v>1.025</v>
      </c>
      <c r="R326">
        <f>M326+IF(N326&gt;1,N(O326)*(N326-1),0)</f>
        <v/>
      </c>
      <c r="S326">
        <f>IFERROR(L326*MAX(N326,1)/R326*Q326*IF(ISBLANK(K323),1,K323),0)</f>
        <v/>
      </c>
      <c r="AB326" s="7" t="inlineStr">
        <is>
          <t>^LaserWeapon, ^HeavyMissile, ^HeavyCannon, ^LightMissile, ^Grenade, ^SmallArms, ^MediumMissile, ^FlakWeapon, ^Chaingun, ^HeavyMachineGunProjectile</t>
        </is>
      </c>
    </row>
    <row r="327">
      <c r="A327" t="inlineStr">
        <is>
          <t>starcraft</t>
        </is>
      </c>
      <c r="B327" t="inlineStr">
        <is>
          <t>protoss_atreus</t>
        </is>
      </c>
      <c r="C327" t="inlineStr">
        <is>
          <t>Atreus</t>
        </is>
      </c>
      <c r="D327" s="6" t="inlineStr">
        <is>
          <t>HighTechTank</t>
        </is>
      </c>
      <c r="E327" s="6" t="n">
        <v>250000</v>
      </c>
      <c r="F327" s="6" t="n">
        <v>60</v>
      </c>
      <c r="G327" t="inlineStr">
        <is>
          <t>Medium</t>
        </is>
      </c>
      <c r="H327" s="6" t="n">
        <v>0.75</v>
      </c>
      <c r="I327" s="6" t="n">
        <v>1</v>
      </c>
      <c r="J327" s="6" t="n">
        <v>1</v>
      </c>
      <c r="K327" s="6" t="n"/>
      <c r="P327">
        <f>MAX(P328)</f>
        <v/>
      </c>
      <c r="S327">
        <f>S328</f>
        <v/>
      </c>
      <c r="T327">
        <f>(E327/100000+F327/100+(P327/1000)*J327/5+S327/200)*200*I327*H327</f>
        <v/>
      </c>
      <c r="U327">
        <f>((E327*F327/25000)+((P327/1000)*J327*S327/2.5))*I327*H327</f>
        <v/>
      </c>
      <c r="V327">
        <f>(E327*F327*(P327/1000)*J327*S327*I327*H327)/12500000</f>
        <v/>
      </c>
      <c r="W327">
        <f>(T327+U327+V327)/3</f>
        <v/>
      </c>
      <c r="X327" s="6" t="n">
        <v>2400</v>
      </c>
      <c r="Y327">
        <f>IFERROR(W327-X327,"")</f>
        <v/>
      </c>
      <c r="Z327">
        <f>IFERROR(ABS(Y327)/MAX(X327,1),"")</f>
        <v/>
      </c>
      <c r="AA327">
        <f>IFERROR((X327-(((E327/100000+F327/100+S327/200)*200*I327*H327)+((E327*F327/25000)*I327*H327))/3)/(((J327/5)*200*I327*H327)+((J327*S327/2.5)*I327*H327)+((E327*F327*J327*S327*I327*H327)/12500000))/3*1000,"")</f>
        <v/>
      </c>
    </row>
    <row r="328">
      <c r="B328" s="7" t="inlineStr">
        <is>
          <t xml:space="preserve">  ↳ AtreusMG</t>
        </is>
      </c>
      <c r="C328" s="7" t="inlineStr">
        <is>
          <t>Armament</t>
        </is>
      </c>
      <c r="L328" s="6" t="n">
        <v>2000</v>
      </c>
      <c r="M328" s="6" t="n">
        <v>28</v>
      </c>
      <c r="N328" s="6" t="n">
        <v>4</v>
      </c>
      <c r="O328" s="6" t="n">
        <v>4</v>
      </c>
      <c r="P328" s="6" t="n">
        <v>4500</v>
      </c>
      <c r="Q328" s="6" t="n">
        <v>1.05</v>
      </c>
      <c r="R328">
        <f>M328+IF(N328&gt;1,N(O328)*(N328-1),0)</f>
        <v/>
      </c>
      <c r="S328">
        <f>IFERROR(L328*MAX(N328,1)/R328*Q328*IF(ISBLANK(K327),1,K327),0)</f>
        <v/>
      </c>
      <c r="AB328" s="7" t="inlineStr">
        <is>
          <t>^Grenade, ^HeavyCannon, ^MediumMissile, ^FlakWeapon, ^RA2Chaingun</t>
        </is>
      </c>
    </row>
    <row r="329">
      <c r="A329" t="inlineStr">
        <is>
          <t>starcraft</t>
        </is>
      </c>
      <c r="B329" t="inlineStr">
        <is>
          <t>zerg_goremaw</t>
        </is>
      </c>
      <c r="C329" t="inlineStr">
        <is>
          <t>Goremaw</t>
        </is>
      </c>
      <c r="D329" s="6" t="inlineStr">
        <is>
          <t>HighTechTank</t>
        </is>
      </c>
      <c r="E329" s="6" t="n">
        <v>150000</v>
      </c>
      <c r="F329" s="6" t="n">
        <v>150</v>
      </c>
      <c r="G329" t="inlineStr">
        <is>
          <t>Medium</t>
        </is>
      </c>
      <c r="H329" s="6" t="n">
        <v>0.75</v>
      </c>
      <c r="I329" s="6" t="n">
        <v>1</v>
      </c>
      <c r="J329" s="6" t="n">
        <v>1.25</v>
      </c>
      <c r="K329" s="6" t="n"/>
      <c r="P329">
        <f>MAX(P330)</f>
        <v/>
      </c>
      <c r="S329">
        <f>S330</f>
        <v/>
      </c>
      <c r="T329">
        <f>(E329/100000+F329/100+(P329/1000)*J329/5+S329/200)*200*I329*H329</f>
        <v/>
      </c>
      <c r="U329">
        <f>((E329*F329/25000)+((P329/1000)*J329*S329/2.5))*I329*H329</f>
        <v/>
      </c>
      <c r="V329">
        <f>(E329*F329*(P329/1000)*J329*S329*I329*H329)/12500000</f>
        <v/>
      </c>
      <c r="W329">
        <f>(T329+U329+V329)/3</f>
        <v/>
      </c>
      <c r="X329" s="6" t="n">
        <v>1500</v>
      </c>
      <c r="Y329">
        <f>IFERROR(W329-X329,"")</f>
        <v/>
      </c>
      <c r="Z329">
        <f>IFERROR(ABS(Y329)/MAX(X329,1),"")</f>
        <v/>
      </c>
      <c r="AA329">
        <f>IFERROR((X329-(((E329/100000+F329/100+S329/200)*200*I329*H329)+((E329*F329/25000)*I329*H329))/3)/(((J329/5)*200*I329*H329)+((J329*S329/2.5)*I329*H329)+((E329*F329*J329*S329*I329*H329)/12500000))/3*1000,"")</f>
        <v/>
      </c>
    </row>
    <row r="330">
      <c r="B330" s="7" t="inlineStr">
        <is>
          <t xml:space="preserve">  ↳ GoremawClaw</t>
        </is>
      </c>
      <c r="C330" s="7" t="inlineStr">
        <is>
          <t>Armament</t>
        </is>
      </c>
      <c r="L330" s="6" t="n">
        <v>30000</v>
      </c>
      <c r="M330" s="6" t="n">
        <v>30</v>
      </c>
      <c r="N330" s="6" t="n">
        <v>1</v>
      </c>
      <c r="O330" s="6" t="n"/>
      <c r="P330" s="6" t="n">
        <v>1250</v>
      </c>
      <c r="Q330" s="6" t="n">
        <v>1</v>
      </c>
      <c r="R330">
        <f>M330+IF(N330&gt;1,N(O330)*(N330-1),0)</f>
        <v/>
      </c>
      <c r="S330">
        <f>IFERROR(L330*MAX(N330,1)/R330*Q330*IF(ISBLANK(K329),1,K329),0)</f>
        <v/>
      </c>
      <c r="AB330" s="7" t="inlineStr">
        <is>
          <t>^SwordWeapon</t>
        </is>
      </c>
    </row>
    <row r="331">
      <c r="A331" t="inlineStr">
        <is>
          <t>starcraft</t>
        </is>
      </c>
      <c r="B331" t="inlineStr">
        <is>
          <t>terran_goliath</t>
        </is>
      </c>
      <c r="C331" t="inlineStr">
        <is>
          <t>Goliath</t>
        </is>
      </c>
      <c r="D331" s="6" t="inlineStr">
        <is>
          <t>HighTechTank</t>
        </is>
      </c>
      <c r="E331" s="6" t="n">
        <v>125000</v>
      </c>
      <c r="F331" s="6" t="n">
        <v>90</v>
      </c>
      <c r="G331" t="inlineStr">
        <is>
          <t>Medium</t>
        </is>
      </c>
      <c r="H331" s="6" t="n">
        <v>0.75</v>
      </c>
      <c r="I331" s="6" t="n">
        <v>1</v>
      </c>
      <c r="J331" s="6" t="n">
        <v>1</v>
      </c>
      <c r="K331" s="6" t="n">
        <v>0.33</v>
      </c>
      <c r="P331">
        <f>MAX(P332,P333,P334,P335)</f>
        <v/>
      </c>
      <c r="S331">
        <f>S332+S333+S334+S335</f>
        <v/>
      </c>
      <c r="T331">
        <f>(E331/100000+F331/100+(P331/1000)*J331/5+S331/200)*200*I331*H331</f>
        <v/>
      </c>
      <c r="U331">
        <f>((E331*F331/25000)+((P331/1000)*J331*S331/2.5))*I331*H331</f>
        <v/>
      </c>
      <c r="V331">
        <f>(E331*F331*(P331/1000)*J331*S331*I331*H331)/12500000</f>
        <v/>
      </c>
      <c r="W331">
        <f>(T331+U331+V331)/3</f>
        <v/>
      </c>
      <c r="X331" s="6" t="n">
        <v>1600</v>
      </c>
      <c r="Y331">
        <f>IFERROR(W331-X331,"")</f>
        <v/>
      </c>
      <c r="Z331">
        <f>IFERROR(ABS(Y331)/MAX(X331,1),"")</f>
        <v/>
      </c>
      <c r="AA331">
        <f>IFERROR((X331-(((E331/100000+F331/100+S331/200)*200*I331*H331)+((E331*F331/25000)*I331*H331))/3)/(((J331/5)*200*I331*H331)+((J331*S331/2.5)*I331*H331)+((E331*F331*J331*S331*I331*H331)/12500000))/3*1000,"")</f>
        <v/>
      </c>
    </row>
    <row r="332">
      <c r="B332" s="7" t="inlineStr">
        <is>
          <t xml:space="preserve">  ↳ GoliathMG</t>
        </is>
      </c>
      <c r="C332" s="7" t="inlineStr">
        <is>
          <t>Armament@G1</t>
        </is>
      </c>
      <c r="L332" s="6" t="n">
        <v>2000</v>
      </c>
      <c r="M332" s="6" t="n">
        <v>16</v>
      </c>
      <c r="N332" s="6" t="n">
        <v>3</v>
      </c>
      <c r="O332" s="6" t="n">
        <v>2</v>
      </c>
      <c r="P332" s="6" t="n">
        <v>6000</v>
      </c>
      <c r="Q332" s="6" t="n">
        <v>1.083333333333333</v>
      </c>
      <c r="R332">
        <f>M332+IF(N332&gt;1,N(O332)*(N332-1),0)</f>
        <v/>
      </c>
      <c r="S332">
        <f>IFERROR(L332*MAX(N332,1)/R332*Q332*IF(ISBLANK(K331),1,K331),0)</f>
        <v/>
      </c>
      <c r="AB332" s="7" t="inlineStr">
        <is>
          <t>^Grenade, ^HeavyCannon, ^RA2Chaingun</t>
        </is>
      </c>
    </row>
    <row r="333">
      <c r="B333" s="7" t="inlineStr">
        <is>
          <t xml:space="preserve">  ↳ GoliathMG</t>
        </is>
      </c>
      <c r="C333" s="7" t="inlineStr">
        <is>
          <t>Armament@G2</t>
        </is>
      </c>
      <c r="L333" s="6" t="n">
        <v>2000</v>
      </c>
      <c r="M333" s="6" t="n">
        <v>16</v>
      </c>
      <c r="N333" s="6" t="n">
        <v>3</v>
      </c>
      <c r="O333" s="6" t="n">
        <v>2</v>
      </c>
      <c r="P333" s="6" t="n">
        <v>6000</v>
      </c>
      <c r="Q333" s="6" t="n">
        <v>1.083333333333333</v>
      </c>
      <c r="R333">
        <f>M333+IF(N333&gt;1,N(O333)*(N333-1),0)</f>
        <v/>
      </c>
      <c r="S333">
        <f>IFERROR(L333*MAX(N333,1)/R333*Q333*IF(ISBLANK(K331),1,K331),0)</f>
        <v/>
      </c>
      <c r="AB333" s="7" t="inlineStr">
        <is>
          <t>^Grenade, ^HeavyCannon, ^RA2Chaingun</t>
        </is>
      </c>
    </row>
    <row r="334">
      <c r="B334" s="7" t="inlineStr">
        <is>
          <t xml:space="preserve">  ↳ GoliathRockets</t>
        </is>
      </c>
      <c r="C334" s="7" t="inlineStr">
        <is>
          <t>Armament@A1</t>
        </is>
      </c>
      <c r="L334" s="6" t="n">
        <v>6000</v>
      </c>
      <c r="M334" s="6" t="n">
        <v>33</v>
      </c>
      <c r="N334" s="6" t="n">
        <v>1</v>
      </c>
      <c r="O334" s="6" t="n"/>
      <c r="P334" s="6" t="n">
        <v>6000</v>
      </c>
      <c r="Q334" s="6" t="n">
        <v>0.9375</v>
      </c>
      <c r="R334">
        <f>M334+IF(N334&gt;1,N(O334)*(N334-1),0)</f>
        <v/>
      </c>
      <c r="S334">
        <f>IFERROR(L334*MAX(N334,1)/R334*Q334*IF(ISBLANK(K331),1,K331),0)</f>
        <v/>
      </c>
      <c r="AB334" s="7" t="inlineStr">
        <is>
          <t>^Chaingun, ^FlakWeapon, ^LightMissile, ^MediumMissile, ^D2KRocket</t>
        </is>
      </c>
    </row>
    <row r="335">
      <c r="B335" s="7" t="inlineStr">
        <is>
          <t xml:space="preserve">  ↳ GoliathRockets</t>
        </is>
      </c>
      <c r="C335" s="7" t="inlineStr">
        <is>
          <t>Armament@A2</t>
        </is>
      </c>
      <c r="L335" s="6" t="n">
        <v>6000</v>
      </c>
      <c r="M335" s="6" t="n">
        <v>33</v>
      </c>
      <c r="N335" s="6" t="n">
        <v>1</v>
      </c>
      <c r="O335" s="6" t="n"/>
      <c r="P335" s="6" t="n">
        <v>6000</v>
      </c>
      <c r="Q335" s="6" t="n">
        <v>0.9375</v>
      </c>
      <c r="R335">
        <f>M335+IF(N335&gt;1,N(O335)*(N335-1),0)</f>
        <v/>
      </c>
      <c r="S335">
        <f>IFERROR(L335*MAX(N335,1)/R335*Q335*IF(ISBLANK(K331),1,K331),0)</f>
        <v/>
      </c>
      <c r="AB335" s="7" t="inlineStr">
        <is>
          <t>^Chaingun, ^FlakWeapon, ^LightMissile, ^MediumMissile, ^D2KRocket</t>
        </is>
      </c>
    </row>
    <row r="336">
      <c r="A336" t="inlineStr">
        <is>
          <t>starcraft</t>
        </is>
      </c>
      <c r="B336" t="inlineStr">
        <is>
          <t>terran_goliathmk2</t>
        </is>
      </c>
      <c r="C336" t="inlineStr">
        <is>
          <t>Goliath Mk2</t>
        </is>
      </c>
      <c r="D336" s="6" t="inlineStr">
        <is>
          <t>HighTechTank</t>
        </is>
      </c>
      <c r="E336" s="6" t="n">
        <v>175000</v>
      </c>
      <c r="F336" s="6" t="n">
        <v>75</v>
      </c>
      <c r="G336" t="inlineStr">
        <is>
          <t>Medium</t>
        </is>
      </c>
      <c r="H336" s="6" t="n">
        <v>0.75</v>
      </c>
      <c r="I336" s="6" t="n">
        <v>1</v>
      </c>
      <c r="J336" s="6" t="n">
        <v>1</v>
      </c>
      <c r="K336" s="6" t="n">
        <v>0.25</v>
      </c>
      <c r="P336">
        <f>MAX(P337,P338,P339,P340)</f>
        <v/>
      </c>
      <c r="S336">
        <f>S337+S338+S339+S340</f>
        <v/>
      </c>
      <c r="T336">
        <f>(E336/100000+F336/100+(P336/1000)*J336/5+S336/200)*200*I336*H336</f>
        <v/>
      </c>
      <c r="U336">
        <f>((E336*F336/25000)+((P336/1000)*J336*S336/2.5))*I336*H336</f>
        <v/>
      </c>
      <c r="V336">
        <f>(E336*F336*(P336/1000)*J336*S336*I336*H336)/12500000</f>
        <v/>
      </c>
      <c r="W336">
        <f>(T336+U336+V336)/3</f>
        <v/>
      </c>
      <c r="X336" s="6" t="n">
        <v>2400</v>
      </c>
      <c r="Y336">
        <f>IFERROR(W336-X336,"")</f>
        <v/>
      </c>
      <c r="Z336">
        <f>IFERROR(ABS(Y336)/MAX(X336,1),"")</f>
        <v/>
      </c>
      <c r="AA336">
        <f>IFERROR((X336-(((E336/100000+F336/100+S336/200)*200*I336*H336)+((E336*F336/25000)*I336*H336))/3)/(((J336/5)*200*I336*H336)+((J336*S336/2.5)*I336*H336)+((E336*F336*J336*S336*I336*H336)/12500000))/3*1000,"")</f>
        <v/>
      </c>
    </row>
    <row r="337">
      <c r="B337" s="7" t="inlineStr">
        <is>
          <t xml:space="preserve">  ↳ GoliathMk2MG</t>
        </is>
      </c>
      <c r="C337" s="7" t="inlineStr">
        <is>
          <t>Armament@G1</t>
        </is>
      </c>
      <c r="L337" s="6" t="n">
        <v>2000</v>
      </c>
      <c r="M337" s="6" t="n">
        <v>34</v>
      </c>
      <c r="N337" s="6" t="n">
        <v>4</v>
      </c>
      <c r="O337" s="6" t="n">
        <v>2</v>
      </c>
      <c r="P337" s="6" t="n">
        <v>6479</v>
      </c>
      <c r="Q337" s="6" t="n">
        <v>1.083333333333333</v>
      </c>
      <c r="R337">
        <f>M337+IF(N337&gt;1,N(O337)*(N337-1),0)</f>
        <v/>
      </c>
      <c r="S337">
        <f>IFERROR(L337*MAX(N337,1)/R337*Q337*IF(ISBLANK(K336),1,K336),0)</f>
        <v/>
      </c>
      <c r="AB337" s="7" t="inlineStr">
        <is>
          <t>^Grenade, ^HeavyCannon, ^TankDestroyerCannon, ^RA2Chaingun</t>
        </is>
      </c>
    </row>
    <row r="338">
      <c r="B338" s="7" t="inlineStr">
        <is>
          <t xml:space="preserve">  ↳ GoliathMk2MG</t>
        </is>
      </c>
      <c r="C338" s="7" t="inlineStr">
        <is>
          <t>Armament@G2</t>
        </is>
      </c>
      <c r="L338" s="6" t="n">
        <v>2000</v>
      </c>
      <c r="M338" s="6" t="n">
        <v>34</v>
      </c>
      <c r="N338" s="6" t="n">
        <v>4</v>
      </c>
      <c r="O338" s="6" t="n">
        <v>2</v>
      </c>
      <c r="P338" s="6" t="n">
        <v>6479</v>
      </c>
      <c r="Q338" s="6" t="n">
        <v>1.083333333333333</v>
      </c>
      <c r="R338">
        <f>M338+IF(N338&gt;1,N(O338)*(N338-1),0)</f>
        <v/>
      </c>
      <c r="S338">
        <f>IFERROR(L338*MAX(N338,1)/R338*Q338*IF(ISBLANK(K336),1,K336),0)</f>
        <v/>
      </c>
      <c r="AB338" s="7" t="inlineStr">
        <is>
          <t>^Grenade, ^HeavyCannon, ^TankDestroyerCannon, ^RA2Chaingun</t>
        </is>
      </c>
    </row>
    <row r="339">
      <c r="B339" s="7" t="inlineStr">
        <is>
          <t xml:space="preserve">  ↳ GoliathMk2Rockets</t>
        </is>
      </c>
      <c r="C339" s="7" t="inlineStr">
        <is>
          <t>Armament@A1</t>
        </is>
      </c>
      <c r="L339" s="6" t="n">
        <v>8000</v>
      </c>
      <c r="M339" s="6" t="n">
        <v>40</v>
      </c>
      <c r="N339" s="6" t="n">
        <v>1</v>
      </c>
      <c r="O339" s="6" t="n"/>
      <c r="P339" s="6" t="n">
        <v>6479</v>
      </c>
      <c r="Q339" s="6" t="n">
        <v>0.9166666666666666</v>
      </c>
      <c r="R339">
        <f>M339+IF(N339&gt;1,N(O339)*(N339-1),0)</f>
        <v/>
      </c>
      <c r="S339">
        <f>IFERROR(L339*MAX(N339,1)/R339*Q339*IF(ISBLANK(K336),1,K336),0)</f>
        <v/>
      </c>
      <c r="AB339" s="7" t="inlineStr">
        <is>
          <t>^FlakWeapon, ^LightMissile, ^MediumMissile, ^D2KRocket</t>
        </is>
      </c>
    </row>
    <row r="340">
      <c r="B340" s="7" t="inlineStr">
        <is>
          <t xml:space="preserve">  ↳ GoliathMk2Rockets</t>
        </is>
      </c>
      <c r="C340" s="7" t="inlineStr">
        <is>
          <t>Armament@A2</t>
        </is>
      </c>
      <c r="L340" s="6" t="n">
        <v>8000</v>
      </c>
      <c r="M340" s="6" t="n">
        <v>40</v>
      </c>
      <c r="N340" s="6" t="n">
        <v>1</v>
      </c>
      <c r="O340" s="6" t="n"/>
      <c r="P340" s="6" t="n">
        <v>6479</v>
      </c>
      <c r="Q340" s="6" t="n">
        <v>0.9166666666666666</v>
      </c>
      <c r="R340">
        <f>M340+IF(N340&gt;1,N(O340)*(N340-1),0)</f>
        <v/>
      </c>
      <c r="S340">
        <f>IFERROR(L340*MAX(N340,1)/R340*Q340*IF(ISBLANK(K336),1,K336),0)</f>
        <v/>
      </c>
      <c r="AB340" s="7" t="inlineStr">
        <is>
          <t>^FlakWeapon, ^LightMissile, ^MediumMissile, ^D2KRocket</t>
        </is>
      </c>
    </row>
    <row r="341">
      <c r="A341" s="4" t="inlineStr">
        <is>
          <t>LineBreaker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</row>
    <row r="342">
      <c r="A342" t="inlineStr">
        <is>
          <t>tiberiandawn</t>
        </is>
      </c>
      <c r="B342" t="inlineStr">
        <is>
          <t>td_gdi_assaultapc</t>
        </is>
      </c>
      <c r="C342" t="inlineStr">
        <is>
          <t>Assault APC</t>
        </is>
      </c>
      <c r="D342" s="6" t="inlineStr">
        <is>
          <t>LineBreaker</t>
        </is>
      </c>
      <c r="E342" s="6" t="n">
        <v>250000</v>
      </c>
      <c r="F342" s="6" t="n">
        <v>100</v>
      </c>
      <c r="G342" t="inlineStr">
        <is>
          <t>Heavy</t>
        </is>
      </c>
      <c r="H342" s="6" t="n">
        <v>0.75</v>
      </c>
      <c r="I342" s="6" t="n">
        <v>1</v>
      </c>
      <c r="J342" s="6" t="n">
        <v>1</v>
      </c>
      <c r="K342" s="6" t="n"/>
      <c r="P342">
        <f>MAX(P343,P344,P345,P346)</f>
        <v/>
      </c>
      <c r="S342">
        <f>S343+S344+S345+S346</f>
        <v/>
      </c>
      <c r="T342">
        <f>(E342/100000+F342/100+(P342/1000)*J342/5+S342/200)*200*I342*H342</f>
        <v/>
      </c>
      <c r="U342">
        <f>((E342*F342/25000)+((P342/1000)*J342*S342/2.5))*I342*H342</f>
        <v/>
      </c>
      <c r="V342">
        <f>(E342*F342*(P342/1000)*J342*S342*I342*H342)/12500000</f>
        <v/>
      </c>
      <c r="W342">
        <f>800*(T342/800+U342/800+V342/800)/3</f>
        <v/>
      </c>
      <c r="X342" s="6" t="n">
        <v>4500</v>
      </c>
      <c r="Y342">
        <f>IFERROR(W342-X342,"")</f>
        <v/>
      </c>
      <c r="Z342">
        <f>IFERROR(ABS(Y342)/MAX(X342,1),"")</f>
        <v/>
      </c>
      <c r="AA342">
        <f>IFERROR((X342-(((E342/100000+F342/100+S342/200)*200*I342*H342)+((E342*F342/25000)*I342*H342))/3)/(((J342/5)*200*I342*H342)+((J342*S342/2.5)*I342*H342)+((E342*F342*J342*S342*I342*H342)/12500000))/3*1000,"")</f>
        <v/>
      </c>
    </row>
    <row r="343">
      <c r="B343" s="7" t="inlineStr">
        <is>
          <t xml:space="preserve">  ↳ MachineGunHumvee2</t>
        </is>
      </c>
      <c r="C343" s="7" t="inlineStr">
        <is>
          <t>Armament</t>
        </is>
      </c>
      <c r="L343" s="6" t="n">
        <v>2000</v>
      </c>
      <c r="M343" s="6" t="n">
        <v>30</v>
      </c>
      <c r="N343" s="6" t="n">
        <v>4</v>
      </c>
      <c r="O343" s="6" t="n">
        <v>4</v>
      </c>
      <c r="P343" s="6" t="n">
        <v>5598</v>
      </c>
      <c r="Q343" s="6" t="n">
        <v>0.75</v>
      </c>
      <c r="R343">
        <f>M343+IF(N343&gt;1,N(O343)*(N343-1),0)</f>
        <v/>
      </c>
      <c r="S343">
        <f>IFERROR(L343*MAX(N343,1)/R343*Q343*IF(ISBLANK(K342),1,K342),0)</f>
        <v/>
      </c>
      <c r="AB343" s="7" t="inlineStr">
        <is>
          <t>^SmallArms</t>
        </is>
      </c>
    </row>
    <row r="344">
      <c r="B344" s="7" t="inlineStr">
        <is>
          <t xml:space="preserve">  ↳ MachineGunHumvee2AA</t>
        </is>
      </c>
      <c r="C344" s="7" t="inlineStr">
        <is>
          <t>Armament@AA</t>
        </is>
      </c>
      <c r="L344" s="6" t="n">
        <v>2000</v>
      </c>
      <c r="M344" s="6" t="n">
        <v>30</v>
      </c>
      <c r="N344" s="6" t="n">
        <v>4</v>
      </c>
      <c r="O344" s="6" t="n">
        <v>4</v>
      </c>
      <c r="P344" s="6" t="n">
        <v>8397</v>
      </c>
      <c r="Q344" s="6" t="n">
        <v>0.75</v>
      </c>
      <c r="R344">
        <f>M344+IF(N344&gt;1,N(O344)*(N344-1),0)</f>
        <v/>
      </c>
      <c r="S344">
        <f>IFERROR(L344*MAX(N344,1)/R344*Q344*IF(ISBLANK(K342),1,K342),0)</f>
        <v/>
      </c>
      <c r="AB344" s="7" t="inlineStr">
        <is>
          <t>^SmallArms</t>
        </is>
      </c>
    </row>
    <row r="345">
      <c r="B345" s="7" t="inlineStr">
        <is>
          <t xml:space="preserve">  ↳ MachineGunHumvee2AP</t>
        </is>
      </c>
      <c r="C345" s="7" t="inlineStr">
        <is>
          <t>Armament@Upgrade</t>
        </is>
      </c>
      <c r="L345" s="6" t="n">
        <v>2000</v>
      </c>
      <c r="M345" s="6" t="n">
        <v>30</v>
      </c>
      <c r="N345" s="6" t="n">
        <v>4</v>
      </c>
      <c r="O345" s="6" t="n">
        <v>4</v>
      </c>
      <c r="P345" s="6" t="n">
        <v>5598</v>
      </c>
      <c r="Q345" s="6" t="n">
        <v>1</v>
      </c>
      <c r="R345">
        <f>M345+IF(N345&gt;1,N(O345)*(N345-1),0)</f>
        <v/>
      </c>
      <c r="S345">
        <f>IFERROR(L345*MAX(N345,1)/R345*Q345*IF(ISBLANK(K342),1,K342),0)</f>
        <v/>
      </c>
      <c r="AB345" s="7" t="inlineStr">
        <is>
          <t>^Chaingun</t>
        </is>
      </c>
    </row>
    <row r="346">
      <c r="B346" s="7" t="inlineStr">
        <is>
          <t xml:space="preserve">  ↳ MachineGunHumvee2APAA</t>
        </is>
      </c>
      <c r="C346" s="7" t="inlineStr">
        <is>
          <t>Armament@UpgradeAA</t>
        </is>
      </c>
      <c r="L346" s="6" t="n">
        <v>2000</v>
      </c>
      <c r="M346" s="6" t="n">
        <v>30</v>
      </c>
      <c r="N346" s="6" t="n">
        <v>4</v>
      </c>
      <c r="O346" s="6" t="n">
        <v>4</v>
      </c>
      <c r="P346" s="6" t="n">
        <v>8397</v>
      </c>
      <c r="Q346" s="6" t="n">
        <v>1</v>
      </c>
      <c r="R346">
        <f>M346+IF(N346&gt;1,N(O346)*(N346-1),0)</f>
        <v/>
      </c>
      <c r="S346">
        <f>IFERROR(L346*MAX(N346,1)/R346*Q346*IF(ISBLANK(K342),1,K342),0)</f>
        <v/>
      </c>
      <c r="AB346" s="7" t="inlineStr">
        <is>
          <t>^Chaingun</t>
        </is>
      </c>
    </row>
    <row r="347">
      <c r="A347" t="inlineStr">
        <is>
          <t>tiberiandawn</t>
        </is>
      </c>
      <c r="B347" t="inlineStr">
        <is>
          <t>td_nod_flametank</t>
        </is>
      </c>
      <c r="C347" t="inlineStr">
        <is>
          <t>Nod Flame Tank</t>
        </is>
      </c>
      <c r="D347" s="6" t="inlineStr">
        <is>
          <t>LineBreaker</t>
        </is>
      </c>
      <c r="E347" s="6" t="n">
        <v>100000</v>
      </c>
      <c r="F347" s="6" t="n">
        <v>80</v>
      </c>
      <c r="G347" t="inlineStr">
        <is>
          <t>Heavy</t>
        </is>
      </c>
      <c r="H347" s="6" t="n">
        <v>1</v>
      </c>
      <c r="I347" s="6" t="n">
        <v>1</v>
      </c>
      <c r="J347" s="6" t="n">
        <v>1</v>
      </c>
      <c r="K347" s="6" t="n"/>
      <c r="P347">
        <f>MAX(P348)</f>
        <v/>
      </c>
      <c r="S347">
        <f>S348</f>
        <v/>
      </c>
      <c r="T347">
        <f>(E347/100000+F347/100+(P347/1000)*J347/5+S347/200)*200*I347*H347</f>
        <v/>
      </c>
      <c r="U347">
        <f>((E347*F347/25000)+((P347/1000)*J347*S347/2.5))*I347*H347</f>
        <v/>
      </c>
      <c r="V347">
        <f>(E347*F347*(P347/1000)*J347*S347*I347*H347)/12500000</f>
        <v/>
      </c>
      <c r="W347">
        <f>800*(T347/800+U347/800+V347/800)/3</f>
        <v/>
      </c>
      <c r="X347" s="6" t="n">
        <v>800</v>
      </c>
      <c r="Y347">
        <f>IFERROR(W347-X347,"")</f>
        <v/>
      </c>
      <c r="Z347">
        <f>IFERROR(ABS(Y347)/MAX(X347,1),"")</f>
        <v/>
      </c>
      <c r="AA347">
        <f>IFERROR((X347-(((E347/100000+F347/100+S347/200)*200*I347*H347)+((E347*F347/25000)*I347*H347))/3)/(((J347/5)*200*I347*H347)+((J347*S347/2.5)*I347*H347)+((E347*F347*J347*S347*I347*H347)/12500000))/3*1000,"")</f>
        <v/>
      </c>
    </row>
    <row r="348">
      <c r="B348" s="7" t="inlineStr">
        <is>
          <t xml:space="preserve">  ↳ BigFlamer</t>
        </is>
      </c>
      <c r="C348" s="7" t="inlineStr">
        <is>
          <t>Armament</t>
        </is>
      </c>
      <c r="L348" s="6" t="n">
        <v>14000</v>
      </c>
      <c r="M348" s="6" t="n">
        <v>50</v>
      </c>
      <c r="N348" s="6" t="n">
        <v>2</v>
      </c>
      <c r="O348" s="6" t="n">
        <v>10</v>
      </c>
      <c r="P348" s="6" t="n">
        <v>2390</v>
      </c>
      <c r="Q348" s="6" t="n">
        <v>1</v>
      </c>
      <c r="R348">
        <f>M348+IF(N348&gt;1,N(O348)*(N348-1),0)</f>
        <v/>
      </c>
      <c r="S348">
        <f>IFERROR(L348*MAX(N348,1)/R348*Q348*IF(ISBLANK(K347),1,K347),0)</f>
        <v/>
      </c>
      <c r="AB348" s="7" t="inlineStr">
        <is>
          <t>^MediumFlameWeapon</t>
        </is>
      </c>
    </row>
    <row r="349">
      <c r="A349" t="inlineStr">
        <is>
          <t>tiberiandawn</t>
        </is>
      </c>
      <c r="B349" t="inlineStr">
        <is>
          <t>td_nod_flametankmkii</t>
        </is>
      </c>
      <c r="C349" t="inlineStr">
        <is>
          <t>Flame Tank Mk. II</t>
        </is>
      </c>
      <c r="D349" s="6" t="inlineStr">
        <is>
          <t>LineBreaker</t>
        </is>
      </c>
      <c r="E349" s="6" t="n">
        <v>200000</v>
      </c>
      <c r="F349" s="6" t="n">
        <v>75</v>
      </c>
      <c r="G349" t="inlineStr">
        <is>
          <t>Superheavy</t>
        </is>
      </c>
      <c r="H349" s="6" t="n">
        <v>1</v>
      </c>
      <c r="I349" s="6" t="n">
        <v>1</v>
      </c>
      <c r="J349" s="6" t="n">
        <v>1</v>
      </c>
      <c r="K349" s="6" t="n"/>
      <c r="P349">
        <f>MAX(P350)</f>
        <v/>
      </c>
      <c r="S349">
        <f>S350</f>
        <v/>
      </c>
      <c r="T349">
        <f>(E349/100000+F349/100+(P349/1000)*J349/5+S349/200)*200*I349*H349</f>
        <v/>
      </c>
      <c r="U349">
        <f>((E349*F349/25000)+((P349/1000)*J349*S349/2.5))*I349*H349</f>
        <v/>
      </c>
      <c r="V349">
        <f>(E349*F349*(P349/1000)*J349*S349*I349*H349)/12500000</f>
        <v/>
      </c>
      <c r="W349">
        <f>800*(T349/800+U349/800+V349/800)/3</f>
        <v/>
      </c>
      <c r="X349" s="6" t="n">
        <v>1300</v>
      </c>
      <c r="Y349">
        <f>IFERROR(W349-X349,"")</f>
        <v/>
      </c>
      <c r="Z349">
        <f>IFERROR(ABS(Y349)/MAX(X349,1),"")</f>
        <v/>
      </c>
      <c r="AA349">
        <f>IFERROR((X349-(((E349/100000+F349/100+S349/200)*200*I349*H349)+((E349*F349/25000)*I349*H349))/3)/(((J349/5)*200*I349*H349)+((J349*S349/2.5)*I349*H349)+((E349*F349*J349*S349*I349*H349)/12500000))/3*1000,"")</f>
        <v/>
      </c>
    </row>
    <row r="350">
      <c r="B350" s="7" t="inlineStr">
        <is>
          <t xml:space="preserve">  ↳ BigFlamer2</t>
        </is>
      </c>
      <c r="C350" s="7" t="inlineStr">
        <is>
          <t>Armament</t>
        </is>
      </c>
      <c r="L350" s="6" t="n">
        <v>20000</v>
      </c>
      <c r="M350" s="6" t="n">
        <v>54</v>
      </c>
      <c r="N350" s="6" t="n">
        <v>2</v>
      </c>
      <c r="O350" s="6" t="n">
        <v>10</v>
      </c>
      <c r="P350" s="6" t="n">
        <v>2534</v>
      </c>
      <c r="Q350" s="6" t="n">
        <v>1.25</v>
      </c>
      <c r="R350">
        <f>M350+IF(N350&gt;1,N(O350)*(N350-1),0)</f>
        <v/>
      </c>
      <c r="S350">
        <f>IFERROR(L350*MAX(N350,1)/R350*Q350*IF(ISBLANK(K349),1,K349),0)</f>
        <v/>
      </c>
      <c r="AB350" s="7" t="inlineStr">
        <is>
          <t>^HeavyFlameWeapon</t>
        </is>
      </c>
    </row>
    <row r="351">
      <c r="A351" t="inlineStr">
        <is>
          <t>redalert</t>
        </is>
      </c>
      <c r="B351" t="inlineStr">
        <is>
          <t>ra1_soviets_madtank</t>
        </is>
      </c>
      <c r="C351" t="inlineStr">
        <is>
          <t>MAD Tank</t>
        </is>
      </c>
      <c r="D351" s="6" t="inlineStr">
        <is>
          <t>LineBreaker</t>
        </is>
      </c>
      <c r="E351" s="6" t="n">
        <v>300000</v>
      </c>
      <c r="F351" s="6" t="n">
        <v>60</v>
      </c>
      <c r="G351" t="inlineStr">
        <is>
          <t>Heavy</t>
        </is>
      </c>
      <c r="H351" s="6" t="n">
        <v>1</v>
      </c>
      <c r="I351" s="6" t="n">
        <v>1</v>
      </c>
      <c r="J351" s="6" t="n">
        <v>1</v>
      </c>
      <c r="K351" s="6" t="n"/>
      <c r="P351">
        <f>MAX(P352)</f>
        <v/>
      </c>
      <c r="S351">
        <f>S352</f>
        <v/>
      </c>
      <c r="T351">
        <f>(E351/100000+F351/100+(P351/1000)*J351/5+S351/200)*200*I351*H351</f>
        <v/>
      </c>
      <c r="U351">
        <f>((E351*F351/25000)+((P351/1000)*J351*S351/2.5))*I351*H351</f>
        <v/>
      </c>
      <c r="V351">
        <f>(E351*F351*(P351/1000)*J351*S351*I351*H351)/12500000</f>
        <v/>
      </c>
      <c r="W351">
        <f>800*(T351/800+U351/800+V351/800)/3</f>
        <v/>
      </c>
      <c r="X351" s="6" t="n">
        <v>3000</v>
      </c>
      <c r="Y351">
        <f>IFERROR(W351-X351,"")</f>
        <v/>
      </c>
      <c r="Z351">
        <f>IFERROR(ABS(Y351)/MAX(X351,1),"")</f>
        <v/>
      </c>
      <c r="AA351">
        <f>IFERROR((X351-(((E351/100000+F351/100+S351/200)*200*I351*H351)+((E351*F351/25000)*I351*H351))/3)/(((J351/5)*200*I351*H351)+((J351*S351/2.5)*I351*H351)+((E351*F351*J351*S351*I351*H351)/12500000))/3*1000,"")</f>
        <v/>
      </c>
    </row>
    <row r="352">
      <c r="B352" s="7" t="inlineStr">
        <is>
          <t xml:space="preserve">  ↳ MADTankTargeting</t>
        </is>
      </c>
      <c r="C352" s="7" t="inlineStr">
        <is>
          <t>Armament@PRIMARY</t>
        </is>
      </c>
      <c r="L352" s="6" t="n"/>
      <c r="M352" s="6" t="n"/>
      <c r="N352" s="6" t="n">
        <v>1</v>
      </c>
      <c r="O352" s="6" t="n"/>
      <c r="P352" s="6" t="n">
        <v>2500</v>
      </c>
      <c r="Q352" s="6" t="n">
        <v>1</v>
      </c>
      <c r="R352">
        <f>M352+IF(N352&gt;1,N(O352)*(N352-1),0)</f>
        <v/>
      </c>
      <c r="S352">
        <f>IFERROR(L352*MAX(N352,1)/R352*Q352*IF(ISBLANK(K351),1,K351),0)</f>
        <v/>
      </c>
      <c r="AB352" s="7" t="inlineStr">
        <is>
          <t>DemoTruckTargeting</t>
        </is>
      </c>
    </row>
    <row r="353">
      <c r="A353" t="inlineStr">
        <is>
          <t>redalert</t>
        </is>
      </c>
      <c r="B353" t="inlineStr">
        <is>
          <t>ra1_allies_alliedtankdestroyer</t>
        </is>
      </c>
      <c r="C353" t="inlineStr">
        <is>
          <t>Allied Tank Destroyer</t>
        </is>
      </c>
      <c r="D353" s="6" t="inlineStr">
        <is>
          <t>LineBreaker</t>
        </is>
      </c>
      <c r="E353" s="6" t="n">
        <v>120000</v>
      </c>
      <c r="F353" s="6" t="n">
        <v>60</v>
      </c>
      <c r="G353" t="inlineStr">
        <is>
          <t>Medium</t>
        </is>
      </c>
      <c r="H353" s="6" t="n">
        <v>1</v>
      </c>
      <c r="I353" s="6" t="n">
        <v>1</v>
      </c>
      <c r="J353" s="6" t="n">
        <v>1</v>
      </c>
      <c r="K353" s="6" t="n"/>
      <c r="P353">
        <f>MAX(P354)</f>
        <v/>
      </c>
      <c r="S353">
        <f>S354</f>
        <v/>
      </c>
      <c r="T353">
        <f>(E353/100000+F353/100+(P353/1000)*J353/5+S353/200)*200*I353*H353</f>
        <v/>
      </c>
      <c r="U353">
        <f>((E353*F353/25000)+((P353/1000)*J353*S353/2.5))*I353*H353</f>
        <v/>
      </c>
      <c r="V353">
        <f>(E353*F353*(P353/1000)*J353*S353*I353*H353)/12500000</f>
        <v/>
      </c>
      <c r="W353">
        <f>800*(T353/800+U353/800+V353/800)/3</f>
        <v/>
      </c>
      <c r="X353" s="6" t="n">
        <v>1200</v>
      </c>
      <c r="Y353">
        <f>IFERROR(W353-X353,"")</f>
        <v/>
      </c>
      <c r="Z353">
        <f>IFERROR(ABS(Y353)/MAX(X353,1),"")</f>
        <v/>
      </c>
      <c r="AA353">
        <f>IFERROR((X353-(((E353/100000+F353/100+S353/200)*200*I353*H353)+((E353*F353/25000)*I353*H353))/3)/(((J353/5)*200*I353*H353)+((J353*S353/2.5)*I353*H353)+((E353*F353*J353*S353*I353*H353)/12500000))/3*1000,"")</f>
        <v/>
      </c>
    </row>
    <row r="354">
      <c r="B354" s="7" t="inlineStr">
        <is>
          <t xml:space="preserve">  ↳ AlliedTankDestroyerCannon</t>
        </is>
      </c>
      <c r="C354" s="7" t="inlineStr">
        <is>
          <t>Armament</t>
        </is>
      </c>
      <c r="L354" s="6" t="n">
        <v>12000</v>
      </c>
      <c r="M354" s="6" t="n">
        <v>60</v>
      </c>
      <c r="N354" s="6" t="n">
        <v>1</v>
      </c>
      <c r="O354" s="6" t="n"/>
      <c r="P354" s="6" t="n">
        <v>6819</v>
      </c>
      <c r="Q354" s="6" t="n">
        <v>1</v>
      </c>
      <c r="R354">
        <f>M354+IF(N354&gt;1,N(O354)*(N354-1),0)</f>
        <v/>
      </c>
      <c r="S354">
        <f>IFERROR(L354*MAX(N354,1)/R354*Q354*IF(ISBLANK(K353),1,K353),0)</f>
        <v/>
      </c>
      <c r="AB354" s="7" t="inlineStr">
        <is>
          <t>^MediumCannon, ^TankDestroyerCannon</t>
        </is>
      </c>
    </row>
    <row r="355">
      <c r="A355" t="inlineStr">
        <is>
          <t>tiberiansun</t>
        </is>
      </c>
      <c r="B355" t="inlineStr">
        <is>
          <t>cabal_beholder</t>
        </is>
      </c>
      <c r="C355" t="inlineStr">
        <is>
          <t>Beholder</t>
        </is>
      </c>
      <c r="D355" s="6" t="inlineStr">
        <is>
          <t>LineBreaker</t>
        </is>
      </c>
      <c r="E355" s="6" t="n">
        <v>125000</v>
      </c>
      <c r="F355" s="6" t="n">
        <v>125</v>
      </c>
      <c r="G355" t="inlineStr">
        <is>
          <t>Heavy</t>
        </is>
      </c>
      <c r="H355" s="6" t="n">
        <v>0.75</v>
      </c>
      <c r="I355" s="6" t="n">
        <v>0.8</v>
      </c>
      <c r="J355" s="6" t="n">
        <v>1.25</v>
      </c>
      <c r="K355" s="6" t="n"/>
      <c r="P355">
        <f>MAX(P356)</f>
        <v/>
      </c>
      <c r="S355">
        <f>S356</f>
        <v/>
      </c>
      <c r="T355">
        <f>(E355/100000+F355/100+(P355/1000)*J355/5+S355/200)*200*I355*H355</f>
        <v/>
      </c>
      <c r="U355">
        <f>((E355*F355/25000)+((P355/1000)*J355*S355/2.5))*I355*H355</f>
        <v/>
      </c>
      <c r="V355">
        <f>(E355*F355*(P355/1000)*J355*S355*I355*H355)/12500000</f>
        <v/>
      </c>
      <c r="W355">
        <f>800*(T355/800+U355/800+V355/800)/3</f>
        <v/>
      </c>
      <c r="X355" s="6" t="n">
        <v>2500</v>
      </c>
      <c r="Y355">
        <f>IFERROR(W355-X355,"")</f>
        <v/>
      </c>
      <c r="Z355">
        <f>IFERROR(ABS(Y355)/MAX(X355,1),"")</f>
        <v/>
      </c>
      <c r="AA355">
        <f>IFERROR((X355-(((E355/100000+F355/100+S355/200)*200*I355*H355)+((E355*F355/25000)*I355*H355))/3)/(((J355/5)*200*I355*H355)+((J355*S355/2.5)*I355*H355)+((E355*F355*J355*S355*I355*H355)/12500000))/3*1000,"")</f>
        <v/>
      </c>
    </row>
    <row r="356">
      <c r="B356" s="7" t="inlineStr">
        <is>
          <t xml:space="preserve">  ↳ CabalBeholderLaser</t>
        </is>
      </c>
      <c r="C356" s="7" t="inlineStr">
        <is>
          <t>Armament@PRIMARY</t>
        </is>
      </c>
      <c r="L356" s="6" t="n">
        <v>10000</v>
      </c>
      <c r="M356" s="6" t="n">
        <v>50</v>
      </c>
      <c r="N356" s="6" t="n">
        <v>2</v>
      </c>
      <c r="O356" s="6" t="n">
        <v>5</v>
      </c>
      <c r="P356" s="6" t="n">
        <v>2500</v>
      </c>
      <c r="Q356" s="6" t="n">
        <v>1.125</v>
      </c>
      <c r="R356">
        <f>M356+IF(N356&gt;1,N(O356)*(N356-1),0)</f>
        <v/>
      </c>
      <c r="S356">
        <f>IFERROR(L356*MAX(N356,1)/R356*Q356*IF(ISBLANK(K355),1,K355),0)</f>
        <v/>
      </c>
      <c r="AB356" s="7" t="inlineStr">
        <is>
          <t>^HeavyCannon, ^TeslaWeapon, ^RailgunWeapon, ^LaserWeapon</t>
        </is>
      </c>
    </row>
    <row r="357">
      <c r="A357" t="inlineStr">
        <is>
          <t>tiberiansun</t>
        </is>
      </c>
      <c r="B357" t="inlineStr">
        <is>
          <t>cabal_berserker</t>
        </is>
      </c>
      <c r="C357" t="inlineStr">
        <is>
          <t>Berserker</t>
        </is>
      </c>
      <c r="D357" s="6" t="inlineStr">
        <is>
          <t>LineBreaker</t>
        </is>
      </c>
      <c r="E357" s="6" t="n">
        <v>800000</v>
      </c>
      <c r="F357" s="6" t="n">
        <v>60</v>
      </c>
      <c r="G357" t="inlineStr">
        <is>
          <t>Heavy</t>
        </is>
      </c>
      <c r="H357" s="6" t="n">
        <v>0.5</v>
      </c>
      <c r="I357" s="6" t="n">
        <v>1</v>
      </c>
      <c r="J357" s="6" t="n">
        <v>1</v>
      </c>
      <c r="K357" s="6" t="n"/>
      <c r="P357">
        <f>MAX(P358)</f>
        <v/>
      </c>
      <c r="S357">
        <f>S358</f>
        <v/>
      </c>
      <c r="T357">
        <f>(E357/100000+F357/100+(P357/1000)*J357/5+S357/200)*200*I357*H357</f>
        <v/>
      </c>
      <c r="U357">
        <f>((E357*F357/25000)+((P357/1000)*J357*S357/2.5))*I357*H357</f>
        <v/>
      </c>
      <c r="V357">
        <f>(E357*F357*(P357/1000)*J357*S357*I357*H357)/12500000</f>
        <v/>
      </c>
      <c r="W357">
        <f>800*(T357/800+U357/800+V357/800)/3</f>
        <v/>
      </c>
      <c r="X357" s="6" t="n">
        <v>10000</v>
      </c>
      <c r="Y357">
        <f>IFERROR(W357-X357,"")</f>
        <v/>
      </c>
      <c r="Z357">
        <f>IFERROR(ABS(Y357)/MAX(X357,1),"")</f>
        <v/>
      </c>
      <c r="AA357">
        <f>IFERROR((X357-(((E357/100000+F357/100+S357/200)*200*I357*H357)+((E357*F357/25000)*I357*H357))/3)/(((J357/5)*200*I357*H357)+((J357*S357/2.5)*I357*H357)+((E357*F357*J357*S357*I357*H357)/12500000))/3*1000,"")</f>
        <v/>
      </c>
    </row>
    <row r="358">
      <c r="B358" s="7" t="inlineStr">
        <is>
          <t xml:space="preserve">  ↳ CabalBerserkerBlades</t>
        </is>
      </c>
      <c r="C358" s="7" t="inlineStr">
        <is>
          <t>Armament@PRIMARY</t>
        </is>
      </c>
      <c r="L358" s="6" t="n">
        <v>74000</v>
      </c>
      <c r="M358" s="6" t="n">
        <v>30</v>
      </c>
      <c r="N358" s="6" t="n">
        <v>3</v>
      </c>
      <c r="O358" s="6" t="n">
        <v>5</v>
      </c>
      <c r="P358" s="6" t="n">
        <v>2048</v>
      </c>
      <c r="Q358" s="6" t="n">
        <v>1</v>
      </c>
      <c r="R358">
        <f>M358+IF(N358&gt;1,N(O358)*(N358-1),0)</f>
        <v/>
      </c>
      <c r="S358">
        <f>IFERROR(L358*MAX(N358,1)/R358*Q358*IF(ISBLANK(K357),1,K357),0)</f>
        <v/>
      </c>
      <c r="AB358" s="7" t="inlineStr">
        <is>
          <t>^SwordWeapon</t>
        </is>
      </c>
    </row>
    <row r="359">
      <c r="A359" t="inlineStr">
        <is>
          <t>tiberiansun</t>
        </is>
      </c>
      <c r="B359" t="inlineStr">
        <is>
          <t>cabal_ravager</t>
        </is>
      </c>
      <c r="C359" t="inlineStr">
        <is>
          <t>Ravager</t>
        </is>
      </c>
      <c r="D359" s="6" t="inlineStr">
        <is>
          <t>LineBreaker</t>
        </is>
      </c>
      <c r="E359" s="6" t="n">
        <v>70000</v>
      </c>
      <c r="F359" s="6" t="n">
        <v>130</v>
      </c>
      <c r="G359" t="inlineStr">
        <is>
          <t>Plate</t>
        </is>
      </c>
      <c r="H359" s="6" t="n">
        <v>1</v>
      </c>
      <c r="I359" s="6" t="n">
        <v>0.8</v>
      </c>
      <c r="J359" s="6" t="n">
        <v>1</v>
      </c>
      <c r="K359" s="6" t="n"/>
      <c r="P359">
        <f>MAX(P360,P361)</f>
        <v/>
      </c>
      <c r="S359">
        <f>S360+S361</f>
        <v/>
      </c>
      <c r="T359">
        <f>(E359/100000+F359/100+(P359/1000)*J359/5+S359/200)*200*I359*H359</f>
        <v/>
      </c>
      <c r="U359">
        <f>((E359*F359/25000)+((P359/1000)*J359*S359/2.5))*I359*H359</f>
        <v/>
      </c>
      <c r="V359">
        <f>(E359*F359*(P359/1000)*J359*S359*I359*H359)/12500000</f>
        <v/>
      </c>
      <c r="W359">
        <f>800*(T359/800+U359/800+V359/800)/3</f>
        <v/>
      </c>
      <c r="X359" s="6" t="n">
        <v>1500</v>
      </c>
      <c r="Y359">
        <f>IFERROR(W359-X359,"")</f>
        <v/>
      </c>
      <c r="Z359">
        <f>IFERROR(ABS(Y359)/MAX(X359,1),"")</f>
        <v/>
      </c>
      <c r="AA359">
        <f>IFERROR((X359-(((E359/100000+F359/100+S359/200)*200*I359*H359)+((E359*F359/25000)*I359*H359))/3)/(((J359/5)*200*I359*H359)+((J359*S359/2.5)*I359*H359)+((E359*F359*J359*S359*I359*H359)/12500000))/3*1000,"")</f>
        <v/>
      </c>
    </row>
    <row r="360">
      <c r="B360" s="7" t="inlineStr">
        <is>
          <t xml:space="preserve">  ↳ CabalRavagerPlasma</t>
        </is>
      </c>
      <c r="C360" s="7" t="inlineStr">
        <is>
          <t>Armament@PRIMARY</t>
        </is>
      </c>
      <c r="L360" s="6" t="n">
        <v>32000</v>
      </c>
      <c r="M360" s="6" t="n">
        <v>30</v>
      </c>
      <c r="N360" s="6" t="n">
        <v>1</v>
      </c>
      <c r="O360" s="6" t="n"/>
      <c r="P360" s="6" t="n">
        <v>3000</v>
      </c>
      <c r="Q360" s="6" t="n">
        <v>1</v>
      </c>
      <c r="R360">
        <f>M360+IF(N360&gt;1,N(O360)*(N360-1),0)</f>
        <v/>
      </c>
      <c r="S360">
        <f>IFERROR(L360*MAX(N360,1)/R360*Q360*IF(ISBLANK(K359),1,K359),0)</f>
        <v/>
      </c>
      <c r="AB360" s="7" t="inlineStr">
        <is>
          <t>^MediumChemicalWeapon</t>
        </is>
      </c>
    </row>
    <row r="361">
      <c r="B361" s="7" t="inlineStr">
        <is>
          <t xml:space="preserve">  ↳ CabalRavagerPlasmaNeutron</t>
        </is>
      </c>
      <c r="C361" s="7" t="inlineStr">
        <is>
          <t>Armament@Upgraded</t>
        </is>
      </c>
      <c r="L361" s="6" t="n">
        <v>32000</v>
      </c>
      <c r="M361" s="6" t="n">
        <v>30</v>
      </c>
      <c r="N361" s="6" t="n">
        <v>1</v>
      </c>
      <c r="O361" s="6" t="n"/>
      <c r="P361" s="6" t="n">
        <v>3000</v>
      </c>
      <c r="Q361" s="6" t="n">
        <v>1</v>
      </c>
      <c r="R361">
        <f>M361+IF(N361&gt;1,N(O361)*(N361-1),0)</f>
        <v/>
      </c>
      <c r="S361">
        <f>IFERROR(L361*MAX(N361,1)/R361*Q361*IF(ISBLANK(K359),1,K359),0)</f>
        <v/>
      </c>
      <c r="AB361" s="7" t="inlineStr">
        <is>
          <t>^MediumChemicalWeapon</t>
        </is>
      </c>
    </row>
    <row r="362">
      <c r="A362" t="inlineStr">
        <is>
          <t>tiberiansun</t>
        </is>
      </c>
      <c r="B362" t="inlineStr">
        <is>
          <t>ts_nod_devilstongue</t>
        </is>
      </c>
      <c r="C362" t="inlineStr">
        <is>
          <t>Devil's Tongue</t>
        </is>
      </c>
      <c r="D362" s="6" t="inlineStr">
        <is>
          <t>LineBreaker</t>
        </is>
      </c>
      <c r="E362" s="6" t="n">
        <v>100000</v>
      </c>
      <c r="F362" s="6" t="n">
        <v>70</v>
      </c>
      <c r="G362" t="inlineStr">
        <is>
          <t>Heavy</t>
        </is>
      </c>
      <c r="H362" s="6" t="n">
        <v>1</v>
      </c>
      <c r="I362" s="6" t="n">
        <v>1</v>
      </c>
      <c r="J362" s="6" t="n">
        <v>1</v>
      </c>
      <c r="K362" s="6" t="n"/>
      <c r="P362">
        <f>MAX(P363)</f>
        <v/>
      </c>
      <c r="S362">
        <f>S363</f>
        <v/>
      </c>
      <c r="T362">
        <f>(E362/100000+F362/100+(P362/1000)*J362/5+S362/200)*200*I362*H362</f>
        <v/>
      </c>
      <c r="U362">
        <f>((E362*F362/25000)+((P362/1000)*J362*S362/2.5))*I362*H362</f>
        <v/>
      </c>
      <c r="V362">
        <f>(E362*F362*(P362/1000)*J362*S362*I362*H362)/12500000</f>
        <v/>
      </c>
      <c r="W362">
        <f>800*(T362/800+U362/800+V362/800)/3</f>
        <v/>
      </c>
      <c r="X362" s="6" t="n">
        <v>1150</v>
      </c>
      <c r="Y362">
        <f>IFERROR(W362-X362,"")</f>
        <v/>
      </c>
      <c r="Z362">
        <f>IFERROR(ABS(Y362)/MAX(X362,1),"")</f>
        <v/>
      </c>
      <c r="AA362">
        <f>IFERROR((X362-(((E362/100000+F362/100+S362/200)*200*I362*H362)+((E362*F362/25000)*I362*H362))/3)/(((J362/5)*200*I362*H362)+((J362*S362/2.5)*I362*H362)+((E362*F362*J362*S362*I362*H362)/12500000))/3*1000,"")</f>
        <v/>
      </c>
    </row>
    <row r="363">
      <c r="B363" s="7" t="inlineStr">
        <is>
          <t xml:space="preserve">  ↳ TSFireballLauncher</t>
        </is>
      </c>
      <c r="C363" s="7" t="inlineStr">
        <is>
          <t>Armament@PRIMARY</t>
        </is>
      </c>
      <c r="L363" s="6" t="n">
        <v>8000</v>
      </c>
      <c r="M363" s="6" t="n">
        <v>52</v>
      </c>
      <c r="N363" s="6" t="n">
        <v>5</v>
      </c>
      <c r="O363" s="6" t="n">
        <v>2</v>
      </c>
      <c r="P363" s="6" t="n">
        <v>4250</v>
      </c>
      <c r="Q363" s="6" t="n">
        <v>1</v>
      </c>
      <c r="R363">
        <f>M363+IF(N363&gt;1,N(O363)*(N363-1),0)</f>
        <v/>
      </c>
      <c r="S363">
        <f>IFERROR(L363*MAX(N363,1)/R363*Q363*IF(ISBLANK(K362),1,K362),0)</f>
        <v/>
      </c>
      <c r="AB363" s="7" t="inlineStr">
        <is>
          <t>^MediumFlameWeapon</t>
        </is>
      </c>
    </row>
    <row r="364">
      <c r="A364" t="inlineStr">
        <is>
          <t>tiberiansun</t>
        </is>
      </c>
      <c r="B364" t="inlineStr">
        <is>
          <t>ts_gdi_disruptor</t>
        </is>
      </c>
      <c r="C364" t="inlineStr">
        <is>
          <t>Disruptor</t>
        </is>
      </c>
      <c r="D364" s="6" t="inlineStr">
        <is>
          <t>LineBreaker</t>
        </is>
      </c>
      <c r="E364" s="6" t="n">
        <v>250000</v>
      </c>
      <c r="F364" s="6" t="n">
        <v>50</v>
      </c>
      <c r="G364" t="inlineStr">
        <is>
          <t>Heavy</t>
        </is>
      </c>
      <c r="H364" s="6" t="n">
        <v>1</v>
      </c>
      <c r="I364" s="6" t="n">
        <v>1</v>
      </c>
      <c r="J364" s="6" t="n">
        <v>1</v>
      </c>
      <c r="K364" s="6" t="n"/>
      <c r="P364">
        <f>MAX(P365,P366)</f>
        <v/>
      </c>
      <c r="S364">
        <f>S365+S366</f>
        <v/>
      </c>
      <c r="T364">
        <f>(E364/100000+F364/100+(P364/1000)*J364/5+S364/200)*200*I364*H364</f>
        <v/>
      </c>
      <c r="U364">
        <f>((E364*F364/25000)+((P364/1000)*J364*S364/2.5))*I364*H364</f>
        <v/>
      </c>
      <c r="V364">
        <f>(E364*F364*(P364/1000)*J364*S364*I364*H364)/12500000</f>
        <v/>
      </c>
      <c r="W364">
        <f>800*(T364/800+U364/800+V364/800)/3</f>
        <v/>
      </c>
      <c r="X364" s="6" t="n">
        <v>2400</v>
      </c>
      <c r="Y364">
        <f>IFERROR(W364-X364,"")</f>
        <v/>
      </c>
      <c r="Z364">
        <f>IFERROR(ABS(Y364)/MAX(X364,1),"")</f>
        <v/>
      </c>
      <c r="AA364">
        <f>IFERROR((X364-(((E364/100000+F364/100+S364/200)*200*I364*H364)+((E364*F364/25000)*I364*H364))/3)/(((J364/5)*200*I364*H364)+((J364*S364/2.5)*I364*H364)+((E364*F364*J364*S364*I364*H364)/12500000))/3*1000,"")</f>
        <v/>
      </c>
    </row>
    <row r="365">
      <c r="B365" s="7" t="inlineStr">
        <is>
          <t xml:space="preserve">  ↳ TSSonicZapWeapon</t>
        </is>
      </c>
      <c r="C365" s="7" t="inlineStr">
        <is>
          <t>Armament@PRIMARY</t>
        </is>
      </c>
      <c r="L365" s="6" t="n">
        <v>2000</v>
      </c>
      <c r="M365" s="6" t="n">
        <v>60</v>
      </c>
      <c r="N365" s="6" t="n">
        <v>1</v>
      </c>
      <c r="O365" s="6" t="n"/>
      <c r="P365" s="6" t="n">
        <v>4050</v>
      </c>
      <c r="Q365" s="6" t="n">
        <v>1</v>
      </c>
      <c r="R365">
        <f>M365+IF(N365&gt;1,N(O365)*(N365-1),0)</f>
        <v/>
      </c>
      <c r="S365">
        <f>IFERROR(L365*MAX(N365,1)/R365*Q365*IF(ISBLANK(K364),1,K364),0)</f>
        <v/>
      </c>
      <c r="AB365" s="7" t="inlineStr">
        <is>
          <t>^TeslaWeapon, ^MagicWeapon</t>
        </is>
      </c>
    </row>
    <row r="366">
      <c r="B366" s="7" t="inlineStr">
        <is>
          <t xml:space="preserve">  ↳ TSSonicZapWeaponSonic</t>
        </is>
      </c>
      <c r="C366" s="7" t="inlineStr">
        <is>
          <t>Armament@Upgrade</t>
        </is>
      </c>
      <c r="L366" s="6" t="n">
        <v>4000</v>
      </c>
      <c r="M366" s="6" t="n">
        <v>60</v>
      </c>
      <c r="N366" s="6" t="n">
        <v>1</v>
      </c>
      <c r="O366" s="6" t="n"/>
      <c r="P366" s="6" t="n">
        <v>4050</v>
      </c>
      <c r="Q366" s="6" t="n">
        <v>1</v>
      </c>
      <c r="R366">
        <f>M366+IF(N366&gt;1,N(O366)*(N366-1),0)</f>
        <v/>
      </c>
      <c r="S366">
        <f>IFERROR(L366*MAX(N366,1)/R366*Q366*IF(ISBLANK(K364),1,K364),0)</f>
        <v/>
      </c>
      <c r="AB366" s="7" t="inlineStr">
        <is>
          <t>^TeslaWeapon, ^MagicWeapon</t>
        </is>
      </c>
    </row>
    <row r="367">
      <c r="A367" t="inlineStr">
        <is>
          <t>tiberiansun</t>
        </is>
      </c>
      <c r="B367" t="inlineStr">
        <is>
          <t>ts_gdi_mobileemp</t>
        </is>
      </c>
      <c r="C367" t="inlineStr">
        <is>
          <t>Mobile EMP</t>
        </is>
      </c>
      <c r="D367" s="6" t="inlineStr">
        <is>
          <t>LineBreaker</t>
        </is>
      </c>
      <c r="E367" s="6" t="n">
        <v>150000</v>
      </c>
      <c r="F367" s="6" t="n">
        <v>100</v>
      </c>
      <c r="G367" t="inlineStr">
        <is>
          <t>Heavy</t>
        </is>
      </c>
      <c r="H367" s="6" t="n">
        <v>1</v>
      </c>
      <c r="I367" s="6" t="n">
        <v>1</v>
      </c>
      <c r="J367" s="6" t="n">
        <v>1</v>
      </c>
      <c r="K367" s="6" t="n"/>
      <c r="P367">
        <f>MAX(P368)</f>
        <v/>
      </c>
      <c r="S367">
        <f>S368</f>
        <v/>
      </c>
      <c r="T367">
        <f>(E367/100000+F367/100+(P367/1000)*J367/5+S367/200)*200*I367*H367</f>
        <v/>
      </c>
      <c r="U367">
        <f>((E367*F367/25000)+((P367/1000)*J367*S367/2.5))*I367*H367</f>
        <v/>
      </c>
      <c r="V367">
        <f>(E367*F367*(P367/1000)*J367*S367*I367*H367)/12500000</f>
        <v/>
      </c>
      <c r="W367">
        <f>800*(T367/800+U367/800+V367/800)/3</f>
        <v/>
      </c>
      <c r="X367" s="6" t="n">
        <v>1400</v>
      </c>
      <c r="Y367">
        <f>IFERROR(W367-X367,"")</f>
        <v/>
      </c>
      <c r="Z367">
        <f>IFERROR(ABS(Y367)/MAX(X367,1),"")</f>
        <v/>
      </c>
      <c r="AA367">
        <f>IFERROR((X367-(((E367/100000+F367/100+S367/200)*200*I367*H367)+((E367*F367/25000)*I367*H367))/3)/(((J367/5)*200*I367*H367)+((J367*S367/2.5)*I367*H367)+((E367*F367*J367*S367*I367*H367)/12500000))/3*1000,"")</f>
        <v/>
      </c>
    </row>
    <row r="368">
      <c r="B368" s="7" t="inlineStr">
        <is>
          <t xml:space="preserve">  ↳ TSMobileEMP</t>
        </is>
      </c>
      <c r="C368" s="7" t="inlineStr">
        <is>
          <t>Armament</t>
        </is>
      </c>
      <c r="L368" s="6" t="n">
        <v>64000</v>
      </c>
      <c r="M368" s="6" t="n">
        <v>200</v>
      </c>
      <c r="N368" s="6" t="n">
        <v>1</v>
      </c>
      <c r="O368" s="6" t="n"/>
      <c r="P368" s="6" t="n">
        <v>1512</v>
      </c>
      <c r="Q368" s="6" t="n">
        <v>1</v>
      </c>
      <c r="R368">
        <f>M368+IF(N368&gt;1,N(O368)*(N368-1),0)</f>
        <v/>
      </c>
      <c r="S368">
        <f>IFERROR(L368*MAX(N368,1)/R368*Q368*IF(ISBLANK(K367),1,K367),0)</f>
        <v/>
      </c>
      <c r="AB368" s="7" t="inlineStr">
        <is>
          <t>^TeslaWeapon</t>
        </is>
      </c>
    </row>
    <row r="369">
      <c r="A369" t="inlineStr">
        <is>
          <t>tiberiansun</t>
        </is>
      </c>
      <c r="B369" t="inlineStr">
        <is>
          <t>forgotten_closhtank</t>
        </is>
      </c>
      <c r="C369" t="inlineStr">
        <is>
          <t>actor_forgotten_closhtank.name</t>
        </is>
      </c>
      <c r="D369" s="6" t="inlineStr">
        <is>
          <t>LineBreaker</t>
        </is>
      </c>
      <c r="E369" s="6" t="n">
        <v>120000</v>
      </c>
      <c r="F369" s="6" t="n">
        <v>80</v>
      </c>
      <c r="G369" t="inlineStr">
        <is>
          <t>Heavy</t>
        </is>
      </c>
      <c r="H369" s="6" t="n">
        <v>1</v>
      </c>
      <c r="I369" s="6" t="n">
        <v>1</v>
      </c>
      <c r="J369" s="6" t="n">
        <v>1</v>
      </c>
      <c r="K369" s="6" t="n"/>
      <c r="P369">
        <f>MAX(P370,P371)</f>
        <v/>
      </c>
      <c r="S369">
        <f>S370+S371</f>
        <v/>
      </c>
      <c r="T369">
        <f>(E369/100000+F369/100+(P369/1000)*J369/5+S369/200)*200*I369*H369</f>
        <v/>
      </c>
      <c r="U369">
        <f>((E369*F369/25000)+((P369/1000)*J369*S369/2.5))*I369*H369</f>
        <v/>
      </c>
      <c r="V369">
        <f>(E369*F369*(P369/1000)*J369*S369*I369*H369)/12500000</f>
        <v/>
      </c>
      <c r="W369">
        <f>800*(T369/800+U369/800+V369/800)/3</f>
        <v/>
      </c>
      <c r="X369" s="6" t="n">
        <v>1000</v>
      </c>
      <c r="Y369">
        <f>IFERROR(W369-X369,"")</f>
        <v/>
      </c>
      <c r="Z369">
        <f>IFERROR(ABS(Y369)/MAX(X369,1),"")</f>
        <v/>
      </c>
      <c r="AA369">
        <f>IFERROR((X369-(((E369/100000+F369/100+S369/200)*200*I369*H369)+((E369*F369/25000)*I369*H369))/3)/(((J369/5)*200*I369*H369)+((J369*S369/2.5)*I369*H369)+((E369*F369*J369*S369*I369*H369)/12500000))/3*1000,"")</f>
        <v/>
      </c>
    </row>
    <row r="370">
      <c r="B370" s="7" t="inlineStr">
        <is>
          <t xml:space="preserve">  ↳ MutFlamer</t>
        </is>
      </c>
      <c r="C370" s="7" t="inlineStr">
        <is>
          <t>Armament@PRIMARY</t>
        </is>
      </c>
      <c r="L370" s="6" t="n">
        <v>28000</v>
      </c>
      <c r="M370" s="6" t="n">
        <v>50</v>
      </c>
      <c r="N370" s="6" t="n">
        <v>1</v>
      </c>
      <c r="O370" s="6" t="n"/>
      <c r="P370" s="6" t="n">
        <v>2386</v>
      </c>
      <c r="Q370" s="6" t="n">
        <v>1</v>
      </c>
      <c r="R370">
        <f>M370+IF(N370&gt;1,N(O370)*(N370-1),0)</f>
        <v/>
      </c>
      <c r="S370">
        <f>IFERROR(L370*MAX(N370,1)/R370*Q370*IF(ISBLANK(K369),1,K369),0)</f>
        <v/>
      </c>
      <c r="AB370" s="7" t="inlineStr">
        <is>
          <t>^MediumFlameWeapon</t>
        </is>
      </c>
    </row>
    <row r="371">
      <c r="B371" s="7" t="inlineStr">
        <is>
          <t xml:space="preserve">  ↳ MutFlamerChem</t>
        </is>
      </c>
      <c r="C371" s="7" t="inlineStr">
        <is>
          <t>Armament@UPGRADE</t>
        </is>
      </c>
      <c r="L371" s="6" t="n">
        <v>28000</v>
      </c>
      <c r="M371" s="6" t="n">
        <v>50</v>
      </c>
      <c r="N371" s="6" t="n">
        <v>1</v>
      </c>
      <c r="O371" s="6" t="n"/>
      <c r="P371" s="6" t="n">
        <v>2386</v>
      </c>
      <c r="Q371" s="6" t="n">
        <v>1</v>
      </c>
      <c r="R371">
        <f>M371+IF(N371&gt;1,N(O371)*(N371-1),0)</f>
        <v/>
      </c>
      <c r="S371">
        <f>IFERROR(L371*MAX(N371,1)/R371*Q371*IF(ISBLANK(K369),1,K369),0)</f>
        <v/>
      </c>
      <c r="AB371" s="7" t="inlineStr">
        <is>
          <t>^MediumFlameWeapon, ^MediumChemicalWeapon</t>
        </is>
      </c>
    </row>
    <row r="372">
      <c r="A372" t="inlineStr">
        <is>
          <t>tiberiansun</t>
        </is>
      </c>
      <c r="B372" t="inlineStr">
        <is>
          <t>forgotten_flametank</t>
        </is>
      </c>
      <c r="C372" t="inlineStr">
        <is>
          <t>actor_forgotten_flametank.name</t>
        </is>
      </c>
      <c r="D372" s="6" t="inlineStr">
        <is>
          <t>LineBreaker</t>
        </is>
      </c>
      <c r="E372" s="6" t="n">
        <v>200000</v>
      </c>
      <c r="F372" s="6" t="n">
        <v>80</v>
      </c>
      <c r="G372" t="inlineStr">
        <is>
          <t>Heavy</t>
        </is>
      </c>
      <c r="H372" s="6" t="n">
        <v>1</v>
      </c>
      <c r="I372" s="6" t="n">
        <v>1</v>
      </c>
      <c r="J372" s="6" t="n">
        <v>1</v>
      </c>
      <c r="K372" s="6" t="n"/>
      <c r="P372">
        <f>MAX(P373,P374)</f>
        <v/>
      </c>
      <c r="S372">
        <f>S373+S374</f>
        <v/>
      </c>
      <c r="T372">
        <f>(E372/100000+F372/100+(P372/1000)*J372/5+S372/200)*200*I372*H372</f>
        <v/>
      </c>
      <c r="U372">
        <f>((E372*F372/25000)+((P372/1000)*J372*S372/2.5))*I372*H372</f>
        <v/>
      </c>
      <c r="V372">
        <f>(E372*F372*(P372/1000)*J372*S372*I372*H372)/12500000</f>
        <v/>
      </c>
      <c r="W372">
        <f>800*(T372/800+U372/800+V372/800)/3</f>
        <v/>
      </c>
      <c r="X372" s="6" t="n">
        <v>1300</v>
      </c>
      <c r="Y372">
        <f>IFERROR(W372-X372,"")</f>
        <v/>
      </c>
      <c r="Z372">
        <f>IFERROR(ABS(Y372)/MAX(X372,1),"")</f>
        <v/>
      </c>
      <c r="AA372">
        <f>IFERROR((X372-(((E372/100000+F372/100+S372/200)*200*I372*H372)+((E372*F372/25000)*I372*H372))/3)/(((J372/5)*200*I372*H372)+((J372*S372/2.5)*I372*H372)+((E372*F372*J372*S372*I372*H372)/12500000))/3*1000,"")</f>
        <v/>
      </c>
    </row>
    <row r="373">
      <c r="B373" s="7" t="inlineStr">
        <is>
          <t xml:space="preserve">  ↳ MutHFlamer</t>
        </is>
      </c>
      <c r="C373" s="7" t="inlineStr">
        <is>
          <t>Armament@PRIMARY</t>
        </is>
      </c>
      <c r="L373" s="6" t="n">
        <v>20000</v>
      </c>
      <c r="M373" s="6" t="n">
        <v>65</v>
      </c>
      <c r="N373" s="6" t="n">
        <v>1</v>
      </c>
      <c r="O373" s="6" t="n"/>
      <c r="P373" s="6" t="n">
        <v>2425</v>
      </c>
      <c r="Q373" s="6" t="n">
        <v>1.125</v>
      </c>
      <c r="R373">
        <f>M373+IF(N373&gt;1,N(O373)*(N373-1),0)</f>
        <v/>
      </c>
      <c r="S373">
        <f>IFERROR(L373*MAX(N373,1)/R373*Q373*IF(ISBLANK(K372),1,K372),0)</f>
        <v/>
      </c>
      <c r="AB373" s="7" t="inlineStr">
        <is>
          <t>^MediumFlameWeapon, ^HeavyFlameWeapon</t>
        </is>
      </c>
    </row>
    <row r="374">
      <c r="B374" s="7" t="inlineStr">
        <is>
          <t xml:space="preserve">  ↳ MutHFlamerChem</t>
        </is>
      </c>
      <c r="C374" s="7" t="inlineStr">
        <is>
          <t>Armament@UPGRADE</t>
        </is>
      </c>
      <c r="L374" s="6" t="n">
        <v>20000</v>
      </c>
      <c r="M374" s="6" t="n">
        <v>65</v>
      </c>
      <c r="N374" s="6" t="n">
        <v>1</v>
      </c>
      <c r="O374" s="6" t="n"/>
      <c r="P374" s="6" t="n">
        <v>2425</v>
      </c>
      <c r="Q374" s="6" t="n">
        <v>1.125</v>
      </c>
      <c r="R374">
        <f>M374+IF(N374&gt;1,N(O374)*(N374-1),0)</f>
        <v/>
      </c>
      <c r="S374">
        <f>IFERROR(L374*MAX(N374,1)/R374*Q374*IF(ISBLANK(K372),1,K372),0)</f>
        <v/>
      </c>
      <c r="AB374" s="7" t="inlineStr">
        <is>
          <t>^MediumFlameWeapon, ^HeavyFlameWeapon, ^MediumChemicalWeapon, ^HeavyChemicalWeapon</t>
        </is>
      </c>
    </row>
    <row r="375">
      <c r="A375" t="inlineStr">
        <is>
          <t>tiberiansun</t>
        </is>
      </c>
      <c r="B375" t="inlineStr">
        <is>
          <t>forgotten_thumperbus</t>
        </is>
      </c>
      <c r="C375" t="inlineStr">
        <is>
          <t>actor_forgotten_thumperbus.name</t>
        </is>
      </c>
      <c r="D375" s="6" t="inlineStr">
        <is>
          <t>LineBreaker</t>
        </is>
      </c>
      <c r="E375" s="6" t="n">
        <v>200000</v>
      </c>
      <c r="F375" s="6" t="n">
        <v>90</v>
      </c>
      <c r="G375" t="inlineStr">
        <is>
          <t>Heavy</t>
        </is>
      </c>
      <c r="H375" s="6" t="n">
        <v>1</v>
      </c>
      <c r="I375" s="6" t="n">
        <v>1</v>
      </c>
      <c r="J375" s="6" t="n">
        <v>1</v>
      </c>
      <c r="K375" s="6" t="n"/>
      <c r="P375">
        <f>MAX(P376,P377)</f>
        <v/>
      </c>
      <c r="S375">
        <f>S376+S377</f>
        <v/>
      </c>
      <c r="T375">
        <f>(E375/100000+F375/100+(P375/1000)*J375/5+S375/200)*200*I375*H375</f>
        <v/>
      </c>
      <c r="U375">
        <f>((E375*F375/25000)+((P375/1000)*J375*S375/2.5))*I375*H375</f>
        <v/>
      </c>
      <c r="V375">
        <f>(E375*F375*(P375/1000)*J375*S375*I375*H375)/12500000</f>
        <v/>
      </c>
      <c r="W375">
        <f>800*(T375/800+U375/800+V375/800)/3</f>
        <v/>
      </c>
      <c r="X375" s="6" t="n">
        <v>5200</v>
      </c>
      <c r="Y375">
        <f>IFERROR(W375-X375,"")</f>
        <v/>
      </c>
      <c r="Z375">
        <f>IFERROR(ABS(Y375)/MAX(X375,1),"")</f>
        <v/>
      </c>
      <c r="AA375">
        <f>IFERROR((X375-(((E375/100000+F375/100+S375/200)*200*I375*H375)+((E375*F375/25000)*I375*H375))/3)/(((J375/5)*200*I375*H375)+((J375*S375/2.5)*I375*H375)+((E375*F375*J375*S375*I375*H375)/12500000))/3*1000,"")</f>
        <v/>
      </c>
    </row>
    <row r="376">
      <c r="B376" s="7" t="inlineStr">
        <is>
          <t xml:space="preserve">  ↳ TSBusMortar</t>
        </is>
      </c>
      <c r="C376" s="7" t="inlineStr">
        <is>
          <t>Armament@PRIMARY</t>
        </is>
      </c>
      <c r="L376" s="6" t="n">
        <v>32000</v>
      </c>
      <c r="M376" s="6" t="n">
        <v>120</v>
      </c>
      <c r="N376" s="6" t="n">
        <v>1</v>
      </c>
      <c r="O376" s="6" t="n"/>
      <c r="P376" s="6" t="n">
        <v>7850</v>
      </c>
      <c r="Q376" s="6" t="n">
        <v>1.125</v>
      </c>
      <c r="R376">
        <f>M376+IF(N376&gt;1,N(O376)*(N376-1),0)</f>
        <v/>
      </c>
      <c r="S376">
        <f>IFERROR(L376*MAX(N376,1)/R376*Q376*IF(ISBLANK(K375),1,K375),0)</f>
        <v/>
      </c>
      <c r="AB376" s="7" t="inlineStr">
        <is>
          <t>^ShrapnelWeapon, ^HeavyBomb</t>
        </is>
      </c>
    </row>
    <row r="377">
      <c r="B377" s="7" t="inlineStr">
        <is>
          <t xml:space="preserve">  ↳ TSBusMortarChem</t>
        </is>
      </c>
      <c r="C377" s="7" t="inlineStr">
        <is>
          <t>Armament@UPGRADE</t>
        </is>
      </c>
      <c r="L377" s="6" t="n">
        <v>32000</v>
      </c>
      <c r="M377" s="6" t="n">
        <v>120</v>
      </c>
      <c r="N377" s="6" t="n">
        <v>1</v>
      </c>
      <c r="O377" s="6" t="n"/>
      <c r="P377" s="6" t="n">
        <v>7850</v>
      </c>
      <c r="Q377" s="6" t="n">
        <v>1.125</v>
      </c>
      <c r="R377">
        <f>M377+IF(N377&gt;1,N(O377)*(N377-1),0)</f>
        <v/>
      </c>
      <c r="S377">
        <f>IFERROR(L377*MAX(N377,1)/R377*Q377*IF(ISBLANK(K375),1,K375),0)</f>
        <v/>
      </c>
      <c r="AB377" s="7" t="inlineStr">
        <is>
          <t>^ShrapnelWeapon, ^HeavyBomb, ^MediumChemicalWeapon, ^HeavyChemicalWeapon</t>
        </is>
      </c>
    </row>
    <row r="378">
      <c r="A378" t="inlineStr">
        <is>
          <t>redalert2</t>
        </is>
      </c>
      <c r="B378" t="inlineStr">
        <is>
          <t>ra2_allies_battlefortress</t>
        </is>
      </c>
      <c r="C378" t="inlineStr">
        <is>
          <t>Battle Fortress</t>
        </is>
      </c>
      <c r="D378" s="6" t="inlineStr">
        <is>
          <t>LineBreaker</t>
        </is>
      </c>
      <c r="E378" s="6" t="n">
        <v>320000</v>
      </c>
      <c r="F378" s="6" t="n">
        <v>60</v>
      </c>
      <c r="G378" t="inlineStr">
        <is>
          <t>Heavy</t>
        </is>
      </c>
      <c r="H378" s="6" t="n">
        <v>1</v>
      </c>
      <c r="I378" s="6" t="n">
        <v>1</v>
      </c>
      <c r="J378" s="6" t="n">
        <v>1</v>
      </c>
      <c r="K378" s="6" t="n"/>
      <c r="P378">
        <f>MAX(P379)</f>
        <v/>
      </c>
      <c r="S378">
        <f>S379</f>
        <v/>
      </c>
      <c r="T378">
        <f>(E378/100000+F378/100+(P378/1000)*J378/5+S378/200)*200*I378*H378</f>
        <v/>
      </c>
      <c r="U378">
        <f>((E378*F378/25000)+((P378/1000)*J378*S378/2.5))*I378*H378</f>
        <v/>
      </c>
      <c r="V378">
        <f>(E378*F378*(P378/1000)*J378*S378*I378*H378)/12500000</f>
        <v/>
      </c>
      <c r="W378">
        <f>800*(T378/800+U378/800+V378/800)/3</f>
        <v/>
      </c>
      <c r="X378" s="6" t="n">
        <v>4000</v>
      </c>
      <c r="Y378">
        <f>IFERROR(W378-X378,"")</f>
        <v/>
      </c>
      <c r="Z378">
        <f>IFERROR(ABS(Y378)/MAX(X378,1),"")</f>
        <v/>
      </c>
      <c r="AA378">
        <f>IFERROR((X378-(((E378/100000+F378/100+S378/200)*200*I378*H378)+((E378*F378/25000)*I378*H378))/3)/(((J378/5)*200*I378*H378)+((J378*S378/2.5)*I378*H378)+((E378*F378*J378*S378*I378*H378)/12500000))/3*1000,"")</f>
        <v/>
      </c>
    </row>
    <row r="379">
      <c r="B379" s="7" t="inlineStr">
        <is>
          <t xml:space="preserve">  ↳ RA220mmrapid</t>
        </is>
      </c>
      <c r="C379" s="7" t="inlineStr">
        <is>
          <t>Armament</t>
        </is>
      </c>
      <c r="L379" s="6" t="n">
        <v>4000</v>
      </c>
      <c r="M379" s="6" t="n">
        <v>15</v>
      </c>
      <c r="N379" s="6" t="n">
        <v>1</v>
      </c>
      <c r="O379" s="6" t="n"/>
      <c r="P379" s="6" t="n">
        <v>5000</v>
      </c>
      <c r="Q379" s="6" t="n">
        <v>0.875</v>
      </c>
      <c r="R379">
        <f>M379+IF(N379&gt;1,N(O379)*(N379-1),0)</f>
        <v/>
      </c>
      <c r="S379">
        <f>IFERROR(L379*MAX(N379,1)/R379*Q379*IF(ISBLANK(K378),1,K378),0)</f>
        <v/>
      </c>
      <c r="AB379" s="7" t="inlineStr">
        <is>
          <t>^RA2SmallArms, ^RA2Chaingun</t>
        </is>
      </c>
    </row>
    <row r="380">
      <c r="A380" t="inlineStr">
        <is>
          <t>redalert2</t>
        </is>
      </c>
      <c r="B380" t="inlineStr">
        <is>
          <t>ra2_allies_battlefortress_2</t>
        </is>
      </c>
      <c r="C380" t="inlineStr">
        <is>
          <t>Battle Fortress</t>
        </is>
      </c>
      <c r="D380" s="6" t="inlineStr">
        <is>
          <t>LineBreaker</t>
        </is>
      </c>
      <c r="E380" s="6" t="n">
        <v>320000</v>
      </c>
      <c r="F380" s="6" t="n">
        <v>60</v>
      </c>
      <c r="G380" t="inlineStr">
        <is>
          <t>Heavy</t>
        </is>
      </c>
      <c r="H380" s="6" t="n">
        <v>1</v>
      </c>
      <c r="I380" s="6" t="n">
        <v>1</v>
      </c>
      <c r="J380" s="6" t="n">
        <v>1</v>
      </c>
      <c r="K380" s="6" t="n"/>
      <c r="P380">
        <f>MAX(P381)</f>
        <v/>
      </c>
      <c r="S380">
        <f>S381</f>
        <v/>
      </c>
      <c r="T380">
        <f>(E380/100000+F380/100+(P380/1000)*J380/5+S380/200)*200*I380*H380</f>
        <v/>
      </c>
      <c r="U380">
        <f>((E380*F380/25000)+((P380/1000)*J380*S380/2.5))*I380*H380</f>
        <v/>
      </c>
      <c r="V380">
        <f>(E380*F380*(P380/1000)*J380*S380*I380*H380)/12500000</f>
        <v/>
      </c>
      <c r="W380">
        <f>800*(T380/800+U380/800+V380/800)/3</f>
        <v/>
      </c>
      <c r="X380" s="6" t="n">
        <v>4000</v>
      </c>
      <c r="Y380">
        <f>IFERROR(W380-X380,"")</f>
        <v/>
      </c>
      <c r="Z380">
        <f>IFERROR(ABS(Y380)/MAX(X380,1),"")</f>
        <v/>
      </c>
      <c r="AA380">
        <f>IFERROR((X380-(((E380/100000+F380/100+S380/200)*200*I380*H380)+((E380*F380/25000)*I380*H380))/3)/(((J380/5)*200*I380*H380)+((J380*S380/2.5)*I380*H380)+((E380*F380*J380*S380*I380*H380)/12500000))/3*1000,"")</f>
        <v/>
      </c>
    </row>
    <row r="381">
      <c r="B381" s="7" t="inlineStr">
        <is>
          <t xml:space="preserve">  ↳ RA220mmrapid</t>
        </is>
      </c>
      <c r="C381" s="7" t="inlineStr">
        <is>
          <t>Armament</t>
        </is>
      </c>
      <c r="L381" s="6" t="n">
        <v>4000</v>
      </c>
      <c r="M381" s="6" t="n">
        <v>15</v>
      </c>
      <c r="N381" s="6" t="n">
        <v>1</v>
      </c>
      <c r="O381" s="6" t="n"/>
      <c r="P381" s="6" t="n">
        <v>5000</v>
      </c>
      <c r="Q381" s="6" t="n">
        <v>0.875</v>
      </c>
      <c r="R381">
        <f>M381+IF(N381&gt;1,N(O381)*(N381-1),0)</f>
        <v/>
      </c>
      <c r="S381">
        <f>IFERROR(L381*MAX(N381,1)/R381*Q381*IF(ISBLANK(K380),1,K380),0)</f>
        <v/>
      </c>
      <c r="AB381" s="7" t="inlineStr">
        <is>
          <t>^RA2SmallArms, ^RA2Chaingun</t>
        </is>
      </c>
    </row>
    <row r="382">
      <c r="A382" t="inlineStr">
        <is>
          <t>redalert2</t>
        </is>
      </c>
      <c r="B382" t="inlineStr">
        <is>
          <t>ra2_allies_battlefortress_3</t>
        </is>
      </c>
      <c r="C382" t="inlineStr">
        <is>
          <t>Battle Fortress</t>
        </is>
      </c>
      <c r="D382" s="6" t="inlineStr">
        <is>
          <t>LineBreaker</t>
        </is>
      </c>
      <c r="E382" s="6" t="n">
        <v>320000</v>
      </c>
      <c r="F382" s="6" t="n">
        <v>60</v>
      </c>
      <c r="G382" t="inlineStr">
        <is>
          <t>Heavy</t>
        </is>
      </c>
      <c r="H382" s="6" t="n">
        <v>1</v>
      </c>
      <c r="I382" s="6" t="n">
        <v>1</v>
      </c>
      <c r="J382" s="6" t="n">
        <v>1</v>
      </c>
      <c r="K382" s="6" t="n"/>
      <c r="P382">
        <f>MAX(P383)</f>
        <v/>
      </c>
      <c r="S382">
        <f>S383</f>
        <v/>
      </c>
      <c r="T382">
        <f>(E382/100000+F382/100+(P382/1000)*J382/5+S382/200)*200*I382*H382</f>
        <v/>
      </c>
      <c r="U382">
        <f>((E382*F382/25000)+((P382/1000)*J382*S382/2.5))*I382*H382</f>
        <v/>
      </c>
      <c r="V382">
        <f>(E382*F382*(P382/1000)*J382*S382*I382*H382)/12500000</f>
        <v/>
      </c>
      <c r="W382">
        <f>800*(T382/800+U382/800+V382/800)/3</f>
        <v/>
      </c>
      <c r="X382" s="6" t="n">
        <v>4000</v>
      </c>
      <c r="Y382">
        <f>IFERROR(W382-X382,"")</f>
        <v/>
      </c>
      <c r="Z382">
        <f>IFERROR(ABS(Y382)/MAX(X382,1),"")</f>
        <v/>
      </c>
      <c r="AA382">
        <f>IFERROR((X382-(((E382/100000+F382/100+S382/200)*200*I382*H382)+((E382*F382/25000)*I382*H382))/3)/(((J382/5)*200*I382*H382)+((J382*S382/2.5)*I382*H382)+((E382*F382*J382*S382*I382*H382)/12500000))/3*1000,"")</f>
        <v/>
      </c>
    </row>
    <row r="383">
      <c r="B383" s="7" t="inlineStr">
        <is>
          <t xml:space="preserve">  ↳ RA220mmrapid</t>
        </is>
      </c>
      <c r="C383" s="7" t="inlineStr">
        <is>
          <t>Armament</t>
        </is>
      </c>
      <c r="L383" s="6" t="n">
        <v>4000</v>
      </c>
      <c r="M383" s="6" t="n">
        <v>15</v>
      </c>
      <c r="N383" s="6" t="n">
        <v>1</v>
      </c>
      <c r="O383" s="6" t="n"/>
      <c r="P383" s="6" t="n">
        <v>5000</v>
      </c>
      <c r="Q383" s="6" t="n">
        <v>0.875</v>
      </c>
      <c r="R383">
        <f>M383+IF(N383&gt;1,N(O383)*(N383-1),0)</f>
        <v/>
      </c>
      <c r="S383">
        <f>IFERROR(L383*MAX(N383,1)/R383*Q383*IF(ISBLANK(K382),1,K382),0)</f>
        <v/>
      </c>
      <c r="AB383" s="7" t="inlineStr">
        <is>
          <t>^RA2SmallArms, ^RA2Chaingun</t>
        </is>
      </c>
    </row>
    <row r="384">
      <c r="A384" t="inlineStr">
        <is>
          <t>redalert2</t>
        </is>
      </c>
      <c r="B384" t="inlineStr">
        <is>
          <t>ra2_allies_tankdestroyer</t>
        </is>
      </c>
      <c r="C384" t="inlineStr">
        <is>
          <t>Tank Destroyer</t>
        </is>
      </c>
      <c r="D384" s="6" t="inlineStr">
        <is>
          <t>LineBreaker</t>
        </is>
      </c>
      <c r="E384" s="6" t="n">
        <v>145000</v>
      </c>
      <c r="F384" s="6" t="n">
        <v>65</v>
      </c>
      <c r="G384" t="inlineStr">
        <is>
          <t>Heavy</t>
        </is>
      </c>
      <c r="H384" s="6" t="n">
        <v>1</v>
      </c>
      <c r="I384" s="6" t="n">
        <v>1</v>
      </c>
      <c r="J384" s="6" t="n">
        <v>1</v>
      </c>
      <c r="K384" s="6" t="n"/>
      <c r="P384">
        <f>MAX(P385,P386)</f>
        <v/>
      </c>
      <c r="S384">
        <f>S385+S386</f>
        <v/>
      </c>
      <c r="T384">
        <f>(E384/100000+F384/100+(P384/1000)*J384/5+S384/200)*200*I384*H384</f>
        <v/>
      </c>
      <c r="U384">
        <f>((E384*F384/25000)+((P384/1000)*J384*S384/2.5))*I384*H384</f>
        <v/>
      </c>
      <c r="V384">
        <f>(E384*F384*(P384/1000)*J384*S384*I384*H384)/12500000</f>
        <v/>
      </c>
      <c r="W384">
        <f>800*(T384/800+U384/800+V384/800)/3</f>
        <v/>
      </c>
      <c r="X384" s="6" t="n">
        <v>1500</v>
      </c>
      <c r="Y384">
        <f>IFERROR(W384-X384,"")</f>
        <v/>
      </c>
      <c r="Z384">
        <f>IFERROR(ABS(Y384)/MAX(X384,1),"")</f>
        <v/>
      </c>
      <c r="AA384">
        <f>IFERROR((X384-(((E384/100000+F384/100+S384/200)*200*I384*H384)+((E384*F384/25000)*I384*H384))/3)/(((J384/5)*200*I384*H384)+((J384*S384/2.5)*I384*H384)+((E384*F384*J384*S384*I384*H384)/12500000))/3*1000,"")</f>
        <v/>
      </c>
    </row>
    <row r="385">
      <c r="B385" s="7" t="inlineStr">
        <is>
          <t xml:space="preserve">  ↳ RA2sabot</t>
        </is>
      </c>
      <c r="C385" s="7" t="inlineStr">
        <is>
          <t>Armament</t>
        </is>
      </c>
      <c r="L385" s="6" t="n">
        <v>80000</v>
      </c>
      <c r="M385" s="6" t="n">
        <v>160</v>
      </c>
      <c r="N385" s="6" t="n">
        <v>1</v>
      </c>
      <c r="O385" s="6" t="n"/>
      <c r="P385" s="6" t="n">
        <v>7040</v>
      </c>
      <c r="Q385" s="6" t="n">
        <v>1</v>
      </c>
      <c r="R385">
        <f>M385+IF(N385&gt;1,N(O385)*(N385-1),0)</f>
        <v/>
      </c>
      <c r="S385">
        <f>IFERROR(L385*MAX(N385,1)/R385*Q385*IF(ISBLANK(K384),1,K384),0)</f>
        <v/>
      </c>
      <c r="AB385" s="7" t="inlineStr">
        <is>
          <t>^RA2TankDestroyerCannon</t>
        </is>
      </c>
    </row>
    <row r="386">
      <c r="B386" s="7" t="inlineStr">
        <is>
          <t xml:space="preserve">  ↳ RA2sabot_elite</t>
        </is>
      </c>
      <c r="C386" s="7" t="inlineStr">
        <is>
          <t>Armament@elite</t>
        </is>
      </c>
      <c r="L386" s="6" t="n">
        <v>160000</v>
      </c>
      <c r="M386" s="6" t="n">
        <v>160</v>
      </c>
      <c r="N386" s="6" t="n">
        <v>1</v>
      </c>
      <c r="O386" s="6" t="n"/>
      <c r="P386" s="6" t="n">
        <v>8040</v>
      </c>
      <c r="Q386" s="6" t="n">
        <v>1</v>
      </c>
      <c r="R386">
        <f>M386+IF(N386&gt;1,N(O386)*(N386-1),0)</f>
        <v/>
      </c>
      <c r="S386">
        <f>IFERROR(L386*MAX(N386,1)/R386*Q386*IF(ISBLANK(K384),1,K384),0)</f>
        <v/>
      </c>
      <c r="AB386" s="7" t="inlineStr">
        <is>
          <t>^RA2TankDestroyerCannon, ^RA2EliteEffects</t>
        </is>
      </c>
    </row>
    <row r="387">
      <c r="A387" t="inlineStr">
        <is>
          <t>redalert2mod</t>
        </is>
      </c>
      <c r="B387" t="inlineStr">
        <is>
          <t>asianalliance_asianflametank</t>
        </is>
      </c>
      <c r="C387" t="inlineStr">
        <is>
          <t>Asian Flame Tank</t>
        </is>
      </c>
      <c r="D387" s="6" t="inlineStr">
        <is>
          <t>LineBreaker</t>
        </is>
      </c>
      <c r="E387" s="6" t="n">
        <v>85000</v>
      </c>
      <c r="F387" s="6" t="n">
        <v>85</v>
      </c>
      <c r="G387" t="inlineStr">
        <is>
          <t>Medium</t>
        </is>
      </c>
      <c r="H387" s="6" t="n">
        <v>1</v>
      </c>
      <c r="I387" s="6" t="n">
        <v>1</v>
      </c>
      <c r="J387" s="6" t="n">
        <v>1</v>
      </c>
      <c r="K387" s="6" t="n">
        <v>0.75</v>
      </c>
      <c r="P387">
        <f>MAX(P388,P389)</f>
        <v/>
      </c>
      <c r="S387">
        <f>S388+S389</f>
        <v/>
      </c>
      <c r="T387">
        <f>(E387/100000+F387/100+(P387/1000)*J387/5+S387/200)*200*I387*H387</f>
        <v/>
      </c>
      <c r="U387">
        <f>((E387*F387/25000)+((P387/1000)*J387*S387/2.5))*I387*H387</f>
        <v/>
      </c>
      <c r="V387">
        <f>(E387*F387*(P387/1000)*J387*S387*I387*H387)/12500000</f>
        <v/>
      </c>
      <c r="W387">
        <f>800*(T387/800+U387/800+V387/800)/3</f>
        <v/>
      </c>
      <c r="X387" s="6" t="n">
        <v>1300</v>
      </c>
      <c r="Y387">
        <f>IFERROR(W387-X387,"")</f>
        <v/>
      </c>
      <c r="Z387">
        <f>IFERROR(ABS(Y387)/MAX(X387,1),"")</f>
        <v/>
      </c>
      <c r="AA387">
        <f>IFERROR((X387-(((E387/100000+F387/100+S387/200)*200*I387*H387)+((E387*F387/25000)*I387*H387))/3)/(((J387/5)*200*I387*H387)+((J387*S387/2.5)*I387*H387)+((E387*F387*J387*S387*I387*H387)/12500000))/3*1000,"")</f>
        <v/>
      </c>
    </row>
    <row r="388">
      <c r="B388" s="7" t="inlineStr">
        <is>
          <t xml:space="preserve">  ↳ AsianFlamerTank</t>
        </is>
      </c>
      <c r="C388" s="7" t="inlineStr">
        <is>
          <t>Armament@AG</t>
        </is>
      </c>
      <c r="L388" s="6" t="n">
        <v>4000</v>
      </c>
      <c r="M388" s="6" t="n">
        <v>25</v>
      </c>
      <c r="N388" s="6" t="n">
        <v>6</v>
      </c>
      <c r="O388" s="6" t="n">
        <v>3</v>
      </c>
      <c r="P388" s="6" t="n">
        <v>3700</v>
      </c>
      <c r="Q388" s="6" t="n">
        <v>0.75</v>
      </c>
      <c r="R388">
        <f>M388+IF(N388&gt;1,N(O388)*(N388-1),0)</f>
        <v/>
      </c>
      <c r="S388">
        <f>IFERROR(L388*MAX(N388,1)/R388*Q388*IF(ISBLANK(K387),1,K387),0)</f>
        <v/>
      </c>
      <c r="AB388" s="7" t="inlineStr">
        <is>
          <t>^LightFlameWeapon</t>
        </is>
      </c>
    </row>
    <row r="389">
      <c r="B389" s="7" t="inlineStr">
        <is>
          <t xml:space="preserve">  ↳ AsianFlamerTankE</t>
        </is>
      </c>
      <c r="C389" s="7" t="inlineStr">
        <is>
          <t>Armament@ELITE</t>
        </is>
      </c>
      <c r="L389" s="6" t="n">
        <v>4000</v>
      </c>
      <c r="M389" s="6" t="n">
        <v>25</v>
      </c>
      <c r="N389" s="6" t="n">
        <v>12</v>
      </c>
      <c r="O389" s="6" t="n">
        <v>3</v>
      </c>
      <c r="P389" s="6" t="n">
        <v>4700</v>
      </c>
      <c r="Q389" s="6" t="n">
        <v>0.75</v>
      </c>
      <c r="R389">
        <f>M389+IF(N389&gt;1,N(O389)*(N389-1),0)</f>
        <v/>
      </c>
      <c r="S389">
        <f>IFERROR(L389*MAX(N389,1)/R389*Q389*IF(ISBLANK(K387),1,K387),0)</f>
        <v/>
      </c>
      <c r="AB389" s="7" t="inlineStr">
        <is>
          <t>^LightFlameWeapon</t>
        </is>
      </c>
    </row>
    <row r="390">
      <c r="A390" t="inlineStr">
        <is>
          <t>redalert2mod</t>
        </is>
      </c>
      <c r="B390" t="inlineStr">
        <is>
          <t>asianalliance_pulverizermecha</t>
        </is>
      </c>
      <c r="C390" t="inlineStr">
        <is>
          <t>Pulverizer Mecha</t>
        </is>
      </c>
      <c r="D390" s="6" t="inlineStr">
        <is>
          <t>LineBreaker</t>
        </is>
      </c>
      <c r="E390" s="6" t="n">
        <v>285000</v>
      </c>
      <c r="F390" s="6" t="n">
        <v>55</v>
      </c>
      <c r="G390" t="inlineStr">
        <is>
          <t>Superheavy</t>
        </is>
      </c>
      <c r="H390" s="6" t="n">
        <v>0.75</v>
      </c>
      <c r="I390" s="6" t="n">
        <v>1</v>
      </c>
      <c r="J390" s="6" t="n">
        <v>1.25</v>
      </c>
      <c r="K390" s="6" t="n"/>
      <c r="P390">
        <f>MAX(P391,P392)</f>
        <v/>
      </c>
      <c r="S390">
        <f>S391+S392</f>
        <v/>
      </c>
      <c r="T390">
        <f>(E390/100000+F390/100+(P390/1000)*J390/5+S390/200)*200*I390*H390</f>
        <v/>
      </c>
      <c r="U390">
        <f>((E390*F390/25000)+((P390/1000)*J390*S390/2.5))*I390*H390</f>
        <v/>
      </c>
      <c r="V390">
        <f>(E390*F390*(P390/1000)*J390*S390*I390*H390)/12500000</f>
        <v/>
      </c>
      <c r="W390">
        <f>800*(T390/800+U390/800+V390/800)/3</f>
        <v/>
      </c>
      <c r="X390" s="6" t="n">
        <v>3000</v>
      </c>
      <c r="Y390">
        <f>IFERROR(W390-X390,"")</f>
        <v/>
      </c>
      <c r="Z390">
        <f>IFERROR(ABS(Y390)/MAX(X390,1),"")</f>
        <v/>
      </c>
      <c r="AA390">
        <f>IFERROR((X390-(((E390/100000+F390/100+S390/200)*200*I390*H390)+((E390*F390/25000)*I390*H390))/3)/(((J390/5)*200*I390*H390)+((J390*S390/2.5)*I390*H390)+((E390*F390*J390*S390*I390*H390)/12500000))/3*1000,"")</f>
        <v/>
      </c>
    </row>
    <row r="391">
      <c r="B391" s="7" t="inlineStr">
        <is>
          <t xml:space="preserve">  ↳ AsianPulverizerMechaGatling</t>
        </is>
      </c>
      <c r="C391" s="7" t="inlineStr">
        <is>
          <t>Armament@1</t>
        </is>
      </c>
      <c r="L391" s="6" t="n">
        <v>2000</v>
      </c>
      <c r="M391" s="6" t="n">
        <v>15</v>
      </c>
      <c r="N391" s="6" t="n">
        <v>1</v>
      </c>
      <c r="O391" s="6" t="n"/>
      <c r="P391" s="6" t="n">
        <v>7020</v>
      </c>
      <c r="Q391" s="6" t="n">
        <v>1</v>
      </c>
      <c r="R391">
        <f>M391+IF(N391&gt;1,N(O391)*(N391-1),0)</f>
        <v/>
      </c>
      <c r="S391">
        <f>IFERROR(L391*MAX(N391,1)/R391*Q391*IF(ISBLANK(K390),1,K390),0)</f>
        <v/>
      </c>
      <c r="AB391" s="7" t="inlineStr">
        <is>
          <t>^MediumChemicalWeapon, ^MediumMissile, ^HeavyCannon, ^SmallArms, ^RA2Chaingun</t>
        </is>
      </c>
    </row>
    <row r="392">
      <c r="B392" s="7" t="inlineStr">
        <is>
          <t xml:space="preserve">  ↳ AsianPulverizerMechaGatling</t>
        </is>
      </c>
      <c r="C392" s="7" t="inlineStr">
        <is>
          <t>Armament@2</t>
        </is>
      </c>
      <c r="L392" s="6" t="n">
        <v>2000</v>
      </c>
      <c r="M392" s="6" t="n">
        <v>15</v>
      </c>
      <c r="N392" s="6" t="n">
        <v>1</v>
      </c>
      <c r="O392" s="6" t="n"/>
      <c r="P392" s="6" t="n">
        <v>7020</v>
      </c>
      <c r="Q392" s="6" t="n">
        <v>1</v>
      </c>
      <c r="R392">
        <f>M392+IF(N392&gt;1,N(O392)*(N392-1),0)</f>
        <v/>
      </c>
      <c r="S392">
        <f>IFERROR(L392*MAX(N392,1)/R392*Q392*IF(ISBLANK(K390),1,K390),0)</f>
        <v/>
      </c>
      <c r="AB392" s="7" t="inlineStr">
        <is>
          <t>^MediumChemicalWeapon, ^MediumMissile, ^HeavyCannon, ^SmallArms, ^RA2Chaingun</t>
        </is>
      </c>
    </row>
    <row r="393">
      <c r="A393" t="inlineStr">
        <is>
          <t>redalert2mod</t>
        </is>
      </c>
      <c r="B393" t="inlineStr">
        <is>
          <t>asianalliance_warturtle</t>
        </is>
      </c>
      <c r="C393" t="inlineStr">
        <is>
          <t>War Turtle</t>
        </is>
      </c>
      <c r="D393" s="6" t="inlineStr">
        <is>
          <t>LineBreaker</t>
        </is>
      </c>
      <c r="E393" s="6" t="n">
        <v>250000</v>
      </c>
      <c r="F393" s="6" t="n">
        <v>75</v>
      </c>
      <c r="G393" t="inlineStr">
        <is>
          <t>Medium</t>
        </is>
      </c>
      <c r="H393" s="6" t="n">
        <v>0.75</v>
      </c>
      <c r="I393" s="6" t="n">
        <v>1.25</v>
      </c>
      <c r="J393" s="6" t="n">
        <v>1</v>
      </c>
      <c r="K393" s="6" t="n"/>
      <c r="P393">
        <f>MAX(P394)</f>
        <v/>
      </c>
      <c r="S393">
        <f>S394</f>
        <v/>
      </c>
      <c r="T393">
        <f>(E393/100000+F393/100+(P393/1000)*J393/5+S393/200)*200*I393*H393</f>
        <v/>
      </c>
      <c r="U393">
        <f>((E393*F393/25000)+((P393/1000)*J393*S393/2.5))*I393*H393</f>
        <v/>
      </c>
      <c r="V393">
        <f>(E393*F393*(P393/1000)*J393*S393*I393*H393)/12500000</f>
        <v/>
      </c>
      <c r="W393">
        <f>800*(T393/800+U393/800+V393/800)/3</f>
        <v/>
      </c>
      <c r="X393" s="6" t="n">
        <v>5000</v>
      </c>
      <c r="Y393">
        <f>IFERROR(W393-X393,"")</f>
        <v/>
      </c>
      <c r="Z393">
        <f>IFERROR(ABS(Y393)/MAX(X393,1),"")</f>
        <v/>
      </c>
      <c r="AA393">
        <f>IFERROR((X393-(((E393/100000+F393/100+S393/200)*200*I393*H393)+((E393*F393/25000)*I393*H393))/3)/(((J393/5)*200*I393*H393)+((J393*S393/2.5)*I393*H393)+((E393*F393*J393*S393*I393*H393)/12500000))/3*1000,"")</f>
        <v/>
      </c>
    </row>
    <row r="394">
      <c r="B394" s="7" t="inlineStr">
        <is>
          <t xml:space="preserve">  ↳ AsianGrenade</t>
        </is>
      </c>
      <c r="C394" s="7" t="inlineStr">
        <is>
          <t>Armament</t>
        </is>
      </c>
      <c r="L394" s="6" t="n">
        <v>4000</v>
      </c>
      <c r="M394" s="6" t="n">
        <v>92</v>
      </c>
      <c r="N394" s="6" t="n">
        <v>1</v>
      </c>
      <c r="O394" s="6" t="n"/>
      <c r="P394" s="6" t="n">
        <v>4567</v>
      </c>
      <c r="Q394" s="6" t="n">
        <v>1</v>
      </c>
      <c r="R394">
        <f>M394+IF(N394&gt;1,N(O394)*(N394-1),0)</f>
        <v/>
      </c>
      <c r="S394">
        <f>IFERROR(L394*MAX(N394,1)/R394*Q394*IF(ISBLANK(K393),1,K393),0)</f>
        <v/>
      </c>
      <c r="AB394" s="7" t="inlineStr">
        <is>
          <t>^ShrapnelWeapon, ^RA2MediumCannon</t>
        </is>
      </c>
    </row>
    <row r="395">
      <c r="A395" t="inlineStr">
        <is>
          <t>redalert2mod</t>
        </is>
      </c>
      <c r="B395" t="inlineStr">
        <is>
          <t>cobra.steel</t>
        </is>
      </c>
      <c r="C395" t="inlineStr">
        <is>
          <t>Federation Cobra</t>
        </is>
      </c>
      <c r="D395" s="6" t="inlineStr">
        <is>
          <t>LineBreaker</t>
        </is>
      </c>
      <c r="E395" s="6" t="n">
        <v>325000</v>
      </c>
      <c r="F395" s="6" t="n">
        <v>55</v>
      </c>
      <c r="G395" t="inlineStr">
        <is>
          <t>Superheavy</t>
        </is>
      </c>
      <c r="H395" s="6" t="n">
        <v>0.75</v>
      </c>
      <c r="I395" s="6" t="n">
        <v>1</v>
      </c>
      <c r="J395" s="6" t="n">
        <v>1</v>
      </c>
      <c r="K395" s="6" t="n"/>
      <c r="P395">
        <f>MAX(P396,P397)</f>
        <v/>
      </c>
      <c r="S395">
        <f>S396+S397</f>
        <v/>
      </c>
      <c r="T395">
        <f>(E395/100000+F395/100+(P395/1000)*J395/5+S395/200)*200*I395*H395</f>
        <v/>
      </c>
      <c r="U395">
        <f>((E395*F395/25000)+((P395/1000)*J395*S395/2.5))*I395*H395</f>
        <v/>
      </c>
      <c r="V395">
        <f>(E395*F395*(P395/1000)*J395*S395*I395*H395)/12500000</f>
        <v/>
      </c>
      <c r="W395">
        <f>800*(T395/800+U395/800+V395/800)/3</f>
        <v/>
      </c>
      <c r="X395" s="6" t="n">
        <v>3600</v>
      </c>
      <c r="Y395">
        <f>IFERROR(W395-X395,"")</f>
        <v/>
      </c>
      <c r="Z395">
        <f>IFERROR(ABS(Y395)/MAX(X395,1),"")</f>
        <v/>
      </c>
      <c r="AA395">
        <f>IFERROR((X395-(((E395/100000+F395/100+S395/200)*200*I395*H395)+((E395*F395/25000)*I395*H395))/3)/(((J395/5)*200*I395*H395)+((J395*S395/2.5)*I395*H395)+((E395*F395*J395*S395*I395*H395)/12500000))/3*1000,"")</f>
        <v/>
      </c>
    </row>
    <row r="396">
      <c r="B396" s="7" t="inlineStr">
        <is>
          <t xml:space="preserve">  ↳ SteelQuantumTurretRailEMP</t>
        </is>
      </c>
      <c r="C396" s="7" t="inlineStr">
        <is>
          <t>Armament@AG1</t>
        </is>
      </c>
      <c r="L396" s="6" t="n">
        <v>2000</v>
      </c>
      <c r="M396" s="6" t="n">
        <v>38</v>
      </c>
      <c r="N396" s="6" t="n">
        <v>1</v>
      </c>
      <c r="O396" s="6" t="n"/>
      <c r="P396" s="6" t="n">
        <v>8888</v>
      </c>
      <c r="Q396" s="6" t="n">
        <v>1.166666666666667</v>
      </c>
      <c r="R396">
        <f>M396+IF(N396&gt;1,N(O396)*(N396-1),0)</f>
        <v/>
      </c>
      <c r="S396">
        <f>IFERROR(L396*MAX(N396,1)/R396*Q396*IF(ISBLANK(K395),1,K395),0)</f>
        <v/>
      </c>
      <c r="AB396" s="7" t="inlineStr">
        <is>
          <t>^TeslaWeapon, ^HeavyChemicalWeapon, ^HeavyFlameWeapon, ^LaserWeapon, ^RailgunWeapon, ^SteelHeavyCannon</t>
        </is>
      </c>
    </row>
    <row r="397">
      <c r="B397" s="7" t="inlineStr">
        <is>
          <t xml:space="preserve">  ↳ SteelQuantumTurretRailEMP</t>
        </is>
      </c>
      <c r="C397" s="7" t="inlineStr">
        <is>
          <t>Armament@AG2</t>
        </is>
      </c>
      <c r="L397" s="6" t="n">
        <v>2000</v>
      </c>
      <c r="M397" s="6" t="n">
        <v>38</v>
      </c>
      <c r="N397" s="6" t="n">
        <v>1</v>
      </c>
      <c r="O397" s="6" t="n"/>
      <c r="P397" s="6" t="n">
        <v>8888</v>
      </c>
      <c r="Q397" s="6" t="n">
        <v>1.166666666666667</v>
      </c>
      <c r="R397">
        <f>M397+IF(N397&gt;1,N(O397)*(N397-1),0)</f>
        <v/>
      </c>
      <c r="S397">
        <f>IFERROR(L397*MAX(N397,1)/R397*Q397*IF(ISBLANK(K395),1,K395),0)</f>
        <v/>
      </c>
      <c r="AB397" s="7" t="inlineStr">
        <is>
          <t>^TeslaWeapon, ^HeavyChemicalWeapon, ^HeavyFlameWeapon, ^LaserWeapon, ^RailgunWeapon, ^SteelHeavyCannon</t>
        </is>
      </c>
    </row>
    <row r="398">
      <c r="A398" t="inlineStr">
        <is>
          <t>redalert2mod</t>
        </is>
      </c>
      <c r="B398" t="inlineStr">
        <is>
          <t>steelconsortium_megalodon</t>
        </is>
      </c>
      <c r="C398" t="inlineStr">
        <is>
          <t>Megalodon</t>
        </is>
      </c>
      <c r="D398" s="6" t="inlineStr">
        <is>
          <t>LineBreaker</t>
        </is>
      </c>
      <c r="E398" s="6" t="n">
        <v>450000</v>
      </c>
      <c r="F398" s="6" t="n">
        <v>65</v>
      </c>
      <c r="G398" t="inlineStr">
        <is>
          <t>Superheavy</t>
        </is>
      </c>
      <c r="H398" s="6" t="n">
        <v>0.75</v>
      </c>
      <c r="I398" s="6" t="n">
        <v>1</v>
      </c>
      <c r="J398" s="6" t="n">
        <v>1</v>
      </c>
      <c r="K398" s="6" t="n"/>
      <c r="P398">
        <f>MAX(P399,P400,P401)</f>
        <v/>
      </c>
      <c r="S398">
        <f>S399+S400+S401</f>
        <v/>
      </c>
      <c r="T398">
        <f>(E398/100000+F398/100+(P398/1000)*J398/5+S398/200)*200*I398*H398</f>
        <v/>
      </c>
      <c r="U398">
        <f>((E398*F398/25000)+((P398/1000)*J398*S398/2.5))*I398*H398</f>
        <v/>
      </c>
      <c r="V398">
        <f>(E398*F398*(P398/1000)*J398*S398*I398*H398)/12500000</f>
        <v/>
      </c>
      <c r="W398">
        <f>800*(T398/800+U398/800+V398/800)/3</f>
        <v/>
      </c>
      <c r="X398" s="6" t="n">
        <v>4600</v>
      </c>
      <c r="Y398">
        <f>IFERROR(W398-X398,"")</f>
        <v/>
      </c>
      <c r="Z398">
        <f>IFERROR(ABS(Y398)/MAX(X398,1),"")</f>
        <v/>
      </c>
      <c r="AA398">
        <f>IFERROR((X398-(((E398/100000+F398/100+S398/200)*200*I398*H398)+((E398*F398/25000)*I398*H398))/3)/(((J398/5)*200*I398*H398)+((J398*S398/2.5)*I398*H398)+((E398*F398*J398*S398*I398*H398)/12500000))/3*1000,"")</f>
        <v/>
      </c>
    </row>
    <row r="399">
      <c r="B399" s="7" t="inlineStr">
        <is>
          <t xml:space="preserve">  ↳ SteelMegaSword</t>
        </is>
      </c>
      <c r="C399" s="7" t="inlineStr">
        <is>
          <t>Armament@PRIMARY</t>
        </is>
      </c>
      <c r="L399" s="6" t="n">
        <v>20000</v>
      </c>
      <c r="M399" s="6" t="n">
        <v>24</v>
      </c>
      <c r="N399" s="6" t="n">
        <v>1</v>
      </c>
      <c r="O399" s="6" t="n"/>
      <c r="P399" s="6" t="n">
        <v>1600</v>
      </c>
      <c r="Q399" s="6" t="n">
        <v>0.875</v>
      </c>
      <c r="R399">
        <f>M399+IF(N399&gt;1,N(O399)*(N399-1),0)</f>
        <v/>
      </c>
      <c r="S399">
        <f>IFERROR(L399*MAX(N399,1)/R399*Q399*IF(ISBLANK(K398),1,K398),0)</f>
        <v/>
      </c>
      <c r="AB399" s="7" t="inlineStr">
        <is>
          <t>^LightChemicalWeapon, ^LaserWeapon, ^SwordWeapon</t>
        </is>
      </c>
    </row>
    <row r="400">
      <c r="B400" s="7" t="inlineStr">
        <is>
          <t xml:space="preserve">  ↳ SteelMegaSwordEMP</t>
        </is>
      </c>
      <c r="C400" s="7" t="inlineStr">
        <is>
          <t>Armament@ELITE</t>
        </is>
      </c>
      <c r="L400" s="6" t="n">
        <v>30000</v>
      </c>
      <c r="M400" s="6" t="n">
        <v>16</v>
      </c>
      <c r="N400" s="6" t="n">
        <v>1</v>
      </c>
      <c r="O400" s="6" t="n"/>
      <c r="P400" s="6" t="n">
        <v>2400</v>
      </c>
      <c r="Q400" s="6" t="n">
        <v>1.083333333333333</v>
      </c>
      <c r="R400">
        <f>M400+IF(N400&gt;1,N(O400)*(N400-1),0)</f>
        <v/>
      </c>
      <c r="S400">
        <f>IFERROR(L400*MAX(N400,1)/R400*Q400*IF(ISBLANK(K398),1,K398),0)</f>
        <v/>
      </c>
      <c r="AB400" s="7" t="inlineStr">
        <is>
          <t>^HeavyChemicalWeapon, ^LaserWeapon, ^TeslaWeapon</t>
        </is>
      </c>
    </row>
    <row r="401">
      <c r="B401" s="7" t="inlineStr">
        <is>
          <t xml:space="preserve">  ↳ SteelMegaSwordE</t>
        </is>
      </c>
      <c r="C401" s="7" t="inlineStr">
        <is>
          <t>Armament@elite</t>
        </is>
      </c>
      <c r="L401" s="6" t="n">
        <v>30000</v>
      </c>
      <c r="M401" s="6" t="n">
        <v>16</v>
      </c>
      <c r="N401" s="6" t="n">
        <v>1</v>
      </c>
      <c r="O401" s="6" t="n"/>
      <c r="P401" s="6" t="n">
        <v>2400</v>
      </c>
      <c r="Q401" s="6" t="n">
        <v>1.125</v>
      </c>
      <c r="R401">
        <f>M401+IF(N401&gt;1,N(O401)*(N401-1),0)</f>
        <v/>
      </c>
      <c r="S401">
        <f>IFERROR(L401*MAX(N401,1)/R401*Q401*IF(ISBLANK(K398),1,K398),0)</f>
        <v/>
      </c>
      <c r="AB401" s="7" t="inlineStr">
        <is>
          <t>^RailgunWeapon, ^HeavyChemicalWeapon, ^LaserWeapon, ^TeslaWeapon</t>
        </is>
      </c>
    </row>
    <row r="402">
      <c r="A402" t="inlineStr">
        <is>
          <t>redalert2mod</t>
        </is>
      </c>
      <c r="B402" t="inlineStr">
        <is>
          <t>steelconsortium_poseidontank</t>
        </is>
      </c>
      <c r="C402" t="inlineStr">
        <is>
          <t>Poseidon Tank</t>
        </is>
      </c>
      <c r="D402" s="6" t="inlineStr">
        <is>
          <t>LineBreaker</t>
        </is>
      </c>
      <c r="E402" s="6" t="n">
        <v>125000</v>
      </c>
      <c r="F402" s="6" t="n">
        <v>50</v>
      </c>
      <c r="G402" t="inlineStr">
        <is>
          <t>Heavy</t>
        </is>
      </c>
      <c r="H402" s="6" t="n">
        <v>0.75</v>
      </c>
      <c r="I402" s="6" t="n">
        <v>1.25</v>
      </c>
      <c r="J402" s="6" t="n">
        <v>1</v>
      </c>
      <c r="K402" s="6" t="n"/>
      <c r="P402">
        <f>MAX(P403)</f>
        <v/>
      </c>
      <c r="S402">
        <f>S403</f>
        <v/>
      </c>
      <c r="T402">
        <f>(E402/100000+F402/100+(P402/1000)*J402/5+S402/200)*200*I402*H402</f>
        <v/>
      </c>
      <c r="U402">
        <f>((E402*F402/25000)+((P402/1000)*J402*S402/2.5))*I402*H402</f>
        <v/>
      </c>
      <c r="V402">
        <f>(E402*F402*(P402/1000)*J402*S402*I402*H402)/12500000</f>
        <v/>
      </c>
      <c r="W402">
        <f>800*(T402/800+U402/800+V402/800)/3</f>
        <v/>
      </c>
      <c r="X402" s="6" t="n">
        <v>4000</v>
      </c>
      <c r="Y402">
        <f>IFERROR(W402-X402,"")</f>
        <v/>
      </c>
      <c r="Z402">
        <f>IFERROR(ABS(Y402)/MAX(X402,1),"")</f>
        <v/>
      </c>
      <c r="AA402">
        <f>IFERROR((X402-(((E402/100000+F402/100+S402/200)*200*I402*H402)+((E402*F402/25000)*I402*H402))/3)/(((J402/5)*200*I402*H402)+((J402*S402/2.5)*I402*H402)+((E402*F402*J402*S402*I402*H402)/12500000))/3*1000,"")</f>
        <v/>
      </c>
    </row>
    <row r="403">
      <c r="B403" s="7" t="inlineStr">
        <is>
          <t xml:space="preserve">  ↳ SteelFortressWeapons</t>
        </is>
      </c>
      <c r="C403" s="7" t="inlineStr">
        <is>
          <t>Armament@1</t>
        </is>
      </c>
      <c r="L403" s="6" t="n">
        <v>14000</v>
      </c>
      <c r="M403" s="6" t="n">
        <v>41</v>
      </c>
      <c r="N403" s="6" t="n">
        <v>2</v>
      </c>
      <c r="O403" s="6" t="n">
        <v>0</v>
      </c>
      <c r="P403" s="6" t="n">
        <v>6333</v>
      </c>
      <c r="Q403" s="6" t="n">
        <v>1</v>
      </c>
      <c r="R403">
        <f>M403+IF(N403&gt;1,N(O403)*(N403-1),0)</f>
        <v/>
      </c>
      <c r="S403">
        <f>IFERROR(L403*MAX(N403,1)/R403*Q403*IF(ISBLANK(K402),1,K402),0)</f>
        <v/>
      </c>
      <c r="AB403" s="7" t="inlineStr">
        <is>
          <t>^SteelMediumCannon</t>
        </is>
      </c>
    </row>
    <row r="404">
      <c r="A404" t="inlineStr">
        <is>
          <t>redalert2mod</t>
        </is>
      </c>
      <c r="B404" t="inlineStr">
        <is>
          <t>latinsyndicate_carteltruck</t>
        </is>
      </c>
      <c r="C404" t="inlineStr">
        <is>
          <t>Cartel Truck</t>
        </is>
      </c>
      <c r="D404" s="6" t="inlineStr">
        <is>
          <t>LineBreaker</t>
        </is>
      </c>
      <c r="E404" s="6" t="n">
        <v>167500</v>
      </c>
      <c r="F404" s="6" t="n">
        <v>70</v>
      </c>
      <c r="G404" t="inlineStr">
        <is>
          <t>Heavy</t>
        </is>
      </c>
      <c r="H404" s="6" t="n">
        <v>0.75</v>
      </c>
      <c r="I404" s="6" t="n">
        <v>1.25</v>
      </c>
      <c r="J404" s="6" t="n">
        <v>1</v>
      </c>
      <c r="K404" s="6" t="n"/>
      <c r="P404">
        <f>MAX(P405,P406)</f>
        <v/>
      </c>
      <c r="S404">
        <f>S405+S406</f>
        <v/>
      </c>
      <c r="T404">
        <f>(E404/100000+F404/100+(P404/1000)*J404/5+S404/200)*200*I404*H404</f>
        <v/>
      </c>
      <c r="U404">
        <f>((E404*F404/25000)+((P404/1000)*J404*S404/2.5))*I404*H404</f>
        <v/>
      </c>
      <c r="V404">
        <f>(E404*F404*(P404/1000)*J404*S404*I404*H404)/12500000</f>
        <v/>
      </c>
      <c r="W404">
        <f>800*(T404/800+U404/800+V404/800)/3</f>
        <v/>
      </c>
      <c r="X404" s="6" t="n">
        <v>6000</v>
      </c>
      <c r="Y404">
        <f>IFERROR(W404-X404,"")</f>
        <v/>
      </c>
      <c r="Z404">
        <f>IFERROR(ABS(Y404)/MAX(X404,1),"")</f>
        <v/>
      </c>
      <c r="AA404">
        <f>IFERROR((X404-(((E404/100000+F404/100+S404/200)*200*I404*H404)+((E404*F404/25000)*I404*H404))/3)/(((J404/5)*200*I404*H404)+((J404*S404/2.5)*I404*H404)+((E404*F404*J404*S404*I404*H404)/12500000))/3*1000,"")</f>
        <v/>
      </c>
    </row>
    <row r="405">
      <c r="B405" s="7" t="inlineStr">
        <is>
          <t xml:space="preserve">  ↳ RA2Narco60mm</t>
        </is>
      </c>
      <c r="C405" s="7" t="inlineStr">
        <is>
          <t>Armament@AG</t>
        </is>
      </c>
      <c r="L405" s="6" t="n">
        <v>16000</v>
      </c>
      <c r="M405" s="6" t="n">
        <v>20</v>
      </c>
      <c r="N405" s="6" t="n">
        <v>1</v>
      </c>
      <c r="O405" s="6" t="n"/>
      <c r="P405" s="6" t="n">
        <v>5800</v>
      </c>
      <c r="Q405" s="6" t="n">
        <v>1</v>
      </c>
      <c r="R405">
        <f>M405+IF(N405&gt;1,N(O405)*(N405-1),0)</f>
        <v/>
      </c>
      <c r="S405">
        <f>IFERROR(L405*MAX(N405,1)/R405*Q405*IF(ISBLANK(K404),1,K404),0)</f>
        <v/>
      </c>
      <c r="AB405" s="7" t="inlineStr">
        <is>
          <t>^RA2MediumCannon</t>
        </is>
      </c>
    </row>
    <row r="406">
      <c r="B406" s="7" t="inlineStr">
        <is>
          <t xml:space="preserve">  ↳ RA2Narco60mmE</t>
        </is>
      </c>
      <c r="C406" s="7" t="inlineStr">
        <is>
          <t>Armament@AGE</t>
        </is>
      </c>
      <c r="L406" s="6" t="n">
        <v>16000</v>
      </c>
      <c r="M406" s="6" t="n">
        <v>20</v>
      </c>
      <c r="N406" s="6" t="n">
        <v>2</v>
      </c>
      <c r="O406" s="6" t="n">
        <v>3</v>
      </c>
      <c r="P406" s="6" t="n">
        <v>6800</v>
      </c>
      <c r="Q406" s="6" t="n">
        <v>1</v>
      </c>
      <c r="R406">
        <f>M406+IF(N406&gt;1,N(O406)*(N406-1),0)</f>
        <v/>
      </c>
      <c r="S406">
        <f>IFERROR(L406*MAX(N406,1)/R406*Q406*IF(ISBLANK(K404),1,K404),0)</f>
        <v/>
      </c>
      <c r="AB406" s="7" t="inlineStr">
        <is>
          <t>^RA2MediumCannon</t>
        </is>
      </c>
    </row>
    <row r="407">
      <c r="A407" t="inlineStr">
        <is>
          <t>redalert2mod</t>
        </is>
      </c>
      <c r="B407" t="inlineStr">
        <is>
          <t>latinsyndicate_tortugatank</t>
        </is>
      </c>
      <c r="C407" t="inlineStr">
        <is>
          <t>Tortuga Tank</t>
        </is>
      </c>
      <c r="D407" s="6" t="inlineStr">
        <is>
          <t>LineBreaker</t>
        </is>
      </c>
      <c r="E407" s="6" t="n">
        <v>875000</v>
      </c>
      <c r="F407" s="6" t="n">
        <v>45</v>
      </c>
      <c r="G407" t="inlineStr">
        <is>
          <t>Heavy</t>
        </is>
      </c>
      <c r="H407" s="6" t="n">
        <v>0.5</v>
      </c>
      <c r="I407" s="6" t="n">
        <v>1</v>
      </c>
      <c r="J407" s="6" t="n">
        <v>1</v>
      </c>
      <c r="K407" s="6" t="n"/>
      <c r="P407">
        <f>MAX(P408,P409,P410,P411)</f>
        <v/>
      </c>
      <c r="S407">
        <f>S408+S409+S410+S411</f>
        <v/>
      </c>
      <c r="T407">
        <f>(E407/100000+F407/100+(P407/1000)*J407/5+S407/200)*200*I407*H407</f>
        <v/>
      </c>
      <c r="U407">
        <f>((E407*F407/25000)+((P407/1000)*J407*S407/2.5))*I407*H407</f>
        <v/>
      </c>
      <c r="V407">
        <f>(E407*F407*(P407/1000)*J407*S407*I407*H407)/12500000</f>
        <v/>
      </c>
      <c r="W407">
        <f>800*(T407/800+U407/800+V407/800)/3</f>
        <v/>
      </c>
      <c r="X407" s="6" t="n">
        <v>3000</v>
      </c>
      <c r="Y407">
        <f>IFERROR(W407-X407,"")</f>
        <v/>
      </c>
      <c r="Z407">
        <f>IFERROR(ABS(Y407)/MAX(X407,1),"")</f>
        <v/>
      </c>
      <c r="AA407">
        <f>IFERROR((X407-(((E407/100000+F407/100+S407/200)*200*I407*H407)+((E407*F407/25000)*I407*H407))/3)/(((J407/5)*200*I407*H407)+((J407*S407/2.5)*I407*H407)+((E407*F407*J407*S407*I407*H407)/12500000))/3*1000,"")</f>
        <v/>
      </c>
    </row>
    <row r="408">
      <c r="B408" s="7" t="inlineStr">
        <is>
          <t xml:space="preserve">  ↳ LatinBuggyMG</t>
        </is>
      </c>
      <c r="C408" s="7" t="inlineStr">
        <is>
          <t>Armament</t>
        </is>
      </c>
      <c r="L408" s="6" t="n">
        <v>4000</v>
      </c>
      <c r="M408" s="6" t="n">
        <v>35</v>
      </c>
      <c r="N408" s="6" t="n">
        <v>5</v>
      </c>
      <c r="O408" s="6" t="n">
        <v>5</v>
      </c>
      <c r="P408" s="6" t="n">
        <v>6000</v>
      </c>
      <c r="Q408" s="6" t="n">
        <v>0.875</v>
      </c>
      <c r="R408">
        <f>M408+IF(N408&gt;1,N(O408)*(N408-1),0)</f>
        <v/>
      </c>
      <c r="S408">
        <f>IFERROR(L408*MAX(N408,1)/R408*Q408*IF(ISBLANK(K407),1,K407),0)</f>
        <v/>
      </c>
      <c r="AB408" s="7" t="inlineStr">
        <is>
          <t>^RA2SmallArms, ^RA2Chaingun</t>
        </is>
      </c>
    </row>
    <row r="409">
      <c r="B409" s="7" t="inlineStr">
        <is>
          <t xml:space="preserve">  ↳ LatinBuggyMGE</t>
        </is>
      </c>
      <c r="C409" s="7" t="inlineStr">
        <is>
          <t>Armament@Elite</t>
        </is>
      </c>
      <c r="L409" s="6" t="n">
        <v>4000</v>
      </c>
      <c r="M409" s="6" t="n">
        <v>35</v>
      </c>
      <c r="N409" s="6" t="n">
        <v>10</v>
      </c>
      <c r="O409" s="6" t="n">
        <v>3</v>
      </c>
      <c r="P409" s="6" t="n">
        <v>7000</v>
      </c>
      <c r="Q409" s="6" t="n">
        <v>0.875</v>
      </c>
      <c r="R409">
        <f>M409+IF(N409&gt;1,N(O409)*(N409-1),0)</f>
        <v/>
      </c>
      <c r="S409">
        <f>IFERROR(L409*MAX(N409,1)/R409*Q409*IF(ISBLANK(K407),1,K407),0)</f>
        <v/>
      </c>
      <c r="AB409" s="7" t="inlineStr">
        <is>
          <t>^RA2SmallArms, ^RA2Chaingun</t>
        </is>
      </c>
    </row>
    <row r="410">
      <c r="B410" s="7" t="inlineStr">
        <is>
          <t xml:space="preserve">  ↳ LatinBuggyChaingun</t>
        </is>
      </c>
      <c r="C410" s="7" t="inlineStr">
        <is>
          <t>Armament@Gatling</t>
        </is>
      </c>
      <c r="L410" s="6" t="n">
        <v>2000</v>
      </c>
      <c r="M410" s="6" t="n">
        <v>11</v>
      </c>
      <c r="N410" s="6" t="n">
        <v>1</v>
      </c>
      <c r="O410" s="6" t="n"/>
      <c r="P410" s="6" t="n">
        <v>6000</v>
      </c>
      <c r="Q410" s="6" t="n">
        <v>0.9166666666666666</v>
      </c>
      <c r="R410">
        <f>M410+IF(N410&gt;1,N(O410)*(N410-1),0)</f>
        <v/>
      </c>
      <c r="S410">
        <f>IFERROR(L410*MAX(N410,1)/R410*Q410*IF(ISBLANK(K407),1,K407),0)</f>
        <v/>
      </c>
      <c r="AB410" s="7" t="inlineStr">
        <is>
          <t>^TankDestroyerCannon, ^FlakWeapon, ^RA2SmallArms, ^RA2Chaingun</t>
        </is>
      </c>
    </row>
    <row r="411">
      <c r="B411" s="7" t="inlineStr">
        <is>
          <t xml:space="preserve">  ↳ LatinBuggyChaingunE</t>
        </is>
      </c>
      <c r="C411" s="7" t="inlineStr">
        <is>
          <t>Armament@GatlingElite</t>
        </is>
      </c>
      <c r="L411" s="6" t="n">
        <v>2000</v>
      </c>
      <c r="M411" s="6" t="n">
        <v>11</v>
      </c>
      <c r="N411" s="6" t="n">
        <v>1</v>
      </c>
      <c r="O411" s="6" t="n"/>
      <c r="P411" s="6" t="n">
        <v>7000</v>
      </c>
      <c r="Q411" s="6" t="n">
        <v>0.9166666666666666</v>
      </c>
      <c r="R411">
        <f>M411+IF(N411&gt;1,N(O411)*(N411-1),0)</f>
        <v/>
      </c>
      <c r="S411">
        <f>IFERROR(L411*MAX(N411,1)/R411*Q411*IF(ISBLANK(K407),1,K407),0)</f>
        <v/>
      </c>
      <c r="AB411" s="7" t="inlineStr">
        <is>
          <t>^TankDestroyerCannon, ^FlakWeapon, ^RA2SmallArms, ^RA2Chaingun</t>
        </is>
      </c>
    </row>
    <row r="412">
      <c r="A412" t="inlineStr">
        <is>
          <t>redalert2mod</t>
        </is>
      </c>
      <c r="B412" t="inlineStr">
        <is>
          <t>naxis_hetzer</t>
        </is>
      </c>
      <c r="C412" t="inlineStr">
        <is>
          <t>Hetzer</t>
        </is>
      </c>
      <c r="D412" s="6" t="inlineStr">
        <is>
          <t>LineBreaker</t>
        </is>
      </c>
      <c r="E412" s="6" t="n">
        <v>75000</v>
      </c>
      <c r="F412" s="6" t="n">
        <v>75</v>
      </c>
      <c r="G412" t="inlineStr">
        <is>
          <t>Medium</t>
        </is>
      </c>
      <c r="H412" s="6" t="n">
        <v>1</v>
      </c>
      <c r="I412" s="6" t="n">
        <v>1</v>
      </c>
      <c r="J412" s="6" t="n">
        <v>1</v>
      </c>
      <c r="K412" s="6" t="n"/>
      <c r="P412">
        <f>MAX(P413,P414)</f>
        <v/>
      </c>
      <c r="S412">
        <f>S413+S414</f>
        <v/>
      </c>
      <c r="T412">
        <f>(E412/100000+F412/100+(P412/1000)*J412/5+S412/200)*200*I412*H412</f>
        <v/>
      </c>
      <c r="U412">
        <f>((E412*F412/25000)+((P412/1000)*J412*S412/2.5))*I412*H412</f>
        <v/>
      </c>
      <c r="V412">
        <f>(E412*F412*(P412/1000)*J412*S412*I412*H412)/12500000</f>
        <v/>
      </c>
      <c r="W412">
        <f>800*(T412/800+U412/800+V412/800)/3</f>
        <v/>
      </c>
      <c r="X412" s="6" t="n">
        <v>1300</v>
      </c>
      <c r="Y412">
        <f>IFERROR(W412-X412,"")</f>
        <v/>
      </c>
      <c r="Z412">
        <f>IFERROR(ABS(Y412)/MAX(X412,1),"")</f>
        <v/>
      </c>
      <c r="AA412">
        <f>IFERROR((X412-(((E412/100000+F412/100+S412/200)*200*I412*H412)+((E412*F412/25000)*I412*H412))/3)/(((J412/5)*200*I412*H412)+((J412*S412/2.5)*I412*H412)+((E412*F412*J412*S412*I412*H412)/12500000))/3*1000,"")</f>
        <v/>
      </c>
    </row>
    <row r="413">
      <c r="B413" s="7" t="inlineStr">
        <is>
          <t xml:space="preserve">  ↳ NaxiHetzerDestroyer</t>
        </is>
      </c>
      <c r="C413" s="7" t="inlineStr">
        <is>
          <t>Armament@AG</t>
        </is>
      </c>
      <c r="L413" s="6" t="n">
        <v>20000</v>
      </c>
      <c r="M413" s="6" t="n">
        <v>80</v>
      </c>
      <c r="N413" s="6" t="n">
        <v>1</v>
      </c>
      <c r="O413" s="6" t="n"/>
      <c r="P413" s="6" t="n">
        <v>7132</v>
      </c>
      <c r="Q413" s="6" t="n">
        <v>1</v>
      </c>
      <c r="R413">
        <f>M413+IF(N413&gt;1,N(O413)*(N413-1),0)</f>
        <v/>
      </c>
      <c r="S413">
        <f>IFERROR(L413*MAX(N413,1)/R413*Q413*IF(ISBLANK(K412),1,K412),0)</f>
        <v/>
      </c>
      <c r="AB413" s="7" t="inlineStr">
        <is>
          <t>^MediumCannon, ^RA2TankDestroyerCannon</t>
        </is>
      </c>
    </row>
    <row r="414">
      <c r="B414" s="7" t="inlineStr">
        <is>
          <t xml:space="preserve">  ↳ NaxiHetzerDestroyer_elite</t>
        </is>
      </c>
      <c r="C414" s="7" t="inlineStr">
        <is>
          <t>Armament@elite</t>
        </is>
      </c>
      <c r="L414" s="6" t="n">
        <v>20000</v>
      </c>
      <c r="M414" s="6" t="n">
        <v>80</v>
      </c>
      <c r="N414" s="6" t="n">
        <v>2</v>
      </c>
      <c r="O414" s="6" t="n">
        <v>3</v>
      </c>
      <c r="P414" s="6" t="n">
        <v>6000</v>
      </c>
      <c r="Q414" s="6" t="n">
        <v>1</v>
      </c>
      <c r="R414">
        <f>M414+IF(N414&gt;1,N(O414)*(N414-1),0)</f>
        <v/>
      </c>
      <c r="S414">
        <f>IFERROR(L414*MAX(N414,1)/R414*Q414*IF(ISBLANK(K412),1,K412),0)</f>
        <v/>
      </c>
      <c r="AB414" s="7" t="inlineStr">
        <is>
          <t>^MediumCannon, ^RA2TankDestroyerCannon, ^RA2EliteEffects</t>
        </is>
      </c>
    </row>
    <row r="415">
      <c r="A415" t="inlineStr">
        <is>
          <t>redalert2mod</t>
        </is>
      </c>
      <c r="B415" t="inlineStr">
        <is>
          <t>naxis_jagdpanzer</t>
        </is>
      </c>
      <c r="C415" t="inlineStr">
        <is>
          <t>Jagdpanzer</t>
        </is>
      </c>
      <c r="D415" s="6" t="inlineStr">
        <is>
          <t>LineBreaker</t>
        </is>
      </c>
      <c r="E415" s="6" t="n">
        <v>125000</v>
      </c>
      <c r="F415" s="6" t="n">
        <v>50</v>
      </c>
      <c r="G415" t="inlineStr">
        <is>
          <t>Heavy</t>
        </is>
      </c>
      <c r="H415" s="6" t="n">
        <v>1</v>
      </c>
      <c r="I415" s="6" t="n">
        <v>1</v>
      </c>
      <c r="J415" s="6" t="n">
        <v>1</v>
      </c>
      <c r="K415" s="6" t="n"/>
      <c r="P415">
        <f>MAX(P416,P417)</f>
        <v/>
      </c>
      <c r="S415">
        <f>S416+S417</f>
        <v/>
      </c>
      <c r="T415">
        <f>(E415/100000+F415/100+(P415/1000)*J415/5+S415/200)*200*I415*H415</f>
        <v/>
      </c>
      <c r="U415">
        <f>((E415*F415/25000)+((P415/1000)*J415*S415/2.5))*I415*H415</f>
        <v/>
      </c>
      <c r="V415">
        <f>(E415*F415*(P415/1000)*J415*S415*I415*H415)/12500000</f>
        <v/>
      </c>
      <c r="W415">
        <f>800*(T415/800+U415/800+V415/800)/3</f>
        <v/>
      </c>
      <c r="X415" s="6" t="n">
        <v>2000</v>
      </c>
      <c r="Y415">
        <f>IFERROR(W415-X415,"")</f>
        <v/>
      </c>
      <c r="Z415">
        <f>IFERROR(ABS(Y415)/MAX(X415,1),"")</f>
        <v/>
      </c>
      <c r="AA415">
        <f>IFERROR((X415-(((E415/100000+F415/100+S415/200)*200*I415*H415)+((E415*F415/25000)*I415*H415))/3)/(((J415/5)*200*I415*H415)+((J415*S415/2.5)*I415*H415)+((E415*F415*J415*S415*I415*H415)/12500000))/3*1000,"")</f>
        <v/>
      </c>
    </row>
    <row r="416">
      <c r="B416" s="7" t="inlineStr">
        <is>
          <t xml:space="preserve">  ↳ NaxiJadgDestroyer</t>
        </is>
      </c>
      <c r="C416" s="7" t="inlineStr">
        <is>
          <t>Armament@AG</t>
        </is>
      </c>
      <c r="L416" s="6" t="n">
        <v>20000</v>
      </c>
      <c r="M416" s="6" t="n">
        <v>90</v>
      </c>
      <c r="N416" s="6" t="n">
        <v>1</v>
      </c>
      <c r="O416" s="6" t="n"/>
      <c r="P416" s="6" t="n">
        <v>7396</v>
      </c>
      <c r="Q416" s="6" t="n">
        <v>1.125</v>
      </c>
      <c r="R416">
        <f>M416+IF(N416&gt;1,N(O416)*(N416-1),0)</f>
        <v/>
      </c>
      <c r="S416">
        <f>IFERROR(L416*MAX(N416,1)/R416*Q416*IF(ISBLANK(K415),1,K415),0)</f>
        <v/>
      </c>
      <c r="AB416" s="7" t="inlineStr">
        <is>
          <t>^HeavyCannon, ^ShrapnelWeapon, ^RA2TankDestroyerCannon</t>
        </is>
      </c>
    </row>
    <row r="417">
      <c r="B417" s="7" t="inlineStr">
        <is>
          <t xml:space="preserve">  ↳ NaxiJadgDestroyer_elite</t>
        </is>
      </c>
      <c r="C417" s="7" t="inlineStr">
        <is>
          <t>Armament@elite</t>
        </is>
      </c>
      <c r="L417" s="6" t="n">
        <v>20000</v>
      </c>
      <c r="M417" s="6" t="n">
        <v>90</v>
      </c>
      <c r="N417" s="6" t="n">
        <v>2</v>
      </c>
      <c r="O417" s="6" t="n">
        <v>3</v>
      </c>
      <c r="P417" s="6" t="n">
        <v>8396</v>
      </c>
      <c r="Q417" s="6" t="n">
        <v>1.125</v>
      </c>
      <c r="R417">
        <f>M417+IF(N417&gt;1,N(O417)*(N417-1),0)</f>
        <v/>
      </c>
      <c r="S417">
        <f>IFERROR(L417*MAX(N417,1)/R417*Q417*IF(ISBLANK(K415),1,K415),0)</f>
        <v/>
      </c>
      <c r="AB417" s="7" t="inlineStr">
        <is>
          <t>^HeavyCannon, ^ShrapnelWeapon, ^RA2TankDestroyerCannon, ^RA2EliteEffects</t>
        </is>
      </c>
    </row>
    <row r="418">
      <c r="A418" t="inlineStr">
        <is>
          <t>redalert2mod</t>
        </is>
      </c>
      <c r="B418" t="inlineStr">
        <is>
          <t>naxis_oldtank</t>
        </is>
      </c>
      <c r="C418" t="inlineStr">
        <is>
          <t>Old Tank</t>
        </is>
      </c>
      <c r="D418" s="6" t="inlineStr">
        <is>
          <t>LineBreaker</t>
        </is>
      </c>
      <c r="E418" s="6" t="n">
        <v>110000</v>
      </c>
      <c r="F418" s="6" t="n">
        <v>50</v>
      </c>
      <c r="G418" t="inlineStr">
        <is>
          <t>Medium</t>
        </is>
      </c>
      <c r="H418" s="6" t="n">
        <v>1</v>
      </c>
      <c r="I418" s="6" t="n">
        <v>1</v>
      </c>
      <c r="J418" s="6" t="n">
        <v>1</v>
      </c>
      <c r="K418" s="6" t="n"/>
      <c r="P418">
        <f>MAX(P419)</f>
        <v/>
      </c>
      <c r="S418">
        <f>S419</f>
        <v/>
      </c>
      <c r="T418">
        <f>(E418/100000+F418/100+(P418/1000)*J418/5+S418/200)*200*I418*H418</f>
        <v/>
      </c>
      <c r="U418">
        <f>((E418*F418/25000)+((P418/1000)*J418*S418/2.5))*I418*H418</f>
        <v/>
      </c>
      <c r="V418">
        <f>(E418*F418*(P418/1000)*J418*S418*I418*H418)/12500000</f>
        <v/>
      </c>
      <c r="W418">
        <f>800*(T418/800+U418/800+V418/800)/3</f>
        <v/>
      </c>
      <c r="X418" s="6" t="n">
        <v>2000</v>
      </c>
      <c r="Y418">
        <f>IFERROR(W418-X418,"")</f>
        <v/>
      </c>
      <c r="Z418">
        <f>IFERROR(ABS(Y418)/MAX(X418,1),"")</f>
        <v/>
      </c>
      <c r="AA418">
        <f>IFERROR((X418-(((E418/100000+F418/100+S418/200)*200*I418*H418)+((E418*F418/25000)*I418*H418))/3)/(((J418/5)*200*I418*H418)+((J418*S418/2.5)*I418*H418)+((E418*F418*J418*S418*I418*H418)/12500000))/3*1000,"")</f>
        <v/>
      </c>
    </row>
    <row r="419">
      <c r="B419" s="7" t="inlineStr">
        <is>
          <t xml:space="preserve">  ↳ NaxiAntiTankCannon</t>
        </is>
      </c>
      <c r="C419" s="7" t="inlineStr">
        <is>
          <t>Armament</t>
        </is>
      </c>
      <c r="L419" s="6" t="n">
        <v>14000</v>
      </c>
      <c r="M419" s="6" t="n">
        <v>75</v>
      </c>
      <c r="N419" s="6" t="n">
        <v>1</v>
      </c>
      <c r="O419" s="6" t="n"/>
      <c r="P419" s="6" t="n">
        <v>7361</v>
      </c>
      <c r="Q419" s="6" t="n">
        <v>1</v>
      </c>
      <c r="R419">
        <f>M419+IF(N419&gt;1,N(O419)*(N419-1),0)</f>
        <v/>
      </c>
      <c r="S419">
        <f>IFERROR(L419*MAX(N419,1)/R419*Q419*IF(ISBLANK(K418),1,K418),0)</f>
        <v/>
      </c>
      <c r="AB419" s="7" t="inlineStr">
        <is>
          <t>^MediumCannon, ^RA2TankDestroyerCannon</t>
        </is>
      </c>
    </row>
    <row r="420">
      <c r="A420" t="inlineStr">
        <is>
          <t>redalert2mod</t>
        </is>
      </c>
      <c r="B420" t="inlineStr">
        <is>
          <t>naxis_sturmtiger</t>
        </is>
      </c>
      <c r="C420" t="inlineStr">
        <is>
          <t>Sturm Tiger</t>
        </is>
      </c>
      <c r="D420" s="6" t="inlineStr">
        <is>
          <t>LineBreaker</t>
        </is>
      </c>
      <c r="E420" s="6" t="n">
        <v>250000</v>
      </c>
      <c r="F420" s="6" t="n">
        <v>30</v>
      </c>
      <c r="G420" t="inlineStr">
        <is>
          <t>Heavy</t>
        </is>
      </c>
      <c r="H420" s="6" t="n">
        <v>1</v>
      </c>
      <c r="I420" s="6" t="n">
        <v>1</v>
      </c>
      <c r="J420" s="6" t="n">
        <v>1</v>
      </c>
      <c r="K420" s="6" t="n"/>
      <c r="P420">
        <f>MAX(P421)</f>
        <v/>
      </c>
      <c r="S420">
        <f>S421</f>
        <v/>
      </c>
      <c r="T420">
        <f>(E420/100000+F420/100+(P420/1000)*J420/5+S420/200)*200*I420*H420</f>
        <v/>
      </c>
      <c r="U420">
        <f>((E420*F420/25000)+((P420/1000)*J420*S420/2.5))*I420*H420</f>
        <v/>
      </c>
      <c r="V420">
        <f>(E420*F420*(P420/1000)*J420*S420*I420*H420)/12500000</f>
        <v/>
      </c>
      <c r="W420">
        <f>800*(T420/800+U420/800+V420/800)/3</f>
        <v/>
      </c>
      <c r="X420" s="6" t="n">
        <v>2500</v>
      </c>
      <c r="Y420">
        <f>IFERROR(W420-X420,"")</f>
        <v/>
      </c>
      <c r="Z420">
        <f>IFERROR(ABS(Y420)/MAX(X420,1),"")</f>
        <v/>
      </c>
      <c r="AA420">
        <f>IFERROR((X420-(((E420/100000+F420/100+S420/200)*200*I420*H420)+((E420*F420/25000)*I420*H420))/3)/(((J420/5)*200*I420*H420)+((J420*S420/2.5)*I420*H420)+((E420*F420*J420*S420*I420*H420)/12500000))/3*1000,"")</f>
        <v/>
      </c>
    </row>
    <row r="421">
      <c r="B421" s="7" t="inlineStr">
        <is>
          <t xml:space="preserve">  ↳ NaxSturmArty</t>
        </is>
      </c>
      <c r="C421" s="7" t="inlineStr">
        <is>
          <t>Armament@AG</t>
        </is>
      </c>
      <c r="L421" s="6" t="n">
        <v>30000</v>
      </c>
      <c r="M421" s="6" t="n">
        <v>140</v>
      </c>
      <c r="N421" s="6" t="n">
        <v>1</v>
      </c>
      <c r="O421" s="6" t="n"/>
      <c r="P421" s="6" t="n">
        <v>14000</v>
      </c>
      <c r="Q421" s="6" t="n">
        <v>1.083333333333333</v>
      </c>
      <c r="R421">
        <f>M421+IF(N421&gt;1,N(O421)*(N421-1),0)</f>
        <v/>
      </c>
      <c r="S421">
        <f>IFERROR(L421*MAX(N421,1)/R421*Q421*IF(ISBLANK(K420),1,K420),0)</f>
        <v/>
      </c>
      <c r="AB421" s="7" t="inlineStr">
        <is>
          <t>^HeavyBomb, ^RA2MediumCannon, ^RA2Grenade</t>
        </is>
      </c>
    </row>
    <row r="422">
      <c r="A422" t="inlineStr">
        <is>
          <t>redalert2mod</t>
        </is>
      </c>
      <c r="B422" t="inlineStr">
        <is>
          <t>schwarzermond_neojagdpanzer</t>
        </is>
      </c>
      <c r="C422" t="inlineStr">
        <is>
          <t>Neo Jagdpanzer</t>
        </is>
      </c>
      <c r="D422" s="6" t="inlineStr">
        <is>
          <t>LineBreaker</t>
        </is>
      </c>
      <c r="E422" s="6" t="n">
        <v>450000</v>
      </c>
      <c r="F422" s="6" t="n">
        <v>45</v>
      </c>
      <c r="G422" t="inlineStr">
        <is>
          <t>Superheavy</t>
        </is>
      </c>
      <c r="H422" s="6" t="n">
        <v>0.75</v>
      </c>
      <c r="I422" s="6" t="n">
        <v>1</v>
      </c>
      <c r="J422" s="6" t="n">
        <v>1</v>
      </c>
      <c r="K422" s="6" t="n"/>
      <c r="P422">
        <f>MAX(P423,P424,P425,P426)</f>
        <v/>
      </c>
      <c r="S422">
        <f>S423+S424+S425+S426</f>
        <v/>
      </c>
      <c r="T422">
        <f>(E422/100000+F422/100+(P422/1000)*J422/5+S422/200)*200*I422*H422</f>
        <v/>
      </c>
      <c r="U422">
        <f>((E422*F422/25000)+((P422/1000)*J422*S422/2.5))*I422*H422</f>
        <v/>
      </c>
      <c r="V422">
        <f>(E422*F422*(P422/1000)*J422*S422*I422*H422)/12500000</f>
        <v/>
      </c>
      <c r="W422">
        <f>800*(T422/800+U422/800+V422/800)/3</f>
        <v/>
      </c>
      <c r="X422" s="6" t="n">
        <v>4500</v>
      </c>
      <c r="Y422">
        <f>IFERROR(W422-X422,"")</f>
        <v/>
      </c>
      <c r="Z422">
        <f>IFERROR(ABS(Y422)/MAX(X422,1),"")</f>
        <v/>
      </c>
      <c r="AA422">
        <f>IFERROR((X422-(((E422/100000+F422/100+S422/200)*200*I422*H422)+((E422*F422/25000)*I422*H422))/3)/(((J422/5)*200*I422*H422)+((J422*S422/2.5)*I422*H422)+((E422*F422*J422*S422*I422*H422)/12500000))/3*1000,"")</f>
        <v/>
      </c>
    </row>
    <row r="423">
      <c r="B423" s="7" t="inlineStr">
        <is>
          <t xml:space="preserve">  ↳ LunarNaxiJadgDestroyer</t>
        </is>
      </c>
      <c r="C423" s="7" t="inlineStr">
        <is>
          <t>Armament@AG</t>
        </is>
      </c>
      <c r="L423" s="6" t="n">
        <v>30000</v>
      </c>
      <c r="M423" s="6" t="n">
        <v>90</v>
      </c>
      <c r="N423" s="6" t="n">
        <v>1</v>
      </c>
      <c r="O423" s="6" t="n"/>
      <c r="P423" s="6" t="n">
        <v>7379</v>
      </c>
      <c r="Q423" s="6" t="n">
        <v>1.125</v>
      </c>
      <c r="R423">
        <f>M423+IF(N423&gt;1,N(O423)*(N423-1),0)</f>
        <v/>
      </c>
      <c r="S423">
        <f>IFERROR(L423*MAX(N423,1)/R423*Q423*IF(ISBLANK(K422),1,K422),0)</f>
        <v/>
      </c>
      <c r="AB423" s="7" t="inlineStr">
        <is>
          <t>^HeavyCannon, ^ShrapnelWeapon, ^RA2TankDestroyerCannon</t>
        </is>
      </c>
    </row>
    <row r="424">
      <c r="B424" s="7" t="inlineStr">
        <is>
          <t xml:space="preserve">  ↳ LunarNaxiJadgDestroyerE</t>
        </is>
      </c>
      <c r="C424" s="7" t="inlineStr">
        <is>
          <t>Armament@elite</t>
        </is>
      </c>
      <c r="L424" s="6" t="n">
        <v>30000</v>
      </c>
      <c r="M424" s="6" t="n">
        <v>90</v>
      </c>
      <c r="N424" s="6" t="n">
        <v>2</v>
      </c>
      <c r="O424" s="6" t="n">
        <v>3</v>
      </c>
      <c r="P424" s="6" t="n">
        <v>8379</v>
      </c>
      <c r="Q424" s="6" t="n">
        <v>1.125</v>
      </c>
      <c r="R424">
        <f>M424+IF(N424&gt;1,N(O424)*(N424-1),0)</f>
        <v/>
      </c>
      <c r="S424">
        <f>IFERROR(L424*MAX(N424,1)/R424*Q424*IF(ISBLANK(K422),1,K422),0)</f>
        <v/>
      </c>
      <c r="AB424" s="7" t="inlineStr">
        <is>
          <t>^HeavyCannon, ^ShrapnelWeapon, ^RA2TankDestroyerCannon, ^RA2EliteEffects</t>
        </is>
      </c>
    </row>
    <row r="425">
      <c r="B425" s="7" t="inlineStr">
        <is>
          <t xml:space="preserve">  ↳ Lunar_GreenJadgDestroyer</t>
        </is>
      </c>
      <c r="C425" s="7" t="inlineStr">
        <is>
          <t>Armament@AG-upgraded</t>
        </is>
      </c>
      <c r="L425" s="6" t="n">
        <v>30000</v>
      </c>
      <c r="M425" s="6" t="n">
        <v>90</v>
      </c>
      <c r="N425" s="6" t="n">
        <v>1</v>
      </c>
      <c r="O425" s="6" t="n"/>
      <c r="P425" s="6" t="n">
        <v>7379</v>
      </c>
      <c r="Q425" s="6" t="n">
        <v>1.083333333333333</v>
      </c>
      <c r="R425">
        <f>M425+IF(N425&gt;1,N(O425)*(N425-1),0)</f>
        <v/>
      </c>
      <c r="S425">
        <f>IFERROR(L425*MAX(N425,1)/R425*Q425*IF(ISBLANK(K422),1,K422),0)</f>
        <v/>
      </c>
      <c r="AB425" s="7" t="inlineStr">
        <is>
          <t>^TeslaWeapon, ^HeavyCannon, ^ShrapnelWeapon, ^RA2TankDestroyerCannon, ^LunarNaxisUpgradedCannons</t>
        </is>
      </c>
    </row>
    <row r="426">
      <c r="B426" s="7" t="inlineStr">
        <is>
          <t xml:space="preserve">  ↳ Lunar_GreenJadgDestroyerE</t>
        </is>
      </c>
      <c r="C426" s="7" t="inlineStr">
        <is>
          <t>Armament@elite-upgrade</t>
        </is>
      </c>
      <c r="L426" s="6" t="n">
        <v>30000</v>
      </c>
      <c r="M426" s="6" t="n">
        <v>90</v>
      </c>
      <c r="N426" s="6" t="n">
        <v>2</v>
      </c>
      <c r="O426" s="6" t="n">
        <v>3</v>
      </c>
      <c r="P426" s="6" t="n">
        <v>8379</v>
      </c>
      <c r="Q426" s="6" t="n">
        <v>1.083333333333333</v>
      </c>
      <c r="R426">
        <f>M426+IF(N426&gt;1,N(O426)*(N426-1),0)</f>
        <v/>
      </c>
      <c r="S426">
        <f>IFERROR(L426*MAX(N426,1)/R426*Q426*IF(ISBLANK(K422),1,K422),0)</f>
        <v/>
      </c>
      <c r="AB426" s="7" t="inlineStr">
        <is>
          <t>^TeslaWeapon, ^HeavyCannon, ^ShrapnelWeapon, ^RA2TankDestroyerCannon, ^RA2EliteEffects, ^LunarNaxisUpgradedCannons</t>
        </is>
      </c>
    </row>
    <row r="427">
      <c r="A427" t="inlineStr">
        <is>
          <t>redalert2mod</t>
        </is>
      </c>
      <c r="B427" t="inlineStr">
        <is>
          <t>futuretech_plasmastrider</t>
        </is>
      </c>
      <c r="C427" t="inlineStr">
        <is>
          <t>Plasma Strider</t>
        </is>
      </c>
      <c r="D427" s="6" t="inlineStr">
        <is>
          <t>LineBreaker</t>
        </is>
      </c>
      <c r="E427" s="6" t="n">
        <v>240000</v>
      </c>
      <c r="F427" s="6" t="n">
        <v>40</v>
      </c>
      <c r="G427" t="inlineStr">
        <is>
          <t>Heavy</t>
        </is>
      </c>
      <c r="H427" s="6" t="n">
        <v>1</v>
      </c>
      <c r="I427" s="6" t="n">
        <v>1</v>
      </c>
      <c r="J427" s="6" t="n">
        <v>1</v>
      </c>
      <c r="K427" s="6" t="n"/>
      <c r="P427">
        <f>MAX(P428,P429)</f>
        <v/>
      </c>
      <c r="S427">
        <f>S428+S429</f>
        <v/>
      </c>
      <c r="T427">
        <f>(E427/100000+F427/100+(P427/1000)*J427/5+S427/200)*200*I427*H427</f>
        <v/>
      </c>
      <c r="U427">
        <f>((E427*F427/25000)+((P427/1000)*J427*S427/2.5))*I427*H427</f>
        <v/>
      </c>
      <c r="V427">
        <f>(E427*F427*(P427/1000)*J427*S427*I427*H427)/12500000</f>
        <v/>
      </c>
      <c r="W427">
        <f>800*(T427/800+U427/800+V427/800)/3</f>
        <v/>
      </c>
      <c r="X427" s="6" t="n">
        <v>2600</v>
      </c>
      <c r="Y427">
        <f>IFERROR(W427-X427,"")</f>
        <v/>
      </c>
      <c r="Z427">
        <f>IFERROR(ABS(Y427)/MAX(X427,1),"")</f>
        <v/>
      </c>
      <c r="AA427">
        <f>IFERROR((X427-(((E427/100000+F427/100+S427/200)*200*I427*H427)+((E427*F427/25000)*I427*H427))/3)/(((J427/5)*200*I427*H427)+((J427*S427/2.5)*I427*H427)+((E427*F427*J427*S427*I427*H427)/12500000))/3*1000,"")</f>
        <v/>
      </c>
    </row>
    <row r="428">
      <c r="B428" s="7" t="inlineStr">
        <is>
          <t xml:space="preserve">  ↳ FutureMechPlasma</t>
        </is>
      </c>
      <c r="C428" s="7" t="inlineStr">
        <is>
          <t>Armament@PRIMARY</t>
        </is>
      </c>
      <c r="L428" s="6" t="n">
        <v>10000</v>
      </c>
      <c r="M428" s="6" t="n">
        <v>50</v>
      </c>
      <c r="N428" s="6" t="n">
        <v>2</v>
      </c>
      <c r="O428" s="6" t="n">
        <v>10</v>
      </c>
      <c r="P428" s="6" t="n">
        <v>7000</v>
      </c>
      <c r="Q428" s="6" t="n">
        <v>1.083333333333333</v>
      </c>
      <c r="R428">
        <f>M428+IF(N428&gt;1,N(O428)*(N428-1),0)</f>
        <v/>
      </c>
      <c r="S428">
        <f>IFERROR(L428*MAX(N428,1)/R428*Q428*IF(ISBLANK(K427),1,K427),0)</f>
        <v/>
      </c>
      <c r="AB428" s="7" t="inlineStr">
        <is>
          <t>^Grenade, ^MediumChemicalWeapon, ^SteelHeavyCannon</t>
        </is>
      </c>
    </row>
    <row r="429">
      <c r="B429" s="7" t="inlineStr">
        <is>
          <t xml:space="preserve">  ↳ FutureMechPlasmaE</t>
        </is>
      </c>
      <c r="C429" s="7" t="inlineStr">
        <is>
          <t>Armament@ELITE</t>
        </is>
      </c>
      <c r="L429" s="6" t="n">
        <v>10000</v>
      </c>
      <c r="M429" s="6" t="n">
        <v>50</v>
      </c>
      <c r="N429" s="6" t="n">
        <v>4</v>
      </c>
      <c r="O429" s="6" t="n">
        <v>5</v>
      </c>
      <c r="P429" s="6" t="n">
        <v>8000</v>
      </c>
      <c r="Q429" s="6" t="n">
        <v>1.083333333333333</v>
      </c>
      <c r="R429">
        <f>M429+IF(N429&gt;1,N(O429)*(N429-1),0)</f>
        <v/>
      </c>
      <c r="S429">
        <f>IFERROR(L429*MAX(N429,1)/R429*Q429*IF(ISBLANK(K427),1,K427),0)</f>
        <v/>
      </c>
      <c r="AB429" s="7" t="inlineStr">
        <is>
          <t>^Grenade, ^MediumChemicalWeapon, ^SteelHeavyCannon</t>
        </is>
      </c>
    </row>
    <row r="430">
      <c r="A430" t="inlineStr">
        <is>
          <t>redalert2mod</t>
        </is>
      </c>
      <c r="B430" t="inlineStr">
        <is>
          <t>futuretech_shotgundroid</t>
        </is>
      </c>
      <c r="C430" t="inlineStr">
        <is>
          <t>Shotgun Droid</t>
        </is>
      </c>
      <c r="D430" s="6" t="inlineStr">
        <is>
          <t>LineBreaker</t>
        </is>
      </c>
      <c r="E430" s="6" t="n">
        <v>55000</v>
      </c>
      <c r="F430" s="6" t="n">
        <v>55</v>
      </c>
      <c r="G430" t="inlineStr">
        <is>
          <t>Plate</t>
        </is>
      </c>
      <c r="H430" s="6" t="n">
        <v>1</v>
      </c>
      <c r="I430" s="6" t="n">
        <v>1</v>
      </c>
      <c r="J430" s="6" t="n">
        <v>1</v>
      </c>
      <c r="K430" s="6" t="n"/>
      <c r="P430">
        <f>MAX(P431,P432)</f>
        <v/>
      </c>
      <c r="S430">
        <f>S431+S432</f>
        <v/>
      </c>
      <c r="T430">
        <f>(E430/100000+F430/100+(P430/1000)*J430/5+S430/200)*200*I430*H430</f>
        <v/>
      </c>
      <c r="U430">
        <f>((E430*F430/25000)+((P430/1000)*J430*S430/2.5))*I430*H430</f>
        <v/>
      </c>
      <c r="V430">
        <f>(E430*F430*(P430/1000)*J430*S430*I430*H430)/12500000</f>
        <v/>
      </c>
      <c r="W430">
        <f>800*(T430/800+U430/800+V430/800)/3</f>
        <v/>
      </c>
      <c r="X430" s="6" t="n">
        <v>400</v>
      </c>
      <c r="Y430">
        <f>IFERROR(W430-X430,"")</f>
        <v/>
      </c>
      <c r="Z430">
        <f>IFERROR(ABS(Y430)/MAX(X430,1),"")</f>
        <v/>
      </c>
      <c r="AA430">
        <f>IFERROR((X430-(((E430/100000+F430/100+S430/200)*200*I430*H430)+((E430*F430/25000)*I430*H430))/3)/(((J430/5)*200*I430*H430)+((J430*S430/2.5)*I430*H430)+((E430*F430*J430*S430*I430*H430)/12500000))/3*1000,"")</f>
        <v/>
      </c>
    </row>
    <row r="431">
      <c r="B431" s="7" t="inlineStr">
        <is>
          <t xml:space="preserve">  ↳ ShotgunAttackRobotGun</t>
        </is>
      </c>
      <c r="C431" s="7" t="inlineStr">
        <is>
          <t>Armament@PRIMARY</t>
        </is>
      </c>
      <c r="L431" s="6" t="n">
        <v>2000</v>
      </c>
      <c r="M431" s="6" t="n">
        <v>55</v>
      </c>
      <c r="N431" s="6" t="n">
        <v>1</v>
      </c>
      <c r="O431" s="6" t="n"/>
      <c r="P431" s="6" t="n">
        <v>4110</v>
      </c>
      <c r="Q431" s="6" t="n">
        <v>0.95</v>
      </c>
      <c r="R431">
        <f>M431+IF(N431&gt;1,N(O431)*(N431-1),0)</f>
        <v/>
      </c>
      <c r="S431">
        <f>IFERROR(L431*MAX(N431,1)/R431*Q431*IF(ISBLANK(K430),1,K430),0)</f>
        <v/>
      </c>
      <c r="AB431" s="7" t="inlineStr">
        <is>
          <t>^Grenade, ^ShrapnelWeapon, ^TankDestroyerCannon, ^MediumCannon, ^SmallArms, ^RA2Chaingun</t>
        </is>
      </c>
    </row>
    <row r="432">
      <c r="B432" s="7" t="inlineStr">
        <is>
          <t xml:space="preserve">  ↳ ShotgunAttackRobotGunE</t>
        </is>
      </c>
      <c r="C432" s="7" t="inlineStr">
        <is>
          <t>Armament@ELITE</t>
        </is>
      </c>
      <c r="L432" s="6" t="n">
        <v>2000</v>
      </c>
      <c r="M432" s="6" t="n">
        <v>25</v>
      </c>
      <c r="N432" s="6" t="n">
        <v>2</v>
      </c>
      <c r="O432" s="6" t="n">
        <v>3</v>
      </c>
      <c r="P432" s="6" t="n">
        <v>5110</v>
      </c>
      <c r="Q432" s="6" t="n">
        <v>0.9583333333333334</v>
      </c>
      <c r="R432">
        <f>M432+IF(N432&gt;1,N(O432)*(N432-1),0)</f>
        <v/>
      </c>
      <c r="S432">
        <f>IFERROR(L432*MAX(N432,1)/R432*Q432*IF(ISBLANK(K430),1,K430),0)</f>
        <v/>
      </c>
      <c r="AB432" s="7" t="inlineStr">
        <is>
          <t>^Grenade, ^ShrapnelWeapon, ^TankDestroyerCannon, ^MediumCannon, ^SmallArms, ^RA2Chaingun, ^SteelChaingun</t>
        </is>
      </c>
    </row>
    <row r="433">
      <c r="B433" s="7" t="inlineStr">
        <is>
          <t xml:space="preserve">  ↳ ShotgunAttackRobotGun</t>
        </is>
      </c>
      <c r="C433" s="7" t="inlineStr">
        <is>
          <t>Armament@GARRISONED</t>
        </is>
      </c>
      <c r="L433" s="6" t="n">
        <v>2000</v>
      </c>
      <c r="M433" s="6" t="n">
        <v>55</v>
      </c>
      <c r="N433" s="6" t="n">
        <v>1</v>
      </c>
      <c r="O433" s="6" t="n"/>
      <c r="P433" s="6" t="n">
        <v>4110</v>
      </c>
      <c r="Q433" s="6" t="n">
        <v>0.95</v>
      </c>
      <c r="R433">
        <f>M433+IF(N433&gt;1,N(O433)*(N433-1),0)</f>
        <v/>
      </c>
      <c r="S433">
        <f>IFERROR(L433*MAX(N433,1)/R433*Q433*IF(ISBLANK(K430),1,K430),0)</f>
        <v/>
      </c>
      <c r="AB433" s="7" t="inlineStr">
        <is>
          <t>^Grenade, ^ShrapnelWeapon, ^TankDestroyerCannon, ^MediumCannon, ^SmallArms, ^RA2Chaingun</t>
        </is>
      </c>
    </row>
    <row r="434">
      <c r="B434" s="7" t="inlineStr">
        <is>
          <t xml:space="preserve">  ↳ ShotgunAttackRobotGunE</t>
        </is>
      </c>
      <c r="C434" s="7" t="inlineStr">
        <is>
          <t>Armament@GARRISONEDELITE</t>
        </is>
      </c>
      <c r="L434" s="6" t="n">
        <v>2000</v>
      </c>
      <c r="M434" s="6" t="n">
        <v>25</v>
      </c>
      <c r="N434" s="6" t="n">
        <v>2</v>
      </c>
      <c r="O434" s="6" t="n">
        <v>3</v>
      </c>
      <c r="P434" s="6" t="n">
        <v>5110</v>
      </c>
      <c r="Q434" s="6" t="n">
        <v>0.9583333333333334</v>
      </c>
      <c r="R434">
        <f>M434+IF(N434&gt;1,N(O434)*(N434-1),0)</f>
        <v/>
      </c>
      <c r="S434">
        <f>IFERROR(L434*MAX(N434,1)/R434*Q434*IF(ISBLANK(K430),1,K430),0)</f>
        <v/>
      </c>
      <c r="AB434" s="7" t="inlineStr">
        <is>
          <t>^Grenade, ^ShrapnelWeapon, ^TankDestroyerCannon, ^MediumCannon, ^SmallArms, ^RA2Chaingun, ^SteelChaingun</t>
        </is>
      </c>
    </row>
    <row r="435">
      <c r="A435" t="inlineStr">
        <is>
          <t>redalert2mod</t>
        </is>
      </c>
      <c r="B435" t="inlineStr">
        <is>
          <t>tkm_battlebus</t>
        </is>
      </c>
      <c r="C435" t="inlineStr">
        <is>
          <t>Battle Bus</t>
        </is>
      </c>
      <c r="D435" s="6" t="inlineStr">
        <is>
          <t>LineBreaker</t>
        </is>
      </c>
      <c r="E435" s="6" t="n">
        <v>50000</v>
      </c>
      <c r="F435" s="6" t="n">
        <v>100</v>
      </c>
      <c r="G435" t="inlineStr">
        <is>
          <t>Medium</t>
        </is>
      </c>
      <c r="H435" s="6" t="n">
        <v>1</v>
      </c>
      <c r="I435" s="6" t="n">
        <v>1</v>
      </c>
      <c r="J435" s="6" t="n">
        <v>1</v>
      </c>
      <c r="K435" s="6" t="n"/>
      <c r="P435">
        <f>MAX(P436)</f>
        <v/>
      </c>
      <c r="S435">
        <f>S436</f>
        <v/>
      </c>
      <c r="T435">
        <f>(E435/100000+F435/100+(P435/1000)*J435/5+S435/200)*200*I435*H435</f>
        <v/>
      </c>
      <c r="U435">
        <f>((E435*F435/25000)+((P435/1000)*J435*S435/2.5))*I435*H435</f>
        <v/>
      </c>
      <c r="V435">
        <f>(E435*F435*(P435/1000)*J435*S435*I435*H435)/12500000</f>
        <v/>
      </c>
      <c r="W435">
        <f>800*(T435/800+U435/800+V435/800)/3</f>
        <v/>
      </c>
      <c r="X435" s="6" t="n">
        <v>1250</v>
      </c>
      <c r="Y435">
        <f>IFERROR(W435-X435,"")</f>
        <v/>
      </c>
      <c r="Z435">
        <f>IFERROR(ABS(Y435)/MAX(X435,1),"")</f>
        <v/>
      </c>
      <c r="AA435">
        <f>IFERROR((X435-(((E435/100000+F435/100+S435/200)*200*I435*H435)+((E435*F435/25000)*I435*H435))/3)/(((J435/5)*200*I435*H435)+((J435*S435/2.5)*I435*H435)+((E435*F435*J435*S435*I435*H435)/12500000))/3*1000,"")</f>
        <v/>
      </c>
    </row>
    <row r="436">
      <c r="B436" s="7" t="inlineStr">
        <is>
          <t xml:space="preserve">  ↳ TKMMedicHeal</t>
        </is>
      </c>
      <c r="C436" s="7" t="inlineStr">
        <is>
          <t>Armament</t>
        </is>
      </c>
      <c r="L436" s="6" t="n">
        <v>-1</v>
      </c>
      <c r="M436" s="6" t="n">
        <v>5</v>
      </c>
      <c r="N436" s="6" t="n">
        <v>1</v>
      </c>
      <c r="O436" s="6" t="n"/>
      <c r="P436" s="6" t="n">
        <v>4831</v>
      </c>
      <c r="Q436" s="6" t="n">
        <v>1</v>
      </c>
      <c r="R436">
        <f>M436+IF(N436&gt;1,N(O436)*(N436-1),0)</f>
        <v/>
      </c>
      <c r="S436">
        <f>IFERROR(L436*MAX(N436,1)/R436*Q436*IF(ISBLANK(K435),1,K435),0)</f>
        <v/>
      </c>
      <c r="AB436" s="7" t="inlineStr">
        <is>
          <t>^HealingWeapon</t>
        </is>
      </c>
    </row>
    <row r="437">
      <c r="A437" t="inlineStr">
        <is>
          <t>d2k</t>
        </is>
      </c>
      <c r="B437" t="inlineStr">
        <is>
          <t>ordos_heavyautoguntank</t>
        </is>
      </c>
      <c r="C437" t="inlineStr">
        <is>
          <t>Heavy Autogun Tank</t>
        </is>
      </c>
      <c r="D437" s="6" t="inlineStr">
        <is>
          <t>LineBreaker</t>
        </is>
      </c>
      <c r="E437" s="6" t="n">
        <v>160000</v>
      </c>
      <c r="F437" s="6" t="n">
        <v>75</v>
      </c>
      <c r="G437" t="inlineStr">
        <is>
          <t>Heavy</t>
        </is>
      </c>
      <c r="H437" s="6" t="n">
        <v>0.75</v>
      </c>
      <c r="I437" s="6" t="n">
        <v>1</v>
      </c>
      <c r="J437" s="6" t="n">
        <v>1.25</v>
      </c>
      <c r="K437" s="6" t="n">
        <v>0.4</v>
      </c>
      <c r="P437">
        <f>MAX(P438)</f>
        <v/>
      </c>
      <c r="S437">
        <f>S438</f>
        <v/>
      </c>
      <c r="T437">
        <f>(E437/100000+F437/100+(P437/1000)*J437/5+S437/200)*200*I437*H437</f>
        <v/>
      </c>
      <c r="U437">
        <f>((E437*F437/25000)+((P437/1000)*J437*S437/2.5))*I437*H437</f>
        <v/>
      </c>
      <c r="V437">
        <f>(E437*F437*(P437/1000)*J437*S437*I437*H437)/12500000</f>
        <v/>
      </c>
      <c r="W437">
        <f>800*(T437/800+U437/800+V437/800)/3</f>
        <v/>
      </c>
      <c r="X437" s="6" t="n">
        <v>2800</v>
      </c>
      <c r="Y437">
        <f>IFERROR(W437-X437,"")</f>
        <v/>
      </c>
      <c r="Z437">
        <f>IFERROR(ABS(Y437)/MAX(X437,1),"")</f>
        <v/>
      </c>
      <c r="AA437">
        <f>IFERROR((X437-(((E437/100000+F437/100+S437/200)*200*I437*H437)+((E437*F437/25000)*I437*H437))/3)/(((J437/5)*200*I437*H437)+((J437*S437/2.5)*I437*H437)+((E437*F437*J437*S437*I437*H437)/12500000))/3*1000,"")</f>
        <v/>
      </c>
    </row>
    <row r="438">
      <c r="B438" s="7" t="inlineStr">
        <is>
          <t xml:space="preserve">  ↳ autogun_tank</t>
        </is>
      </c>
      <c r="C438" s="7" t="inlineStr">
        <is>
          <t>Armament</t>
        </is>
      </c>
      <c r="L438" s="6" t="n">
        <v>2000</v>
      </c>
      <c r="M438" s="6" t="n">
        <v>24</v>
      </c>
      <c r="N438" s="6" t="n">
        <v>4</v>
      </c>
      <c r="O438" s="6" t="n">
        <v>2</v>
      </c>
      <c r="P438" s="6" t="n">
        <v>7480</v>
      </c>
      <c r="Q438" s="6" t="n">
        <v>1.1</v>
      </c>
      <c r="R438">
        <f>M438+IF(N438&gt;1,N(O438)*(N438-1),0)</f>
        <v/>
      </c>
      <c r="S438">
        <f>IFERROR(L438*MAX(N438,1)/R438*Q438*IF(ISBLANK(K437),1,K437),0)</f>
        <v/>
      </c>
      <c r="AB438" s="7" t="inlineStr">
        <is>
          <t>^D2KMissile, ^HeavyCannon, ^HeavyAAWeapon, ^FlakWeapon, ^MediumMissile, ^Chaingun</t>
        </is>
      </c>
    </row>
    <row r="439">
      <c r="A439" t="inlineStr">
        <is>
          <t>d2k</t>
        </is>
      </c>
      <c r="B439" t="inlineStr">
        <is>
          <t>ordos_tankdestroyer</t>
        </is>
      </c>
      <c r="C439" t="inlineStr">
        <is>
          <t>Tank Destroyer</t>
        </is>
      </c>
      <c r="D439" s="6" t="inlineStr">
        <is>
          <t>LineBreaker</t>
        </is>
      </c>
      <c r="E439" s="6" t="n">
        <v>80000</v>
      </c>
      <c r="F439" s="6" t="n">
        <v>90</v>
      </c>
      <c r="G439" t="inlineStr">
        <is>
          <t>Medium</t>
        </is>
      </c>
      <c r="H439" s="6" t="n">
        <v>1</v>
      </c>
      <c r="I439" s="6" t="n">
        <v>1</v>
      </c>
      <c r="J439" s="6" t="n">
        <v>1</v>
      </c>
      <c r="K439" s="6" t="n"/>
      <c r="P439">
        <f>MAX(P440)</f>
        <v/>
      </c>
      <c r="S439">
        <f>S440</f>
        <v/>
      </c>
      <c r="T439">
        <f>(E439/100000+F439/100+(P439/1000)*J439/5+S439/200)*200*I439*H439</f>
        <v/>
      </c>
      <c r="U439">
        <f>((E439*F439/25000)+((P439/1000)*J439*S439/2.5))*I439*H439</f>
        <v/>
      </c>
      <c r="V439">
        <f>(E439*F439*(P439/1000)*J439*S439*I439*H439)/12500000</f>
        <v/>
      </c>
      <c r="W439">
        <f>800*(T439/800+U439/800+V439/800)/3</f>
        <v/>
      </c>
      <c r="X439" s="6" t="n">
        <v>2200</v>
      </c>
      <c r="Y439">
        <f>IFERROR(W439-X439,"")</f>
        <v/>
      </c>
      <c r="Z439">
        <f>IFERROR(ABS(Y439)/MAX(X439,1),"")</f>
        <v/>
      </c>
      <c r="AA439">
        <f>IFERROR((X439-(((E439/100000+F439/100+S439/200)*200*I439*H439)+((E439*F439/25000)*I439*H439))/3)/(((J439/5)*200*I439*H439)+((J439*S439/2.5)*I439*H439)+((E439*F439*J439*S439*I439*H439)/12500000))/3*1000,"")</f>
        <v/>
      </c>
    </row>
    <row r="440">
      <c r="B440" s="7" t="inlineStr">
        <is>
          <t xml:space="preserve">  ↳ 120mm_td</t>
        </is>
      </c>
      <c r="C440" s="7" t="inlineStr">
        <is>
          <t>Armament</t>
        </is>
      </c>
      <c r="L440" s="6" t="n">
        <v>14000</v>
      </c>
      <c r="M440" s="6" t="n">
        <v>72</v>
      </c>
      <c r="N440" s="6" t="n">
        <v>1</v>
      </c>
      <c r="O440" s="6" t="n"/>
      <c r="P440" s="6" t="n">
        <v>8500</v>
      </c>
      <c r="Q440" s="6" t="n">
        <v>0.875</v>
      </c>
      <c r="R440">
        <f>M440+IF(N440&gt;1,N(O440)*(N440-1),0)</f>
        <v/>
      </c>
      <c r="S440">
        <f>IFERROR(L440*MAX(N440,1)/R440*Q440*IF(ISBLANK(K439),1,K439),0)</f>
        <v/>
      </c>
      <c r="AB440" s="7" t="inlineStr">
        <is>
          <t>^MediumChemicalWeapon, ^LightChemicalWeapon, ^D2K_Cannon, ^TankDestroyerCannon</t>
        </is>
      </c>
    </row>
    <row r="441">
      <c r="A441" t="inlineStr">
        <is>
          <t>d2k</t>
        </is>
      </c>
      <c r="B441" t="inlineStr">
        <is>
          <t>ixian_neocymek</t>
        </is>
      </c>
      <c r="C441" t="inlineStr">
        <is>
          <t>Neo Cymek</t>
        </is>
      </c>
      <c r="D441" s="6" t="inlineStr">
        <is>
          <t>LineBreaker</t>
        </is>
      </c>
      <c r="E441" s="6" t="n">
        <v>300000</v>
      </c>
      <c r="F441" s="6" t="n">
        <v>45</v>
      </c>
      <c r="G441" t="inlineStr">
        <is>
          <t>Heavy</t>
        </is>
      </c>
      <c r="H441" s="6" t="n">
        <v>0.75</v>
      </c>
      <c r="I441" s="6" t="n">
        <v>1</v>
      </c>
      <c r="J441" s="6" t="n">
        <v>1.25</v>
      </c>
      <c r="K441" s="6" t="n">
        <v>0.5</v>
      </c>
      <c r="P441">
        <f>MAX(P442,P443)</f>
        <v/>
      </c>
      <c r="S441">
        <f>S442+S443</f>
        <v/>
      </c>
      <c r="T441">
        <f>(E441/100000+F441/100+(P441/1000)*J441/5+S441/200)*200*I441*H441</f>
        <v/>
      </c>
      <c r="U441">
        <f>((E441*F441/25000)+((P441/1000)*J441*S441/2.5))*I441*H441</f>
        <v/>
      </c>
      <c r="V441">
        <f>(E441*F441*(P441/1000)*J441*S441*I441*H441)/12500000</f>
        <v/>
      </c>
      <c r="W441">
        <f>800*(T441/800+U441/800+V441/800)/3</f>
        <v/>
      </c>
      <c r="X441" s="6" t="n">
        <v>4500</v>
      </c>
      <c r="Y441">
        <f>IFERROR(W441-X441,"")</f>
        <v/>
      </c>
      <c r="Z441">
        <f>IFERROR(ABS(Y441)/MAX(X441,1),"")</f>
        <v/>
      </c>
      <c r="AA441">
        <f>IFERROR((X441-(((E441/100000+F441/100+S441/200)*200*I441*H441)+((E441*F441/25000)*I441*H441))/3)/(((J441/5)*200*I441*H441)+((J441*S441/2.5)*I441*H441)+((E441*F441*J441*S441*I441*H441)/12500000))/3*1000,"")</f>
        <v/>
      </c>
    </row>
    <row r="442">
      <c r="B442" s="7" t="inlineStr">
        <is>
          <t xml:space="preserve">  ↳ D2K_StormGunCymek</t>
        </is>
      </c>
      <c r="C442" s="7" t="inlineStr">
        <is>
          <t>Armament@Cannon</t>
        </is>
      </c>
      <c r="L442" s="6" t="n">
        <v>16000</v>
      </c>
      <c r="M442" s="6" t="n">
        <v>66</v>
      </c>
      <c r="N442" s="6" t="n">
        <v>2</v>
      </c>
      <c r="O442" s="6" t="n">
        <v>0</v>
      </c>
      <c r="P442" s="6" t="n">
        <v>6787</v>
      </c>
      <c r="Q442" s="6" t="n">
        <v>1.125</v>
      </c>
      <c r="R442">
        <f>M442+IF(N442&gt;1,N(O442)*(N442-1),0)</f>
        <v/>
      </c>
      <c r="S442">
        <f>IFERROR(L442*MAX(N442,1)/R442*Q442*IF(ISBLANK(K441),1,K441),0)</f>
        <v/>
      </c>
      <c r="AB442" s="7" t="inlineStr">
        <is>
          <t>^TeslaWeapon, ^RailgunWeapon</t>
        </is>
      </c>
    </row>
    <row r="443">
      <c r="B443" s="7" t="inlineStr">
        <is>
          <t xml:space="preserve">  ↳ D2K_RocketsCymek</t>
        </is>
      </c>
      <c r="C443" s="7" t="inlineStr">
        <is>
          <t>Armament@Rockets</t>
        </is>
      </c>
      <c r="L443" s="6" t="n">
        <v>6000</v>
      </c>
      <c r="M443" s="6" t="n">
        <v>60</v>
      </c>
      <c r="N443" s="6" t="n">
        <v>4</v>
      </c>
      <c r="O443" s="6" t="n">
        <v>2</v>
      </c>
      <c r="P443" s="6" t="n">
        <v>6787</v>
      </c>
      <c r="Q443" s="6" t="n">
        <v>1.0625</v>
      </c>
      <c r="R443">
        <f>M443+IF(N443&gt;1,N(O443)*(N443-1),0)</f>
        <v/>
      </c>
      <c r="S443">
        <f>IFERROR(L443*MAX(N443,1)/R443*Q443*IF(ISBLANK(K441),1,K441),0)</f>
        <v/>
      </c>
      <c r="AB443" s="7" t="inlineStr">
        <is>
          <t>^Grenade, ^FlakWeapon, ^HeavyMissile, ^RA2MediumMissile</t>
        </is>
      </c>
    </row>
    <row r="444">
      <c r="A444" t="inlineStr">
        <is>
          <t>starcraft</t>
        </is>
      </c>
      <c r="B444" t="inlineStr">
        <is>
          <t>protoss_archon</t>
        </is>
      </c>
      <c r="C444" t="inlineStr">
        <is>
          <t>Archon</t>
        </is>
      </c>
      <c r="D444" s="6" t="inlineStr">
        <is>
          <t>LineBreaker</t>
        </is>
      </c>
      <c r="E444" s="6" t="n">
        <v>350000</v>
      </c>
      <c r="F444" s="6" t="n">
        <v>75</v>
      </c>
      <c r="G444" t="inlineStr">
        <is>
          <t>Medium</t>
        </is>
      </c>
      <c r="H444" s="6" t="n">
        <v>0.75</v>
      </c>
      <c r="I444" s="6" t="n">
        <v>1</v>
      </c>
      <c r="J444" s="6" t="n">
        <v>1.25</v>
      </c>
      <c r="K444" s="6" t="n"/>
      <c r="P444">
        <f>MAX(P445)</f>
        <v/>
      </c>
      <c r="S444">
        <f>S445</f>
        <v/>
      </c>
      <c r="T444">
        <f>(E444/100000+F444/100+(P444/1000)*J444/5+S444/200)*200*I444*H444</f>
        <v/>
      </c>
      <c r="U444">
        <f>((E444*F444/25000)+((P444/1000)*J444*S444/2.5))*I444*H444</f>
        <v/>
      </c>
      <c r="V444">
        <f>(E444*F444*(P444/1000)*J444*S444*I444*H444)/12500000</f>
        <v/>
      </c>
      <c r="W444">
        <f>800*(T444/800+U444/800+V444/800)/3</f>
        <v/>
      </c>
      <c r="X444" s="6" t="n">
        <v>5600</v>
      </c>
      <c r="Y444">
        <f>IFERROR(W444-X444,"")</f>
        <v/>
      </c>
      <c r="Z444">
        <f>IFERROR(ABS(Y444)/MAX(X444,1),"")</f>
        <v/>
      </c>
      <c r="AA444">
        <f>IFERROR((X444-(((E444/100000+F444/100+S444/200)*200*I444*H444)+((E444*F444/25000)*I444*H444))/3)/(((J444/5)*200*I444*H444)+((J444*S444/2.5)*I444*H444)+((E444*F444*J444*S444*I444*H444)/12500000))/3*1000,"")</f>
        <v/>
      </c>
    </row>
    <row r="445">
      <c r="B445" s="7" t="inlineStr">
        <is>
          <t xml:space="preserve">  ↳ PsionicShockwave</t>
        </is>
      </c>
      <c r="C445" s="7" t="inlineStr">
        <is>
          <t>Armament</t>
        </is>
      </c>
      <c r="L445" s="6" t="n">
        <v>30000</v>
      </c>
      <c r="M445" s="6" t="n">
        <v>20</v>
      </c>
      <c r="N445" s="6" t="n">
        <v>1</v>
      </c>
      <c r="O445" s="6" t="n"/>
      <c r="P445" s="6" t="n">
        <v>3152</v>
      </c>
      <c r="Q445" s="6" t="n">
        <v>1</v>
      </c>
      <c r="R445">
        <f>M445+IF(N445&gt;1,N(O445)*(N445-1),0)</f>
        <v/>
      </c>
      <c r="S445">
        <f>IFERROR(L445*MAX(N445,1)/R445*Q445*IF(ISBLANK(K444),1,K444),0)</f>
        <v/>
      </c>
      <c r="AB445" s="7" t="inlineStr">
        <is>
          <t>^TeslaChargedWeapon</t>
        </is>
      </c>
    </row>
    <row r="446">
      <c r="A446" t="inlineStr">
        <is>
          <t>starcraft</t>
        </is>
      </c>
      <c r="B446" t="inlineStr">
        <is>
          <t>zerg_ultralisk</t>
        </is>
      </c>
      <c r="C446" t="inlineStr">
        <is>
          <t>Ultralisk</t>
        </is>
      </c>
      <c r="D446" s="6" t="inlineStr">
        <is>
          <t>LineBreaker</t>
        </is>
      </c>
      <c r="E446" s="6" t="n">
        <v>400000</v>
      </c>
      <c r="F446" s="6" t="n">
        <v>80</v>
      </c>
      <c r="G446" t="inlineStr">
        <is>
          <t>Heavy</t>
        </is>
      </c>
      <c r="H446" s="6" t="n">
        <v>0.75</v>
      </c>
      <c r="I446" s="6" t="n">
        <v>1</v>
      </c>
      <c r="J446" s="6" t="n">
        <v>1</v>
      </c>
      <c r="K446" s="6" t="n"/>
      <c r="P446">
        <f>MAX(P447)</f>
        <v/>
      </c>
      <c r="S446">
        <f>S447</f>
        <v/>
      </c>
      <c r="T446">
        <f>(E446/100000+F446/100+(P446/1000)*J446/5+S446/200)*200*I446*H446</f>
        <v/>
      </c>
      <c r="U446">
        <f>((E446*F446/25000)+((P446/1000)*J446*S446/2.5))*I446*H446</f>
        <v/>
      </c>
      <c r="V446">
        <f>(E446*F446*(P446/1000)*J446*S446*I446*H446)/12500000</f>
        <v/>
      </c>
      <c r="W446">
        <f>800*(T446/800+U446/800+V446/800)/3</f>
        <v/>
      </c>
      <c r="X446" s="6" t="n">
        <v>4400</v>
      </c>
      <c r="Y446">
        <f>IFERROR(W446-X446,"")</f>
        <v/>
      </c>
      <c r="Z446">
        <f>IFERROR(ABS(Y446)/MAX(X446,1),"")</f>
        <v/>
      </c>
      <c r="AA446">
        <f>IFERROR((X446-(((E446/100000+F446/100+S446/200)*200*I446*H446)+((E446*F446/25000)*I446*H446))/3)/(((J446/5)*200*I446*H446)+((J446*S446/2.5)*I446*H446)+((E446*F446*J446*S446*I446*H446)/12500000))/3*1000,"")</f>
        <v/>
      </c>
    </row>
    <row r="447">
      <c r="B447" s="7" t="inlineStr">
        <is>
          <t xml:space="preserve">  ↳ UltraliskHusk</t>
        </is>
      </c>
      <c r="C447" s="7" t="inlineStr">
        <is>
          <t>Armament</t>
        </is>
      </c>
      <c r="L447" s="6" t="n">
        <v>40000</v>
      </c>
      <c r="M447" s="6" t="n">
        <v>15</v>
      </c>
      <c r="N447" s="6" t="n">
        <v>1</v>
      </c>
      <c r="O447" s="6" t="n"/>
      <c r="P447" s="6" t="n">
        <v>1600</v>
      </c>
      <c r="Q447" s="6" t="n">
        <v>1</v>
      </c>
      <c r="R447">
        <f>M447+IF(N447&gt;1,N(O447)*(N447-1),0)</f>
        <v/>
      </c>
      <c r="S447">
        <f>IFERROR(L447*MAX(N447,1)/R447*Q447*IF(ISBLANK(K446),1,K446),0)</f>
        <v/>
      </c>
      <c r="AB447" s="7" t="inlineStr">
        <is>
          <t>^SwordWeapon</t>
        </is>
      </c>
    </row>
    <row r="448">
      <c r="A448" t="inlineStr">
        <is>
          <t>starcraft</t>
        </is>
      </c>
      <c r="B448" t="inlineStr">
        <is>
          <t>terran_warhound</t>
        </is>
      </c>
      <c r="C448" t="inlineStr">
        <is>
          <t>Warhound</t>
        </is>
      </c>
      <c r="D448" s="6" t="inlineStr">
        <is>
          <t>LineBreaker</t>
        </is>
      </c>
      <c r="E448" s="6" t="n">
        <v>300000</v>
      </c>
      <c r="F448" s="6" t="n">
        <v>45</v>
      </c>
      <c r="G448" t="inlineStr">
        <is>
          <t>Heavy</t>
        </is>
      </c>
      <c r="H448" s="6" t="n">
        <v>0.75</v>
      </c>
      <c r="I448" s="6" t="n">
        <v>1</v>
      </c>
      <c r="J448" s="6" t="n">
        <v>1</v>
      </c>
      <c r="K448" s="6" t="n"/>
      <c r="P448">
        <f>MAX(P449,P450)</f>
        <v/>
      </c>
      <c r="S448">
        <f>S449+S450</f>
        <v/>
      </c>
      <c r="T448">
        <f>(E448/100000+F448/100+(P448/1000)*J448/5+S448/200)*200*I448*H448</f>
        <v/>
      </c>
      <c r="U448">
        <f>((E448*F448/25000)+((P448/1000)*J448*S448/2.5))*I448*H448</f>
        <v/>
      </c>
      <c r="V448">
        <f>(E448*F448*(P448/1000)*J448*S448*I448*H448)/12500000</f>
        <v/>
      </c>
      <c r="W448">
        <f>800*(T448/800+U448/800+V448/800)/3</f>
        <v/>
      </c>
      <c r="X448" s="6" t="n">
        <v>4500</v>
      </c>
      <c r="Y448">
        <f>IFERROR(W448-X448,"")</f>
        <v/>
      </c>
      <c r="Z448">
        <f>IFERROR(ABS(Y448)/MAX(X448,1),"")</f>
        <v/>
      </c>
      <c r="AA448">
        <f>IFERROR((X448-(((E448/100000+F448/100+S448/200)*200*I448*H448)+((E448*F448/25000)*I448*H448))/3)/(((J448/5)*200*I448*H448)+((J448*S448/2.5)*I448*H448)+((E448*F448*J448*S448*I448*H448)/12500000))/3*1000,"")</f>
        <v/>
      </c>
    </row>
    <row r="449">
      <c r="B449" s="7" t="inlineStr">
        <is>
          <t xml:space="preserve">  ↳ SCTyr</t>
        </is>
      </c>
      <c r="C449" s="7" t="inlineStr">
        <is>
          <t>Armament@Cannon</t>
        </is>
      </c>
      <c r="L449" s="6" t="n">
        <v>4000</v>
      </c>
      <c r="M449" s="6" t="n">
        <v>44</v>
      </c>
      <c r="N449" s="6" t="n">
        <v>2</v>
      </c>
      <c r="O449" s="6" t="n">
        <v>0</v>
      </c>
      <c r="P449" s="6" t="n">
        <v>7156</v>
      </c>
      <c r="Q449" s="6" t="n">
        <v>1</v>
      </c>
      <c r="R449">
        <f>M449+IF(N449&gt;1,N(O449)*(N449-1),0)</f>
        <v/>
      </c>
      <c r="S449">
        <f>IFERROR(L449*MAX(N449,1)/R449*Q449*IF(ISBLANK(K448),1,K448),0)</f>
        <v/>
      </c>
      <c r="AB449" s="7" t="inlineStr">
        <is>
          <t>^LightFlameWeapon, ^Chaingun, ^ShrapnelWeapon, ^RA2HeavyCannon</t>
        </is>
      </c>
    </row>
    <row r="450">
      <c r="B450" s="7" t="inlineStr">
        <is>
          <t xml:space="preserve">  ↳ SCTyrAA</t>
        </is>
      </c>
      <c r="C450" s="7" t="inlineStr">
        <is>
          <t>Armament@Rockets</t>
        </is>
      </c>
      <c r="L450" s="6" t="n">
        <v>4000</v>
      </c>
      <c r="M450" s="6" t="n">
        <v>84</v>
      </c>
      <c r="N450" s="6" t="n">
        <v>4</v>
      </c>
      <c r="O450" s="6" t="n">
        <v>2</v>
      </c>
      <c r="P450" s="6" t="n">
        <v>7156</v>
      </c>
      <c r="Q450" s="6" t="n">
        <v>1.0625</v>
      </c>
      <c r="R450">
        <f>M450+IF(N450&gt;1,N(O450)*(N450-1),0)</f>
        <v/>
      </c>
      <c r="S450">
        <f>IFERROR(L450*MAX(N450,1)/R450*Q450*IF(ISBLANK(K448),1,K448),0)</f>
        <v/>
      </c>
      <c r="AB450" s="7" t="inlineStr">
        <is>
          <t>^Grenade, ^FlakWeapon, ^HeavyMissile, ^RA2MediumMissile</t>
        </is>
      </c>
    </row>
    <row r="451">
      <c r="A451" t="inlineStr">
        <is>
          <t>warcraft2</t>
        </is>
      </c>
      <c r="B451" t="inlineStr">
        <is>
          <t>wc2_orcs_goblinsappers</t>
        </is>
      </c>
      <c r="C451" t="inlineStr">
        <is>
          <t>Goblin Sappers</t>
        </is>
      </c>
      <c r="D451" s="6" t="inlineStr">
        <is>
          <t>LineBreaker</t>
        </is>
      </c>
      <c r="E451" s="6" t="n">
        <v>40000</v>
      </c>
      <c r="F451" s="6" t="n">
        <v>80</v>
      </c>
      <c r="G451" t="inlineStr">
        <is>
          <t>Heavy</t>
        </is>
      </c>
      <c r="H451" s="6" t="n">
        <v>1</v>
      </c>
      <c r="I451" s="6" t="n">
        <v>1</v>
      </c>
      <c r="J451" s="6" t="n">
        <v>1</v>
      </c>
      <c r="K451" s="6" t="n"/>
      <c r="P451">
        <f>MAX(P452,P453)</f>
        <v/>
      </c>
      <c r="S451">
        <f>S452+S453</f>
        <v/>
      </c>
      <c r="T451">
        <f>(E451/100000+F451/100+(P451/1000)*J451/5+S451/200)*200*I451*H451</f>
        <v/>
      </c>
      <c r="U451">
        <f>((E451*F451/25000)+((P451/1000)*J451*S451/2.5))*I451*H451</f>
        <v/>
      </c>
      <c r="V451">
        <f>(E451*F451*(P451/1000)*J451*S451*I451*H451)/12500000</f>
        <v/>
      </c>
      <c r="W451">
        <f>800*(T451/800+U451/800+V451/800)/3</f>
        <v/>
      </c>
      <c r="X451" s="6" t="n">
        <v>800</v>
      </c>
      <c r="Y451">
        <f>IFERROR(W451-X451,"")</f>
        <v/>
      </c>
      <c r="Z451">
        <f>IFERROR(ABS(Y451)/MAX(X451,1),"")</f>
        <v/>
      </c>
      <c r="AA451">
        <f>IFERROR((X451-(((E451/100000+F451/100+S451/200)*200*I451*H451)+((E451*F451/25000)*I451*H451))/3)/(((J451/5)*200*I451*H451)+((J451*S451/2.5)*I451*H451)+((E451*F451*J451*S451*I451*H451)/12500000))/3*1000,"")</f>
        <v/>
      </c>
    </row>
    <row r="452">
      <c r="B452" s="7" t="inlineStr">
        <is>
          <t xml:space="preserve">  ↳ wc2demolitionsquadTargeting</t>
        </is>
      </c>
      <c r="C452" s="7" t="inlineStr">
        <is>
          <t>Armament</t>
        </is>
      </c>
      <c r="L452" s="6" t="n"/>
      <c r="M452" s="6" t="n"/>
      <c r="N452" s="6" t="n">
        <v>1</v>
      </c>
      <c r="O452" s="6" t="n"/>
      <c r="P452" s="6" t="n">
        <v>1536</v>
      </c>
      <c r="Q452" s="6" t="n">
        <v>1</v>
      </c>
      <c r="R452">
        <f>M452+IF(N452&gt;1,N(O452)*(N452-1),0)</f>
        <v/>
      </c>
      <c r="S452">
        <f>IFERROR(L452*MAX(N452,1)/R452*Q452*IF(ISBLANK(K451),1,K451),0)</f>
        <v/>
      </c>
      <c r="AB452" s="7" t="inlineStr"/>
    </row>
    <row r="453">
      <c r="B453" s="7" t="inlineStr">
        <is>
          <t xml:space="preserve">  ↳ wc2demolitionsquadMelee</t>
        </is>
      </c>
      <c r="C453" s="7" t="inlineStr">
        <is>
          <t>Armament@Melee</t>
        </is>
      </c>
      <c r="L453" s="6" t="n">
        <v>12000</v>
      </c>
      <c r="M453" s="6" t="n">
        <v>15</v>
      </c>
      <c r="N453" s="6" t="n">
        <v>1</v>
      </c>
      <c r="O453" s="6" t="n"/>
      <c r="P453" s="6" t="n">
        <v>1333</v>
      </c>
      <c r="Q453" s="6" t="n">
        <v>1</v>
      </c>
      <c r="R453">
        <f>M453+IF(N453&gt;1,N(O453)*(N453-1),0)</f>
        <v/>
      </c>
      <c r="S453">
        <f>IFERROR(L453*MAX(N453,1)/R453*Q453*IF(ISBLANK(K451),1,K451),0)</f>
        <v/>
      </c>
      <c r="AB453" s="7" t="inlineStr">
        <is>
          <t>^SwordWeapon</t>
        </is>
      </c>
    </row>
    <row r="454">
      <c r="A454" t="inlineStr">
        <is>
          <t>warcraft2</t>
        </is>
      </c>
      <c r="B454" t="inlineStr">
        <is>
          <t>wc2_orcs_ogre</t>
        </is>
      </c>
      <c r="C454" t="inlineStr">
        <is>
          <t>Ogre</t>
        </is>
      </c>
      <c r="D454" s="6" t="inlineStr">
        <is>
          <t>LineBreaker</t>
        </is>
      </c>
      <c r="E454" s="6" t="n">
        <v>200000</v>
      </c>
      <c r="F454" s="6" t="n">
        <v>85</v>
      </c>
      <c r="G454" t="inlineStr">
        <is>
          <t>Heavy</t>
        </is>
      </c>
      <c r="H454" s="6" t="n">
        <v>0.75</v>
      </c>
      <c r="I454" s="6" t="n">
        <v>1</v>
      </c>
      <c r="J454" s="6" t="n">
        <v>1</v>
      </c>
      <c r="K454" s="6" t="n"/>
      <c r="P454">
        <f>MAX(P455,P456,P457,P458)</f>
        <v/>
      </c>
      <c r="S454">
        <f>S455+S456+S457+S458</f>
        <v/>
      </c>
      <c r="T454">
        <f>(E454/100000+F454/100+(P454/1000)*J454/5+S454/200)*200*I454*H454</f>
        <v/>
      </c>
      <c r="U454">
        <f>((E454*F454/25000)+((P454/1000)*J454*S454/2.5))*I454*H454</f>
        <v/>
      </c>
      <c r="V454">
        <f>(E454*F454*(P454/1000)*J454*S454*I454*H454)/12500000</f>
        <v/>
      </c>
      <c r="W454">
        <f>800*(T454/800+U454/800+V454/800)/3</f>
        <v/>
      </c>
      <c r="X454" s="6" t="n">
        <v>1800</v>
      </c>
      <c r="Y454">
        <f>IFERROR(W454-X454,"")</f>
        <v/>
      </c>
      <c r="Z454">
        <f>IFERROR(ABS(Y454)/MAX(X454,1),"")</f>
        <v/>
      </c>
      <c r="AA454">
        <f>IFERROR((X454-(((E454/100000+F454/100+S454/200)*200*I454*H454)+((E454*F454/25000)*I454*H454))/3)/(((J454/5)*200*I454*H454)+((J454*S454/2.5)*I454*H454)+((E454*F454*J454*S454*I454*H454)/12500000))/3*1000,"")</f>
        <v/>
      </c>
    </row>
    <row r="455">
      <c r="B455" s="7" t="inlineStr">
        <is>
          <t xml:space="preserve">  ↳ wc2ogrepunch</t>
        </is>
      </c>
      <c r="C455" s="7" t="inlineStr">
        <is>
          <t>Armament</t>
        </is>
      </c>
      <c r="L455" s="6" t="n">
        <v>30000</v>
      </c>
      <c r="M455" s="6" t="n">
        <v>20</v>
      </c>
      <c r="N455" s="6" t="n">
        <v>1</v>
      </c>
      <c r="O455" s="6" t="n"/>
      <c r="P455" s="6" t="n">
        <v>1660</v>
      </c>
      <c r="Q455" s="6" t="n">
        <v>1</v>
      </c>
      <c r="R455">
        <f>M455+IF(N455&gt;1,N(O455)*(N455-1),0)</f>
        <v/>
      </c>
      <c r="S455">
        <f>IFERROR(L455*MAX(N455,1)/R455*Q455*IF(ISBLANK(K454),1,K454),0)</f>
        <v/>
      </c>
      <c r="AB455" s="7" t="inlineStr">
        <is>
          <t>^SwordWeapon</t>
        </is>
      </c>
    </row>
    <row r="456">
      <c r="B456" s="7" t="inlineStr">
        <is>
          <t xml:space="preserve">  ↳ wc2ogremageEyeOfKilrogg</t>
        </is>
      </c>
      <c r="C456" s="7" t="inlineStr">
        <is>
          <t>Armament@EYEOFKILROGG</t>
        </is>
      </c>
      <c r="L456" s="6" t="n">
        <v>0</v>
      </c>
      <c r="M456" s="6" t="n">
        <v>60</v>
      </c>
      <c r="N456" s="6" t="n">
        <v>1</v>
      </c>
      <c r="O456" s="6" t="n"/>
      <c r="P456" s="6" t="n">
        <v>5120</v>
      </c>
      <c r="Q456" s="6" t="n">
        <v>1</v>
      </c>
      <c r="R456">
        <f>M456+IF(N456&gt;1,N(O456)*(N456-1),0)</f>
        <v/>
      </c>
      <c r="S456">
        <f>IFERROR(L456*MAX(N456,1)/R456*Q456*IF(ISBLANK(K454),1,K454),0)</f>
        <v/>
      </c>
      <c r="AB456" s="7" t="inlineStr"/>
    </row>
    <row r="457">
      <c r="B457" s="7" t="inlineStr">
        <is>
          <t xml:space="preserve">  ↳ wc2ogremageBloodlust</t>
        </is>
      </c>
      <c r="C457" s="7" t="inlineStr">
        <is>
          <t>Armament@BLOODLUST</t>
        </is>
      </c>
      <c r="L457" s="6" t="n">
        <v>1</v>
      </c>
      <c r="M457" s="6" t="n">
        <v>60</v>
      </c>
      <c r="N457" s="6" t="n">
        <v>1</v>
      </c>
      <c r="O457" s="6" t="n"/>
      <c r="P457" s="6" t="n">
        <v>5120</v>
      </c>
      <c r="Q457" s="6" t="n">
        <v>1</v>
      </c>
      <c r="R457">
        <f>M457+IF(N457&gt;1,N(O457)*(N457-1),0)</f>
        <v/>
      </c>
      <c r="S457">
        <f>IFERROR(L457*MAX(N457,1)/R457*Q457*IF(ISBLANK(K454),1,K454),0)</f>
        <v/>
      </c>
      <c r="AB457" s="7" t="inlineStr"/>
    </row>
    <row r="458">
      <c r="B458" s="7" t="inlineStr">
        <is>
          <t xml:space="preserve">  ↳ wc2ogremageRunes</t>
        </is>
      </c>
      <c r="C458" s="7" t="inlineStr">
        <is>
          <t>Armament@RUNES</t>
        </is>
      </c>
      <c r="L458" s="6" t="n">
        <v>0</v>
      </c>
      <c r="M458" s="6" t="n">
        <v>60</v>
      </c>
      <c r="N458" s="6" t="n">
        <v>1</v>
      </c>
      <c r="O458" s="6" t="n"/>
      <c r="P458" s="6" t="n">
        <v>5120</v>
      </c>
      <c r="Q458" s="6" t="n">
        <v>1</v>
      </c>
      <c r="R458">
        <f>M458+IF(N458&gt;1,N(O458)*(N458-1),0)</f>
        <v/>
      </c>
      <c r="S458">
        <f>IFERROR(L458*MAX(N458,1)/R458*Q458*IF(ISBLANK(K454),1,K454),0)</f>
        <v/>
      </c>
      <c r="AB458" s="7" t="inlineStr"/>
    </row>
    <row r="459">
      <c r="A459" t="inlineStr">
        <is>
          <t>warcraft2</t>
        </is>
      </c>
      <c r="B459" t="inlineStr">
        <is>
          <t>wc2_orcs_ogremage</t>
        </is>
      </c>
      <c r="C459" t="inlineStr">
        <is>
          <t>Ogre-Mage</t>
        </is>
      </c>
      <c r="D459" s="6" t="inlineStr">
        <is>
          <t>LineBreaker</t>
        </is>
      </c>
      <c r="E459" s="6" t="n">
        <v>200000</v>
      </c>
      <c r="F459" s="6" t="n">
        <v>85</v>
      </c>
      <c r="G459" t="inlineStr">
        <is>
          <t>Heavy</t>
        </is>
      </c>
      <c r="H459" s="6" t="n">
        <v>1</v>
      </c>
      <c r="I459" s="6" t="n">
        <v>1</v>
      </c>
      <c r="J459" s="6" t="n">
        <v>1</v>
      </c>
      <c r="K459" s="6" t="n"/>
      <c r="P459">
        <f>MAX(P460,P461,P462,P463)</f>
        <v/>
      </c>
      <c r="S459">
        <f>S460+S461+S462+S463</f>
        <v/>
      </c>
      <c r="T459">
        <f>(E459/100000+F459/100+(P459/1000)*J459/5+S459/200)*200*I459*H459</f>
        <v/>
      </c>
      <c r="U459">
        <f>((E459*F459/25000)+((P459/1000)*J459*S459/2.5))*I459*H459</f>
        <v/>
      </c>
      <c r="V459">
        <f>(E459*F459*(P459/1000)*J459*S459*I459*H459)/12500000</f>
        <v/>
      </c>
      <c r="W459">
        <f>800*(T459/800+U459/800+V459/800)/3</f>
        <v/>
      </c>
      <c r="X459" s="6" t="n">
        <v>1800</v>
      </c>
      <c r="Y459">
        <f>IFERROR(W459-X459,"")</f>
        <v/>
      </c>
      <c r="Z459">
        <f>IFERROR(ABS(Y459)/MAX(X459,1),"")</f>
        <v/>
      </c>
      <c r="AA459">
        <f>IFERROR((X459-(((E459/100000+F459/100+S459/200)*200*I459*H459)+((E459*F459/25000)*I459*H459))/3)/(((J459/5)*200*I459*H459)+((J459*S459/2.5)*I459*H459)+((E459*F459*J459*S459*I459*H459)/12500000))/3*1000,"")</f>
        <v/>
      </c>
    </row>
    <row r="460">
      <c r="B460" s="7" t="inlineStr">
        <is>
          <t xml:space="preserve">  ↳ wc2ogrepunch</t>
        </is>
      </c>
      <c r="C460" s="7" t="inlineStr">
        <is>
          <t>Armament</t>
        </is>
      </c>
      <c r="L460" s="6" t="n">
        <v>30000</v>
      </c>
      <c r="M460" s="6" t="n">
        <v>20</v>
      </c>
      <c r="N460" s="6" t="n">
        <v>1</v>
      </c>
      <c r="O460" s="6" t="n"/>
      <c r="P460" s="6" t="n">
        <v>1660</v>
      </c>
      <c r="Q460" s="6" t="n">
        <v>1</v>
      </c>
      <c r="R460">
        <f>M460+IF(N460&gt;1,N(O460)*(N460-1),0)</f>
        <v/>
      </c>
      <c r="S460">
        <f>IFERROR(L460*MAX(N460,1)/R460*Q460*IF(ISBLANK(K459),1,K459),0)</f>
        <v/>
      </c>
      <c r="AB460" s="7" t="inlineStr">
        <is>
          <t>^SwordWeapon</t>
        </is>
      </c>
    </row>
    <row r="461">
      <c r="B461" s="7" t="inlineStr">
        <is>
          <t xml:space="preserve">  ↳ wc2ogremageEyeOfKilrogg</t>
        </is>
      </c>
      <c r="C461" s="7" t="inlineStr">
        <is>
          <t>Armament@EYEOFKILROGG</t>
        </is>
      </c>
      <c r="L461" s="6" t="n">
        <v>0</v>
      </c>
      <c r="M461" s="6" t="n">
        <v>60</v>
      </c>
      <c r="N461" s="6" t="n">
        <v>1</v>
      </c>
      <c r="O461" s="6" t="n"/>
      <c r="P461" s="6" t="n">
        <v>5120</v>
      </c>
      <c r="Q461" s="6" t="n">
        <v>1</v>
      </c>
      <c r="R461">
        <f>M461+IF(N461&gt;1,N(O461)*(N461-1),0)</f>
        <v/>
      </c>
      <c r="S461">
        <f>IFERROR(L461*MAX(N461,1)/R461*Q461*IF(ISBLANK(K459),1,K459),0)</f>
        <v/>
      </c>
      <c r="AB461" s="7" t="inlineStr"/>
    </row>
    <row r="462">
      <c r="B462" s="7" t="inlineStr">
        <is>
          <t xml:space="preserve">  ↳ wc2ogremageBloodlust</t>
        </is>
      </c>
      <c r="C462" s="7" t="inlineStr">
        <is>
          <t>Armament@BLOODLUST</t>
        </is>
      </c>
      <c r="L462" s="6" t="n">
        <v>1</v>
      </c>
      <c r="M462" s="6" t="n">
        <v>60</v>
      </c>
      <c r="N462" s="6" t="n">
        <v>1</v>
      </c>
      <c r="O462" s="6" t="n"/>
      <c r="P462" s="6" t="n">
        <v>5120</v>
      </c>
      <c r="Q462" s="6" t="n">
        <v>1</v>
      </c>
      <c r="R462">
        <f>M462+IF(N462&gt;1,N(O462)*(N462-1),0)</f>
        <v/>
      </c>
      <c r="S462">
        <f>IFERROR(L462*MAX(N462,1)/R462*Q462*IF(ISBLANK(K459),1,K459),0)</f>
        <v/>
      </c>
      <c r="AB462" s="7" t="inlineStr"/>
    </row>
    <row r="463">
      <c r="B463" s="7" t="inlineStr">
        <is>
          <t xml:space="preserve">  ↳ wc2ogremageRunes</t>
        </is>
      </c>
      <c r="C463" s="7" t="inlineStr">
        <is>
          <t>Armament@RUNES</t>
        </is>
      </c>
      <c r="L463" s="6" t="n">
        <v>0</v>
      </c>
      <c r="M463" s="6" t="n">
        <v>60</v>
      </c>
      <c r="N463" s="6" t="n">
        <v>1</v>
      </c>
      <c r="O463" s="6" t="n"/>
      <c r="P463" s="6" t="n">
        <v>5120</v>
      </c>
      <c r="Q463" s="6" t="n">
        <v>1</v>
      </c>
      <c r="R463">
        <f>M463+IF(N463&gt;1,N(O463)*(N463-1),0)</f>
        <v/>
      </c>
      <c r="S463">
        <f>IFERROR(L463*MAX(N463,1)/R463*Q463*IF(ISBLANK(K459),1,K459),0)</f>
        <v/>
      </c>
      <c r="AB463" s="7" t="inlineStr"/>
    </row>
    <row r="464">
      <c r="A464" t="inlineStr">
        <is>
          <t>warcraft2</t>
        </is>
      </c>
      <c r="B464" t="inlineStr">
        <is>
          <t>wc2_humans_demolitionsquad</t>
        </is>
      </c>
      <c r="C464" t="inlineStr">
        <is>
          <t>Demolition Squad</t>
        </is>
      </c>
      <c r="D464" s="6" t="inlineStr">
        <is>
          <t>LineBreaker</t>
        </is>
      </c>
      <c r="E464" s="6" t="n">
        <v>40000</v>
      </c>
      <c r="F464" s="6" t="n">
        <v>80</v>
      </c>
      <c r="G464" t="inlineStr">
        <is>
          <t>Heavy</t>
        </is>
      </c>
      <c r="H464" s="6" t="n">
        <v>1</v>
      </c>
      <c r="I464" s="6" t="n">
        <v>1</v>
      </c>
      <c r="J464" s="6" t="n">
        <v>1</v>
      </c>
      <c r="K464" s="6" t="n"/>
      <c r="P464">
        <f>MAX(P465,P466)</f>
        <v/>
      </c>
      <c r="S464">
        <f>S465+S466</f>
        <v/>
      </c>
      <c r="T464">
        <f>(E464/100000+F464/100+(P464/1000)*J464/5+S464/200)*200*I464*H464</f>
        <v/>
      </c>
      <c r="U464">
        <f>((E464*F464/25000)+((P464/1000)*J464*S464/2.5))*I464*H464</f>
        <v/>
      </c>
      <c r="V464">
        <f>(E464*F464*(P464/1000)*J464*S464*I464*H464)/12500000</f>
        <v/>
      </c>
      <c r="W464">
        <f>800*(T464/800+U464/800+V464/800)/3</f>
        <v/>
      </c>
      <c r="X464" s="6" t="n">
        <v>800</v>
      </c>
      <c r="Y464">
        <f>IFERROR(W464-X464,"")</f>
        <v/>
      </c>
      <c r="Z464">
        <f>IFERROR(ABS(Y464)/MAX(X464,1),"")</f>
        <v/>
      </c>
      <c r="AA464">
        <f>IFERROR((X464-(((E464/100000+F464/100+S464/200)*200*I464*H464)+((E464*F464/25000)*I464*H464))/3)/(((J464/5)*200*I464*H464)+((J464*S464/2.5)*I464*H464)+((E464*F464*J464*S464*I464*H464)/12500000))/3*1000,"")</f>
        <v/>
      </c>
    </row>
    <row r="465">
      <c r="B465" s="7" t="inlineStr">
        <is>
          <t xml:space="preserve">  ↳ wc2demolitionsquadTargeting</t>
        </is>
      </c>
      <c r="C465" s="7" t="inlineStr">
        <is>
          <t>Armament</t>
        </is>
      </c>
      <c r="L465" s="6" t="n"/>
      <c r="M465" s="6" t="n"/>
      <c r="N465" s="6" t="n">
        <v>1</v>
      </c>
      <c r="O465" s="6" t="n"/>
      <c r="P465" s="6" t="n">
        <v>1536</v>
      </c>
      <c r="Q465" s="6" t="n">
        <v>1</v>
      </c>
      <c r="R465">
        <f>M465+IF(N465&gt;1,N(O465)*(N465-1),0)</f>
        <v/>
      </c>
      <c r="S465">
        <f>IFERROR(L465*MAX(N465,1)/R465*Q465*IF(ISBLANK(K464),1,K464),0)</f>
        <v/>
      </c>
      <c r="AB465" s="7" t="inlineStr"/>
    </row>
    <row r="466">
      <c r="B466" s="7" t="inlineStr">
        <is>
          <t xml:space="preserve">  ↳ wc2demolitionsquadMelee</t>
        </is>
      </c>
      <c r="C466" s="7" t="inlineStr">
        <is>
          <t>Armament@Melee</t>
        </is>
      </c>
      <c r="L466" s="6" t="n">
        <v>12000</v>
      </c>
      <c r="M466" s="6" t="n">
        <v>15</v>
      </c>
      <c r="N466" s="6" t="n">
        <v>1</v>
      </c>
      <c r="O466" s="6" t="n"/>
      <c r="P466" s="6" t="n">
        <v>1333</v>
      </c>
      <c r="Q466" s="6" t="n">
        <v>1</v>
      </c>
      <c r="R466">
        <f>M466+IF(N466&gt;1,N(O466)*(N466-1),0)</f>
        <v/>
      </c>
      <c r="S466">
        <f>IFERROR(L466*MAX(N466,1)/R466*Q466*IF(ISBLANK(K464),1,K464),0)</f>
        <v/>
      </c>
      <c r="AB466" s="7" t="inlineStr">
        <is>
          <t>^SwordWeapon</t>
        </is>
      </c>
    </row>
    <row r="467">
      <c r="A467" t="inlineStr">
        <is>
          <t>warcraft2</t>
        </is>
      </c>
      <c r="B467" t="inlineStr">
        <is>
          <t>wc2_humans_knight</t>
        </is>
      </c>
      <c r="C467" t="inlineStr">
        <is>
          <t>Knight</t>
        </is>
      </c>
      <c r="D467" s="6" t="inlineStr">
        <is>
          <t>LineBreaker</t>
        </is>
      </c>
      <c r="E467" s="6" t="n">
        <v>167500</v>
      </c>
      <c r="F467" s="6" t="n">
        <v>115</v>
      </c>
      <c r="G467" t="inlineStr">
        <is>
          <t>Medium</t>
        </is>
      </c>
      <c r="H467" s="6" t="n">
        <v>0.75</v>
      </c>
      <c r="I467" s="6" t="n">
        <v>1</v>
      </c>
      <c r="J467" s="6" t="n">
        <v>1</v>
      </c>
      <c r="K467" s="6" t="n"/>
      <c r="P467">
        <f>MAX(P468,P469,P470,P471)</f>
        <v/>
      </c>
      <c r="S467">
        <f>S468+S469+S470+S471</f>
        <v/>
      </c>
      <c r="T467">
        <f>(E467/100000+F467/100+(P467/1000)*J467/5+S467/200)*200*I467*H467</f>
        <v/>
      </c>
      <c r="U467">
        <f>((E467*F467/25000)+((P467/1000)*J467*S467/2.5))*I467*H467</f>
        <v/>
      </c>
      <c r="V467">
        <f>(E467*F467*(P467/1000)*J467*S467*I467*H467)/12500000</f>
        <v/>
      </c>
      <c r="W467">
        <f>800*(T467/800+U467/800+V467/800)/3</f>
        <v/>
      </c>
      <c r="X467" s="6" t="n">
        <v>1600</v>
      </c>
      <c r="Y467">
        <f>IFERROR(W467-X467,"")</f>
        <v/>
      </c>
      <c r="Z467">
        <f>IFERROR(ABS(Y467)/MAX(X467,1),"")</f>
        <v/>
      </c>
      <c r="AA467">
        <f>IFERROR((X467-(((E467/100000+F467/100+S467/200)*200*I467*H467)+((E467*F467/25000)*I467*H467))/3)/(((J467/5)*200*I467*H467)+((J467*S467/2.5)*I467*H467)+((E467*F467*J467*S467*I467*H467)/12500000))/3*1000,"")</f>
        <v/>
      </c>
    </row>
    <row r="468">
      <c r="B468" s="7" t="inlineStr">
        <is>
          <t xml:space="preserve">  ↳ wc2knightslice</t>
        </is>
      </c>
      <c r="C468" s="7" t="inlineStr">
        <is>
          <t>Armament</t>
        </is>
      </c>
      <c r="L468" s="6" t="n">
        <v>16000</v>
      </c>
      <c r="M468" s="6" t="n">
        <v>12</v>
      </c>
      <c r="N468" s="6" t="n">
        <v>1</v>
      </c>
      <c r="O468" s="6" t="n"/>
      <c r="P468" s="6" t="n">
        <v>1420</v>
      </c>
      <c r="Q468" s="6" t="n">
        <v>1</v>
      </c>
      <c r="R468">
        <f>M468+IF(N468&gt;1,N(O468)*(N468-1),0)</f>
        <v/>
      </c>
      <c r="S468">
        <f>IFERROR(L468*MAX(N468,1)/R468*Q468*IF(ISBLANK(K467),1,K467),0)</f>
        <v/>
      </c>
      <c r="AB468" s="7" t="inlineStr">
        <is>
          <t>^SwordWeapon</t>
        </is>
      </c>
    </row>
    <row r="469">
      <c r="B469" s="7" t="inlineStr">
        <is>
          <t xml:space="preserve">  ↳ wc2paladinholyvision</t>
        </is>
      </c>
      <c r="C469" s="7" t="inlineStr">
        <is>
          <t>Armament@HOLYVISION</t>
        </is>
      </c>
      <c r="L469" s="6" t="n">
        <v>0</v>
      </c>
      <c r="M469" s="6" t="n">
        <v>60</v>
      </c>
      <c r="N469" s="6" t="n">
        <v>1</v>
      </c>
      <c r="O469" s="6" t="n"/>
      <c r="P469" s="6" t="n">
        <v>512000</v>
      </c>
      <c r="Q469" s="6" t="n">
        <v>1</v>
      </c>
      <c r="R469">
        <f>M469+IF(N469&gt;1,N(O469)*(N469-1),0)</f>
        <v/>
      </c>
      <c r="S469">
        <f>IFERROR(L469*MAX(N469,1)/R469*Q469*IF(ISBLANK(K467),1,K467),0)</f>
        <v/>
      </c>
      <c r="AB469" s="7" t="inlineStr"/>
    </row>
    <row r="470">
      <c r="B470" s="7" t="inlineStr">
        <is>
          <t xml:space="preserve">  ↳ wc2paladinhealing</t>
        </is>
      </c>
      <c r="C470" s="7" t="inlineStr">
        <is>
          <t>Armament@HEAL</t>
        </is>
      </c>
      <c r="L470" s="6" t="n">
        <v>-4025</v>
      </c>
      <c r="M470" s="6" t="n">
        <v>60</v>
      </c>
      <c r="N470" s="6" t="n">
        <v>1</v>
      </c>
      <c r="O470" s="6" t="n"/>
      <c r="P470" s="6" t="n">
        <v>5120</v>
      </c>
      <c r="Q470" s="6" t="n">
        <v>1</v>
      </c>
      <c r="R470">
        <f>M470+IF(N470&gt;1,N(O470)*(N470-1),0)</f>
        <v/>
      </c>
      <c r="S470">
        <f>IFERROR(L470*MAX(N470,1)/R470*Q470*IF(ISBLANK(K467),1,K467),0)</f>
        <v/>
      </c>
      <c r="AB470" s="7" t="inlineStr"/>
    </row>
    <row r="471">
      <c r="B471" s="7" t="inlineStr">
        <is>
          <t xml:space="preserve">  ↳ wc2paladinexorcism</t>
        </is>
      </c>
      <c r="C471" s="7" t="inlineStr">
        <is>
          <t>Armament@EXORCISM</t>
        </is>
      </c>
      <c r="L471" s="6" t="n">
        <v>4025</v>
      </c>
      <c r="M471" s="6" t="n">
        <v>60</v>
      </c>
      <c r="N471" s="6" t="n">
        <v>1</v>
      </c>
      <c r="O471" s="6" t="n"/>
      <c r="P471" s="6" t="n">
        <v>5120</v>
      </c>
      <c r="Q471" s="6" t="n">
        <v>1</v>
      </c>
      <c r="R471">
        <f>M471+IF(N471&gt;1,N(O471)*(N471-1),0)</f>
        <v/>
      </c>
      <c r="S471">
        <f>IFERROR(L471*MAX(N471,1)/R471*Q471*IF(ISBLANK(K467),1,K467),0)</f>
        <v/>
      </c>
      <c r="AB471" s="7" t="inlineStr"/>
    </row>
    <row r="472">
      <c r="A472" t="inlineStr">
        <is>
          <t>warcraft2</t>
        </is>
      </c>
      <c r="B472" t="inlineStr">
        <is>
          <t>wc2_humans_paladin</t>
        </is>
      </c>
      <c r="C472" t="inlineStr">
        <is>
          <t>Paladin</t>
        </is>
      </c>
      <c r="D472" s="6" t="inlineStr">
        <is>
          <t>LineBreaker</t>
        </is>
      </c>
      <c r="E472" s="6" t="n">
        <v>167500</v>
      </c>
      <c r="F472" s="6" t="n">
        <v>115</v>
      </c>
      <c r="G472" t="inlineStr">
        <is>
          <t>Medium</t>
        </is>
      </c>
      <c r="H472" s="6" t="n">
        <v>1</v>
      </c>
      <c r="I472" s="6" t="n">
        <v>1</v>
      </c>
      <c r="J472" s="6" t="n">
        <v>1</v>
      </c>
      <c r="K472" s="6" t="n"/>
      <c r="P472">
        <f>MAX(P473,P474,P475,P476)</f>
        <v/>
      </c>
      <c r="S472">
        <f>S473+S474+S475+S476</f>
        <v/>
      </c>
      <c r="T472">
        <f>(E472/100000+F472/100+(P472/1000)*J472/5+S472/200)*200*I472*H472</f>
        <v/>
      </c>
      <c r="U472">
        <f>((E472*F472/25000)+((P472/1000)*J472*S472/2.5))*I472*H472</f>
        <v/>
      </c>
      <c r="V472">
        <f>(E472*F472*(P472/1000)*J472*S472*I472*H472)/12500000</f>
        <v/>
      </c>
      <c r="W472">
        <f>800*(T472/800+U472/800+V472/800)/3</f>
        <v/>
      </c>
      <c r="X472" s="6" t="n">
        <v>1600</v>
      </c>
      <c r="Y472">
        <f>IFERROR(W472-X472,"")</f>
        <v/>
      </c>
      <c r="Z472">
        <f>IFERROR(ABS(Y472)/MAX(X472,1),"")</f>
        <v/>
      </c>
      <c r="AA472">
        <f>IFERROR((X472-(((E472/100000+F472/100+S472/200)*200*I472*H472)+((E472*F472/25000)*I472*H472))/3)/(((J472/5)*200*I472*H472)+((J472*S472/2.5)*I472*H472)+((E472*F472*J472*S472*I472*H472)/12500000))/3*1000,"")</f>
        <v/>
      </c>
    </row>
    <row r="473">
      <c r="B473" s="7" t="inlineStr">
        <is>
          <t xml:space="preserve">  ↳ wc2knightslice</t>
        </is>
      </c>
      <c r="C473" s="7" t="inlineStr">
        <is>
          <t>Armament</t>
        </is>
      </c>
      <c r="L473" s="6" t="n">
        <v>16000</v>
      </c>
      <c r="M473" s="6" t="n">
        <v>12</v>
      </c>
      <c r="N473" s="6" t="n">
        <v>1</v>
      </c>
      <c r="O473" s="6" t="n"/>
      <c r="P473" s="6" t="n">
        <v>1420</v>
      </c>
      <c r="Q473" s="6" t="n">
        <v>1</v>
      </c>
      <c r="R473">
        <f>M473+IF(N473&gt;1,N(O473)*(N473-1),0)</f>
        <v/>
      </c>
      <c r="S473">
        <f>IFERROR(L473*MAX(N473,1)/R473*Q473*IF(ISBLANK(K472),1,K472),0)</f>
        <v/>
      </c>
      <c r="AB473" s="7" t="inlineStr">
        <is>
          <t>^SwordWeapon</t>
        </is>
      </c>
    </row>
    <row r="474">
      <c r="B474" s="7" t="inlineStr">
        <is>
          <t xml:space="preserve">  ↳ wc2paladinholyvision</t>
        </is>
      </c>
      <c r="C474" s="7" t="inlineStr">
        <is>
          <t>Armament@HOLYVISION</t>
        </is>
      </c>
      <c r="L474" s="6" t="n">
        <v>0</v>
      </c>
      <c r="M474" s="6" t="n">
        <v>60</v>
      </c>
      <c r="N474" s="6" t="n">
        <v>1</v>
      </c>
      <c r="O474" s="6" t="n"/>
      <c r="P474" s="6" t="n">
        <v>512000</v>
      </c>
      <c r="Q474" s="6" t="n">
        <v>1</v>
      </c>
      <c r="R474">
        <f>M474+IF(N474&gt;1,N(O474)*(N474-1),0)</f>
        <v/>
      </c>
      <c r="S474">
        <f>IFERROR(L474*MAX(N474,1)/R474*Q474*IF(ISBLANK(K472),1,K472),0)</f>
        <v/>
      </c>
      <c r="AB474" s="7" t="inlineStr"/>
    </row>
    <row r="475">
      <c r="B475" s="7" t="inlineStr">
        <is>
          <t xml:space="preserve">  ↳ wc2paladinhealing</t>
        </is>
      </c>
      <c r="C475" s="7" t="inlineStr">
        <is>
          <t>Armament@HEAL</t>
        </is>
      </c>
      <c r="L475" s="6" t="n">
        <v>-4025</v>
      </c>
      <c r="M475" s="6" t="n">
        <v>60</v>
      </c>
      <c r="N475" s="6" t="n">
        <v>1</v>
      </c>
      <c r="O475" s="6" t="n"/>
      <c r="P475" s="6" t="n">
        <v>5120</v>
      </c>
      <c r="Q475" s="6" t="n">
        <v>1</v>
      </c>
      <c r="R475">
        <f>M475+IF(N475&gt;1,N(O475)*(N475-1),0)</f>
        <v/>
      </c>
      <c r="S475">
        <f>IFERROR(L475*MAX(N475,1)/R475*Q475*IF(ISBLANK(K472),1,K472),0)</f>
        <v/>
      </c>
      <c r="AB475" s="7" t="inlineStr"/>
    </row>
    <row r="476">
      <c r="B476" s="7" t="inlineStr">
        <is>
          <t xml:space="preserve">  ↳ wc2paladinexorcism</t>
        </is>
      </c>
      <c r="C476" s="7" t="inlineStr">
        <is>
          <t>Armament@EXORCISM</t>
        </is>
      </c>
      <c r="L476" s="6" t="n">
        <v>4025</v>
      </c>
      <c r="M476" s="6" t="n">
        <v>60</v>
      </c>
      <c r="N476" s="6" t="n">
        <v>1</v>
      </c>
      <c r="O476" s="6" t="n"/>
      <c r="P476" s="6" t="n">
        <v>5120</v>
      </c>
      <c r="Q476" s="6" t="n">
        <v>1</v>
      </c>
      <c r="R476">
        <f>M476+IF(N476&gt;1,N(O476)*(N476-1),0)</f>
        <v/>
      </c>
      <c r="S476">
        <f>IFERROR(L476*MAX(N476,1)/R476*Q476*IF(ISBLANK(K472),1,K472),0)</f>
        <v/>
      </c>
      <c r="AB476" s="7" t="inlineStr"/>
    </row>
    <row r="477">
      <c r="A477" t="inlineStr">
        <is>
          <t>warcraft2</t>
        </is>
      </c>
      <c r="B477" t="inlineStr">
        <is>
          <t>wc2_humans_warcraft3knight</t>
        </is>
      </c>
      <c r="C477" t="inlineStr">
        <is>
          <t>Warcraft 3 Knight</t>
        </is>
      </c>
      <c r="D477" s="6" t="inlineStr">
        <is>
          <t>LineBreaker</t>
        </is>
      </c>
      <c r="E477" s="6" t="n">
        <v>180000</v>
      </c>
      <c r="F477" s="6" t="n">
        <v>120</v>
      </c>
      <c r="G477" t="inlineStr">
        <is>
          <t>Medium</t>
        </is>
      </c>
      <c r="H477" s="6" t="n">
        <v>1</v>
      </c>
      <c r="I477" s="6" t="n">
        <v>1</v>
      </c>
      <c r="J477" s="6" t="n">
        <v>1</v>
      </c>
      <c r="K477" s="6" t="n"/>
      <c r="P477">
        <f>MAX(P478,P479,P480,P481)</f>
        <v/>
      </c>
      <c r="S477">
        <f>S478+S479+S480+S481</f>
        <v/>
      </c>
      <c r="T477">
        <f>(E477/100000+F477/100+(P477/1000)*J477/5+S477/200)*200*I477*H477</f>
        <v/>
      </c>
      <c r="U477">
        <f>((E477*F477/25000)+((P477/1000)*J477*S477/2.5))*I477*H477</f>
        <v/>
      </c>
      <c r="V477">
        <f>(E477*F477*(P477/1000)*J477*S477*I477*H477)/12500000</f>
        <v/>
      </c>
      <c r="W477">
        <f>800*(T477/800+U477/800+V477/800)/3</f>
        <v/>
      </c>
      <c r="X477" s="6" t="n">
        <v>2200</v>
      </c>
      <c r="Y477">
        <f>IFERROR(W477-X477,"")</f>
        <v/>
      </c>
      <c r="Z477">
        <f>IFERROR(ABS(Y477)/MAX(X477,1),"")</f>
        <v/>
      </c>
      <c r="AA477">
        <f>IFERROR((X477-(((E477/100000+F477/100+S477/200)*200*I477*H477)+((E477*F477/25000)*I477*H477))/3)/(((J477/5)*200*I477*H477)+((J477*S477/2.5)*I477*H477)+((E477*F477*J477*S477*I477*H477)/12500000))/3*1000,"")</f>
        <v/>
      </c>
    </row>
    <row r="478">
      <c r="B478" s="7" t="inlineStr">
        <is>
          <t xml:space="preserve">  ↳ wc2knightslice</t>
        </is>
      </c>
      <c r="C478" s="7" t="inlineStr">
        <is>
          <t>Armament</t>
        </is>
      </c>
      <c r="L478" s="6" t="n">
        <v>16000</v>
      </c>
      <c r="M478" s="6" t="n">
        <v>12</v>
      </c>
      <c r="N478" s="6" t="n">
        <v>1</v>
      </c>
      <c r="O478" s="6" t="n"/>
      <c r="P478" s="6" t="n">
        <v>1420</v>
      </c>
      <c r="Q478" s="6" t="n">
        <v>1</v>
      </c>
      <c r="R478">
        <f>M478+IF(N478&gt;1,N(O478)*(N478-1),0)</f>
        <v/>
      </c>
      <c r="S478">
        <f>IFERROR(L478*MAX(N478,1)/R478*Q478*IF(ISBLANK(K477),1,K477),0)</f>
        <v/>
      </c>
      <c r="AB478" s="7" t="inlineStr">
        <is>
          <t>^SwordWeapon</t>
        </is>
      </c>
    </row>
    <row r="479">
      <c r="B479" s="7" t="inlineStr">
        <is>
          <t xml:space="preserve">  ↳ wc2paladinholyvision</t>
        </is>
      </c>
      <c r="C479" s="7" t="inlineStr">
        <is>
          <t>Armament@HOLYVISION</t>
        </is>
      </c>
      <c r="L479" s="6" t="n">
        <v>0</v>
      </c>
      <c r="M479" s="6" t="n">
        <v>60</v>
      </c>
      <c r="N479" s="6" t="n">
        <v>1</v>
      </c>
      <c r="O479" s="6" t="n"/>
      <c r="P479" s="6" t="n">
        <v>512000</v>
      </c>
      <c r="Q479" s="6" t="n">
        <v>1</v>
      </c>
      <c r="R479">
        <f>M479+IF(N479&gt;1,N(O479)*(N479-1),0)</f>
        <v/>
      </c>
      <c r="S479">
        <f>IFERROR(L479*MAX(N479,1)/R479*Q479*IF(ISBLANK(K477),1,K477),0)</f>
        <v/>
      </c>
      <c r="AB479" s="7" t="inlineStr"/>
    </row>
    <row r="480">
      <c r="B480" s="7" t="inlineStr">
        <is>
          <t xml:space="preserve">  ↳ wc2paladinhealing</t>
        </is>
      </c>
      <c r="C480" s="7" t="inlineStr">
        <is>
          <t>Armament@HEAL</t>
        </is>
      </c>
      <c r="L480" s="6" t="n">
        <v>-4025</v>
      </c>
      <c r="M480" s="6" t="n">
        <v>60</v>
      </c>
      <c r="N480" s="6" t="n">
        <v>1</v>
      </c>
      <c r="O480" s="6" t="n"/>
      <c r="P480" s="6" t="n">
        <v>5120</v>
      </c>
      <c r="Q480" s="6" t="n">
        <v>1</v>
      </c>
      <c r="R480">
        <f>M480+IF(N480&gt;1,N(O480)*(N480-1),0)</f>
        <v/>
      </c>
      <c r="S480">
        <f>IFERROR(L480*MAX(N480,1)/R480*Q480*IF(ISBLANK(K477),1,K477),0)</f>
        <v/>
      </c>
      <c r="AB480" s="7" t="inlineStr"/>
    </row>
    <row r="481">
      <c r="B481" s="7" t="inlineStr">
        <is>
          <t xml:space="preserve">  ↳ wc2paladinexorcism</t>
        </is>
      </c>
      <c r="C481" s="7" t="inlineStr">
        <is>
          <t>Armament@EXORCISM</t>
        </is>
      </c>
      <c r="L481" s="6" t="n">
        <v>4025</v>
      </c>
      <c r="M481" s="6" t="n">
        <v>60</v>
      </c>
      <c r="N481" s="6" t="n">
        <v>1</v>
      </c>
      <c r="O481" s="6" t="n"/>
      <c r="P481" s="6" t="n">
        <v>5120</v>
      </c>
      <c r="Q481" s="6" t="n">
        <v>1</v>
      </c>
      <c r="R481">
        <f>M481+IF(N481&gt;1,N(O481)*(N481-1),0)</f>
        <v/>
      </c>
      <c r="S481">
        <f>IFERROR(L481*MAX(N481,1)/R481*Q481*IF(ISBLANK(K477),1,K477),0)</f>
        <v/>
      </c>
      <c r="AB481" s="7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482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10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Vehicle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</t>
        </is>
      </c>
      <c r="B3" t="inlineStr">
        <is>
          <t>japan_coreairfield</t>
        </is>
      </c>
      <c r="C3" t="inlineStr">
        <is>
          <t>Core (Airfield)</t>
        </is>
      </c>
      <c r="D3" s="6" t="inlineStr">
        <is>
          <t>Vehicle</t>
        </is>
      </c>
      <c r="E3" s="6" t="n">
        <v>50000</v>
      </c>
      <c r="F3" s="6" t="n">
        <v>75</v>
      </c>
      <c r="G3" t="inlineStr">
        <is>
          <t>Light</t>
        </is>
      </c>
      <c r="H3" s="6" t="n">
        <v>1</v>
      </c>
      <c r="I3" s="6" t="n">
        <v>1</v>
      </c>
      <c r="J3" s="6" t="n">
        <v>1</v>
      </c>
      <c r="K3" s="6" t="n"/>
      <c r="X3" s="6" t="n">
        <v>1500</v>
      </c>
    </row>
    <row r="4">
      <c r="A4" t="inlineStr">
        <is>
          <t>redalert</t>
        </is>
      </c>
      <c r="B4" t="inlineStr">
        <is>
          <t>japan_corebarracks</t>
        </is>
      </c>
      <c r="C4" t="inlineStr">
        <is>
          <t>Core (Barracks)</t>
        </is>
      </c>
      <c r="D4" s="6" t="inlineStr">
        <is>
          <t>Vehicle</t>
        </is>
      </c>
      <c r="E4" s="6" t="n">
        <v>50000</v>
      </c>
      <c r="F4" s="6" t="n">
        <v>75</v>
      </c>
      <c r="G4" t="inlineStr">
        <is>
          <t>Light</t>
        </is>
      </c>
      <c r="H4" s="6" t="n">
        <v>1</v>
      </c>
      <c r="I4" s="6" t="n">
        <v>1</v>
      </c>
      <c r="J4" s="6" t="n">
        <v>1</v>
      </c>
      <c r="K4" s="6" t="n"/>
      <c r="X4" s="6" t="n">
        <v>1000</v>
      </c>
    </row>
    <row r="5">
      <c r="A5" t="inlineStr">
        <is>
          <t>redalert</t>
        </is>
      </c>
      <c r="B5" t="inlineStr">
        <is>
          <t>japan_corepowerplant</t>
        </is>
      </c>
      <c r="C5" t="inlineStr">
        <is>
          <t>Core (Power Plant)</t>
        </is>
      </c>
      <c r="D5" s="6" t="inlineStr">
        <is>
          <t>Vehicle</t>
        </is>
      </c>
      <c r="E5" s="6" t="n">
        <v>50000</v>
      </c>
      <c r="F5" s="6" t="n">
        <v>75</v>
      </c>
      <c r="G5" t="inlineStr">
        <is>
          <t>Light</t>
        </is>
      </c>
      <c r="H5" s="6" t="n">
        <v>1</v>
      </c>
      <c r="I5" s="6" t="n">
        <v>1</v>
      </c>
      <c r="J5" s="6" t="n">
        <v>1</v>
      </c>
      <c r="K5" s="6" t="n"/>
      <c r="X5" s="6" t="n">
        <v>750</v>
      </c>
    </row>
    <row r="6">
      <c r="A6" t="inlineStr">
        <is>
          <t>redalert</t>
        </is>
      </c>
      <c r="B6" t="inlineStr">
        <is>
          <t>japan_coreradar</t>
        </is>
      </c>
      <c r="C6" t="inlineStr">
        <is>
          <t>Core (Radar)</t>
        </is>
      </c>
      <c r="D6" s="6" t="inlineStr">
        <is>
          <t>Vehicle</t>
        </is>
      </c>
      <c r="E6" s="6" t="n">
        <v>50000</v>
      </c>
      <c r="F6" s="6" t="n">
        <v>75</v>
      </c>
      <c r="G6" t="inlineStr">
        <is>
          <t>Light</t>
        </is>
      </c>
      <c r="H6" s="6" t="n">
        <v>1</v>
      </c>
      <c r="I6" s="6" t="n">
        <v>1</v>
      </c>
      <c r="J6" s="6" t="n">
        <v>1</v>
      </c>
      <c r="K6" s="6" t="n"/>
      <c r="X6" s="6" t="n">
        <v>2500</v>
      </c>
    </row>
    <row r="7">
      <c r="A7" t="inlineStr">
        <is>
          <t>redalert</t>
        </is>
      </c>
      <c r="B7" t="inlineStr">
        <is>
          <t>japan_corerefinery</t>
        </is>
      </c>
      <c r="C7" t="inlineStr">
        <is>
          <t>Core (Refinery)</t>
        </is>
      </c>
      <c r="D7" s="6" t="inlineStr">
        <is>
          <t>Vehicle</t>
        </is>
      </c>
      <c r="E7" s="6" t="n">
        <v>50000</v>
      </c>
      <c r="F7" s="6" t="n">
        <v>75</v>
      </c>
      <c r="G7" t="inlineStr">
        <is>
          <t>Light</t>
        </is>
      </c>
      <c r="H7" s="6" t="n">
        <v>1</v>
      </c>
      <c r="I7" s="6" t="n">
        <v>1</v>
      </c>
      <c r="J7" s="6" t="n">
        <v>1</v>
      </c>
      <c r="K7" s="6" t="n"/>
      <c r="X7" s="6" t="n">
        <v>3000</v>
      </c>
    </row>
    <row r="8">
      <c r="A8" t="inlineStr">
        <is>
          <t>redalert</t>
        </is>
      </c>
      <c r="B8" t="inlineStr">
        <is>
          <t>japan_coreservicedepot</t>
        </is>
      </c>
      <c r="C8" t="inlineStr">
        <is>
          <t>Core (Service Depot)</t>
        </is>
      </c>
      <c r="D8" s="6" t="inlineStr">
        <is>
          <t>Vehicle</t>
        </is>
      </c>
      <c r="E8" s="6" t="n">
        <v>50000</v>
      </c>
      <c r="F8" s="6" t="n">
        <v>75</v>
      </c>
      <c r="G8" t="inlineStr">
        <is>
          <t>Light</t>
        </is>
      </c>
      <c r="H8" s="6" t="n">
        <v>1</v>
      </c>
      <c r="I8" s="6" t="n">
        <v>1</v>
      </c>
      <c r="J8" s="6" t="n">
        <v>1</v>
      </c>
      <c r="K8" s="6" t="n"/>
      <c r="X8" s="6" t="n">
        <v>1000</v>
      </c>
    </row>
    <row r="9">
      <c r="A9" t="inlineStr">
        <is>
          <t>redalert</t>
        </is>
      </c>
      <c r="B9" t="inlineStr">
        <is>
          <t>japan_coretechcenter</t>
        </is>
      </c>
      <c r="C9" t="inlineStr">
        <is>
          <t>Core (Tech Center)</t>
        </is>
      </c>
      <c r="D9" s="6" t="inlineStr">
        <is>
          <t>Vehicle</t>
        </is>
      </c>
      <c r="E9" s="6" t="n">
        <v>50000</v>
      </c>
      <c r="F9" s="6" t="n">
        <v>75</v>
      </c>
      <c r="G9" t="inlineStr">
        <is>
          <t>Light</t>
        </is>
      </c>
      <c r="H9" s="6" t="n">
        <v>1</v>
      </c>
      <c r="I9" s="6" t="n">
        <v>1</v>
      </c>
      <c r="J9" s="6" t="n">
        <v>1</v>
      </c>
      <c r="K9" s="6" t="n"/>
      <c r="X9" s="6" t="n">
        <v>5000</v>
      </c>
    </row>
    <row r="10">
      <c r="A10" t="inlineStr">
        <is>
          <t>redalert</t>
        </is>
      </c>
      <c r="B10" t="inlineStr">
        <is>
          <t>japan_corewarfactory</t>
        </is>
      </c>
      <c r="C10" t="inlineStr">
        <is>
          <t>Core (War Factory)</t>
        </is>
      </c>
      <c r="D10" s="6" t="inlineStr">
        <is>
          <t>Vehicle</t>
        </is>
      </c>
      <c r="E10" s="6" t="n">
        <v>50000</v>
      </c>
      <c r="F10" s="6" t="n">
        <v>75</v>
      </c>
      <c r="G10" t="inlineStr">
        <is>
          <t>Light</t>
        </is>
      </c>
      <c r="H10" s="6" t="n">
        <v>1</v>
      </c>
      <c r="I10" s="6" t="n">
        <v>1</v>
      </c>
      <c r="J10" s="6" t="n">
        <v>1</v>
      </c>
      <c r="K10" s="6" t="n"/>
      <c r="X10" s="6" t="n">
        <v>2000</v>
      </c>
    </row>
    <row r="11">
      <c r="A11" t="inlineStr">
        <is>
          <t>redalert</t>
        </is>
      </c>
      <c r="B11" t="inlineStr">
        <is>
          <t>ra1_soviets_gorynychtank</t>
        </is>
      </c>
      <c r="C11" t="inlineStr">
        <is>
          <t>Gorynych Tank</t>
        </is>
      </c>
      <c r="D11" s="6" t="inlineStr">
        <is>
          <t>Vehicle</t>
        </is>
      </c>
      <c r="E11" s="6" t="n">
        <v>150000</v>
      </c>
      <c r="F11" s="6" t="n">
        <v>70</v>
      </c>
      <c r="G11" t="inlineStr">
        <is>
          <t>Heavy</t>
        </is>
      </c>
      <c r="H11" s="6" t="n">
        <v>1</v>
      </c>
      <c r="I11" s="6" t="n">
        <v>1</v>
      </c>
      <c r="J11" s="6" t="n">
        <v>1</v>
      </c>
      <c r="K11" s="6" t="n"/>
      <c r="P11">
        <f>MAX(P12)</f>
        <v/>
      </c>
      <c r="S11">
        <f>S12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(T11+U11+V11)/3</f>
        <v/>
      </c>
      <c r="X11" s="6" t="n">
        <v>1300</v>
      </c>
      <c r="Y11">
        <f>IFERROR(W11-X11,"")</f>
        <v/>
      </c>
      <c r="Z11">
        <f>IFERROR(ABS(Y11)/MAX(X11,1),"")</f>
        <v/>
      </c>
      <c r="AA11">
        <f>IFERROR((X11-(((E11/100000+F11/100+S11/200)*200*I11*H11)+((E11*F11/25000)*I11*H11))/3)/(((J11/5)*200*I11*H11)+((J11*S11/2.5)*I11*H11)+((E11*F11*J11*S11*I11*H11)/12500000))/3*1000,"")</f>
        <v/>
      </c>
    </row>
    <row r="12">
      <c r="B12" s="7" t="inlineStr">
        <is>
          <t xml:space="preserve">  ↳ BigFlamer</t>
        </is>
      </c>
      <c r="C12" s="7" t="inlineStr">
        <is>
          <t>Armament</t>
        </is>
      </c>
      <c r="L12" s="6" t="n">
        <v>14000</v>
      </c>
      <c r="M12" s="6" t="n">
        <v>50</v>
      </c>
      <c r="N12" s="6" t="n">
        <v>2</v>
      </c>
      <c r="O12" s="6" t="n">
        <v>10</v>
      </c>
      <c r="P12" s="6" t="n">
        <v>2390</v>
      </c>
      <c r="Q12" s="6" t="n">
        <v>1</v>
      </c>
      <c r="R12">
        <f>M12+IF(N12&gt;1,N(O12)*(N12-1),0)</f>
        <v/>
      </c>
      <c r="S12">
        <f>IFERROR(L12*MAX(N12,1)/R12*Q12*IF(ISBLANK(K11),1,K11),0)</f>
        <v/>
      </c>
      <c r="AB12" s="7" t="inlineStr">
        <is>
          <t>^MediumFlameWeapon</t>
        </is>
      </c>
    </row>
    <row r="13">
      <c r="A13" t="inlineStr">
        <is>
          <t>redalert</t>
        </is>
      </c>
      <c r="B13" t="inlineStr">
        <is>
          <t>ra1_soviets_nukedemotruck</t>
        </is>
      </c>
      <c r="C13" t="inlineStr">
        <is>
          <t>Nuke Demo Truck</t>
        </is>
      </c>
      <c r="D13" s="6" t="inlineStr">
        <is>
          <t>Vehicle</t>
        </is>
      </c>
      <c r="E13" s="6" t="n">
        <v>20000</v>
      </c>
      <c r="F13" s="6" t="n">
        <v>100</v>
      </c>
      <c r="G13" t="inlineStr">
        <is>
          <t>Light</t>
        </is>
      </c>
      <c r="H13" s="6" t="n">
        <v>1</v>
      </c>
      <c r="I13" s="6" t="n">
        <v>1</v>
      </c>
      <c r="J13" s="6" t="n">
        <v>1</v>
      </c>
      <c r="K13" s="6" t="n"/>
      <c r="P13">
        <f>MAX(P14)</f>
        <v/>
      </c>
      <c r="S13">
        <f>S14</f>
        <v/>
      </c>
      <c r="T13">
        <f>(E13/100000+F13/100+(P13/1000)*J13/5+S13/200)*200*I13*H13</f>
        <v/>
      </c>
      <c r="U13">
        <f>((E13*F13/25000)+((P13/1000)*J13*S13/2.5))*I13*H13</f>
        <v/>
      </c>
      <c r="V13">
        <f>(E13*F13*(P13/1000)*J13*S13*I13*H13)/12500000</f>
        <v/>
      </c>
      <c r="W13">
        <f>(T13+U13+V13)/3</f>
        <v/>
      </c>
      <c r="X13" s="6" t="n">
        <v>1500</v>
      </c>
      <c r="Y13">
        <f>IFERROR(W13-X13,"")</f>
        <v/>
      </c>
      <c r="Z13">
        <f>IFERROR(ABS(Y13)/MAX(X13,1),"")</f>
        <v/>
      </c>
      <c r="AA13">
        <f>IFERROR((X13-(((E13/100000+F13/100+S13/200)*200*I13*H13)+((E13*F13/25000)*I13*H13))/3)/(((J13/5)*200*I13*H13)+((J13*S13/2.5)*I13*H13)+((E13*F13*J13*S13*I13*H13)/12500000))/3*1000,"")</f>
        <v/>
      </c>
    </row>
    <row r="14">
      <c r="B14" s="7" t="inlineStr">
        <is>
          <t xml:space="preserve">  ↳ DemoTruckTargeting</t>
        </is>
      </c>
      <c r="C14" s="7" t="inlineStr">
        <is>
          <t>Armament@PRIMARY</t>
        </is>
      </c>
      <c r="L14" s="6" t="n"/>
      <c r="M14" s="6" t="n"/>
      <c r="N14" s="6" t="n">
        <v>1</v>
      </c>
      <c r="O14" s="6" t="n"/>
      <c r="P14" s="6" t="n">
        <v>2000</v>
      </c>
      <c r="Q14" s="6" t="n">
        <v>1</v>
      </c>
      <c r="R14">
        <f>M14+IF(N14&gt;1,N(O14)*(N14-1),0)</f>
        <v/>
      </c>
      <c r="S14">
        <f>IFERROR(L14*MAX(N14,1)/R14*Q14*IF(ISBLANK(K13),1,K13),0)</f>
        <v/>
      </c>
      <c r="AB14" s="7" t="inlineStr"/>
    </row>
    <row r="15">
      <c r="A15" t="inlineStr">
        <is>
          <t>redalert</t>
        </is>
      </c>
      <c r="B15" t="inlineStr">
        <is>
          <t>ra1_allies_minelayer</t>
        </is>
      </c>
      <c r="C15" t="inlineStr">
        <is>
          <t>Minelayer</t>
        </is>
      </c>
      <c r="D15" s="6" t="inlineStr">
        <is>
          <t>Vehicle</t>
        </is>
      </c>
      <c r="E15" s="6" t="n">
        <v>30000</v>
      </c>
      <c r="F15" s="6" t="n">
        <v>128</v>
      </c>
      <c r="G15" t="inlineStr">
        <is>
          <t>Heavy</t>
        </is>
      </c>
      <c r="H15" s="6" t="n">
        <v>1</v>
      </c>
      <c r="I15" s="6" t="n">
        <v>1</v>
      </c>
      <c r="J15" s="6" t="n">
        <v>1</v>
      </c>
      <c r="K15" s="6" t="n"/>
      <c r="X15" s="6" t="n">
        <v>800</v>
      </c>
    </row>
    <row r="16">
      <c r="A16" t="inlineStr">
        <is>
          <t>redalert</t>
        </is>
      </c>
      <c r="B16" t="inlineStr">
        <is>
          <t>ra1_allies_mobilegapgenerator</t>
        </is>
      </c>
      <c r="C16" t="inlineStr">
        <is>
          <t>Mobile Gap Generator</t>
        </is>
      </c>
      <c r="D16" s="6" t="inlineStr">
        <is>
          <t>Vehicle</t>
        </is>
      </c>
      <c r="E16" s="6" t="n">
        <v>25000</v>
      </c>
      <c r="F16" s="6" t="n">
        <v>75</v>
      </c>
      <c r="G16" t="inlineStr">
        <is>
          <t>Light</t>
        </is>
      </c>
      <c r="H16" s="6" t="n">
        <v>1</v>
      </c>
      <c r="I16" s="6" t="n">
        <v>1</v>
      </c>
      <c r="J16" s="6" t="n">
        <v>1</v>
      </c>
      <c r="K16" s="6" t="n"/>
      <c r="P16">
        <f>MAX(P17)</f>
        <v/>
      </c>
      <c r="S16">
        <f>S17</f>
        <v/>
      </c>
      <c r="T16">
        <f>(E16/100000+F16/100+(P16/1000)*J16/5+S16/200)*200*I16*H16</f>
        <v/>
      </c>
      <c r="U16">
        <f>((E16*F16/25000)+((P16/1000)*J16*S16/2.5))*I16*H16</f>
        <v/>
      </c>
      <c r="V16">
        <f>(E16*F16*(P16/1000)*J16*S16*I16*H16)/12500000</f>
        <v/>
      </c>
      <c r="W16">
        <f>(T16+U16+V16)/3</f>
        <v/>
      </c>
      <c r="X16" s="6" t="n">
        <v>5000</v>
      </c>
      <c r="Y16">
        <f>IFERROR(W16-X16,"")</f>
        <v/>
      </c>
      <c r="Z16">
        <f>IFERROR(ABS(Y16)/MAX(X16,1),"")</f>
        <v/>
      </c>
      <c r="AA16">
        <f>IFERROR((X16-(((E16/100000+F16/100+S16/200)*200*I16*H16)+((E16*F16/25000)*I16*H16))/3)/(((J16/5)*200*I16*H16)+((J16*S16/2.5)*I16*H16)+((E16*F16*J16*S16*I16*H16)/12500000))/3*1000,"")</f>
        <v/>
      </c>
    </row>
    <row r="17">
      <c r="B17" s="7" t="inlineStr">
        <is>
          <t xml:space="preserve">  ↳ dummytargeting</t>
        </is>
      </c>
      <c r="C17" s="7" t="inlineStr">
        <is>
          <t>Armament</t>
        </is>
      </c>
      <c r="L17" s="6" t="n"/>
      <c r="M17" s="6" t="n"/>
      <c r="N17" s="6" t="n">
        <v>1</v>
      </c>
      <c r="O17" s="6" t="n"/>
      <c r="P17" s="6" t="n">
        <v>10000</v>
      </c>
      <c r="Q17" s="6" t="n">
        <v>1</v>
      </c>
      <c r="R17">
        <f>M17+IF(N17&gt;1,N(O17)*(N17-1),0)</f>
        <v/>
      </c>
      <c r="S17">
        <f>IFERROR(L17*MAX(N17,1)/R17*Q17*IF(ISBLANK(K16),1,K16),0)</f>
        <v/>
      </c>
      <c r="AB17" s="7" t="inlineStr"/>
    </row>
    <row r="18">
      <c r="A18" t="inlineStr">
        <is>
          <t>redalert</t>
        </is>
      </c>
      <c r="B18" t="inlineStr">
        <is>
          <t>ra1_allies_mobileradarjammer</t>
        </is>
      </c>
      <c r="C18" t="inlineStr">
        <is>
          <t>Mobile Radar Jammer</t>
        </is>
      </c>
      <c r="D18" s="6" t="inlineStr">
        <is>
          <t>Vehicle</t>
        </is>
      </c>
      <c r="E18" s="6" t="n">
        <v>25000</v>
      </c>
      <c r="F18" s="6" t="n">
        <v>100</v>
      </c>
      <c r="G18" t="inlineStr">
        <is>
          <t>Light</t>
        </is>
      </c>
      <c r="H18" s="6" t="n">
        <v>1</v>
      </c>
      <c r="I18" s="6" t="n">
        <v>1</v>
      </c>
      <c r="J18" s="6" t="n">
        <v>1</v>
      </c>
      <c r="K18" s="6" t="n"/>
      <c r="P18">
        <f>MAX(P19)</f>
        <v/>
      </c>
      <c r="S18">
        <f>S19</f>
        <v/>
      </c>
      <c r="T18">
        <f>(E18/100000+F18/100+(P18/1000)*J18/5+S18/200)*200*I18*H18</f>
        <v/>
      </c>
      <c r="U18">
        <f>((E18*F18/25000)+((P18/1000)*J18*S18/2.5))*I18*H18</f>
        <v/>
      </c>
      <c r="V18">
        <f>(E18*F18*(P18/1000)*J18*S18*I18*H18)/12500000</f>
        <v/>
      </c>
      <c r="W18">
        <f>(T18+U18+V18)/3</f>
        <v/>
      </c>
      <c r="X18" s="6" t="n">
        <v>5000</v>
      </c>
      <c r="Y18">
        <f>IFERROR(W18-X18,"")</f>
        <v/>
      </c>
      <c r="Z18">
        <f>IFERROR(ABS(Y18)/MAX(X18,1),"")</f>
        <v/>
      </c>
      <c r="AA18">
        <f>IFERROR((X18-(((E18/100000+F18/100+S18/200)*200*I18*H18)+((E18*F18/25000)*I18*H18))/3)/(((J18/5)*200*I18*H18)+((J18*S18/2.5)*I18*H18)+((E18*F18*J18*S18*I18*H18)/12500000))/3*1000,"")</f>
        <v/>
      </c>
    </row>
    <row r="19">
      <c r="B19" s="7" t="inlineStr">
        <is>
          <t xml:space="preserve">  ↳ RadarJammer</t>
        </is>
      </c>
      <c r="C19" s="7" t="inlineStr">
        <is>
          <t>Armament</t>
        </is>
      </c>
      <c r="L19" s="6" t="n"/>
      <c r="M19" s="6" t="n">
        <v>150</v>
      </c>
      <c r="N19" s="6" t="n">
        <v>1</v>
      </c>
      <c r="O19" s="6" t="n"/>
      <c r="P19" s="6" t="n">
        <v>10000</v>
      </c>
      <c r="Q19" s="6" t="n">
        <v>1</v>
      </c>
      <c r="R19">
        <f>M19+IF(N19&gt;1,N(O19)*(N19-1),0)</f>
        <v/>
      </c>
      <c r="S19">
        <f>IFERROR(L19*MAX(N19,1)/R19*Q19*IF(ISBLANK(K18),1,K18),0)</f>
        <v/>
      </c>
      <c r="AB19" s="7" t="inlineStr"/>
    </row>
    <row r="20">
      <c r="A20" t="inlineStr">
        <is>
          <t>tiberiansun</t>
        </is>
      </c>
      <c r="B20" t="inlineStr">
        <is>
          <t>ts_nod_mobilerepairvehicle</t>
        </is>
      </c>
      <c r="C20" t="inlineStr">
        <is>
          <t>Mobile Repair Vehicle</t>
        </is>
      </c>
      <c r="D20" s="6" t="inlineStr">
        <is>
          <t>Vehicle</t>
        </is>
      </c>
      <c r="E20" s="6" t="n">
        <v>50000</v>
      </c>
      <c r="F20" s="6" t="n">
        <v>75</v>
      </c>
      <c r="G20" t="inlineStr">
        <is>
          <t>Heavy</t>
        </is>
      </c>
      <c r="H20" s="6" t="n">
        <v>1</v>
      </c>
      <c r="I20" s="6" t="n">
        <v>1</v>
      </c>
      <c r="J20" s="6" t="n">
        <v>1</v>
      </c>
      <c r="K20" s="6" t="n"/>
      <c r="P20">
        <f>MAX(P21)</f>
        <v/>
      </c>
      <c r="S20">
        <f>S21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1000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ts_nod_mobilerepairvehicle</t>
        </is>
      </c>
      <c r="C21" s="7" t="inlineStr">
        <is>
          <t>Armament</t>
        </is>
      </c>
      <c r="L21" s="6" t="n">
        <v>-1</v>
      </c>
      <c r="M21" s="6" t="n">
        <v>50</v>
      </c>
      <c r="N21" s="6" t="n">
        <v>10</v>
      </c>
      <c r="O21" s="6" t="n">
        <v>1</v>
      </c>
      <c r="P21" s="6" t="n">
        <v>5000</v>
      </c>
      <c r="Q21" s="6" t="n">
        <v>1.5</v>
      </c>
      <c r="R21">
        <f>M21+IF(N21&gt;1,N(O21)*(N21-1),0)</f>
        <v/>
      </c>
      <c r="S21">
        <f>IFERROR(L21*MAX(N21,1)/R21*Q21*IF(ISBLANK(K20),1,K20),0)</f>
        <v/>
      </c>
      <c r="AB21" s="7" t="inlineStr">
        <is>
          <t>^RepairWeapon</t>
        </is>
      </c>
    </row>
    <row r="22">
      <c r="A22" t="inlineStr">
        <is>
          <t>tiberiansun</t>
        </is>
      </c>
      <c r="B22" t="inlineStr">
        <is>
          <t>ts_nod_mobilestealthgenerator</t>
        </is>
      </c>
      <c r="C22" t="inlineStr">
        <is>
          <t>Mobile Stealth Generator</t>
        </is>
      </c>
      <c r="D22" s="6" t="inlineStr">
        <is>
          <t>Vehicle</t>
        </is>
      </c>
      <c r="E22" s="6" t="n">
        <v>20000</v>
      </c>
      <c r="F22" s="6" t="n">
        <v>56</v>
      </c>
      <c r="G22" t="inlineStr">
        <is>
          <t>Wood</t>
        </is>
      </c>
      <c r="H22" s="6" t="n">
        <v>1</v>
      </c>
      <c r="I22" s="6" t="n">
        <v>1</v>
      </c>
      <c r="J22" s="6" t="n">
        <v>1</v>
      </c>
      <c r="K22" s="6" t="n"/>
      <c r="X22" s="6" t="n">
        <v>1500</v>
      </c>
    </row>
    <row r="23">
      <c r="A23" t="inlineStr">
        <is>
          <t>tiberiansun</t>
        </is>
      </c>
      <c r="B23" t="inlineStr">
        <is>
          <t>ts_gdi_mobilesensorarray</t>
        </is>
      </c>
      <c r="C23" t="inlineStr">
        <is>
          <t>Mobile Sensor Array</t>
        </is>
      </c>
      <c r="D23" s="6" t="inlineStr">
        <is>
          <t>Vehicle</t>
        </is>
      </c>
      <c r="E23" s="6" t="n">
        <v>60000</v>
      </c>
      <c r="F23" s="6" t="n">
        <v>85</v>
      </c>
      <c r="G23" t="inlineStr">
        <is>
          <t>Wood</t>
        </is>
      </c>
      <c r="H23" s="6" t="n">
        <v>1</v>
      </c>
      <c r="I23" s="6" t="n">
        <v>1</v>
      </c>
      <c r="J23" s="6" t="n">
        <v>1</v>
      </c>
      <c r="K23" s="6" t="n"/>
      <c r="X23" s="6" t="n">
        <v>1100</v>
      </c>
    </row>
    <row r="24">
      <c r="A24" t="inlineStr">
        <is>
          <t>redalert2mod</t>
        </is>
      </c>
      <c r="B24" t="inlineStr">
        <is>
          <t>asianalliance_oiltruck</t>
        </is>
      </c>
      <c r="C24" t="inlineStr">
        <is>
          <t>Oil Truck</t>
        </is>
      </c>
      <c r="D24" s="6" t="inlineStr">
        <is>
          <t>Vehicle</t>
        </is>
      </c>
      <c r="E24" s="6" t="n">
        <v>20000</v>
      </c>
      <c r="F24" s="6" t="n">
        <v>100</v>
      </c>
      <c r="G24" t="inlineStr">
        <is>
          <t>Light</t>
        </is>
      </c>
      <c r="H24" s="6" t="n">
        <v>1</v>
      </c>
      <c r="I24" s="6" t="n">
        <v>1</v>
      </c>
      <c r="J24" s="6" t="n">
        <v>1</v>
      </c>
      <c r="K24" s="6" t="n"/>
      <c r="P24">
        <f>MAX(P25)</f>
        <v/>
      </c>
      <c r="S24">
        <f>S25</f>
        <v/>
      </c>
      <c r="T24">
        <f>(E24/100000+F24/100+(P24/1000)*J24/5+S24/200)*200*I24*H24</f>
        <v/>
      </c>
      <c r="U24">
        <f>((E24*F24/25000)+((P24/1000)*J24*S24/2.5))*I24*H24</f>
        <v/>
      </c>
      <c r="V24">
        <f>(E24*F24*(P24/1000)*J24*S24*I24*H24)/12500000</f>
        <v/>
      </c>
      <c r="W24">
        <f>(T24+U24+V24)/3</f>
        <v/>
      </c>
      <c r="X24" s="6" t="n">
        <v>1000</v>
      </c>
      <c r="Y24">
        <f>IFERROR(W24-X24,"")</f>
        <v/>
      </c>
      <c r="Z24">
        <f>IFERROR(ABS(Y24)/MAX(X24,1),"")</f>
        <v/>
      </c>
      <c r="AA24">
        <f>IFERROR((X24-(((E24/100000+F24/100+S24/200)*200*I24*H24)+((E24*F24/25000)*I24*H24))/3)/(((J24/5)*200*I24*H24)+((J24*S24/2.5)*I24*H24)+((E24*F24*J24*S24*I24*H24)/12500000))/3*1000,"")</f>
        <v/>
      </c>
    </row>
    <row r="25">
      <c r="B25" s="7" t="inlineStr">
        <is>
          <t xml:space="preserve">  ↳ DemoTruckTargeting</t>
        </is>
      </c>
      <c r="C25" s="7" t="inlineStr">
        <is>
          <t>Armament@PRIMARY</t>
        </is>
      </c>
      <c r="L25" s="6" t="n"/>
      <c r="M25" s="6" t="n"/>
      <c r="N25" s="6" t="n">
        <v>1</v>
      </c>
      <c r="O25" s="6" t="n"/>
      <c r="P25" s="6" t="n">
        <v>2000</v>
      </c>
      <c r="Q25" s="6" t="n">
        <v>1</v>
      </c>
      <c r="R25">
        <f>M25+IF(N25&gt;1,N(O25)*(N25-1),0)</f>
        <v/>
      </c>
      <c r="S25">
        <f>IFERROR(L25*MAX(N25,1)/R25*Q25*IF(ISBLANK(K24),1,K24),0)</f>
        <v/>
      </c>
      <c r="AB25" s="7" t="inlineStr"/>
    </row>
    <row r="26">
      <c r="A26" t="inlineStr">
        <is>
          <t>redalert2mod</t>
        </is>
      </c>
      <c r="B26" t="inlineStr">
        <is>
          <t>latinsyndicate_demolitiontruck</t>
        </is>
      </c>
      <c r="C26" t="inlineStr">
        <is>
          <t>Demolition Truck</t>
        </is>
      </c>
      <c r="D26" s="6" t="inlineStr">
        <is>
          <t>Vehicle</t>
        </is>
      </c>
      <c r="E26" s="6" t="n">
        <v>30000</v>
      </c>
      <c r="F26" s="6" t="n">
        <v>100</v>
      </c>
      <c r="G26" t="inlineStr">
        <is>
          <t>Light</t>
        </is>
      </c>
      <c r="H26" s="6" t="n">
        <v>1</v>
      </c>
      <c r="I26" s="6" t="n">
        <v>1</v>
      </c>
      <c r="J26" s="6" t="n">
        <v>1</v>
      </c>
      <c r="K26" s="6" t="n">
        <v>2</v>
      </c>
      <c r="P26">
        <f>MAX(P27)</f>
        <v/>
      </c>
      <c r="S26">
        <f>S27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1500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DemoTruckTargeting</t>
        </is>
      </c>
      <c r="C27" s="7" t="inlineStr">
        <is>
          <t>Armament@PRIMARY</t>
        </is>
      </c>
      <c r="L27" s="6" t="n"/>
      <c r="M27" s="6" t="n"/>
      <c r="N27" s="6" t="n">
        <v>1</v>
      </c>
      <c r="O27" s="6" t="n"/>
      <c r="P27" s="6" t="n">
        <v>2000</v>
      </c>
      <c r="Q27" s="6" t="n">
        <v>1</v>
      </c>
      <c r="R27">
        <f>M27+IF(N27&gt;1,N(O27)*(N27-1),0)</f>
        <v/>
      </c>
      <c r="S27">
        <f>IFERROR(L27*MAX(N27,1)/R27*Q27*IF(ISBLANK(K26),1,K26),0)</f>
        <v/>
      </c>
      <c r="AB27" s="7" t="inlineStr"/>
    </row>
    <row r="28">
      <c r="A28" t="inlineStr">
        <is>
          <t>redalert2mod</t>
        </is>
      </c>
      <c r="B28" t="inlineStr">
        <is>
          <t>scrapcar2_demo.latin</t>
        </is>
      </c>
      <c r="C28" t="inlineStr">
        <is>
          <t>Bomb Car</t>
        </is>
      </c>
      <c r="D28" s="6" t="inlineStr">
        <is>
          <t>Vehicle</t>
        </is>
      </c>
      <c r="E28" s="6" t="n">
        <v>20000</v>
      </c>
      <c r="F28" s="6" t="n">
        <v>100</v>
      </c>
      <c r="G28" t="inlineStr">
        <is>
          <t>Light</t>
        </is>
      </c>
      <c r="H28" s="6" t="n">
        <v>1</v>
      </c>
      <c r="I28" s="6" t="n">
        <v>1</v>
      </c>
      <c r="J28" s="6" t="n">
        <v>1</v>
      </c>
      <c r="K28" s="6" t="n"/>
      <c r="P28">
        <f>MAX(P29)</f>
        <v/>
      </c>
      <c r="S28">
        <f>S29</f>
        <v/>
      </c>
      <c r="T28">
        <f>(E28/100000+F28/100+(P28/1000)*J28/5+S28/200)*200*I28*H28</f>
        <v/>
      </c>
      <c r="U28">
        <f>((E28*F28/25000)+((P28/1000)*J28*S28/2.5))*I28*H28</f>
        <v/>
      </c>
      <c r="V28">
        <f>(E28*F28*(P28/1000)*J28*S28*I28*H28)/12500000</f>
        <v/>
      </c>
      <c r="W28">
        <f>(T28+U28+V28)/3</f>
        <v/>
      </c>
      <c r="X28" s="6" t="n">
        <v>500</v>
      </c>
      <c r="Y28">
        <f>IFERROR(W28-X28,"")</f>
        <v/>
      </c>
      <c r="Z28">
        <f>IFERROR(ABS(Y28)/MAX(X28,1),"")</f>
        <v/>
      </c>
      <c r="AA28">
        <f>IFERROR((X28-(((E28/100000+F28/100+S28/200)*200*I28*H28)+((E28*F28/25000)*I28*H28))/3)/(((J28/5)*200*I28*H28)+((J28*S28/2.5)*I28*H28)+((E28*F28*J28*S28*I28*H28)/12500000))/3*1000,"")</f>
        <v/>
      </c>
    </row>
    <row r="29">
      <c r="B29" s="7" t="inlineStr">
        <is>
          <t xml:space="preserve">  ↳ DemoTruckTargeting</t>
        </is>
      </c>
      <c r="C29" s="7" t="inlineStr">
        <is>
          <t>Armament@PRIMARY</t>
        </is>
      </c>
      <c r="L29" s="6" t="n"/>
      <c r="M29" s="6" t="n"/>
      <c r="N29" s="6" t="n">
        <v>1</v>
      </c>
      <c r="O29" s="6" t="n"/>
      <c r="P29" s="6" t="n">
        <v>2000</v>
      </c>
      <c r="Q29" s="6" t="n">
        <v>1</v>
      </c>
      <c r="R29">
        <f>M29+IF(N29&gt;1,N(O29)*(N29-1),0)</f>
        <v/>
      </c>
      <c r="S29">
        <f>IFERROR(L29*MAX(N29,1)/R29*Q29*IF(ISBLANK(K28),1,K28),0)</f>
        <v/>
      </c>
      <c r="AB29" s="7" t="inlineStr"/>
    </row>
    <row r="30">
      <c r="A30" t="inlineStr">
        <is>
          <t>redalert2mod</t>
        </is>
      </c>
      <c r="B30" t="inlineStr">
        <is>
          <t>scrapcar_demo.latin</t>
        </is>
      </c>
      <c r="C30" t="inlineStr">
        <is>
          <t>Bomb Car</t>
        </is>
      </c>
      <c r="D30" s="6" t="inlineStr">
        <is>
          <t>Vehicle</t>
        </is>
      </c>
      <c r="E30" s="6" t="n">
        <v>20000</v>
      </c>
      <c r="F30" s="6" t="n">
        <v>100</v>
      </c>
      <c r="G30" t="inlineStr">
        <is>
          <t>Light</t>
        </is>
      </c>
      <c r="H30" s="6" t="n">
        <v>1</v>
      </c>
      <c r="I30" s="6" t="n">
        <v>1</v>
      </c>
      <c r="J30" s="6" t="n">
        <v>1</v>
      </c>
      <c r="K30" s="6" t="n"/>
      <c r="P30">
        <f>MAX(P31)</f>
        <v/>
      </c>
      <c r="S30">
        <f>S31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500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DemoTruckTargeting</t>
        </is>
      </c>
      <c r="C31" s="7" t="inlineStr">
        <is>
          <t>Armament@PRIMARY</t>
        </is>
      </c>
      <c r="L31" s="6" t="n"/>
      <c r="M31" s="6" t="n"/>
      <c r="N31" s="6" t="n">
        <v>1</v>
      </c>
      <c r="O31" s="6" t="n"/>
      <c r="P31" s="6" t="n">
        <v>2000</v>
      </c>
      <c r="Q31" s="6" t="n">
        <v>1</v>
      </c>
      <c r="R31">
        <f>M31+IF(N31&gt;1,N(O31)*(N31-1),0)</f>
        <v/>
      </c>
      <c r="S31">
        <f>IFERROR(L31*MAX(N31,1)/R31*Q31*IF(ISBLANK(K30),1,K30),0)</f>
        <v/>
      </c>
      <c r="AB31" s="7" t="inlineStr"/>
    </row>
    <row r="32">
      <c r="A32" t="inlineStr">
        <is>
          <t>d2k</t>
        </is>
      </c>
      <c r="B32" t="inlineStr">
        <is>
          <t>devastator</t>
        </is>
      </c>
      <c r="C32" t="inlineStr">
        <is>
          <t>Harkonnen Devastator Tank</t>
        </is>
      </c>
      <c r="D32" s="6" t="inlineStr">
        <is>
          <t>Vehicle</t>
        </is>
      </c>
      <c r="E32" s="6" t="n">
        <v>550000</v>
      </c>
      <c r="F32" s="6" t="n">
        <v>31</v>
      </c>
      <c r="G32" t="inlineStr">
        <is>
          <t>Superheavy</t>
        </is>
      </c>
      <c r="H32" s="6" t="n">
        <v>1</v>
      </c>
      <c r="I32" s="6" t="n">
        <v>1</v>
      </c>
      <c r="J32" s="6" t="n">
        <v>1</v>
      </c>
      <c r="K32" s="6" t="n"/>
      <c r="P32">
        <f>MAX(P33)</f>
        <v/>
      </c>
      <c r="S32">
        <f>S33</f>
        <v/>
      </c>
      <c r="T32">
        <f>(E32/100000+F32/100+(P32/1000)*J32/5+S32/200)*200*I32*H32</f>
        <v/>
      </c>
      <c r="U32">
        <f>((E32*F32/25000)+((P32/1000)*J32*S32/2.5))*I32*H32</f>
        <v/>
      </c>
      <c r="V32">
        <f>(E32*F32*(P32/1000)*J32*S32*I32*H32)/12500000</f>
        <v/>
      </c>
      <c r="W32">
        <f>(T32+U32+V32)/3</f>
        <v/>
      </c>
      <c r="X32" s="6" t="n">
        <v>3000</v>
      </c>
      <c r="Y32">
        <f>IFERROR(W32-X32,"")</f>
        <v/>
      </c>
      <c r="Z32">
        <f>IFERROR(ABS(Y32)/MAX(X32,1),"")</f>
        <v/>
      </c>
      <c r="AA32">
        <f>IFERROR((X32-(((E32/100000+F32/100+S32/200)*200*I32*H32)+((E32*F32/25000)*I32*H32))/3)/(((J32/5)*200*I32*H32)+((J32*S32/2.5)*I32*H32)+((E32*F32*J32*S32*I32*H32)/12500000))/3*1000,"")</f>
        <v/>
      </c>
    </row>
    <row r="33">
      <c r="B33" s="7" t="inlineStr">
        <is>
          <t xml:space="preserve">  ↳ DevBullet</t>
        </is>
      </c>
      <c r="C33" s="7" t="inlineStr">
        <is>
          <t>Armament</t>
        </is>
      </c>
      <c r="L33" s="6" t="n">
        <v>80000</v>
      </c>
      <c r="M33" s="6" t="n">
        <v>100</v>
      </c>
      <c r="N33" s="6" t="n">
        <v>1</v>
      </c>
      <c r="O33" s="6" t="n"/>
      <c r="P33" s="6" t="n">
        <v>6666</v>
      </c>
      <c r="Q33" s="6" t="n">
        <v>1</v>
      </c>
      <c r="R33">
        <f>M33+IF(N33&gt;1,N(O33)*(N33-1),0)</f>
        <v/>
      </c>
      <c r="S33">
        <f>IFERROR(L33*MAX(N33,1)/R33*Q33*IF(ISBLANK(K32),1,K32),0)</f>
        <v/>
      </c>
      <c r="AB33" s="7" t="inlineStr">
        <is>
          <t>^D2K_Cannon</t>
        </is>
      </c>
    </row>
    <row r="34">
      <c r="A34" s="4" t="inlineStr">
        <is>
          <t>ScoutVehicle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</row>
    <row r="35">
      <c r="A35" t="inlineStr">
        <is>
          <t>tiberiandawn</t>
        </is>
      </c>
      <c r="B35" t="inlineStr">
        <is>
          <t>td_gdi_humvee</t>
        </is>
      </c>
      <c r="C35" t="inlineStr">
        <is>
          <t>GDI Humvee</t>
        </is>
      </c>
      <c r="D35" s="6" t="inlineStr">
        <is>
          <t>ScoutVehicle</t>
        </is>
      </c>
      <c r="E35" s="6" t="n">
        <v>27500</v>
      </c>
      <c r="F35" s="6" t="n">
        <v>150</v>
      </c>
      <c r="G35" t="inlineStr">
        <is>
          <t>Scout</t>
        </is>
      </c>
      <c r="H35" s="6" t="n">
        <v>1</v>
      </c>
      <c r="I35" s="6" t="n">
        <v>0.333</v>
      </c>
      <c r="J35" s="6" t="n">
        <v>1</v>
      </c>
      <c r="K35" s="6" t="n"/>
      <c r="P35">
        <f>MAX(P36,P37)</f>
        <v/>
      </c>
      <c r="S35">
        <f>S36+S37</f>
        <v/>
      </c>
      <c r="T35">
        <f>(E35/100000+F35/100+(P35/1000)*J35/5+S35/200)*200*I35*H35</f>
        <v/>
      </c>
      <c r="U35">
        <f>((E35*F35/25000)+((P35/1000)*J35*S35/2.5))*I35*H35</f>
        <v/>
      </c>
      <c r="V35">
        <f>(E35*F35*(P35/1000)*J35*S35*I35*H35)/12500000</f>
        <v/>
      </c>
      <c r="W35">
        <f>(T35+U35+V35)/3</f>
        <v/>
      </c>
      <c r="X35" s="6" t="n">
        <v>400</v>
      </c>
      <c r="Y35">
        <f>IFERROR(W35-X35,"")</f>
        <v/>
      </c>
      <c r="Z35">
        <f>IFERROR(ABS(Y35)/MAX(X35,1),"")</f>
        <v/>
      </c>
      <c r="AA35">
        <f>IFERROR((X35-(((E35/100000+F35/100+S35/200)*200*I35*H35)+((E35*F35/25000)*I35*H35))/3)/(((J35/5)*200*I35*H35)+((J35*S35/2.5)*I35*H35)+((E35*F35*J35*S35*I35*H35)/12500000))/3*1000,"")</f>
        <v/>
      </c>
    </row>
    <row r="36">
      <c r="B36" s="7" t="inlineStr">
        <is>
          <t xml:space="preserve">  ↳ MachineGunH</t>
        </is>
      </c>
      <c r="C36" s="7" t="inlineStr">
        <is>
          <t>Armament</t>
        </is>
      </c>
      <c r="L36" s="6" t="n">
        <v>6000</v>
      </c>
      <c r="M36" s="6" t="n">
        <v>9</v>
      </c>
      <c r="N36" s="6" t="n">
        <v>3</v>
      </c>
      <c r="O36" s="6" t="n">
        <v>6</v>
      </c>
      <c r="P36" s="6" t="n">
        <v>4792</v>
      </c>
      <c r="Q36" s="6" t="n">
        <v>0.75</v>
      </c>
      <c r="R36">
        <f>M36+IF(N36&gt;1,N(O36)*(N36-1),0)</f>
        <v/>
      </c>
      <c r="S36">
        <f>IFERROR(L36*MAX(N36,1)/R36*Q36*IF(ISBLANK(K35),1,K35),0)</f>
        <v/>
      </c>
      <c r="AB36" s="7" t="inlineStr">
        <is>
          <t>^SmallArms</t>
        </is>
      </c>
    </row>
    <row r="37">
      <c r="B37" s="7" t="inlineStr">
        <is>
          <t xml:space="preserve">  ↳ MachineGunAPH</t>
        </is>
      </c>
      <c r="C37" s="7" t="inlineStr">
        <is>
          <t>Armament@Upgrade</t>
        </is>
      </c>
      <c r="L37" s="6" t="n">
        <v>6000</v>
      </c>
      <c r="M37" s="6" t="n">
        <v>9</v>
      </c>
      <c r="N37" s="6" t="n">
        <v>3</v>
      </c>
      <c r="O37" s="6" t="n">
        <v>6</v>
      </c>
      <c r="P37" s="6" t="n">
        <v>4792</v>
      </c>
      <c r="Q37" s="6" t="n">
        <v>1</v>
      </c>
      <c r="R37">
        <f>M37+IF(N37&gt;1,N(O37)*(N37-1),0)</f>
        <v/>
      </c>
      <c r="S37">
        <f>IFERROR(L37*MAX(N37,1)/R37*Q37*IF(ISBLANK(K35),1,K35),0)</f>
        <v/>
      </c>
      <c r="AB37" s="7" t="inlineStr">
        <is>
          <t>^Chaingun</t>
        </is>
      </c>
    </row>
    <row r="38">
      <c r="A38" t="inlineStr">
        <is>
          <t>tiberiandawn</t>
        </is>
      </c>
      <c r="B38" t="inlineStr">
        <is>
          <t>td_gdi_humveemkii</t>
        </is>
      </c>
      <c r="C38" t="inlineStr">
        <is>
          <t>Humvee Mk. II</t>
        </is>
      </c>
      <c r="D38" s="6" t="inlineStr">
        <is>
          <t>ScoutVehicle</t>
        </is>
      </c>
      <c r="E38" s="6" t="n">
        <v>37500</v>
      </c>
      <c r="F38" s="6" t="n">
        <v>115</v>
      </c>
      <c r="G38" t="inlineStr">
        <is>
          <t>Scout</t>
        </is>
      </c>
      <c r="H38" s="6" t="n">
        <v>1</v>
      </c>
      <c r="I38" s="6" t="n">
        <v>1</v>
      </c>
      <c r="J38" s="6" t="n">
        <v>1</v>
      </c>
      <c r="K38" s="6" t="n">
        <v>0.5</v>
      </c>
      <c r="P38">
        <f>MAX(P39,P40,P41,P42,P43,P44,P45,P46)</f>
        <v/>
      </c>
      <c r="S38">
        <f>S39+S40+S41+S42+S43+S44+S45+S46</f>
        <v/>
      </c>
      <c r="T38">
        <f>(E38/100000+F38/100+(P38/1000)*J38/5+S38/200)*200*I38*H38</f>
        <v/>
      </c>
      <c r="U38">
        <f>((E38*F38/25000)+((P38/1000)*J38*S38/2.5))*I38*H38</f>
        <v/>
      </c>
      <c r="V38">
        <f>(E38*F38*(P38/1000)*J38*S38*I38*H38)/12500000</f>
        <v/>
      </c>
      <c r="W38">
        <f>(T38+U38+V38)/3</f>
        <v/>
      </c>
      <c r="X38" s="6" t="n">
        <v>600</v>
      </c>
      <c r="Y38">
        <f>IFERROR(W38-X38,"")</f>
        <v/>
      </c>
      <c r="Z38">
        <f>IFERROR(ABS(Y38)/MAX(X38,1),"")</f>
        <v/>
      </c>
      <c r="AA38">
        <f>IFERROR((X38-(((E38/100000+F38/100+S38/200)*200*I38*H38)+((E38*F38/25000)*I38*H38))/3)/(((J38/5)*200*I38*H38)+((J38*S38/2.5)*I38*H38)+((E38*F38*J38*S38*I38*H38)/12500000))/3*1000,"")</f>
        <v/>
      </c>
    </row>
    <row r="39">
      <c r="B39" s="7" t="inlineStr">
        <is>
          <t xml:space="preserve">  ↳ MachineGunHumvee2</t>
        </is>
      </c>
      <c r="C39" s="7" t="inlineStr">
        <is>
          <t>Armament</t>
        </is>
      </c>
      <c r="L39" s="6" t="n">
        <v>2000</v>
      </c>
      <c r="M39" s="6" t="n">
        <v>30</v>
      </c>
      <c r="N39" s="6" t="n">
        <v>4</v>
      </c>
      <c r="O39" s="6" t="n">
        <v>4</v>
      </c>
      <c r="P39" s="6" t="n">
        <v>5598</v>
      </c>
      <c r="Q39" s="6" t="n">
        <v>0.75</v>
      </c>
      <c r="R39">
        <f>M39+IF(N39&gt;1,N(O39)*(N39-1),0)</f>
        <v/>
      </c>
      <c r="S39">
        <f>IFERROR(L39*MAX(N39,1)/R39*Q39*IF(ISBLANK(K38),1,K38),0)</f>
        <v/>
      </c>
      <c r="AB39" s="7" t="inlineStr">
        <is>
          <t>^SmallArms</t>
        </is>
      </c>
    </row>
    <row r="40">
      <c r="B40" s="7" t="inlineStr">
        <is>
          <t xml:space="preserve">  ↳ MachineGunHumvee2AP</t>
        </is>
      </c>
      <c r="C40" s="7" t="inlineStr">
        <is>
          <t>Armament@Upgrade</t>
        </is>
      </c>
      <c r="L40" s="6" t="n">
        <v>2000</v>
      </c>
      <c r="M40" s="6" t="n">
        <v>30</v>
      </c>
      <c r="N40" s="6" t="n">
        <v>4</v>
      </c>
      <c r="O40" s="6" t="n">
        <v>4</v>
      </c>
      <c r="P40" s="6" t="n">
        <v>5598</v>
      </c>
      <c r="Q40" s="6" t="n">
        <v>1</v>
      </c>
      <c r="R40">
        <f>M40+IF(N40&gt;1,N(O40)*(N40-1),0)</f>
        <v/>
      </c>
      <c r="S40">
        <f>IFERROR(L40*MAX(N40,1)/R40*Q40*IF(ISBLANK(K38),1,K38),0)</f>
        <v/>
      </c>
      <c r="AB40" s="7" t="inlineStr">
        <is>
          <t>^Chaingun</t>
        </is>
      </c>
    </row>
    <row r="41">
      <c r="B41" s="7" t="inlineStr">
        <is>
          <t xml:space="preserve">  ↳ MachineGunHumvee2AA</t>
        </is>
      </c>
      <c r="C41" s="7" t="inlineStr">
        <is>
          <t>Armament@AA</t>
        </is>
      </c>
      <c r="L41" s="6" t="n">
        <v>2000</v>
      </c>
      <c r="M41" s="6" t="n">
        <v>30</v>
      </c>
      <c r="N41" s="6" t="n">
        <v>4</v>
      </c>
      <c r="O41" s="6" t="n">
        <v>4</v>
      </c>
      <c r="P41" s="6" t="n">
        <v>8397</v>
      </c>
      <c r="Q41" s="6" t="n">
        <v>0.75</v>
      </c>
      <c r="R41">
        <f>M41+IF(N41&gt;1,N(O41)*(N41-1),0)</f>
        <v/>
      </c>
      <c r="S41">
        <f>IFERROR(L41*MAX(N41,1)/R41*Q41*IF(ISBLANK(K38),1,K38),0)</f>
        <v/>
      </c>
      <c r="AB41" s="7" t="inlineStr">
        <is>
          <t>^SmallArms</t>
        </is>
      </c>
    </row>
    <row r="42">
      <c r="B42" s="7" t="inlineStr">
        <is>
          <t xml:space="preserve">  ↳ MachineGunHumvee2APAA</t>
        </is>
      </c>
      <c r="C42" s="7" t="inlineStr">
        <is>
          <t>Armament@UpgradeAA</t>
        </is>
      </c>
      <c r="L42" s="6" t="n">
        <v>2000</v>
      </c>
      <c r="M42" s="6" t="n">
        <v>30</v>
      </c>
      <c r="N42" s="6" t="n">
        <v>4</v>
      </c>
      <c r="O42" s="6" t="n">
        <v>4</v>
      </c>
      <c r="P42" s="6" t="n">
        <v>8397</v>
      </c>
      <c r="Q42" s="6" t="n">
        <v>1</v>
      </c>
      <c r="R42">
        <f>M42+IF(N42&gt;1,N(O42)*(N42-1),0)</f>
        <v/>
      </c>
      <c r="S42">
        <f>IFERROR(L42*MAX(N42,1)/R42*Q42*IF(ISBLANK(K38),1,K38),0)</f>
        <v/>
      </c>
      <c r="AB42" s="7" t="inlineStr">
        <is>
          <t>^Chaingun</t>
        </is>
      </c>
    </row>
    <row r="43">
      <c r="B43" s="7" t="inlineStr">
        <is>
          <t xml:space="preserve">  ↳ RocketsHumvee2</t>
        </is>
      </c>
      <c r="C43" s="7" t="inlineStr">
        <is>
          <t>Armament@Rockets</t>
        </is>
      </c>
      <c r="L43" s="6" t="n">
        <v>16000</v>
      </c>
      <c r="M43" s="6" t="n">
        <v>84</v>
      </c>
      <c r="N43" s="6" t="n">
        <v>1</v>
      </c>
      <c r="O43" s="6" t="n"/>
      <c r="P43" s="6" t="n">
        <v>5598</v>
      </c>
      <c r="Q43" s="6" t="n">
        <v>0.75</v>
      </c>
      <c r="R43">
        <f>M43+IF(N43&gt;1,N(O43)*(N43-1),0)</f>
        <v/>
      </c>
      <c r="S43">
        <f>IFERROR(L43*MAX(N43,1)/R43*Q43*IF(ISBLANK(K38),1,K38),0)</f>
        <v/>
      </c>
      <c r="AB43" s="7" t="inlineStr">
        <is>
          <t>^LightMissile</t>
        </is>
      </c>
    </row>
    <row r="44">
      <c r="B44" s="7" t="inlineStr">
        <is>
          <t xml:space="preserve">  ↳ RocketsHumvee2AA</t>
        </is>
      </c>
      <c r="C44" s="7" t="inlineStr">
        <is>
          <t>Armament@RocketsAA</t>
        </is>
      </c>
      <c r="L44" s="6" t="n">
        <v>16000</v>
      </c>
      <c r="M44" s="6" t="n">
        <v>84</v>
      </c>
      <c r="N44" s="6" t="n">
        <v>1</v>
      </c>
      <c r="O44" s="6" t="n"/>
      <c r="P44" s="6" t="n">
        <v>8397</v>
      </c>
      <c r="Q44" s="6" t="n">
        <v>0.75</v>
      </c>
      <c r="R44">
        <f>M44+IF(N44&gt;1,N(O44)*(N44-1),0)</f>
        <v/>
      </c>
      <c r="S44">
        <f>IFERROR(L44*MAX(N44,1)/R44*Q44*IF(ISBLANK(K38),1,K38),0)</f>
        <v/>
      </c>
      <c r="AB44" s="7" t="inlineStr">
        <is>
          <t>^LightMissile</t>
        </is>
      </c>
    </row>
    <row r="45">
      <c r="B45" s="7" t="inlineStr">
        <is>
          <t xml:space="preserve">  ↳ RocketsHumvee2AMT</t>
        </is>
      </c>
      <c r="C45" s="7" t="inlineStr">
        <is>
          <t>Armament@AdvancedMissileTargeting</t>
        </is>
      </c>
      <c r="L45" s="6" t="n">
        <v>16000</v>
      </c>
      <c r="M45" s="6" t="n">
        <v>84</v>
      </c>
      <c r="N45" s="6" t="n">
        <v>1</v>
      </c>
      <c r="O45" s="6" t="n"/>
      <c r="P45" s="6" t="n">
        <v>5598</v>
      </c>
      <c r="Q45" s="6" t="n">
        <v>1</v>
      </c>
      <c r="R45">
        <f>M45+IF(N45&gt;1,N(O45)*(N45-1),0)</f>
        <v/>
      </c>
      <c r="S45">
        <f>IFERROR(L45*MAX(N45,1)/R45*Q45*IF(ISBLANK(K38),1,K38),0)</f>
        <v/>
      </c>
      <c r="AB45" s="7" t="inlineStr">
        <is>
          <t>^HeavyMissile, ^LightMissile, ^AMTProjectile</t>
        </is>
      </c>
    </row>
    <row r="46">
      <c r="B46" s="7" t="inlineStr">
        <is>
          <t xml:space="preserve">  ↳ RocketsHumvee2AMTAA</t>
        </is>
      </c>
      <c r="C46" s="7" t="inlineStr">
        <is>
          <t>Armament@AdvancedMissileTargetingAA</t>
        </is>
      </c>
      <c r="L46" s="6" t="n">
        <v>16000</v>
      </c>
      <c r="M46" s="6" t="n">
        <v>84</v>
      </c>
      <c r="N46" s="6" t="n">
        <v>1</v>
      </c>
      <c r="O46" s="6" t="n"/>
      <c r="P46" s="6" t="n">
        <v>8397</v>
      </c>
      <c r="Q46" s="6" t="n">
        <v>1</v>
      </c>
      <c r="R46">
        <f>M46+IF(N46&gt;1,N(O46)*(N46-1),0)</f>
        <v/>
      </c>
      <c r="S46">
        <f>IFERROR(L46*MAX(N46,1)/R46*Q46*IF(ISBLANK(K38),1,K38),0)</f>
        <v/>
      </c>
      <c r="AB46" s="7" t="inlineStr">
        <is>
          <t>^HeavyMissile, ^LightMissile, ^AMTProjectile</t>
        </is>
      </c>
    </row>
    <row r="47">
      <c r="A47" t="inlineStr">
        <is>
          <t>tiberiandawn</t>
        </is>
      </c>
      <c r="B47" t="inlineStr">
        <is>
          <t>td_nod_buggy</t>
        </is>
      </c>
      <c r="C47" t="inlineStr">
        <is>
          <t>Nod Buggy</t>
        </is>
      </c>
      <c r="D47" s="6" t="inlineStr">
        <is>
          <t>ScoutVehicle</t>
        </is>
      </c>
      <c r="E47" s="6" t="n">
        <v>20000</v>
      </c>
      <c r="F47" s="6" t="n">
        <v>200</v>
      </c>
      <c r="G47" t="inlineStr">
        <is>
          <t>Scout</t>
        </is>
      </c>
      <c r="H47" s="6" t="n">
        <v>1</v>
      </c>
      <c r="I47" s="6" t="n">
        <v>0.333</v>
      </c>
      <c r="J47" s="6" t="n">
        <v>1</v>
      </c>
      <c r="K47" s="6" t="n"/>
      <c r="P47">
        <f>MAX(P48,P49)</f>
        <v/>
      </c>
      <c r="S47">
        <f>S48+S49</f>
        <v/>
      </c>
      <c r="T47">
        <f>(E47/100000+F47/100+(P47/1000)*J47/5+S47/200)*200*I47*H47</f>
        <v/>
      </c>
      <c r="U47">
        <f>((E47*F47/25000)+((P47/1000)*J47*S47/2.5))*I47*H47</f>
        <v/>
      </c>
      <c r="V47">
        <f>(E47*F47*(P47/1000)*J47*S47*I47*H47)/12500000</f>
        <v/>
      </c>
      <c r="W47">
        <f>(T47+U47+V47)/3</f>
        <v/>
      </c>
      <c r="X47" s="6" t="n">
        <v>300</v>
      </c>
      <c r="Y47">
        <f>IFERROR(W47-X47,"")</f>
        <v/>
      </c>
      <c r="Z47">
        <f>IFERROR(ABS(Y47)/MAX(X47,1),"")</f>
        <v/>
      </c>
      <c r="AA47">
        <f>IFERROR((X47-(((E47/100000+F47/100+S47/200)*200*I47*H47)+((E47*F47/25000)*I47*H47))/3)/(((J47/5)*200*I47*H47)+((J47*S47/2.5)*I47*H47)+((E47*F47*J47*S47*I47*H47)/12500000))/3*1000,"")</f>
        <v/>
      </c>
    </row>
    <row r="48">
      <c r="B48" s="7" t="inlineStr">
        <is>
          <t xml:space="preserve">  ↳ MachineGun</t>
        </is>
      </c>
      <c r="C48" s="7" t="inlineStr">
        <is>
          <t>Armament</t>
        </is>
      </c>
      <c r="L48" s="6" t="n">
        <v>4000</v>
      </c>
      <c r="M48" s="6" t="n">
        <v>10</v>
      </c>
      <c r="N48" s="6" t="n">
        <v>3</v>
      </c>
      <c r="O48" s="6" t="n">
        <v>5</v>
      </c>
      <c r="P48" s="6" t="n">
        <v>4540</v>
      </c>
      <c r="Q48" s="6" t="n">
        <v>0.75</v>
      </c>
      <c r="R48">
        <f>M48+IF(N48&gt;1,N(O48)*(N48-1),0)</f>
        <v/>
      </c>
      <c r="S48">
        <f>IFERROR(L48*MAX(N48,1)/R48*Q48*IF(ISBLANK(K47),1,K47),0)</f>
        <v/>
      </c>
      <c r="AB48" s="7" t="inlineStr">
        <is>
          <t>^SmallArms</t>
        </is>
      </c>
    </row>
    <row r="49">
      <c r="B49" s="7" t="inlineStr">
        <is>
          <t xml:space="preserve">  ↳ FireballLauncherBuggy</t>
        </is>
      </c>
      <c r="C49" s="7" t="inlineStr">
        <is>
          <t>Armament@Upgrade</t>
        </is>
      </c>
      <c r="L49" s="6" t="n">
        <v>2000</v>
      </c>
      <c r="M49" s="6" t="n">
        <v>10</v>
      </c>
      <c r="N49" s="6" t="n">
        <v>3</v>
      </c>
      <c r="O49" s="6" t="n">
        <v>5</v>
      </c>
      <c r="P49" s="6" t="n">
        <v>4540</v>
      </c>
      <c r="Q49" s="6" t="n">
        <v>0.75</v>
      </c>
      <c r="R49">
        <f>M49+IF(N49&gt;1,N(O49)*(N49-1),0)</f>
        <v/>
      </c>
      <c r="S49">
        <f>IFERROR(L49*MAX(N49,1)/R49*Q49*IF(ISBLANK(K47),1,K47),0)</f>
        <v/>
      </c>
      <c r="AB49" s="7" t="inlineStr">
        <is>
          <t>^LightFlameWeapon</t>
        </is>
      </c>
    </row>
    <row r="50">
      <c r="A50" t="inlineStr">
        <is>
          <t>tiberiandawn</t>
        </is>
      </c>
      <c r="B50" t="inlineStr">
        <is>
          <t>td_nod_buggymkii</t>
        </is>
      </c>
      <c r="C50" t="inlineStr">
        <is>
          <t>Nod Buggy Mk. II</t>
        </is>
      </c>
      <c r="D50" s="6" t="inlineStr">
        <is>
          <t>ScoutVehicle</t>
        </is>
      </c>
      <c r="E50" s="6" t="n">
        <v>25000</v>
      </c>
      <c r="F50" s="6" t="n">
        <v>120</v>
      </c>
      <c r="G50" t="inlineStr">
        <is>
          <t>Scout</t>
        </is>
      </c>
      <c r="H50" s="6" t="n">
        <v>1</v>
      </c>
      <c r="I50" s="6" t="n">
        <v>1</v>
      </c>
      <c r="J50" s="6" t="n">
        <v>1</v>
      </c>
      <c r="K50" s="6" t="n">
        <v>0.5</v>
      </c>
      <c r="P50">
        <f>MAX(P51,P52,P53,P54,P55)</f>
        <v/>
      </c>
      <c r="S50">
        <f>S51+S52+S53+S54+S55</f>
        <v/>
      </c>
      <c r="T50">
        <f>(E50/100000+F50/100+(P50/1000)*J50/5+S50/200)*200*I50*H50</f>
        <v/>
      </c>
      <c r="U50">
        <f>((E50*F50/25000)+((P50/1000)*J50*S50/2.5))*I50*H50</f>
        <v/>
      </c>
      <c r="V50">
        <f>(E50*F50*(P50/1000)*J50*S50*I50*H50)/12500000</f>
        <v/>
      </c>
      <c r="W50">
        <f>(T50+U50+V50)/3</f>
        <v/>
      </c>
      <c r="X50" s="6" t="n">
        <v>500</v>
      </c>
      <c r="Y50">
        <f>IFERROR(W50-X50,"")</f>
        <v/>
      </c>
      <c r="Z50">
        <f>IFERROR(ABS(Y50)/MAX(X50,1),"")</f>
        <v/>
      </c>
      <c r="AA50">
        <f>IFERROR((X50-(((E50/100000+F50/100+S50/200)*200*I50*H50)+((E50*F50/25000)*I50*H50))/3)/(((J50/5)*200*I50*H50)+((J50*S50/2.5)*I50*H50)+((E50*F50*J50*S50*I50*H50)/12500000))/3*1000,"")</f>
        <v/>
      </c>
    </row>
    <row r="51">
      <c r="B51" s="7" t="inlineStr">
        <is>
          <t xml:space="preserve">  ↳ MachineGunBuggy2</t>
        </is>
      </c>
      <c r="C51" s="7" t="inlineStr">
        <is>
          <t>Armament</t>
        </is>
      </c>
      <c r="L51" s="6" t="n">
        <v>2000</v>
      </c>
      <c r="M51" s="6" t="n">
        <v>60</v>
      </c>
      <c r="N51" s="6" t="n">
        <v>3</v>
      </c>
      <c r="O51" s="6" t="n">
        <v>4</v>
      </c>
      <c r="P51" s="6" t="n">
        <v>5274</v>
      </c>
      <c r="Q51" s="6" t="n">
        <v>1</v>
      </c>
      <c r="R51">
        <f>M51+IF(N51&gt;1,N(O51)*(N51-1),0)</f>
        <v/>
      </c>
      <c r="S51">
        <f>IFERROR(L51*MAX(N51,1)/R51*Q51*IF(ISBLANK(K50),1,K50),0)</f>
        <v/>
      </c>
      <c r="AB51" s="7" t="inlineStr">
        <is>
          <t>^HeavyCannon, ^SmallArms, ^Chaingun</t>
        </is>
      </c>
    </row>
    <row r="52">
      <c r="B52" s="7" t="inlineStr">
        <is>
          <t xml:space="preserve">  ↳ FireballLauncherBuggy2</t>
        </is>
      </c>
      <c r="C52" s="7" t="inlineStr">
        <is>
          <t>Armament@Upgrade</t>
        </is>
      </c>
      <c r="L52" s="6" t="n">
        <v>2000</v>
      </c>
      <c r="M52" s="6" t="n">
        <v>60</v>
      </c>
      <c r="N52" s="6" t="n">
        <v>3</v>
      </c>
      <c r="O52" s="6" t="n">
        <v>4</v>
      </c>
      <c r="P52" s="6" t="n">
        <v>5274</v>
      </c>
      <c r="Q52" s="6" t="n">
        <v>1</v>
      </c>
      <c r="R52">
        <f>M52+IF(N52&gt;1,N(O52)*(N52-1),0)</f>
        <v/>
      </c>
      <c r="S52">
        <f>IFERROR(L52*MAX(N52,1)/R52*Q52*IF(ISBLANK(K50),1,K50),0)</f>
        <v/>
      </c>
      <c r="AB52" s="7" t="inlineStr">
        <is>
          <t>^LightFlameWeapon, ^HeavyFlameWeapon, ^MediumFlameWeapon</t>
        </is>
      </c>
    </row>
    <row r="53">
      <c r="B53" s="7" t="inlineStr">
        <is>
          <t xml:space="preserve">  ↳ MachineGunBuggy2AA</t>
        </is>
      </c>
      <c r="C53" s="7" t="inlineStr">
        <is>
          <t>Armament@AA</t>
        </is>
      </c>
      <c r="L53" s="6" t="n">
        <v>2000</v>
      </c>
      <c r="M53" s="6" t="n">
        <v>60</v>
      </c>
      <c r="N53" s="6" t="n">
        <v>3</v>
      </c>
      <c r="O53" s="6" t="n">
        <v>4</v>
      </c>
      <c r="P53" s="6" t="n">
        <v>7911</v>
      </c>
      <c r="Q53" s="6" t="n">
        <v>1</v>
      </c>
      <c r="R53">
        <f>M53+IF(N53&gt;1,N(O53)*(N53-1),0)</f>
        <v/>
      </c>
      <c r="S53">
        <f>IFERROR(L53*MAX(N53,1)/R53*Q53*IF(ISBLANK(K50),1,K50),0)</f>
        <v/>
      </c>
      <c r="AB53" s="7" t="inlineStr">
        <is>
          <t>^HeavyCannon, ^SmallArms, ^Chaingun</t>
        </is>
      </c>
    </row>
    <row r="54">
      <c r="B54" s="7" t="inlineStr">
        <is>
          <t xml:space="preserve">  ↳ LaserBuggy2</t>
        </is>
      </c>
      <c r="C54" s="7" t="inlineStr">
        <is>
          <t>Armament@Laser</t>
        </is>
      </c>
      <c r="L54" s="6" t="n">
        <v>2000</v>
      </c>
      <c r="M54" s="6" t="n">
        <v>60</v>
      </c>
      <c r="N54" s="6" t="n">
        <v>3</v>
      </c>
      <c r="O54" s="6" t="n">
        <v>4</v>
      </c>
      <c r="P54" s="6" t="n">
        <v>5274</v>
      </c>
      <c r="Q54" s="6" t="n">
        <v>0.9166666666666666</v>
      </c>
      <c r="R54">
        <f>M54+IF(N54&gt;1,N(O54)*(N54-1),0)</f>
        <v/>
      </c>
      <c r="S54">
        <f>IFERROR(L54*MAX(N54,1)/R54*Q54*IF(ISBLANK(K50),1,K50),0)</f>
        <v/>
      </c>
      <c r="AB54" s="7" t="inlineStr">
        <is>
          <t>^LightFlameWeapon, ^MediumMissile, ^LaserWeapon</t>
        </is>
      </c>
    </row>
    <row r="55">
      <c r="B55" s="7" t="inlineStr">
        <is>
          <t xml:space="preserve">  ↳ LaserBuggy2AA</t>
        </is>
      </c>
      <c r="C55" s="7" t="inlineStr">
        <is>
          <t>Armament@LaserAA</t>
        </is>
      </c>
      <c r="L55" s="6" t="n">
        <v>2000</v>
      </c>
      <c r="M55" s="6" t="n">
        <v>60</v>
      </c>
      <c r="N55" s="6" t="n">
        <v>3</v>
      </c>
      <c r="O55" s="6" t="n">
        <v>4</v>
      </c>
      <c r="P55" s="6" t="n">
        <v>7911</v>
      </c>
      <c r="Q55" s="6" t="n">
        <v>0.9166666666666666</v>
      </c>
      <c r="R55">
        <f>M55+IF(N55&gt;1,N(O55)*(N55-1),0)</f>
        <v/>
      </c>
      <c r="S55">
        <f>IFERROR(L55*MAX(N55,1)/R55*Q55*IF(ISBLANK(K50),1,K50),0)</f>
        <v/>
      </c>
      <c r="AB55" s="7" t="inlineStr">
        <is>
          <t>^LightFlameWeapon, ^MediumMissile, ^LaserWeapon</t>
        </is>
      </c>
    </row>
    <row r="56">
      <c r="A56" t="inlineStr">
        <is>
          <t>tiberiandawn</t>
        </is>
      </c>
      <c r="B56" t="inlineStr">
        <is>
          <t>td_nod_chemicalattackbike</t>
        </is>
      </c>
      <c r="C56" t="inlineStr">
        <is>
          <t>Chemical Attack Bike</t>
        </is>
      </c>
      <c r="D56" s="6" t="inlineStr">
        <is>
          <t>ScoutVehicle</t>
        </is>
      </c>
      <c r="E56" s="6" t="n">
        <v>22500</v>
      </c>
      <c r="F56" s="6" t="n">
        <v>175</v>
      </c>
      <c r="G56" t="inlineStr">
        <is>
          <t>Scout</t>
        </is>
      </c>
      <c r="H56" s="6" t="n">
        <v>1</v>
      </c>
      <c r="I56" s="6" t="n">
        <v>0.5</v>
      </c>
      <c r="J56" s="6" t="n">
        <v>1</v>
      </c>
      <c r="K56" s="6" t="n"/>
      <c r="P56">
        <f>MAX(P57,P58)</f>
        <v/>
      </c>
      <c r="S56">
        <f>S57+S58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(T56+U56+V56)/3</f>
        <v/>
      </c>
      <c r="X56" s="6" t="n">
        <v>750</v>
      </c>
      <c r="Y56">
        <f>IFERROR(W56-X56,"")</f>
        <v/>
      </c>
      <c r="Z56">
        <f>IFERROR(ABS(Y56)/MAX(X56,1),"")</f>
        <v/>
      </c>
      <c r="AA56">
        <f>IFERROR((X56-(((E56/100000+F56/100+S56/200)*200*I56*H56)+((E56*F56/25000)*I56*H56))/3)/(((J56/5)*200*I56*H56)+((J56*S56/2.5)*I56*H56)+((E56*F56*J56*S56*I56*H56)/12500000))/3*1000,"")</f>
        <v/>
      </c>
    </row>
    <row r="57">
      <c r="B57" s="7" t="inlineStr">
        <is>
          <t xml:space="preserve">  ↳ PDLaserBike</t>
        </is>
      </c>
      <c r="C57" s="7" t="inlineStr">
        <is>
          <t>Armament@pointdefense</t>
        </is>
      </c>
      <c r="L57" s="6" t="n">
        <v>1</v>
      </c>
      <c r="M57" s="6" t="n">
        <v>25</v>
      </c>
      <c r="N57" s="6" t="n">
        <v>1</v>
      </c>
      <c r="O57" s="6" t="n"/>
      <c r="P57" s="6" t="n">
        <v>6000</v>
      </c>
      <c r="Q57" s="6" t="n">
        <v>1</v>
      </c>
      <c r="R57">
        <f>M57+IF(N57&gt;1,N(O57)*(N57-1),0)</f>
        <v/>
      </c>
      <c r="S57">
        <f>IFERROR(L57*MAX(N57,1)/R57*Q57*IF(ISBLANK(K56),1,K56),0)</f>
        <v/>
      </c>
      <c r="AB57" s="7" t="inlineStr">
        <is>
          <t>PDLaser</t>
        </is>
      </c>
    </row>
    <row r="58">
      <c r="B58" s="7" t="inlineStr">
        <is>
          <t xml:space="preserve">  ↳ ChemicalBikeRockets</t>
        </is>
      </c>
      <c r="C58" s="7" t="inlineStr">
        <is>
          <t>Armament</t>
        </is>
      </c>
      <c r="L58" s="6" t="n">
        <v>8000</v>
      </c>
      <c r="M58" s="6" t="n">
        <v>70</v>
      </c>
      <c r="N58" s="6" t="n">
        <v>2</v>
      </c>
      <c r="O58" s="6" t="n">
        <v>10</v>
      </c>
      <c r="P58" s="6" t="n">
        <v>6000</v>
      </c>
      <c r="Q58" s="6" t="n">
        <v>0.9166666666666666</v>
      </c>
      <c r="R58">
        <f>M58+IF(N58&gt;1,N(O58)*(N58-1),0)</f>
        <v/>
      </c>
      <c r="S58">
        <f>IFERROR(L58*MAX(N58,1)/R58*Q58*IF(ISBLANK(K56),1,K56),0)</f>
        <v/>
      </c>
      <c r="AB58" s="7" t="inlineStr">
        <is>
          <t>^TankDestroyerCannon, ^LightChemicalWeapon, ^FlakWeapon, ^MediumMissile</t>
        </is>
      </c>
    </row>
    <row r="59">
      <c r="A59" t="inlineStr">
        <is>
          <t>tiberiandawn</t>
        </is>
      </c>
      <c r="B59" t="inlineStr">
        <is>
          <t>td_nod_reconbike</t>
        </is>
      </c>
      <c r="C59" t="inlineStr">
        <is>
          <t>Recon Bike</t>
        </is>
      </c>
      <c r="D59" s="6" t="inlineStr">
        <is>
          <t>ScoutVehicle</t>
        </is>
      </c>
      <c r="E59" s="6" t="n">
        <v>17500</v>
      </c>
      <c r="F59" s="6" t="n">
        <v>200</v>
      </c>
      <c r="G59" t="inlineStr">
        <is>
          <t>Scout</t>
        </is>
      </c>
      <c r="H59" s="6" t="n">
        <v>1</v>
      </c>
      <c r="I59" s="6" t="n">
        <v>0.5</v>
      </c>
      <c r="J59" s="6" t="n">
        <v>1</v>
      </c>
      <c r="K59" s="6" t="n"/>
      <c r="P59">
        <f>MAX(P60,P61)</f>
        <v/>
      </c>
      <c r="S59">
        <f>S60+S61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(T59+U59+V59)/3</f>
        <v/>
      </c>
      <c r="X59" s="6" t="n">
        <v>500</v>
      </c>
      <c r="Y59">
        <f>IFERROR(W59-X59,"")</f>
        <v/>
      </c>
      <c r="Z59">
        <f>IFERROR(ABS(Y59)/MAX(X59,1),"")</f>
        <v/>
      </c>
      <c r="AA59">
        <f>IFERROR((X59-(((E59/100000+F59/100+S59/200)*200*I59*H59)+((E59*F59/25000)*I59*H59))/3)/(((J59/5)*200*I59*H59)+((J59*S59/2.5)*I59*H59)+((E59*F59*J59*S59*I59*H59)/12500000))/3*1000,"")</f>
        <v/>
      </c>
    </row>
    <row r="60">
      <c r="B60" s="7" t="inlineStr">
        <is>
          <t xml:space="preserve">  ↳ PDLaserBike</t>
        </is>
      </c>
      <c r="C60" s="7" t="inlineStr">
        <is>
          <t>Armament@pointdefense</t>
        </is>
      </c>
      <c r="L60" s="6" t="n">
        <v>1</v>
      </c>
      <c r="M60" s="6" t="n">
        <v>25</v>
      </c>
      <c r="N60" s="6" t="n">
        <v>1</v>
      </c>
      <c r="O60" s="6" t="n"/>
      <c r="P60" s="6" t="n">
        <v>6000</v>
      </c>
      <c r="Q60" s="6" t="n">
        <v>1</v>
      </c>
      <c r="R60">
        <f>M60+IF(N60&gt;1,N(O60)*(N60-1),0)</f>
        <v/>
      </c>
      <c r="S60">
        <f>IFERROR(L60*MAX(N60,1)/R60*Q60*IF(ISBLANK(K59),1,K59),0)</f>
        <v/>
      </c>
      <c r="AB60" s="7" t="inlineStr">
        <is>
          <t>PDLaser</t>
        </is>
      </c>
    </row>
    <row r="61">
      <c r="B61" s="7" t="inlineStr">
        <is>
          <t xml:space="preserve">  ↳ BikeRockets</t>
        </is>
      </c>
      <c r="C61" s="7" t="inlineStr">
        <is>
          <t>Armament</t>
        </is>
      </c>
      <c r="L61" s="6" t="n">
        <v>4000</v>
      </c>
      <c r="M61" s="6" t="n">
        <v>55</v>
      </c>
      <c r="N61" s="6" t="n">
        <v>2</v>
      </c>
      <c r="O61" s="6" t="n">
        <v>10</v>
      </c>
      <c r="P61" s="6" t="n">
        <v>6000</v>
      </c>
      <c r="Q61" s="6" t="n">
        <v>0.9166666666666666</v>
      </c>
      <c r="R61">
        <f>M61+IF(N61&gt;1,N(O61)*(N61-1),0)</f>
        <v/>
      </c>
      <c r="S61">
        <f>IFERROR(L61*MAX(N61,1)/R61*Q61*IF(ISBLANK(K59),1,K59),0)</f>
        <v/>
      </c>
      <c r="AB61" s="7" t="inlineStr">
        <is>
          <t>^TankDestroyerCannon, ^ShrapnelWeapon, ^FlakWeapon, ^LightMissile</t>
        </is>
      </c>
    </row>
    <row r="62">
      <c r="A62" t="inlineStr">
        <is>
          <t>redalert</t>
        </is>
      </c>
      <c r="B62" t="inlineStr">
        <is>
          <t>japan_armoredcar</t>
        </is>
      </c>
      <c r="C62" t="inlineStr">
        <is>
          <t>Armored Car</t>
        </is>
      </c>
      <c r="D62" s="6" t="inlineStr">
        <is>
          <t>ScoutVehicle</t>
        </is>
      </c>
      <c r="E62" s="6" t="n">
        <v>42500</v>
      </c>
      <c r="F62" s="6" t="n">
        <v>130</v>
      </c>
      <c r="G62" t="inlineStr">
        <is>
          <t>Medium</t>
        </is>
      </c>
      <c r="H62" s="6" t="n">
        <v>1</v>
      </c>
      <c r="I62" s="6" t="n">
        <v>1.25</v>
      </c>
      <c r="J62" s="6" t="n">
        <v>1</v>
      </c>
      <c r="K62" s="6" t="n">
        <v>1.25</v>
      </c>
      <c r="P62">
        <f>MAX(P63,P64,P65,P66)</f>
        <v/>
      </c>
      <c r="S62">
        <f>S63+S64+S65+S66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(T62+U62+V62)/3</f>
        <v/>
      </c>
      <c r="X62" s="6" t="n">
        <v>700</v>
      </c>
      <c r="Y62">
        <f>IFERROR(W62-X62,"")</f>
        <v/>
      </c>
      <c r="Z62">
        <f>IFERROR(ABS(Y62)/MAX(X62,1),"")</f>
        <v/>
      </c>
      <c r="AA62">
        <f>IFERROR((X62-(((E62/100000+F62/100+S62/200)*200*I62*H62)+((E62*F62/25000)*I62*H62))/3)/(((J62/5)*200*I62*H62)+((J62*S62/2.5)*I62*H62)+((E62*F62*J62*S62*I62*H62)/12500000))/3*1000,"")</f>
        <v/>
      </c>
    </row>
    <row r="63">
      <c r="B63" s="7" t="inlineStr">
        <is>
          <t xml:space="preserve">  ↳ ArmoredCarMG</t>
        </is>
      </c>
      <c r="C63" s="7" t="inlineStr">
        <is>
          <t>Armament@AG</t>
        </is>
      </c>
      <c r="L63" s="6" t="n">
        <v>2000</v>
      </c>
      <c r="M63" s="6" t="n">
        <v>8</v>
      </c>
      <c r="N63" s="6" t="n">
        <v>1</v>
      </c>
      <c r="O63" s="6" t="n"/>
      <c r="P63" s="6" t="n">
        <v>5012</v>
      </c>
      <c r="Q63" s="6" t="n">
        <v>0.9583333333333334</v>
      </c>
      <c r="R63">
        <f>M63+IF(N63&gt;1,N(O63)*(N63-1),0)</f>
        <v/>
      </c>
      <c r="S63">
        <f>IFERROR(L63*MAX(N63,1)/R63*Q63*IF(ISBLANK(K62),1,K62),0)</f>
        <v/>
      </c>
      <c r="AB63" s="7" t="inlineStr">
        <is>
          <t>^ArrowWeapon, ^TankDestroyerCannon, ^SmallArms, ^Grenade, ^MediumCannon, ^MediumMissile, ^FlakWeapon, ^Chaingun</t>
        </is>
      </c>
    </row>
    <row r="64">
      <c r="B64" s="7" t="inlineStr">
        <is>
          <t xml:space="preserve">  ↳ ArmoredCarMGAA</t>
        </is>
      </c>
      <c r="C64" s="7" t="inlineStr">
        <is>
          <t>Armament@AA</t>
        </is>
      </c>
      <c r="L64" s="6" t="n">
        <v>2000</v>
      </c>
      <c r="M64" s="6" t="n">
        <v>8</v>
      </c>
      <c r="N64" s="6" t="n">
        <v>1</v>
      </c>
      <c r="O64" s="6" t="n"/>
      <c r="P64" s="6" t="n">
        <v>7518</v>
      </c>
      <c r="Q64" s="6" t="n">
        <v>0.9583333333333334</v>
      </c>
      <c r="R64">
        <f>M64+IF(N64&gt;1,N(O64)*(N64-1),0)</f>
        <v/>
      </c>
      <c r="S64">
        <f>IFERROR(L64*MAX(N64,1)/R64*Q64*IF(ISBLANK(K62),1,K62),0)</f>
        <v/>
      </c>
      <c r="AB64" s="7" t="inlineStr">
        <is>
          <t>^ArrowWeapon, ^TankDestroyerCannon, ^SmallArms, ^Grenade, ^MediumCannon, ^MediumMissile, ^FlakWeapon, ^Chaingun</t>
        </is>
      </c>
    </row>
    <row r="65">
      <c r="B65" s="7" t="inlineStr">
        <is>
          <t xml:space="preserve">  ↳ ArmoredCarMGWaveforce</t>
        </is>
      </c>
      <c r="C65" s="7" t="inlineStr">
        <is>
          <t>Armament@UpgradeAG</t>
        </is>
      </c>
      <c r="L65" s="6" t="n">
        <v>2000</v>
      </c>
      <c r="M65" s="6" t="n">
        <v>8</v>
      </c>
      <c r="N65" s="6" t="n">
        <v>1</v>
      </c>
      <c r="O65" s="6" t="n"/>
      <c r="P65" s="6" t="n">
        <v>5012</v>
      </c>
      <c r="Q65" s="6" t="n">
        <v>1</v>
      </c>
      <c r="R65">
        <f>M65+IF(N65&gt;1,N(O65)*(N65-1),0)</f>
        <v/>
      </c>
      <c r="S65">
        <f>IFERROR(L65*MAX(N65,1)/R65*Q65*IF(ISBLANK(K62),1,K62),0)</f>
        <v/>
      </c>
      <c r="AB65" s="7" t="inlineStr">
        <is>
          <t>^HeavyAAWeapon, ^WaveforceBulletWarhead, ^ArrowWeapon, ^TankDestroyerCannon, ^SmallArms, ^Grenade, ^MediumCannon, ^MediumMissile, ^FlakWeapon, ^Chaingun, ^WaveforceBulletProjectile</t>
        </is>
      </c>
    </row>
    <row r="66">
      <c r="B66" s="7" t="inlineStr">
        <is>
          <t xml:space="preserve">  ↳ ArmoredCarMGAAWaveforce</t>
        </is>
      </c>
      <c r="C66" s="7" t="inlineStr">
        <is>
          <t>Armament@UpgradeAA</t>
        </is>
      </c>
      <c r="L66" s="6" t="n">
        <v>2000</v>
      </c>
      <c r="M66" s="6" t="n">
        <v>8</v>
      </c>
      <c r="N66" s="6" t="n">
        <v>1</v>
      </c>
      <c r="O66" s="6" t="n"/>
      <c r="P66" s="6" t="n">
        <v>7518</v>
      </c>
      <c r="Q66" s="6" t="n">
        <v>1</v>
      </c>
      <c r="R66">
        <f>M66+IF(N66&gt;1,N(O66)*(N66-1),0)</f>
        <v/>
      </c>
      <c r="S66">
        <f>IFERROR(L66*MAX(N66,1)/R66*Q66*IF(ISBLANK(K62),1,K62),0)</f>
        <v/>
      </c>
      <c r="AB66" s="7" t="inlineStr">
        <is>
          <t>^HeavyAAWeapon, ^WaveforceBulletWarhead, ^ArrowWeapon, ^TankDestroyerCannon, ^SmallArms, ^Grenade, ^MediumCannon, ^MediumMissile, ^FlakWeapon, ^Chaingun, ^WaveforceBulletProjectile</t>
        </is>
      </c>
    </row>
    <row r="67">
      <c r="A67" t="inlineStr">
        <is>
          <t>redalert</t>
        </is>
      </c>
      <c r="B67" t="inlineStr">
        <is>
          <t>japan_grenadebuggy</t>
        </is>
      </c>
      <c r="C67" t="inlineStr">
        <is>
          <t>Grenade Buggy</t>
        </is>
      </c>
      <c r="D67" s="6" t="inlineStr">
        <is>
          <t>ScoutVehicle</t>
        </is>
      </c>
      <c r="E67" s="6" t="n">
        <v>60000</v>
      </c>
      <c r="F67" s="6" t="n">
        <v>120</v>
      </c>
      <c r="G67" t="inlineStr">
        <is>
          <t>Scout</t>
        </is>
      </c>
      <c r="H67" s="6" t="n">
        <v>1</v>
      </c>
      <c r="I67" s="6" t="n">
        <v>0.5</v>
      </c>
      <c r="J67" s="6" t="n">
        <v>1</v>
      </c>
      <c r="K67" s="6" t="n"/>
      <c r="P67">
        <f>MAX(P68,P69)</f>
        <v/>
      </c>
      <c r="S67">
        <f>S68+S69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900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BuggyGrenade</t>
        </is>
      </c>
      <c r="C68" s="7" t="inlineStr">
        <is>
          <t>Armament</t>
        </is>
      </c>
      <c r="L68" s="6" t="n">
        <v>60000</v>
      </c>
      <c r="M68" s="6" t="n">
        <v>60</v>
      </c>
      <c r="N68" s="6" t="n">
        <v>1</v>
      </c>
      <c r="O68" s="6" t="n"/>
      <c r="P68" s="6" t="n">
        <v>5184</v>
      </c>
      <c r="Q68" s="6" t="n">
        <v>1</v>
      </c>
      <c r="R68">
        <f>M68+IF(N68&gt;1,N(O68)*(N68-1),0)</f>
        <v/>
      </c>
      <c r="S68">
        <f>IFERROR(L68*MAX(N68,1)/R68*Q68*IF(ISBLANK(K67),1,K67),0)</f>
        <v/>
      </c>
      <c r="AB68" s="7" t="inlineStr">
        <is>
          <t>^Grenade</t>
        </is>
      </c>
    </row>
    <row r="69">
      <c r="B69" s="7" t="inlineStr">
        <is>
          <t xml:space="preserve">  ↳ BuggyPlasmaGrenade</t>
        </is>
      </c>
      <c r="C69" s="7" t="inlineStr">
        <is>
          <t>Armament@Upgrade</t>
        </is>
      </c>
      <c r="L69" s="6" t="n">
        <v>20000</v>
      </c>
      <c r="M69" s="6" t="n">
        <v>60</v>
      </c>
      <c r="N69" s="6" t="n">
        <v>1</v>
      </c>
      <c r="O69" s="6" t="n"/>
      <c r="P69" s="6" t="n">
        <v>5184</v>
      </c>
      <c r="Q69" s="6" t="n">
        <v>1.083333333333333</v>
      </c>
      <c r="R69">
        <f>M69+IF(N69&gt;1,N(O69)*(N69-1),0)</f>
        <v/>
      </c>
      <c r="S69">
        <f>IFERROR(L69*MAX(N69,1)/R69*Q69*IF(ISBLANK(K67),1,K67),0)</f>
        <v/>
      </c>
      <c r="AB69" s="7" t="inlineStr">
        <is>
          <t>^HeavyBomb, ^ShrapnelWeapon, ^Grenade</t>
        </is>
      </c>
    </row>
    <row r="70">
      <c r="A70" t="inlineStr">
        <is>
          <t>redalert</t>
        </is>
      </c>
      <c r="B70" t="inlineStr">
        <is>
          <t>japan_scoutcar</t>
        </is>
      </c>
      <c r="C70" t="inlineStr">
        <is>
          <t>Scout Car</t>
        </is>
      </c>
      <c r="D70" s="6" t="inlineStr">
        <is>
          <t>ScoutVehicle</t>
        </is>
      </c>
      <c r="E70" s="6" t="n">
        <v>25000</v>
      </c>
      <c r="F70" s="6" t="n">
        <v>160</v>
      </c>
      <c r="G70" t="inlineStr">
        <is>
          <t>Scout</t>
        </is>
      </c>
      <c r="H70" s="6" t="n">
        <v>1</v>
      </c>
      <c r="I70" s="6" t="n">
        <v>0.333</v>
      </c>
      <c r="J70" s="6" t="n">
        <v>1</v>
      </c>
      <c r="K70" s="6" t="n"/>
      <c r="P70">
        <f>MAX(P71,P72)</f>
        <v/>
      </c>
      <c r="S70">
        <f>S71+S72</f>
        <v/>
      </c>
      <c r="T70">
        <f>(E70/100000+F70/100+(P70/1000)*J70/5+S70/200)*200*I70*H70</f>
        <v/>
      </c>
      <c r="U70">
        <f>((E70*F70/25000)+((P70/1000)*J70*S70/2.5))*I70*H70</f>
        <v/>
      </c>
      <c r="V70">
        <f>(E70*F70*(P70/1000)*J70*S70*I70*H70)/12500000</f>
        <v/>
      </c>
      <c r="W70">
        <f>(T70+U70+V70)/3</f>
        <v/>
      </c>
      <c r="X70" s="6" t="n">
        <v>300</v>
      </c>
      <c r="Y70">
        <f>IFERROR(W70-X70,"")</f>
        <v/>
      </c>
      <c r="Z70">
        <f>IFERROR(ABS(Y70)/MAX(X70,1),"")</f>
        <v/>
      </c>
      <c r="AA70">
        <f>IFERROR((X70-(((E70/100000+F70/100+S70/200)*200*I70*H70)+((E70*F70/25000)*I70*H70))/3)/(((J70/5)*200*I70*H70)+((J70*S70/2.5)*I70*H70)+((E70*F70*J70*S70*I70*H70)/12500000))/3*1000,"")</f>
        <v/>
      </c>
    </row>
    <row r="71">
      <c r="B71" s="7" t="inlineStr">
        <is>
          <t xml:space="preserve">  ↳ M60mgJapan</t>
        </is>
      </c>
      <c r="C71" s="7" t="inlineStr">
        <is>
          <t>Armament</t>
        </is>
      </c>
      <c r="L71" s="6" t="n">
        <v>4000</v>
      </c>
      <c r="M71" s="6" t="n">
        <v>15</v>
      </c>
      <c r="N71" s="6" t="n">
        <v>5</v>
      </c>
      <c r="O71" s="6" t="n">
        <v>5</v>
      </c>
      <c r="P71" s="6" t="n">
        <v>5004</v>
      </c>
      <c r="Q71" s="6" t="n">
        <v>0.75</v>
      </c>
      <c r="R71">
        <f>M71+IF(N71&gt;1,N(O71)*(N71-1),0)</f>
        <v/>
      </c>
      <c r="S71">
        <f>IFERROR(L71*MAX(N71,1)/R71*Q71*IF(ISBLANK(K70),1,K70),0)</f>
        <v/>
      </c>
      <c r="AB71" s="7" t="inlineStr">
        <is>
          <t>^SmallArms</t>
        </is>
      </c>
    </row>
    <row r="72">
      <c r="B72" s="7" t="inlineStr">
        <is>
          <t xml:space="preserve">  ↳ M60mgWaveforce</t>
        </is>
      </c>
      <c r="C72" s="7" t="inlineStr">
        <is>
          <t>Armament@Upgrade</t>
        </is>
      </c>
      <c r="L72" s="6" t="n">
        <v>2000</v>
      </c>
      <c r="M72" s="6" t="n">
        <v>15</v>
      </c>
      <c r="N72" s="6" t="n">
        <v>5</v>
      </c>
      <c r="O72" s="6" t="n">
        <v>5</v>
      </c>
      <c r="P72" s="6" t="n">
        <v>5004</v>
      </c>
      <c r="Q72" s="6" t="n">
        <v>0.75</v>
      </c>
      <c r="R72">
        <f>M72+IF(N72&gt;1,N(O72)*(N72-1),0)</f>
        <v/>
      </c>
      <c r="S72">
        <f>IFERROR(L72*MAX(N72,1)/R72*Q72*IF(ISBLANK(K70),1,K70),0)</f>
        <v/>
      </c>
      <c r="AB72" s="7" t="inlineStr">
        <is>
          <t>^WaveforceBulletWarhead, ^SmallArms, ^WaveforceBulletProjectile</t>
        </is>
      </c>
    </row>
    <row r="73">
      <c r="A73" t="inlineStr">
        <is>
          <t>redalert</t>
        </is>
      </c>
      <c r="B73" t="inlineStr">
        <is>
          <t>ra1_allies_ranger</t>
        </is>
      </c>
      <c r="C73" t="inlineStr">
        <is>
          <t>Ranger</t>
        </is>
      </c>
      <c r="D73" s="6" t="inlineStr">
        <is>
          <t>ScoutVehicle</t>
        </is>
      </c>
      <c r="E73" s="6" t="n">
        <v>22500</v>
      </c>
      <c r="F73" s="6" t="n">
        <v>175</v>
      </c>
      <c r="G73" t="inlineStr">
        <is>
          <t>Scout</t>
        </is>
      </c>
      <c r="H73" s="6" t="n">
        <v>1</v>
      </c>
      <c r="I73" s="6" t="n">
        <v>1</v>
      </c>
      <c r="J73" s="6" t="n">
        <v>1</v>
      </c>
      <c r="K73" s="6" t="n"/>
      <c r="P73">
        <f>MAX(P74)</f>
        <v/>
      </c>
      <c r="S73">
        <f>S74</f>
        <v/>
      </c>
      <c r="T73">
        <f>(E73/100000+F73/100+(P73/1000)*J73/5+S73/200)*200*I73*H73</f>
        <v/>
      </c>
      <c r="U73">
        <f>((E73*F73/25000)+((P73/1000)*J73*S73/2.5))*I73*H73</f>
        <v/>
      </c>
      <c r="V73">
        <f>(E73*F73*(P73/1000)*J73*S73*I73*H73)/12500000</f>
        <v/>
      </c>
      <c r="W73">
        <f>(T73+U73+V73)/3</f>
        <v/>
      </c>
      <c r="X73" s="6" t="n">
        <v>300</v>
      </c>
      <c r="Y73">
        <f>IFERROR(W73-X73,"")</f>
        <v/>
      </c>
      <c r="Z73">
        <f>IFERROR(ABS(Y73)/MAX(X73,1),"")</f>
        <v/>
      </c>
      <c r="AA73">
        <f>IFERROR((X73-(((E73/100000+F73/100+S73/200)*200*I73*H73)+((E73*F73/25000)*I73*H73))/3)/(((J73/5)*200*I73*H73)+((J73*S73/2.5)*I73*H73)+((E73*F73*J73*S73*I73*H73)/12500000))/3*1000,"")</f>
        <v/>
      </c>
    </row>
    <row r="74">
      <c r="B74" s="7" t="inlineStr">
        <is>
          <t xml:space="preserve">  ↳ M60mg</t>
        </is>
      </c>
      <c r="C74" s="7" t="inlineStr">
        <is>
          <t>Armament</t>
        </is>
      </c>
      <c r="L74" s="6" t="n">
        <v>4000</v>
      </c>
      <c r="M74" s="6" t="n">
        <v>10</v>
      </c>
      <c r="N74" s="6" t="n">
        <v>4</v>
      </c>
      <c r="O74" s="6" t="n">
        <v>5</v>
      </c>
      <c r="P74" s="6" t="n">
        <v>4359</v>
      </c>
      <c r="Q74" s="6" t="n">
        <v>0.75</v>
      </c>
      <c r="R74">
        <f>M74+IF(N74&gt;1,N(O74)*(N74-1),0)</f>
        <v/>
      </c>
      <c r="S74">
        <f>IFERROR(L74*MAX(N74,1)/R74*Q74*IF(ISBLANK(K73),1,K73),0)</f>
        <v/>
      </c>
      <c r="AB74" s="7" t="inlineStr">
        <is>
          <t>^SmallArms</t>
        </is>
      </c>
    </row>
    <row r="75">
      <c r="A75" t="inlineStr">
        <is>
          <t>tiberiansun</t>
        </is>
      </c>
      <c r="B75" t="inlineStr">
        <is>
          <t>ts_nod_attackbuggy</t>
        </is>
      </c>
      <c r="C75" t="inlineStr">
        <is>
          <t>Attack Buggy</t>
        </is>
      </c>
      <c r="D75" s="6" t="inlineStr">
        <is>
          <t>ScoutVehicle</t>
        </is>
      </c>
      <c r="E75" s="6" t="n">
        <v>30000</v>
      </c>
      <c r="F75" s="6" t="n">
        <v>160</v>
      </c>
      <c r="G75" t="inlineStr">
        <is>
          <t>Scout</t>
        </is>
      </c>
      <c r="H75" s="6" t="n">
        <v>1</v>
      </c>
      <c r="I75" s="6" t="n">
        <v>0.333</v>
      </c>
      <c r="J75" s="6" t="n">
        <v>1</v>
      </c>
      <c r="K75" s="6" t="n"/>
      <c r="P75">
        <f>MAX(P76,P77,P78)</f>
        <v/>
      </c>
      <c r="S75">
        <f>S76+S77+S78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(T75+U75+V75)/3</f>
        <v/>
      </c>
      <c r="X75" s="6" t="n">
        <v>450</v>
      </c>
      <c r="Y75">
        <f>IFERROR(W75-X75,"")</f>
        <v/>
      </c>
      <c r="Z75">
        <f>IFERROR(ABS(Y75)/MAX(X75,1),"")</f>
        <v/>
      </c>
      <c r="AA75">
        <f>IFERROR((X75-(((E75/100000+F75/100+S75/200)*200*I75*H75)+((E75*F75/25000)*I75*H75))/3)/(((J75/5)*200*I75*H75)+((J75*S75/2.5)*I75*H75)+((E75*F75*J75*S75*I75*H75)/12500000))/3*1000,"")</f>
        <v/>
      </c>
    </row>
    <row r="76">
      <c r="B76" s="7" t="inlineStr">
        <is>
          <t xml:space="preserve">  ↳ TSRaiderCannon</t>
        </is>
      </c>
      <c r="C76" s="7" t="inlineStr">
        <is>
          <t>Armament@PRIMARY</t>
        </is>
      </c>
      <c r="L76" s="6" t="n">
        <v>6000</v>
      </c>
      <c r="M76" s="6" t="n">
        <v>20</v>
      </c>
      <c r="N76" s="6" t="n">
        <v>4</v>
      </c>
      <c r="O76" s="6" t="n">
        <v>2</v>
      </c>
      <c r="P76" s="6" t="n">
        <v>4787</v>
      </c>
      <c r="Q76" s="6" t="n">
        <v>0.75</v>
      </c>
      <c r="R76">
        <f>M76+IF(N76&gt;1,N(O76)*(N76-1),0)</f>
        <v/>
      </c>
      <c r="S76">
        <f>IFERROR(L76*MAX(N76,1)/R76*Q76*IF(ISBLANK(K75),1,K75),0)</f>
        <v/>
      </c>
      <c r="AB76" s="7" t="inlineStr">
        <is>
          <t>^SmallArms</t>
        </is>
      </c>
    </row>
    <row r="77">
      <c r="B77" s="7" t="inlineStr">
        <is>
          <t xml:space="preserve">  ↳ TSLaserRaiderCannon</t>
        </is>
      </c>
      <c r="C77" s="7" t="inlineStr">
        <is>
          <t>Armament@UPGRADE</t>
        </is>
      </c>
      <c r="L77" s="6" t="n">
        <v>6000</v>
      </c>
      <c r="M77" s="6" t="n">
        <v>20</v>
      </c>
      <c r="N77" s="6" t="n">
        <v>3</v>
      </c>
      <c r="O77" s="6" t="n">
        <v>2</v>
      </c>
      <c r="P77" s="6" t="n">
        <v>4964</v>
      </c>
      <c r="Q77" s="6" t="n">
        <v>0.875</v>
      </c>
      <c r="R77">
        <f>M77+IF(N77&gt;1,N(O77)*(N77-1),0)</f>
        <v/>
      </c>
      <c r="S77">
        <f>IFERROR(L77*MAX(N77,1)/R77*Q77*IF(ISBLANK(K75),1,K75),0)</f>
        <v/>
      </c>
      <c r="AB77" s="7" t="inlineStr">
        <is>
          <t>^SmallArms, ^LaserWeapon, ^TSLaserEffect</t>
        </is>
      </c>
    </row>
    <row r="78">
      <c r="B78" s="7" t="inlineStr">
        <is>
          <t xml:space="preserve">  ↳ TSRaiderGrenade</t>
        </is>
      </c>
      <c r="C78" s="7" t="inlineStr">
        <is>
          <t>Armament@SECONDARY</t>
        </is>
      </c>
      <c r="L78" s="6" t="n">
        <v>36000</v>
      </c>
      <c r="M78" s="6" t="n">
        <v>52</v>
      </c>
      <c r="N78" s="6" t="n">
        <v>1</v>
      </c>
      <c r="O78" s="6" t="n"/>
      <c r="P78" s="6" t="n">
        <v>4787</v>
      </c>
      <c r="Q78" s="6" t="n">
        <v>1</v>
      </c>
      <c r="R78">
        <f>M78+IF(N78&gt;1,N(O78)*(N78-1),0)</f>
        <v/>
      </c>
      <c r="S78">
        <f>IFERROR(L78*MAX(N78,1)/R78*Q78*IF(ISBLANK(K75),1,K75),0)</f>
        <v/>
      </c>
      <c r="AB78" s="7" t="inlineStr">
        <is>
          <t>^Grenade</t>
        </is>
      </c>
    </row>
    <row r="79">
      <c r="A79" t="inlineStr">
        <is>
          <t>tiberiansun</t>
        </is>
      </c>
      <c r="B79" t="inlineStr">
        <is>
          <t>ts_nod_attackcycle</t>
        </is>
      </c>
      <c r="C79" t="inlineStr">
        <is>
          <t>Attack Cycle</t>
        </is>
      </c>
      <c r="D79" s="6" t="inlineStr">
        <is>
          <t>ScoutVehicle</t>
        </is>
      </c>
      <c r="E79" s="6" t="n">
        <v>20000</v>
      </c>
      <c r="F79" s="6" t="n">
        <v>170</v>
      </c>
      <c r="G79" t="inlineStr">
        <is>
          <t>Scout</t>
        </is>
      </c>
      <c r="H79" s="6" t="n">
        <v>1</v>
      </c>
      <c r="I79" s="6" t="n">
        <v>0.5</v>
      </c>
      <c r="J79" s="6" t="n">
        <v>1</v>
      </c>
      <c r="K79" s="6" t="n"/>
      <c r="P79">
        <f>MAX(P80,P81)</f>
        <v/>
      </c>
      <c r="S79">
        <f>S80+S81</f>
        <v/>
      </c>
      <c r="T79">
        <f>(E79/100000+F79/100+(P79/1000)*J79/5+S79/200)*200*I79*H79</f>
        <v/>
      </c>
      <c r="U79">
        <f>((E79*F79/25000)+((P79/1000)*J79*S79/2.5))*I79*H79</f>
        <v/>
      </c>
      <c r="V79">
        <f>(E79*F79*(P79/1000)*J79*S79*I79*H79)/12500000</f>
        <v/>
      </c>
      <c r="W79">
        <f>(T79+U79+V79)/3</f>
        <v/>
      </c>
      <c r="X79" s="6" t="n">
        <v>550</v>
      </c>
      <c r="Y79">
        <f>IFERROR(W79-X79,"")</f>
        <v/>
      </c>
      <c r="Z79">
        <f>IFERROR(ABS(Y79)/MAX(X79,1),"")</f>
        <v/>
      </c>
      <c r="AA79">
        <f>IFERROR((X79-(((E79/100000+F79/100+S79/200)*200*I79*H79)+((E79*F79/25000)*I79*H79))/3)/(((J79/5)*200*I79*H79)+((J79*S79/2.5)*I79*H79)+((E79*F79*J79*S79*I79*H79)/12500000))/3*1000,"")</f>
        <v/>
      </c>
    </row>
    <row r="80">
      <c r="B80" s="7" t="inlineStr">
        <is>
          <t xml:space="preserve">  ↳ TSBikeMissile</t>
        </is>
      </c>
      <c r="C80" s="7" t="inlineStr">
        <is>
          <t>Armament@PRIMARY</t>
        </is>
      </c>
      <c r="L80" s="6" t="n">
        <v>6000</v>
      </c>
      <c r="M80" s="6" t="n">
        <v>40</v>
      </c>
      <c r="N80" s="6" t="n">
        <v>2</v>
      </c>
      <c r="O80" s="6" t="n">
        <v>5</v>
      </c>
      <c r="P80" s="6" t="n">
        <v>6554</v>
      </c>
      <c r="Q80" s="6" t="n">
        <v>0.875</v>
      </c>
      <c r="R80">
        <f>M80+IF(N80&gt;1,N(O80)*(N80-1),0)</f>
        <v/>
      </c>
      <c r="S80">
        <f>IFERROR(L80*MAX(N80,1)/R80*Q80*IF(ISBLANK(K79),1,K79),0)</f>
        <v/>
      </c>
      <c r="AB80" s="7" t="inlineStr">
        <is>
          <t>^LightMissile, ^MediumMissile</t>
        </is>
      </c>
    </row>
    <row r="81">
      <c r="B81" s="7" t="inlineStr">
        <is>
          <t xml:space="preserve">  ↳ TSBikeTibMissile</t>
        </is>
      </c>
      <c r="C81" s="7" t="inlineStr">
        <is>
          <t>Armament@UPGRADE</t>
        </is>
      </c>
      <c r="L81" s="6" t="n">
        <v>4000</v>
      </c>
      <c r="M81" s="6" t="n">
        <v>40</v>
      </c>
      <c r="N81" s="6" t="n">
        <v>2</v>
      </c>
      <c r="O81" s="6" t="n">
        <v>5</v>
      </c>
      <c r="P81" s="6" t="n">
        <v>6554</v>
      </c>
      <c r="Q81" s="6" t="n">
        <v>0.875</v>
      </c>
      <c r="R81">
        <f>M81+IF(N81&gt;1,N(O81)*(N81-1),0)</f>
        <v/>
      </c>
      <c r="S81">
        <f>IFERROR(L81*MAX(N81,1)/R81*Q81*IF(ISBLANK(K79),1,K79),0)</f>
        <v/>
      </c>
      <c r="AB81" s="7" t="inlineStr">
        <is>
          <t>^LightChemicalWeapon, ^MediumChemicalWeapon, ^LightMissile, ^MediumMissile</t>
        </is>
      </c>
    </row>
    <row r="82">
      <c r="A82" t="inlineStr">
        <is>
          <t>tiberiansun</t>
        </is>
      </c>
      <c r="B82" t="inlineStr">
        <is>
          <t>ts_gdi_pitbull</t>
        </is>
      </c>
      <c r="C82" t="inlineStr">
        <is>
          <t>Pitbull</t>
        </is>
      </c>
      <c r="D82" s="6" t="inlineStr">
        <is>
          <t>ScoutVehicle</t>
        </is>
      </c>
      <c r="E82" s="6" t="n">
        <v>27500</v>
      </c>
      <c r="F82" s="6" t="n">
        <v>150</v>
      </c>
      <c r="G82" t="inlineStr">
        <is>
          <t>Scout</t>
        </is>
      </c>
      <c r="H82" s="6" t="n">
        <v>1</v>
      </c>
      <c r="I82" s="6" t="n">
        <v>1</v>
      </c>
      <c r="J82" s="6" t="n">
        <v>1</v>
      </c>
      <c r="K82" s="6" t="n"/>
      <c r="P82">
        <f>MAX(P83)</f>
        <v/>
      </c>
      <c r="S82">
        <f>S83</f>
        <v/>
      </c>
      <c r="T82">
        <f>(E82/100000+F82/100+(P82/1000)*J82/5+S82/200)*200*I82*H82</f>
        <v/>
      </c>
      <c r="U82">
        <f>((E82*F82/25000)+((P82/1000)*J82*S82/2.5))*I82*H82</f>
        <v/>
      </c>
      <c r="V82">
        <f>(E82*F82*(P82/1000)*J82*S82*I82*H82)/12500000</f>
        <v/>
      </c>
      <c r="W82">
        <f>(T82+U82+V82)/3</f>
        <v/>
      </c>
      <c r="X82" s="6" t="n">
        <v>400</v>
      </c>
      <c r="Y82">
        <f>IFERROR(W82-X82,"")</f>
        <v/>
      </c>
      <c r="Z82">
        <f>IFERROR(ABS(Y82)/MAX(X82,1),"")</f>
        <v/>
      </c>
      <c r="AA82">
        <f>IFERROR((X82-(((E82/100000+F82/100+S82/200)*200*I82*H82)+((E82*F82/25000)*I82*H82))/3)/(((J82/5)*200*I82*H82)+((J82*S82/2.5)*I82*H82)+((E82*F82*J82*S82*I82*H82)/12500000))/3*1000,"")</f>
        <v/>
      </c>
    </row>
    <row r="83">
      <c r="B83" s="7" t="inlineStr">
        <is>
          <t xml:space="preserve">  ↳ PitbullRockets</t>
        </is>
      </c>
      <c r="C83" s="7" t="inlineStr">
        <is>
          <t>Armament</t>
        </is>
      </c>
      <c r="L83" s="6" t="n">
        <v>20000</v>
      </c>
      <c r="M83" s="6" t="n">
        <v>55</v>
      </c>
      <c r="N83" s="6" t="n">
        <v>2</v>
      </c>
      <c r="O83" s="6" t="n">
        <v>5</v>
      </c>
      <c r="P83" s="6" t="n">
        <v>6379</v>
      </c>
      <c r="Q83" s="6" t="n">
        <v>0.75</v>
      </c>
      <c r="R83">
        <f>M83+IF(N83&gt;1,N(O83)*(N83-1),0)</f>
        <v/>
      </c>
      <c r="S83">
        <f>IFERROR(L83*MAX(N83,1)/R83*Q83*IF(ISBLANK(K82),1,K82),0)</f>
        <v/>
      </c>
      <c r="AB83" s="7" t="inlineStr">
        <is>
          <t>^LightMissile</t>
        </is>
      </c>
    </row>
    <row r="84">
      <c r="A84" t="inlineStr">
        <is>
          <t>tiberiansun</t>
        </is>
      </c>
      <c r="B84" t="inlineStr">
        <is>
          <t>forgotten_bowler</t>
        </is>
      </c>
      <c r="C84" t="inlineStr">
        <is>
          <t>actor_forgotten_bowler.name</t>
        </is>
      </c>
      <c r="D84" s="6" t="inlineStr">
        <is>
          <t>ScoutVehicle</t>
        </is>
      </c>
      <c r="E84" s="6" t="n">
        <v>40000</v>
      </c>
      <c r="F84" s="6" t="n">
        <v>120</v>
      </c>
      <c r="G84" t="inlineStr">
        <is>
          <t>Scout</t>
        </is>
      </c>
      <c r="H84" s="6" t="n">
        <v>1</v>
      </c>
      <c r="I84" s="6" t="n">
        <v>1</v>
      </c>
      <c r="J84" s="6" t="n">
        <v>1</v>
      </c>
      <c r="K84" s="6" t="n"/>
      <c r="P84">
        <f>MAX(P85)</f>
        <v/>
      </c>
      <c r="S84">
        <f>S85</f>
        <v/>
      </c>
      <c r="T84">
        <f>(E84/100000+F84/100+(P84/1000)*J84/5+S84/200)*200*I84*H84</f>
        <v/>
      </c>
      <c r="U84">
        <f>((E84*F84/25000)+((P84/1000)*J84*S84/2.5))*I84*H84</f>
        <v/>
      </c>
      <c r="V84">
        <f>(E84*F84*(P84/1000)*J84*S84*I84*H84)/12500000</f>
        <v/>
      </c>
      <c r="W84">
        <f>(T84+U84+V84)/3</f>
        <v/>
      </c>
      <c r="X84" s="6" t="n">
        <v>850</v>
      </c>
      <c r="Y84">
        <f>IFERROR(W84-X84,"")</f>
        <v/>
      </c>
      <c r="Z84">
        <f>IFERROR(ABS(Y84)/MAX(X84,1),"")</f>
        <v/>
      </c>
      <c r="AA84">
        <f>IFERROR((X84-(((E84/100000+F84/100+S84/200)*200*I84*H84)+((E84*F84/25000)*I84*H84))/3)/(((J84/5)*200*I84*H84)+((J84*S84/2.5)*I84*H84)+((E84*F84*J84*S84*I84*H84)/12500000))/3*1000,"")</f>
        <v/>
      </c>
    </row>
    <row r="85">
      <c r="B85" s="7" t="inlineStr">
        <is>
          <t xml:space="preserve">  ↳ TSBowlerCannon</t>
        </is>
      </c>
      <c r="C85" s="7" t="inlineStr">
        <is>
          <t>Armament</t>
        </is>
      </c>
      <c r="L85" s="6" t="n">
        <v>2000</v>
      </c>
      <c r="M85" s="6" t="n">
        <v>5</v>
      </c>
      <c r="N85" s="6" t="n">
        <v>1</v>
      </c>
      <c r="O85" s="6" t="n"/>
      <c r="P85" s="6" t="n">
        <v>6603</v>
      </c>
      <c r="Q85" s="6" t="n">
        <v>0.875</v>
      </c>
      <c r="R85">
        <f>M85+IF(N85&gt;1,N(O85)*(N85-1),0)</f>
        <v/>
      </c>
      <c r="S85">
        <f>IFERROR(L85*MAX(N85,1)/R85*Q85*IF(ISBLANK(K84),1,K84),0)</f>
        <v/>
      </c>
      <c r="AB85" s="7" t="inlineStr">
        <is>
          <t>^SmallArms, ^Chaingun</t>
        </is>
      </c>
    </row>
    <row r="86">
      <c r="A86" t="inlineStr">
        <is>
          <t>tiberiansun</t>
        </is>
      </c>
      <c r="B86" t="inlineStr">
        <is>
          <t>forgotten_raidercar</t>
        </is>
      </c>
      <c r="C86" t="inlineStr">
        <is>
          <t>actor_forgotten_raidercar.name</t>
        </is>
      </c>
      <c r="D86" s="6" t="inlineStr">
        <is>
          <t>ScoutVehicle</t>
        </is>
      </c>
      <c r="E86" s="6" t="n">
        <v>22500</v>
      </c>
      <c r="F86" s="6" t="n">
        <v>180</v>
      </c>
      <c r="G86" t="inlineStr">
        <is>
          <t>Scout</t>
        </is>
      </c>
      <c r="H86" s="6" t="n">
        <v>1</v>
      </c>
      <c r="I86" s="6" t="n">
        <v>1</v>
      </c>
      <c r="J86" s="6" t="n">
        <v>1</v>
      </c>
      <c r="K86" s="6" t="n"/>
      <c r="P86">
        <f>MAX(P87)</f>
        <v/>
      </c>
      <c r="S86">
        <f>S87</f>
        <v/>
      </c>
      <c r="T86">
        <f>(E86/100000+F86/100+(P86/1000)*J86/5+S86/200)*200*I86*H86</f>
        <v/>
      </c>
      <c r="U86">
        <f>((E86*F86/25000)+((P86/1000)*J86*S86/2.5))*I86*H86</f>
        <v/>
      </c>
      <c r="V86">
        <f>(E86*F86*(P86/1000)*J86*S86*I86*H86)/12500000</f>
        <v/>
      </c>
      <c r="W86">
        <f>(T86+U86+V86)/3</f>
        <v/>
      </c>
      <c r="X86" s="6" t="n">
        <v>300</v>
      </c>
      <c r="Y86">
        <f>IFERROR(W86-X86,"")</f>
        <v/>
      </c>
      <c r="Z86">
        <f>IFERROR(ABS(Y86)/MAX(X86,1),"")</f>
        <v/>
      </c>
      <c r="AA86">
        <f>IFERROR((X86-(((E86/100000+F86/100+S86/200)*200*I86*H86)+((E86*F86/25000)*I86*H86))/3)/(((J86/5)*200*I86*H86)+((J86*S86/2.5)*I86*H86)+((E86*F86*J86*S86*I86*H86)/12500000))/3*1000,"")</f>
        <v/>
      </c>
    </row>
    <row r="87">
      <c r="B87" s="7" t="inlineStr">
        <is>
          <t xml:space="preserve">  ↳ TSRaiderCarCannon</t>
        </is>
      </c>
      <c r="C87" s="7" t="inlineStr">
        <is>
          <t>Armament</t>
        </is>
      </c>
      <c r="L87" s="6" t="n">
        <v>4000</v>
      </c>
      <c r="M87" s="6" t="n">
        <v>20</v>
      </c>
      <c r="N87" s="6" t="n">
        <v>4</v>
      </c>
      <c r="O87" s="6" t="n">
        <v>2</v>
      </c>
      <c r="P87" s="6" t="n">
        <v>4475</v>
      </c>
      <c r="Q87" s="6" t="n">
        <v>0.75</v>
      </c>
      <c r="R87">
        <f>M87+IF(N87&gt;1,N(O87)*(N87-1),0)</f>
        <v/>
      </c>
      <c r="S87">
        <f>IFERROR(L87*MAX(N87,1)/R87*Q87*IF(ISBLANK(K86),1,K86),0)</f>
        <v/>
      </c>
      <c r="AB87" s="7" t="inlineStr">
        <is>
          <t>^SmallArms</t>
        </is>
      </c>
    </row>
    <row r="88">
      <c r="A88" t="inlineStr">
        <is>
          <t>tiberiansun</t>
        </is>
      </c>
      <c r="B88" t="inlineStr">
        <is>
          <t>forgotten_ruiner</t>
        </is>
      </c>
      <c r="C88" t="inlineStr">
        <is>
          <t>actor_forgotten_ruiner.name</t>
        </is>
      </c>
      <c r="D88" s="6" t="inlineStr">
        <is>
          <t>ScoutVehicle</t>
        </is>
      </c>
      <c r="E88" s="6" t="n">
        <v>35000</v>
      </c>
      <c r="F88" s="6" t="n">
        <v>150</v>
      </c>
      <c r="G88" t="inlineStr">
        <is>
          <t>Scout</t>
        </is>
      </c>
      <c r="H88" s="6" t="n">
        <v>1</v>
      </c>
      <c r="I88" s="6" t="n">
        <v>1</v>
      </c>
      <c r="J88" s="6" t="n">
        <v>1</v>
      </c>
      <c r="K88" s="6" t="n"/>
      <c r="P88">
        <f>MAX(P89,P90)</f>
        <v/>
      </c>
      <c r="S88">
        <f>S89+S90</f>
        <v/>
      </c>
      <c r="T88">
        <f>(E88/100000+F88/100+(P88/1000)*J88/5+S88/200)*200*I88*H88</f>
        <v/>
      </c>
      <c r="U88">
        <f>((E88*F88/25000)+((P88/1000)*J88*S88/2.5))*I88*H88</f>
        <v/>
      </c>
      <c r="V88">
        <f>(E88*F88*(P88/1000)*J88*S88*I88*H88)/12500000</f>
        <v/>
      </c>
      <c r="W88">
        <f>(T88+U88+V88)/3</f>
        <v/>
      </c>
      <c r="X88" s="6" t="n">
        <v>500</v>
      </c>
      <c r="Y88">
        <f>IFERROR(W88-X88,"")</f>
        <v/>
      </c>
      <c r="Z88">
        <f>IFERROR(ABS(Y88)/MAX(X88,1),"")</f>
        <v/>
      </c>
      <c r="AA88">
        <f>IFERROR((X88-(((E88/100000+F88/100+S88/200)*200*I88*H88)+((E88*F88/25000)*I88*H88))/3)/(((J88/5)*200*I88*H88)+((J88*S88/2.5)*I88*H88)+((E88*F88*J88*S88*I88*H88)/12500000))/3*1000,"")</f>
        <v/>
      </c>
    </row>
    <row r="89">
      <c r="B89" s="7" t="inlineStr">
        <is>
          <t xml:space="preserve">  ↳ TSRuinerMissile</t>
        </is>
      </c>
      <c r="C89" s="7" t="inlineStr">
        <is>
          <t>Armament@PRIMARY</t>
        </is>
      </c>
      <c r="L89" s="6" t="n">
        <v>18000</v>
      </c>
      <c r="M89" s="6" t="n">
        <v>50</v>
      </c>
      <c r="N89" s="6" t="n">
        <v>1</v>
      </c>
      <c r="O89" s="6" t="n"/>
      <c r="P89" s="6" t="n">
        <v>5919</v>
      </c>
      <c r="Q89" s="6" t="n">
        <v>1</v>
      </c>
      <c r="R89">
        <f>M89+IF(N89&gt;1,N(O89)*(N89-1),0)</f>
        <v/>
      </c>
      <c r="S89">
        <f>IFERROR(L89*MAX(N89,1)/R89*Q89*IF(ISBLANK(K88),1,K88),0)</f>
        <v/>
      </c>
      <c r="AB89" s="7" t="inlineStr">
        <is>
          <t>^Grenade, ^MediumMissile</t>
        </is>
      </c>
    </row>
    <row r="90">
      <c r="B90" s="7" t="inlineStr">
        <is>
          <t xml:space="preserve">  ↳ TSChemRuinerMissile</t>
        </is>
      </c>
      <c r="C90" s="7" t="inlineStr">
        <is>
          <t>Armament@UPGRADE</t>
        </is>
      </c>
      <c r="L90" s="6" t="n">
        <v>18000</v>
      </c>
      <c r="M90" s="6" t="n">
        <v>50</v>
      </c>
      <c r="N90" s="6" t="n">
        <v>1</v>
      </c>
      <c r="O90" s="6" t="n"/>
      <c r="P90" s="6" t="n">
        <v>5919</v>
      </c>
      <c r="Q90" s="6" t="n">
        <v>0.9375</v>
      </c>
      <c r="R90">
        <f>M90+IF(N90&gt;1,N(O90)*(N90-1),0)</f>
        <v/>
      </c>
      <c r="S90">
        <f>IFERROR(L90*MAX(N90,1)/R90*Q90*IF(ISBLANK(K88),1,K88),0)</f>
        <v/>
      </c>
      <c r="AB90" s="7" t="inlineStr">
        <is>
          <t>^LightChemicalWeapon, ^MediumChemicalWeapon, ^Grenade, ^MediumMissile</t>
        </is>
      </c>
    </row>
    <row r="91">
      <c r="A91" t="inlineStr">
        <is>
          <t>shared</t>
        </is>
      </c>
      <c r="B91" t="inlineStr">
        <is>
          <t>ra2_ambu_driveby</t>
        </is>
      </c>
      <c r="C91" t="inlineStr">
        <is>
          <t>Drive By Car</t>
        </is>
      </c>
      <c r="D91" s="6" t="inlineStr">
        <is>
          <t>ScoutVehicle</t>
        </is>
      </c>
      <c r="E91" s="6" t="n">
        <v>25000</v>
      </c>
      <c r="F91" s="6" t="n">
        <v>100</v>
      </c>
      <c r="G91" t="inlineStr">
        <is>
          <t>Scout</t>
        </is>
      </c>
      <c r="H91" s="6" t="n">
        <v>1</v>
      </c>
      <c r="I91" s="6" t="n">
        <v>1</v>
      </c>
      <c r="J91" s="6" t="n">
        <v>1</v>
      </c>
      <c r="K91" s="6" t="n"/>
      <c r="P91">
        <f>MAX(P92)</f>
        <v/>
      </c>
      <c r="S91">
        <f>S92</f>
        <v/>
      </c>
      <c r="T91">
        <f>(E91/100000+F91/100+(P91/1000)*J91/5+S91/200)*200*I91*H91</f>
        <v/>
      </c>
      <c r="U91">
        <f>((E91*F91/25000)+((P91/1000)*J91*S91/2.5))*I91*H91</f>
        <v/>
      </c>
      <c r="V91">
        <f>(E91*F91*(P91/1000)*J91*S91*I91*H91)/12500000</f>
        <v/>
      </c>
      <c r="W91">
        <f>(T91+U91+V91)/3</f>
        <v/>
      </c>
      <c r="X91" s="6" t="n">
        <v>1000</v>
      </c>
      <c r="Y91">
        <f>IFERROR(W91-X91,"")</f>
        <v/>
      </c>
      <c r="Z91">
        <f>IFERROR(ABS(Y91)/MAX(X91,1),"")</f>
        <v/>
      </c>
      <c r="AA91">
        <f>IFERROR((X91-(((E91/100000+F91/100+S91/200)*200*I91*H91)+((E91*F91/25000)*I91*H91))/3)/(((J91/5)*200*I91*H91)+((J91*S91/2.5)*I91*H91)+((E91*F91*J91*S91*I91*H91)/12500000))/3*1000,"")</f>
        <v/>
      </c>
    </row>
    <row r="92">
      <c r="B92" s="7" t="inlineStr">
        <is>
          <t xml:space="preserve">  ↳ RA220mmrapid</t>
        </is>
      </c>
      <c r="C92" s="7" t="inlineStr">
        <is>
          <t>Armament</t>
        </is>
      </c>
      <c r="L92" s="6" t="n">
        <v>4000</v>
      </c>
      <c r="M92" s="6" t="n">
        <v>15</v>
      </c>
      <c r="N92" s="6" t="n">
        <v>1</v>
      </c>
      <c r="O92" s="6" t="n"/>
      <c r="P92" s="6" t="n">
        <v>5000</v>
      </c>
      <c r="Q92" s="6" t="n">
        <v>0.875</v>
      </c>
      <c r="R92">
        <f>M92+IF(N92&gt;1,N(O92)*(N92-1),0)</f>
        <v/>
      </c>
      <c r="S92">
        <f>IFERROR(L92*MAX(N92,1)/R92*Q92*IF(ISBLANK(K91),1,K91),0)</f>
        <v/>
      </c>
      <c r="AB92" s="7" t="inlineStr">
        <is>
          <t>^RA2SmallArms, ^RA2Chaingun</t>
        </is>
      </c>
    </row>
    <row r="93">
      <c r="A93" t="inlineStr">
        <is>
          <t>shared</t>
        </is>
      </c>
      <c r="B93" t="inlineStr">
        <is>
          <t>ra2_bcab_driveby</t>
        </is>
      </c>
      <c r="C93" t="inlineStr">
        <is>
          <t>Drive By Car</t>
        </is>
      </c>
      <c r="D93" s="6" t="inlineStr">
        <is>
          <t>ScoutVehicle</t>
        </is>
      </c>
      <c r="E93" s="6" t="n">
        <v>25000</v>
      </c>
      <c r="F93" s="6" t="n">
        <v>100</v>
      </c>
      <c r="G93" t="inlineStr">
        <is>
          <t>Scout</t>
        </is>
      </c>
      <c r="H93" s="6" t="n">
        <v>1</v>
      </c>
      <c r="I93" s="6" t="n">
        <v>1</v>
      </c>
      <c r="J93" s="6" t="n">
        <v>1</v>
      </c>
      <c r="K93" s="6" t="n"/>
      <c r="P93">
        <f>MAX(P94)</f>
        <v/>
      </c>
      <c r="S93">
        <f>S94</f>
        <v/>
      </c>
      <c r="T93">
        <f>(E93/100000+F93/100+(P93/1000)*J93/5+S93/200)*200*I93*H93</f>
        <v/>
      </c>
      <c r="U93">
        <f>((E93*F93/25000)+((P93/1000)*J93*S93/2.5))*I93*H93</f>
        <v/>
      </c>
      <c r="V93">
        <f>(E93*F93*(P93/1000)*J93*S93*I93*H93)/12500000</f>
        <v/>
      </c>
      <c r="W93">
        <f>(T93+U93+V93)/3</f>
        <v/>
      </c>
      <c r="X93" s="6" t="n">
        <v>1000</v>
      </c>
      <c r="Y93">
        <f>IFERROR(W93-X93,"")</f>
        <v/>
      </c>
      <c r="Z93">
        <f>IFERROR(ABS(Y93)/MAX(X93,1),"")</f>
        <v/>
      </c>
      <c r="AA93">
        <f>IFERROR((X93-(((E93/100000+F93/100+S93/200)*200*I93*H93)+((E93*F93/25000)*I93*H93))/3)/(((J93/5)*200*I93*H93)+((J93*S93/2.5)*I93*H93)+((E93*F93*J93*S93*I93*H93)/12500000))/3*1000,"")</f>
        <v/>
      </c>
    </row>
    <row r="94">
      <c r="B94" s="7" t="inlineStr">
        <is>
          <t xml:space="preserve">  ↳ RA220mmrapid</t>
        </is>
      </c>
      <c r="C94" s="7" t="inlineStr">
        <is>
          <t>Armament</t>
        </is>
      </c>
      <c r="L94" s="6" t="n">
        <v>4000</v>
      </c>
      <c r="M94" s="6" t="n">
        <v>15</v>
      </c>
      <c r="N94" s="6" t="n">
        <v>1</v>
      </c>
      <c r="O94" s="6" t="n"/>
      <c r="P94" s="6" t="n">
        <v>5000</v>
      </c>
      <c r="Q94" s="6" t="n">
        <v>0.875</v>
      </c>
      <c r="R94">
        <f>M94+IF(N94&gt;1,N(O94)*(N94-1),0)</f>
        <v/>
      </c>
      <c r="S94">
        <f>IFERROR(L94*MAX(N94,1)/R94*Q94*IF(ISBLANK(K93),1,K93),0)</f>
        <v/>
      </c>
      <c r="AB94" s="7" t="inlineStr">
        <is>
          <t>^RA2SmallArms, ^RA2Chaingun</t>
        </is>
      </c>
    </row>
    <row r="95">
      <c r="A95" t="inlineStr">
        <is>
          <t>shared</t>
        </is>
      </c>
      <c r="B95" t="inlineStr">
        <is>
          <t>ra2_bus_driveby</t>
        </is>
      </c>
      <c r="C95" t="inlineStr">
        <is>
          <t>Drive By Car</t>
        </is>
      </c>
      <c r="D95" s="6" t="inlineStr">
        <is>
          <t>ScoutVehicle</t>
        </is>
      </c>
      <c r="E95" s="6" t="n">
        <v>25000</v>
      </c>
      <c r="F95" s="6" t="n">
        <v>100</v>
      </c>
      <c r="G95" t="inlineStr">
        <is>
          <t>Scout</t>
        </is>
      </c>
      <c r="H95" s="6" t="n">
        <v>1</v>
      </c>
      <c r="I95" s="6" t="n">
        <v>1</v>
      </c>
      <c r="J95" s="6" t="n">
        <v>1</v>
      </c>
      <c r="K95" s="6" t="n"/>
      <c r="P95">
        <f>MAX(P96)</f>
        <v/>
      </c>
      <c r="S95">
        <f>S96</f>
        <v/>
      </c>
      <c r="T95">
        <f>(E95/100000+F95/100+(P95/1000)*J95/5+S95/200)*200*I95*H95</f>
        <v/>
      </c>
      <c r="U95">
        <f>((E95*F95/25000)+((P95/1000)*J95*S95/2.5))*I95*H95</f>
        <v/>
      </c>
      <c r="V95">
        <f>(E95*F95*(P95/1000)*J95*S95*I95*H95)/12500000</f>
        <v/>
      </c>
      <c r="W95">
        <f>(T95+U95+V95)/3</f>
        <v/>
      </c>
      <c r="X95" s="6" t="n">
        <v>1000</v>
      </c>
      <c r="Y95">
        <f>IFERROR(W95-X95,"")</f>
        <v/>
      </c>
      <c r="Z95">
        <f>IFERROR(ABS(Y95)/MAX(X95,1),"")</f>
        <v/>
      </c>
      <c r="AA95">
        <f>IFERROR((X95-(((E95/100000+F95/100+S95/200)*200*I95*H95)+((E95*F95/25000)*I95*H95))/3)/(((J95/5)*200*I95*H95)+((J95*S95/2.5)*I95*H95)+((E95*F95*J95*S95*I95*H95)/12500000))/3*1000,"")</f>
        <v/>
      </c>
    </row>
    <row r="96">
      <c r="B96" s="7" t="inlineStr">
        <is>
          <t xml:space="preserve">  ↳ RA220mmrapid</t>
        </is>
      </c>
      <c r="C96" s="7" t="inlineStr">
        <is>
          <t>Armament</t>
        </is>
      </c>
      <c r="L96" s="6" t="n">
        <v>4000</v>
      </c>
      <c r="M96" s="6" t="n">
        <v>15</v>
      </c>
      <c r="N96" s="6" t="n">
        <v>1</v>
      </c>
      <c r="O96" s="6" t="n"/>
      <c r="P96" s="6" t="n">
        <v>5000</v>
      </c>
      <c r="Q96" s="6" t="n">
        <v>0.875</v>
      </c>
      <c r="R96">
        <f>M96+IF(N96&gt;1,N(O96)*(N96-1),0)</f>
        <v/>
      </c>
      <c r="S96">
        <f>IFERROR(L96*MAX(N96,1)/R96*Q96*IF(ISBLANK(K95),1,K95),0)</f>
        <v/>
      </c>
      <c r="AB96" s="7" t="inlineStr">
        <is>
          <t>^RA2SmallArms, ^RA2Chaingun</t>
        </is>
      </c>
    </row>
    <row r="97">
      <c r="A97" t="inlineStr">
        <is>
          <t>shared</t>
        </is>
      </c>
      <c r="B97" t="inlineStr">
        <is>
          <t>ra2_c_hum</t>
        </is>
      </c>
      <c r="C97" t="inlineStr">
        <is>
          <t>Humvee</t>
        </is>
      </c>
      <c r="D97" s="6" t="inlineStr">
        <is>
          <t>ScoutVehicle</t>
        </is>
      </c>
      <c r="E97" s="6" t="n">
        <v>80000</v>
      </c>
      <c r="F97" s="6" t="n">
        <v>100</v>
      </c>
      <c r="G97" t="inlineStr">
        <is>
          <t>Light</t>
        </is>
      </c>
      <c r="H97" s="6" t="n">
        <v>1</v>
      </c>
      <c r="I97" s="6" t="n">
        <v>1</v>
      </c>
      <c r="J97" s="6" t="n">
        <v>1</v>
      </c>
      <c r="K97" s="6" t="n"/>
      <c r="P97">
        <f>MAX(P98,P99)</f>
        <v/>
      </c>
      <c r="S97">
        <f>S98+S99</f>
        <v/>
      </c>
      <c r="T97">
        <f>(E97/100000+F97/100+(P97/1000)*J97/5+S97/200)*200*I97*H97</f>
        <v/>
      </c>
      <c r="U97">
        <f>((E97*F97/25000)+((P97/1000)*J97*S97/2.5))*I97*H97</f>
        <v/>
      </c>
      <c r="V97">
        <f>(E97*F97*(P97/1000)*J97*S97*I97*H97)/12500000</f>
        <v/>
      </c>
      <c r="W97">
        <f>(T97+U97+V97)/3</f>
        <v/>
      </c>
      <c r="X97" s="6" t="n">
        <v>400</v>
      </c>
      <c r="Y97">
        <f>IFERROR(W97-X97,"")</f>
        <v/>
      </c>
      <c r="Z97">
        <f>IFERROR(ABS(Y97)/MAX(X97,1),"")</f>
        <v/>
      </c>
      <c r="AA97">
        <f>IFERROR((X97-(((E97/100000+F97/100+S97/200)*200*I97*H97)+((E97*F97/25000)*I97*H97))/3)/(((J97/5)*200*I97*H97)+((J97*S97/2.5)*I97*H97)+((E97*F97*J97*S97*I97*H97)/12500000))/3*1000,"")</f>
        <v/>
      </c>
    </row>
    <row r="98">
      <c r="B98" s="7" t="inlineStr">
        <is>
          <t xml:space="preserve">  ↳ RA2GattlingMG1</t>
        </is>
      </c>
      <c r="C98" s="7" t="inlineStr">
        <is>
          <t>Armament</t>
        </is>
      </c>
      <c r="L98" s="6" t="n">
        <v>2000</v>
      </c>
      <c r="M98" s="6" t="n">
        <v>6</v>
      </c>
      <c r="N98" s="6" t="n">
        <v>1</v>
      </c>
      <c r="O98" s="6" t="n"/>
      <c r="P98" s="6" t="n">
        <v>5000</v>
      </c>
      <c r="Q98" s="6" t="n">
        <v>0.875</v>
      </c>
      <c r="R98">
        <f>M98+IF(N98&gt;1,N(O98)*(N98-1),0)</f>
        <v/>
      </c>
      <c r="S98">
        <f>IFERROR(L98*MAX(N98,1)/R98*Q98*IF(ISBLANK(K97),1,K97),0)</f>
        <v/>
      </c>
      <c r="AB98" s="7" t="inlineStr">
        <is>
          <t>^SmallArms, ^RA2Chaingun</t>
        </is>
      </c>
    </row>
    <row r="99">
      <c r="B99" s="7" t="inlineStr">
        <is>
          <t xml:space="preserve">  ↳ RA2GattlingMG2</t>
        </is>
      </c>
      <c r="C99" s="7" t="inlineStr">
        <is>
          <t>Armament@elite</t>
        </is>
      </c>
      <c r="L99" s="6" t="n">
        <v>2000</v>
      </c>
      <c r="M99" s="6" t="n">
        <v>4</v>
      </c>
      <c r="N99" s="6" t="n">
        <v>1</v>
      </c>
      <c r="O99" s="6" t="n"/>
      <c r="P99" s="6" t="n">
        <v>5250</v>
      </c>
      <c r="Q99" s="6" t="n">
        <v>0.875</v>
      </c>
      <c r="R99">
        <f>M99+IF(N99&gt;1,N(O99)*(N99-1),0)</f>
        <v/>
      </c>
      <c r="S99">
        <f>IFERROR(L99*MAX(N99,1)/R99*Q99*IF(ISBLANK(K97),1,K97),0)</f>
        <v/>
      </c>
      <c r="AB99" s="7" t="inlineStr">
        <is>
          <t>^SmallArms, ^RA2Chaingun</t>
        </is>
      </c>
    </row>
    <row r="100">
      <c r="A100" t="inlineStr">
        <is>
          <t>shared</t>
        </is>
      </c>
      <c r="B100" t="inlineStr">
        <is>
          <t>ra2_c_hum2</t>
        </is>
      </c>
      <c r="C100" t="inlineStr">
        <is>
          <t>Civilian Humvee</t>
        </is>
      </c>
      <c r="D100" s="6" t="inlineStr">
        <is>
          <t>ScoutVehicle</t>
        </is>
      </c>
      <c r="E100" s="6" t="n">
        <v>80000</v>
      </c>
      <c r="F100" s="6" t="n">
        <v>100</v>
      </c>
      <c r="G100" t="inlineStr">
        <is>
          <t>Light</t>
        </is>
      </c>
      <c r="H100" s="6" t="n">
        <v>1</v>
      </c>
      <c r="I100" s="6" t="n">
        <v>1</v>
      </c>
      <c r="J100" s="6" t="n">
        <v>1</v>
      </c>
      <c r="K100" s="6" t="n"/>
      <c r="P100">
        <f>MAX(P101,P102)</f>
        <v/>
      </c>
      <c r="S100">
        <f>S101+S102</f>
        <v/>
      </c>
      <c r="T100">
        <f>(E100/100000+F100/100+(P100/1000)*J100/5+S100/200)*200*I100*H100</f>
        <v/>
      </c>
      <c r="U100">
        <f>((E100*F100/25000)+((P100/1000)*J100*S100/2.5))*I100*H100</f>
        <v/>
      </c>
      <c r="V100">
        <f>(E100*F100*(P100/1000)*J100*S100*I100*H100)/12500000</f>
        <v/>
      </c>
      <c r="W100">
        <f>(T100+U100+V100)/3</f>
        <v/>
      </c>
      <c r="X100" s="6" t="n">
        <v>400</v>
      </c>
      <c r="Y100">
        <f>IFERROR(W100-X100,"")</f>
        <v/>
      </c>
      <c r="Z100">
        <f>IFERROR(ABS(Y100)/MAX(X100,1),"")</f>
        <v/>
      </c>
      <c r="AA100">
        <f>IFERROR((X100-(((E100/100000+F100/100+S100/200)*200*I100*H100)+((E100*F100/25000)*I100*H100))/3)/(((J100/5)*200*I100*H100)+((J100*S100/2.5)*I100*H100)+((E100*F100*J100*S100*I100*H100)/12500000))/3*1000,"")</f>
        <v/>
      </c>
    </row>
    <row r="101">
      <c r="B101" s="7" t="inlineStr">
        <is>
          <t xml:space="preserve">  ↳ RA2GattlingMG1</t>
        </is>
      </c>
      <c r="C101" s="7" t="inlineStr">
        <is>
          <t>Armament</t>
        </is>
      </c>
      <c r="L101" s="6" t="n">
        <v>2000</v>
      </c>
      <c r="M101" s="6" t="n">
        <v>6</v>
      </c>
      <c r="N101" s="6" t="n">
        <v>1</v>
      </c>
      <c r="O101" s="6" t="n"/>
      <c r="P101" s="6" t="n">
        <v>5000</v>
      </c>
      <c r="Q101" s="6" t="n">
        <v>0.875</v>
      </c>
      <c r="R101">
        <f>M101+IF(N101&gt;1,N(O101)*(N101-1),0)</f>
        <v/>
      </c>
      <c r="S101">
        <f>IFERROR(L101*MAX(N101,1)/R101*Q101*IF(ISBLANK(K100),1,K100),0)</f>
        <v/>
      </c>
      <c r="AB101" s="7" t="inlineStr">
        <is>
          <t>^SmallArms, ^RA2Chaingun</t>
        </is>
      </c>
    </row>
    <row r="102">
      <c r="B102" s="7" t="inlineStr">
        <is>
          <t xml:space="preserve">  ↳ RA2GattlingMG2</t>
        </is>
      </c>
      <c r="C102" s="7" t="inlineStr">
        <is>
          <t>Armament@elite</t>
        </is>
      </c>
      <c r="L102" s="6" t="n">
        <v>2000</v>
      </c>
      <c r="M102" s="6" t="n">
        <v>4</v>
      </c>
      <c r="N102" s="6" t="n">
        <v>1</v>
      </c>
      <c r="O102" s="6" t="n"/>
      <c r="P102" s="6" t="n">
        <v>5250</v>
      </c>
      <c r="Q102" s="6" t="n">
        <v>0.875</v>
      </c>
      <c r="R102">
        <f>M102+IF(N102&gt;1,N(O102)*(N102-1),0)</f>
        <v/>
      </c>
      <c r="S102">
        <f>IFERROR(L102*MAX(N102,1)/R102*Q102*IF(ISBLANK(K100),1,K100),0)</f>
        <v/>
      </c>
      <c r="AB102" s="7" t="inlineStr">
        <is>
          <t>^SmallArms, ^RA2Chaingun</t>
        </is>
      </c>
    </row>
    <row r="103">
      <c r="A103" t="inlineStr">
        <is>
          <t>shared</t>
        </is>
      </c>
      <c r="B103" t="inlineStr">
        <is>
          <t>ra2_car_driveby</t>
        </is>
      </c>
      <c r="C103" t="inlineStr">
        <is>
          <t>Drive By Car</t>
        </is>
      </c>
      <c r="D103" s="6" t="inlineStr">
        <is>
          <t>ScoutVehicle</t>
        </is>
      </c>
      <c r="E103" s="6" t="n">
        <v>25000</v>
      </c>
      <c r="F103" s="6" t="n">
        <v>100</v>
      </c>
      <c r="G103" t="inlineStr">
        <is>
          <t>Scout</t>
        </is>
      </c>
      <c r="H103" s="6" t="n">
        <v>1</v>
      </c>
      <c r="I103" s="6" t="n">
        <v>1</v>
      </c>
      <c r="J103" s="6" t="n">
        <v>1</v>
      </c>
      <c r="K103" s="6" t="n"/>
      <c r="P103">
        <f>MAX(P104)</f>
        <v/>
      </c>
      <c r="S103">
        <f>S104</f>
        <v/>
      </c>
      <c r="T103">
        <f>(E103/100000+F103/100+(P103/1000)*J103/5+S103/200)*200*I103*H103</f>
        <v/>
      </c>
      <c r="U103">
        <f>((E103*F103/25000)+((P103/1000)*J103*S103/2.5))*I103*H103</f>
        <v/>
      </c>
      <c r="V103">
        <f>(E103*F103*(P103/1000)*J103*S103*I103*H103)/12500000</f>
        <v/>
      </c>
      <c r="W103">
        <f>(T103+U103+V103)/3</f>
        <v/>
      </c>
      <c r="X103" s="6" t="n">
        <v>1000</v>
      </c>
      <c r="Y103">
        <f>IFERROR(W103-X103,"")</f>
        <v/>
      </c>
      <c r="Z103">
        <f>IFERROR(ABS(Y103)/MAX(X103,1),"")</f>
        <v/>
      </c>
      <c r="AA103">
        <f>IFERROR((X103-(((E103/100000+F103/100+S103/200)*200*I103*H103)+((E103*F103/25000)*I103*H103))/3)/(((J103/5)*200*I103*H103)+((J103*S103/2.5)*I103*H103)+((E103*F103*J103*S103*I103*H103)/12500000))/3*1000,"")</f>
        <v/>
      </c>
    </row>
    <row r="104">
      <c r="B104" s="7" t="inlineStr">
        <is>
          <t xml:space="preserve">  ↳ RA220mmrapid</t>
        </is>
      </c>
      <c r="C104" s="7" t="inlineStr">
        <is>
          <t>Armament</t>
        </is>
      </c>
      <c r="L104" s="6" t="n">
        <v>4000</v>
      </c>
      <c r="M104" s="6" t="n">
        <v>15</v>
      </c>
      <c r="N104" s="6" t="n">
        <v>1</v>
      </c>
      <c r="O104" s="6" t="n"/>
      <c r="P104" s="6" t="n">
        <v>5000</v>
      </c>
      <c r="Q104" s="6" t="n">
        <v>0.875</v>
      </c>
      <c r="R104">
        <f>M104+IF(N104&gt;1,N(O104)*(N104-1),0)</f>
        <v/>
      </c>
      <c r="S104">
        <f>IFERROR(L104*MAX(N104,1)/R104*Q104*IF(ISBLANK(K103),1,K103),0)</f>
        <v/>
      </c>
      <c r="AB104" s="7" t="inlineStr">
        <is>
          <t>^RA2SmallArms, ^RA2Chaingun</t>
        </is>
      </c>
    </row>
    <row r="105">
      <c r="A105" t="inlineStr">
        <is>
          <t>shared</t>
        </is>
      </c>
      <c r="B105" t="inlineStr">
        <is>
          <t>ra2_cona_driveby</t>
        </is>
      </c>
      <c r="C105" t="inlineStr">
        <is>
          <t>Drive By Car</t>
        </is>
      </c>
      <c r="D105" s="6" t="inlineStr">
        <is>
          <t>ScoutVehicle</t>
        </is>
      </c>
      <c r="E105" s="6" t="n">
        <v>25000</v>
      </c>
      <c r="F105" s="6" t="n">
        <v>100</v>
      </c>
      <c r="G105" t="inlineStr">
        <is>
          <t>Scout</t>
        </is>
      </c>
      <c r="H105" s="6" t="n">
        <v>1</v>
      </c>
      <c r="I105" s="6" t="n">
        <v>1</v>
      </c>
      <c r="J105" s="6" t="n">
        <v>1</v>
      </c>
      <c r="K105" s="6" t="n"/>
      <c r="P105">
        <f>MAX(P106)</f>
        <v/>
      </c>
      <c r="S105">
        <f>S106</f>
        <v/>
      </c>
      <c r="T105">
        <f>(E105/100000+F105/100+(P105/1000)*J105/5+S105/200)*200*I105*H105</f>
        <v/>
      </c>
      <c r="U105">
        <f>((E105*F105/25000)+((P105/1000)*J105*S105/2.5))*I105*H105</f>
        <v/>
      </c>
      <c r="V105">
        <f>(E105*F105*(P105/1000)*J105*S105*I105*H105)/12500000</f>
        <v/>
      </c>
      <c r="W105">
        <f>(T105+U105+V105)/3</f>
        <v/>
      </c>
      <c r="X105" s="6" t="n">
        <v>1000</v>
      </c>
      <c r="Y105">
        <f>IFERROR(W105-X105,"")</f>
        <v/>
      </c>
      <c r="Z105">
        <f>IFERROR(ABS(Y105)/MAX(X105,1),"")</f>
        <v/>
      </c>
      <c r="AA105">
        <f>IFERROR((X105-(((E105/100000+F105/100+S105/200)*200*I105*H105)+((E105*F105/25000)*I105*H105))/3)/(((J105/5)*200*I105*H105)+((J105*S105/2.5)*I105*H105)+((E105*F105*J105*S105*I105*H105)/12500000))/3*1000,"")</f>
        <v/>
      </c>
    </row>
    <row r="106">
      <c r="B106" s="7" t="inlineStr">
        <is>
          <t xml:space="preserve">  ↳ RA220mmrapid</t>
        </is>
      </c>
      <c r="C106" s="7" t="inlineStr">
        <is>
          <t>Armament</t>
        </is>
      </c>
      <c r="L106" s="6" t="n">
        <v>4000</v>
      </c>
      <c r="M106" s="6" t="n">
        <v>15</v>
      </c>
      <c r="N106" s="6" t="n">
        <v>1</v>
      </c>
      <c r="O106" s="6" t="n"/>
      <c r="P106" s="6" t="n">
        <v>5000</v>
      </c>
      <c r="Q106" s="6" t="n">
        <v>0.875</v>
      </c>
      <c r="R106">
        <f>M106+IF(N106&gt;1,N(O106)*(N106-1),0)</f>
        <v/>
      </c>
      <c r="S106">
        <f>IFERROR(L106*MAX(N106,1)/R106*Q106*IF(ISBLANK(K105),1,K105),0)</f>
        <v/>
      </c>
      <c r="AB106" s="7" t="inlineStr">
        <is>
          <t>^RA2SmallArms, ^RA2Chaingun</t>
        </is>
      </c>
    </row>
    <row r="107">
      <c r="A107" t="inlineStr">
        <is>
          <t>shared</t>
        </is>
      </c>
      <c r="B107" t="inlineStr">
        <is>
          <t>ra2_cop_driveby</t>
        </is>
      </c>
      <c r="C107" t="inlineStr">
        <is>
          <t>Drive By Car</t>
        </is>
      </c>
      <c r="D107" s="6" t="inlineStr">
        <is>
          <t>ScoutVehicle</t>
        </is>
      </c>
      <c r="E107" s="6" t="n">
        <v>25000</v>
      </c>
      <c r="F107" s="6" t="n">
        <v>100</v>
      </c>
      <c r="G107" t="inlineStr">
        <is>
          <t>Scout</t>
        </is>
      </c>
      <c r="H107" s="6" t="n">
        <v>1</v>
      </c>
      <c r="I107" s="6" t="n">
        <v>1</v>
      </c>
      <c r="J107" s="6" t="n">
        <v>1</v>
      </c>
      <c r="K107" s="6" t="n"/>
      <c r="P107">
        <f>MAX(P108)</f>
        <v/>
      </c>
      <c r="S107">
        <f>S108</f>
        <v/>
      </c>
      <c r="T107">
        <f>(E107/100000+F107/100+(P107/1000)*J107/5+S107/200)*200*I107*H107</f>
        <v/>
      </c>
      <c r="U107">
        <f>((E107*F107/25000)+((P107/1000)*J107*S107/2.5))*I107*H107</f>
        <v/>
      </c>
      <c r="V107">
        <f>(E107*F107*(P107/1000)*J107*S107*I107*H107)/12500000</f>
        <v/>
      </c>
      <c r="W107">
        <f>(T107+U107+V107)/3</f>
        <v/>
      </c>
      <c r="X107" s="6" t="n">
        <v>1000</v>
      </c>
      <c r="Y107">
        <f>IFERROR(W107-X107,"")</f>
        <v/>
      </c>
      <c r="Z107">
        <f>IFERROR(ABS(Y107)/MAX(X107,1),"")</f>
        <v/>
      </c>
      <c r="AA107">
        <f>IFERROR((X107-(((E107/100000+F107/100+S107/200)*200*I107*H107)+((E107*F107/25000)*I107*H107))/3)/(((J107/5)*200*I107*H107)+((J107*S107/2.5)*I107*H107)+((E107*F107*J107*S107*I107*H107)/12500000))/3*1000,"")</f>
        <v/>
      </c>
    </row>
    <row r="108">
      <c r="B108" s="7" t="inlineStr">
        <is>
          <t xml:space="preserve">  ↳ RA220mmrapid</t>
        </is>
      </c>
      <c r="C108" s="7" t="inlineStr">
        <is>
          <t>Armament</t>
        </is>
      </c>
      <c r="L108" s="6" t="n">
        <v>4000</v>
      </c>
      <c r="M108" s="6" t="n">
        <v>15</v>
      </c>
      <c r="N108" s="6" t="n">
        <v>1</v>
      </c>
      <c r="O108" s="6" t="n"/>
      <c r="P108" s="6" t="n">
        <v>5000</v>
      </c>
      <c r="Q108" s="6" t="n">
        <v>0.875</v>
      </c>
      <c r="R108">
        <f>M108+IF(N108&gt;1,N(O108)*(N108-1),0)</f>
        <v/>
      </c>
      <c r="S108">
        <f>IFERROR(L108*MAX(N108,1)/R108*Q108*IF(ISBLANK(K107),1,K107),0)</f>
        <v/>
      </c>
      <c r="AB108" s="7" t="inlineStr">
        <is>
          <t>^RA2SmallArms, ^RA2Chaingun</t>
        </is>
      </c>
    </row>
    <row r="109">
      <c r="A109" t="inlineStr">
        <is>
          <t>shared</t>
        </is>
      </c>
      <c r="B109" t="inlineStr">
        <is>
          <t>ra2_ddbx_driveby</t>
        </is>
      </c>
      <c r="C109" t="inlineStr">
        <is>
          <t>Drive By Car</t>
        </is>
      </c>
      <c r="D109" s="6" t="inlineStr">
        <is>
          <t>ScoutVehicle</t>
        </is>
      </c>
      <c r="E109" s="6" t="n">
        <v>25000</v>
      </c>
      <c r="F109" s="6" t="n">
        <v>100</v>
      </c>
      <c r="G109" t="inlineStr">
        <is>
          <t>Scout</t>
        </is>
      </c>
      <c r="H109" s="6" t="n">
        <v>1</v>
      </c>
      <c r="I109" s="6" t="n">
        <v>1</v>
      </c>
      <c r="J109" s="6" t="n">
        <v>1</v>
      </c>
      <c r="K109" s="6" t="n"/>
      <c r="P109">
        <f>MAX(P110)</f>
        <v/>
      </c>
      <c r="S109">
        <f>S110</f>
        <v/>
      </c>
      <c r="T109">
        <f>(E109/100000+F109/100+(P109/1000)*J109/5+S109/200)*200*I109*H109</f>
        <v/>
      </c>
      <c r="U109">
        <f>((E109*F109/25000)+((P109/1000)*J109*S109/2.5))*I109*H109</f>
        <v/>
      </c>
      <c r="V109">
        <f>(E109*F109*(P109/1000)*J109*S109*I109*H109)/12500000</f>
        <v/>
      </c>
      <c r="W109">
        <f>(T109+U109+V109)/3</f>
        <v/>
      </c>
      <c r="X109" s="6" t="n">
        <v>1000</v>
      </c>
      <c r="Y109">
        <f>IFERROR(W109-X109,"")</f>
        <v/>
      </c>
      <c r="Z109">
        <f>IFERROR(ABS(Y109)/MAX(X109,1),"")</f>
        <v/>
      </c>
      <c r="AA109">
        <f>IFERROR((X109-(((E109/100000+F109/100+S109/200)*200*I109*H109)+((E109*F109/25000)*I109*H109))/3)/(((J109/5)*200*I109*H109)+((J109*S109/2.5)*I109*H109)+((E109*F109*J109*S109*I109*H109)/12500000))/3*1000,"")</f>
        <v/>
      </c>
    </row>
    <row r="110">
      <c r="B110" s="7" t="inlineStr">
        <is>
          <t xml:space="preserve">  ↳ RA220mmrapid</t>
        </is>
      </c>
      <c r="C110" s="7" t="inlineStr">
        <is>
          <t>Armament</t>
        </is>
      </c>
      <c r="L110" s="6" t="n">
        <v>4000</v>
      </c>
      <c r="M110" s="6" t="n">
        <v>15</v>
      </c>
      <c r="N110" s="6" t="n">
        <v>1</v>
      </c>
      <c r="O110" s="6" t="n"/>
      <c r="P110" s="6" t="n">
        <v>5000</v>
      </c>
      <c r="Q110" s="6" t="n">
        <v>0.875</v>
      </c>
      <c r="R110">
        <f>M110+IF(N110&gt;1,N(O110)*(N110-1),0)</f>
        <v/>
      </c>
      <c r="S110">
        <f>IFERROR(L110*MAX(N110,1)/R110*Q110*IF(ISBLANK(K109),1,K109),0)</f>
        <v/>
      </c>
      <c r="AB110" s="7" t="inlineStr">
        <is>
          <t>^RA2SmallArms, ^RA2Chaingun</t>
        </is>
      </c>
    </row>
    <row r="111">
      <c r="A111" t="inlineStr">
        <is>
          <t>shared</t>
        </is>
      </c>
      <c r="B111" t="inlineStr">
        <is>
          <t>ra2_euroc_driveby</t>
        </is>
      </c>
      <c r="C111" t="inlineStr">
        <is>
          <t>Drive By Car</t>
        </is>
      </c>
      <c r="D111" s="6" t="inlineStr">
        <is>
          <t>ScoutVehicle</t>
        </is>
      </c>
      <c r="E111" s="6" t="n">
        <v>25000</v>
      </c>
      <c r="F111" s="6" t="n">
        <v>100</v>
      </c>
      <c r="G111" t="inlineStr">
        <is>
          <t>Scout</t>
        </is>
      </c>
      <c r="H111" s="6" t="n">
        <v>1</v>
      </c>
      <c r="I111" s="6" t="n">
        <v>1</v>
      </c>
      <c r="J111" s="6" t="n">
        <v>1</v>
      </c>
      <c r="K111" s="6" t="n"/>
      <c r="P111">
        <f>MAX(P112)</f>
        <v/>
      </c>
      <c r="S111">
        <f>S112</f>
        <v/>
      </c>
      <c r="T111">
        <f>(E111/100000+F111/100+(P111/1000)*J111/5+S111/200)*200*I111*H111</f>
        <v/>
      </c>
      <c r="U111">
        <f>((E111*F111/25000)+((P111/1000)*J111*S111/2.5))*I111*H111</f>
        <v/>
      </c>
      <c r="V111">
        <f>(E111*F111*(P111/1000)*J111*S111*I111*H111)/12500000</f>
        <v/>
      </c>
      <c r="W111">
        <f>(T111+U111+V111)/3</f>
        <v/>
      </c>
      <c r="X111" s="6" t="n">
        <v>1000</v>
      </c>
      <c r="Y111">
        <f>IFERROR(W111-X111,"")</f>
        <v/>
      </c>
      <c r="Z111">
        <f>IFERROR(ABS(Y111)/MAX(X111,1),"")</f>
        <v/>
      </c>
      <c r="AA111">
        <f>IFERROR((X111-(((E111/100000+F111/100+S111/200)*200*I111*H111)+((E111*F111/25000)*I111*H111))/3)/(((J111/5)*200*I111*H111)+((J111*S111/2.5)*I111*H111)+((E111*F111*J111*S111*I111*H111)/12500000))/3*1000,"")</f>
        <v/>
      </c>
    </row>
    <row r="112">
      <c r="B112" s="7" t="inlineStr">
        <is>
          <t xml:space="preserve">  ↳ RA220mmrapid</t>
        </is>
      </c>
      <c r="C112" s="7" t="inlineStr">
        <is>
          <t>Armament</t>
        </is>
      </c>
      <c r="L112" s="6" t="n">
        <v>4000</v>
      </c>
      <c r="M112" s="6" t="n">
        <v>15</v>
      </c>
      <c r="N112" s="6" t="n">
        <v>1</v>
      </c>
      <c r="O112" s="6" t="n"/>
      <c r="P112" s="6" t="n">
        <v>5000</v>
      </c>
      <c r="Q112" s="6" t="n">
        <v>0.875</v>
      </c>
      <c r="R112">
        <f>M112+IF(N112&gt;1,N(O112)*(N112-1),0)</f>
        <v/>
      </c>
      <c r="S112">
        <f>IFERROR(L112*MAX(N112,1)/R112*Q112*IF(ISBLANK(K111),1,K111),0)</f>
        <v/>
      </c>
      <c r="AB112" s="7" t="inlineStr">
        <is>
          <t>^RA2SmallArms, ^RA2Chaingun</t>
        </is>
      </c>
    </row>
    <row r="113">
      <c r="A113" t="inlineStr">
        <is>
          <t>shared</t>
        </is>
      </c>
      <c r="B113" t="inlineStr">
        <is>
          <t>ra2_jeep_driveby</t>
        </is>
      </c>
      <c r="C113" t="inlineStr">
        <is>
          <t>Drive By Car</t>
        </is>
      </c>
      <c r="D113" s="6" t="inlineStr">
        <is>
          <t>ScoutVehicle</t>
        </is>
      </c>
      <c r="E113" s="6" t="n">
        <v>25000</v>
      </c>
      <c r="F113" s="6" t="n">
        <v>100</v>
      </c>
      <c r="G113" t="inlineStr">
        <is>
          <t>Scout</t>
        </is>
      </c>
      <c r="H113" s="6" t="n">
        <v>1</v>
      </c>
      <c r="I113" s="6" t="n">
        <v>1</v>
      </c>
      <c r="J113" s="6" t="n">
        <v>1</v>
      </c>
      <c r="K113" s="6" t="n"/>
      <c r="P113">
        <f>MAX(P114)</f>
        <v/>
      </c>
      <c r="S113">
        <f>S114</f>
        <v/>
      </c>
      <c r="T113">
        <f>(E113/100000+F113/100+(P113/1000)*J113/5+S113/200)*200*I113*H113</f>
        <v/>
      </c>
      <c r="U113">
        <f>((E113*F113/25000)+((P113/1000)*J113*S113/2.5))*I113*H113</f>
        <v/>
      </c>
      <c r="V113">
        <f>(E113*F113*(P113/1000)*J113*S113*I113*H113)/12500000</f>
        <v/>
      </c>
      <c r="W113">
        <f>(T113+U113+V113)/3</f>
        <v/>
      </c>
      <c r="X113" s="6" t="n">
        <v>1000</v>
      </c>
      <c r="Y113">
        <f>IFERROR(W113-X113,"")</f>
        <v/>
      </c>
      <c r="Z113">
        <f>IFERROR(ABS(Y113)/MAX(X113,1),"")</f>
        <v/>
      </c>
      <c r="AA113">
        <f>IFERROR((X113-(((E113/100000+F113/100+S113/200)*200*I113*H113)+((E113*F113/25000)*I113*H113))/3)/(((J113/5)*200*I113*H113)+((J113*S113/2.5)*I113*H113)+((E113*F113*J113*S113*I113*H113)/12500000))/3*1000,"")</f>
        <v/>
      </c>
    </row>
    <row r="114">
      <c r="B114" s="7" t="inlineStr">
        <is>
          <t xml:space="preserve">  ↳ RA220mmrapid</t>
        </is>
      </c>
      <c r="C114" s="7" t="inlineStr">
        <is>
          <t>Armament</t>
        </is>
      </c>
      <c r="L114" s="6" t="n">
        <v>4000</v>
      </c>
      <c r="M114" s="6" t="n">
        <v>15</v>
      </c>
      <c r="N114" s="6" t="n">
        <v>1</v>
      </c>
      <c r="O114" s="6" t="n"/>
      <c r="P114" s="6" t="n">
        <v>5000</v>
      </c>
      <c r="Q114" s="6" t="n">
        <v>0.875</v>
      </c>
      <c r="R114">
        <f>M114+IF(N114&gt;1,N(O114)*(N114-1),0)</f>
        <v/>
      </c>
      <c r="S114">
        <f>IFERROR(L114*MAX(N114,1)/R114*Q114*IF(ISBLANK(K113),1,K113),0)</f>
        <v/>
      </c>
      <c r="AB114" s="7" t="inlineStr">
        <is>
          <t>^RA2SmallArms, ^RA2Chaingun</t>
        </is>
      </c>
    </row>
    <row r="115">
      <c r="A115" t="inlineStr">
        <is>
          <t>shared</t>
        </is>
      </c>
      <c r="B115" t="inlineStr">
        <is>
          <t>ra2_limo_driveby</t>
        </is>
      </c>
      <c r="C115" t="inlineStr">
        <is>
          <t>Drive By Car</t>
        </is>
      </c>
      <c r="D115" s="6" t="inlineStr">
        <is>
          <t>ScoutVehicle</t>
        </is>
      </c>
      <c r="E115" s="6" t="n">
        <v>25000</v>
      </c>
      <c r="F115" s="6" t="n">
        <v>100</v>
      </c>
      <c r="G115" t="inlineStr">
        <is>
          <t>Scout</t>
        </is>
      </c>
      <c r="H115" s="6" t="n">
        <v>1</v>
      </c>
      <c r="I115" s="6" t="n">
        <v>1</v>
      </c>
      <c r="J115" s="6" t="n">
        <v>1</v>
      </c>
      <c r="K115" s="6" t="n"/>
      <c r="P115">
        <f>MAX(P116)</f>
        <v/>
      </c>
      <c r="S115">
        <f>S116</f>
        <v/>
      </c>
      <c r="T115">
        <f>(E115/100000+F115/100+(P115/1000)*J115/5+S115/200)*200*I115*H115</f>
        <v/>
      </c>
      <c r="U115">
        <f>((E115*F115/25000)+((P115/1000)*J115*S115/2.5))*I115*H115</f>
        <v/>
      </c>
      <c r="V115">
        <f>(E115*F115*(P115/1000)*J115*S115*I115*H115)/12500000</f>
        <v/>
      </c>
      <c r="W115">
        <f>(T115+U115+V115)/3</f>
        <v/>
      </c>
      <c r="X115" s="6" t="n">
        <v>1000</v>
      </c>
      <c r="Y115">
        <f>IFERROR(W115-X115,"")</f>
        <v/>
      </c>
      <c r="Z115">
        <f>IFERROR(ABS(Y115)/MAX(X115,1),"")</f>
        <v/>
      </c>
      <c r="AA115">
        <f>IFERROR((X115-(((E115/100000+F115/100+S115/200)*200*I115*H115)+((E115*F115/25000)*I115*H115))/3)/(((J115/5)*200*I115*H115)+((J115*S115/2.5)*I115*H115)+((E115*F115*J115*S115*I115*H115)/12500000))/3*1000,"")</f>
        <v/>
      </c>
    </row>
    <row r="116">
      <c r="B116" s="7" t="inlineStr">
        <is>
          <t xml:space="preserve">  ↳ RA220mmrapid</t>
        </is>
      </c>
      <c r="C116" s="7" t="inlineStr">
        <is>
          <t>Armament</t>
        </is>
      </c>
      <c r="L116" s="6" t="n">
        <v>4000</v>
      </c>
      <c r="M116" s="6" t="n">
        <v>15</v>
      </c>
      <c r="N116" s="6" t="n">
        <v>1</v>
      </c>
      <c r="O116" s="6" t="n"/>
      <c r="P116" s="6" t="n">
        <v>5000</v>
      </c>
      <c r="Q116" s="6" t="n">
        <v>0.875</v>
      </c>
      <c r="R116">
        <f>M116+IF(N116&gt;1,N(O116)*(N116-1),0)</f>
        <v/>
      </c>
      <c r="S116">
        <f>IFERROR(L116*MAX(N116,1)/R116*Q116*IF(ISBLANK(K115),1,K115),0)</f>
        <v/>
      </c>
      <c r="AB116" s="7" t="inlineStr">
        <is>
          <t>^RA2SmallArms, ^RA2Chaingun</t>
        </is>
      </c>
    </row>
    <row r="117">
      <c r="A117" t="inlineStr">
        <is>
          <t>shared</t>
        </is>
      </c>
      <c r="B117" t="inlineStr">
        <is>
          <t>ra2_ptruck_driveby</t>
        </is>
      </c>
      <c r="C117" t="inlineStr">
        <is>
          <t>Drive By Car</t>
        </is>
      </c>
      <c r="D117" s="6" t="inlineStr">
        <is>
          <t>ScoutVehicle</t>
        </is>
      </c>
      <c r="E117" s="6" t="n">
        <v>25000</v>
      </c>
      <c r="F117" s="6" t="n">
        <v>100</v>
      </c>
      <c r="G117" t="inlineStr">
        <is>
          <t>Scout</t>
        </is>
      </c>
      <c r="H117" s="6" t="n">
        <v>1</v>
      </c>
      <c r="I117" s="6" t="n">
        <v>1</v>
      </c>
      <c r="J117" s="6" t="n">
        <v>1</v>
      </c>
      <c r="K117" s="6" t="n"/>
      <c r="P117">
        <f>MAX(P118)</f>
        <v/>
      </c>
      <c r="S117">
        <f>S118</f>
        <v/>
      </c>
      <c r="T117">
        <f>(E117/100000+F117/100+(P117/1000)*J117/5+S117/200)*200*I117*H117</f>
        <v/>
      </c>
      <c r="U117">
        <f>((E117*F117/25000)+((P117/1000)*J117*S117/2.5))*I117*H117</f>
        <v/>
      </c>
      <c r="V117">
        <f>(E117*F117*(P117/1000)*J117*S117*I117*H117)/12500000</f>
        <v/>
      </c>
      <c r="W117">
        <f>(T117+U117+V117)/3</f>
        <v/>
      </c>
      <c r="X117" s="6" t="n">
        <v>1000</v>
      </c>
      <c r="Y117">
        <f>IFERROR(W117-X117,"")</f>
        <v/>
      </c>
      <c r="Z117">
        <f>IFERROR(ABS(Y117)/MAX(X117,1),"")</f>
        <v/>
      </c>
      <c r="AA117">
        <f>IFERROR((X117-(((E117/100000+F117/100+S117/200)*200*I117*H117)+((E117*F117/25000)*I117*H117))/3)/(((J117/5)*200*I117*H117)+((J117*S117/2.5)*I117*H117)+((E117*F117*J117*S117*I117*H117)/12500000))/3*1000,"")</f>
        <v/>
      </c>
    </row>
    <row r="118">
      <c r="B118" s="7" t="inlineStr">
        <is>
          <t xml:space="preserve">  ↳ RA220mmrapid</t>
        </is>
      </c>
      <c r="C118" s="7" t="inlineStr">
        <is>
          <t>Armament</t>
        </is>
      </c>
      <c r="L118" s="6" t="n">
        <v>4000</v>
      </c>
      <c r="M118" s="6" t="n">
        <v>15</v>
      </c>
      <c r="N118" s="6" t="n">
        <v>1</v>
      </c>
      <c r="O118" s="6" t="n"/>
      <c r="P118" s="6" t="n">
        <v>5000</v>
      </c>
      <c r="Q118" s="6" t="n">
        <v>0.875</v>
      </c>
      <c r="R118">
        <f>M118+IF(N118&gt;1,N(O118)*(N118-1),0)</f>
        <v/>
      </c>
      <c r="S118">
        <f>IFERROR(L118*MAX(N118,1)/R118*Q118*IF(ISBLANK(K117),1,K117),0)</f>
        <v/>
      </c>
      <c r="AB118" s="7" t="inlineStr">
        <is>
          <t>^RA2SmallArms, ^RA2Chaingun</t>
        </is>
      </c>
    </row>
    <row r="119">
      <c r="A119" t="inlineStr">
        <is>
          <t>shared</t>
        </is>
      </c>
      <c r="B119" t="inlineStr">
        <is>
          <t>ra2_stang_driveby</t>
        </is>
      </c>
      <c r="C119" t="inlineStr">
        <is>
          <t>Drive By Car</t>
        </is>
      </c>
      <c r="D119" s="6" t="inlineStr">
        <is>
          <t>ScoutVehicle</t>
        </is>
      </c>
      <c r="E119" s="6" t="n">
        <v>25000</v>
      </c>
      <c r="F119" s="6" t="n">
        <v>100</v>
      </c>
      <c r="G119" t="inlineStr">
        <is>
          <t>Scout</t>
        </is>
      </c>
      <c r="H119" s="6" t="n">
        <v>1</v>
      </c>
      <c r="I119" s="6" t="n">
        <v>1</v>
      </c>
      <c r="J119" s="6" t="n">
        <v>1</v>
      </c>
      <c r="K119" s="6" t="n"/>
      <c r="P119">
        <f>MAX(P120)</f>
        <v/>
      </c>
      <c r="S119">
        <f>S120</f>
        <v/>
      </c>
      <c r="T119">
        <f>(E119/100000+F119/100+(P119/1000)*J119/5+S119/200)*200*I119*H119</f>
        <v/>
      </c>
      <c r="U119">
        <f>((E119*F119/25000)+((P119/1000)*J119*S119/2.5))*I119*H119</f>
        <v/>
      </c>
      <c r="V119">
        <f>(E119*F119*(P119/1000)*J119*S119*I119*H119)/12500000</f>
        <v/>
      </c>
      <c r="W119">
        <f>(T119+U119+V119)/3</f>
        <v/>
      </c>
      <c r="X119" s="6" t="n">
        <v>1000</v>
      </c>
      <c r="Y119">
        <f>IFERROR(W119-X119,"")</f>
        <v/>
      </c>
      <c r="Z119">
        <f>IFERROR(ABS(Y119)/MAX(X119,1),"")</f>
        <v/>
      </c>
      <c r="AA119">
        <f>IFERROR((X119-(((E119/100000+F119/100+S119/200)*200*I119*H119)+((E119*F119/25000)*I119*H119))/3)/(((J119/5)*200*I119*H119)+((J119*S119/2.5)*I119*H119)+((E119*F119*J119*S119*I119*H119)/12500000))/3*1000,"")</f>
        <v/>
      </c>
    </row>
    <row r="120">
      <c r="B120" s="7" t="inlineStr">
        <is>
          <t xml:space="preserve">  ↳ RA220mmrapid</t>
        </is>
      </c>
      <c r="C120" s="7" t="inlineStr">
        <is>
          <t>Armament</t>
        </is>
      </c>
      <c r="L120" s="6" t="n">
        <v>4000</v>
      </c>
      <c r="M120" s="6" t="n">
        <v>15</v>
      </c>
      <c r="N120" s="6" t="n">
        <v>1</v>
      </c>
      <c r="O120" s="6" t="n"/>
      <c r="P120" s="6" t="n">
        <v>5000</v>
      </c>
      <c r="Q120" s="6" t="n">
        <v>0.875</v>
      </c>
      <c r="R120">
        <f>M120+IF(N120&gt;1,N(O120)*(N120-1),0)</f>
        <v/>
      </c>
      <c r="S120">
        <f>IFERROR(L120*MAX(N120,1)/R120*Q120*IF(ISBLANK(K119),1,K119),0)</f>
        <v/>
      </c>
      <c r="AB120" s="7" t="inlineStr">
        <is>
          <t>^RA2SmallArms, ^RA2Chaingun</t>
        </is>
      </c>
    </row>
    <row r="121">
      <c r="A121" t="inlineStr">
        <is>
          <t>shared</t>
        </is>
      </c>
      <c r="B121" t="inlineStr">
        <is>
          <t>ra2_suvb_driveby</t>
        </is>
      </c>
      <c r="C121" t="inlineStr">
        <is>
          <t>Drive By Car</t>
        </is>
      </c>
      <c r="D121" s="6" t="inlineStr">
        <is>
          <t>ScoutVehicle</t>
        </is>
      </c>
      <c r="E121" s="6" t="n">
        <v>25000</v>
      </c>
      <c r="F121" s="6" t="n">
        <v>100</v>
      </c>
      <c r="G121" t="inlineStr">
        <is>
          <t>Scout</t>
        </is>
      </c>
      <c r="H121" s="6" t="n">
        <v>1</v>
      </c>
      <c r="I121" s="6" t="n">
        <v>1</v>
      </c>
      <c r="J121" s="6" t="n">
        <v>1</v>
      </c>
      <c r="K121" s="6" t="n"/>
      <c r="P121">
        <f>MAX(P122)</f>
        <v/>
      </c>
      <c r="S121">
        <f>S122</f>
        <v/>
      </c>
      <c r="T121">
        <f>(E121/100000+F121/100+(P121/1000)*J121/5+S121/200)*200*I121*H121</f>
        <v/>
      </c>
      <c r="U121">
        <f>((E121*F121/25000)+((P121/1000)*J121*S121/2.5))*I121*H121</f>
        <v/>
      </c>
      <c r="V121">
        <f>(E121*F121*(P121/1000)*J121*S121*I121*H121)/12500000</f>
        <v/>
      </c>
      <c r="W121">
        <f>(T121+U121+V121)/3</f>
        <v/>
      </c>
      <c r="X121" s="6" t="n">
        <v>1000</v>
      </c>
      <c r="Y121">
        <f>IFERROR(W121-X121,"")</f>
        <v/>
      </c>
      <c r="Z121">
        <f>IFERROR(ABS(Y121)/MAX(X121,1),"")</f>
        <v/>
      </c>
      <c r="AA121">
        <f>IFERROR((X121-(((E121/100000+F121/100+S121/200)*200*I121*H121)+((E121*F121/25000)*I121*H121))/3)/(((J121/5)*200*I121*H121)+((J121*S121/2.5)*I121*H121)+((E121*F121*J121*S121*I121*H121)/12500000))/3*1000,"")</f>
        <v/>
      </c>
    </row>
    <row r="122">
      <c r="B122" s="7" t="inlineStr">
        <is>
          <t xml:space="preserve">  ↳ RA220mmrapid</t>
        </is>
      </c>
      <c r="C122" s="7" t="inlineStr">
        <is>
          <t>Armament</t>
        </is>
      </c>
      <c r="L122" s="6" t="n">
        <v>4000</v>
      </c>
      <c r="M122" s="6" t="n">
        <v>15</v>
      </c>
      <c r="N122" s="6" t="n">
        <v>1</v>
      </c>
      <c r="O122" s="6" t="n"/>
      <c r="P122" s="6" t="n">
        <v>5000</v>
      </c>
      <c r="Q122" s="6" t="n">
        <v>0.875</v>
      </c>
      <c r="R122">
        <f>M122+IF(N122&gt;1,N(O122)*(N122-1),0)</f>
        <v/>
      </c>
      <c r="S122">
        <f>IFERROR(L122*MAX(N122,1)/R122*Q122*IF(ISBLANK(K121),1,K121),0)</f>
        <v/>
      </c>
      <c r="AB122" s="7" t="inlineStr">
        <is>
          <t>^RA2SmallArms, ^RA2Chaingun</t>
        </is>
      </c>
    </row>
    <row r="123">
      <c r="A123" t="inlineStr">
        <is>
          <t>shared</t>
        </is>
      </c>
      <c r="B123" t="inlineStr">
        <is>
          <t>ra2_suvw_driveby</t>
        </is>
      </c>
      <c r="C123" t="inlineStr">
        <is>
          <t>Drive By Car</t>
        </is>
      </c>
      <c r="D123" s="6" t="inlineStr">
        <is>
          <t>ScoutVehicle</t>
        </is>
      </c>
      <c r="E123" s="6" t="n">
        <v>25000</v>
      </c>
      <c r="F123" s="6" t="n">
        <v>100</v>
      </c>
      <c r="G123" t="inlineStr">
        <is>
          <t>Scout</t>
        </is>
      </c>
      <c r="H123" s="6" t="n">
        <v>1</v>
      </c>
      <c r="I123" s="6" t="n">
        <v>1</v>
      </c>
      <c r="J123" s="6" t="n">
        <v>1</v>
      </c>
      <c r="K123" s="6" t="n"/>
      <c r="P123">
        <f>MAX(P124)</f>
        <v/>
      </c>
      <c r="S123">
        <f>S124</f>
        <v/>
      </c>
      <c r="T123">
        <f>(E123/100000+F123/100+(P123/1000)*J123/5+S123/200)*200*I123*H123</f>
        <v/>
      </c>
      <c r="U123">
        <f>((E123*F123/25000)+((P123/1000)*J123*S123/2.5))*I123*H123</f>
        <v/>
      </c>
      <c r="V123">
        <f>(E123*F123*(P123/1000)*J123*S123*I123*H123)/12500000</f>
        <v/>
      </c>
      <c r="W123">
        <f>(T123+U123+V123)/3</f>
        <v/>
      </c>
      <c r="X123" s="6" t="n">
        <v>1000</v>
      </c>
      <c r="Y123">
        <f>IFERROR(W123-X123,"")</f>
        <v/>
      </c>
      <c r="Z123">
        <f>IFERROR(ABS(Y123)/MAX(X123,1),"")</f>
        <v/>
      </c>
      <c r="AA123">
        <f>IFERROR((X123-(((E123/100000+F123/100+S123/200)*200*I123*H123)+((E123*F123/25000)*I123*H123))/3)/(((J123/5)*200*I123*H123)+((J123*S123/2.5)*I123*H123)+((E123*F123*J123*S123*I123*H123)/12500000))/3*1000,"")</f>
        <v/>
      </c>
    </row>
    <row r="124">
      <c r="B124" s="7" t="inlineStr">
        <is>
          <t xml:space="preserve">  ↳ RA220mmrapid</t>
        </is>
      </c>
      <c r="C124" s="7" t="inlineStr">
        <is>
          <t>Armament</t>
        </is>
      </c>
      <c r="L124" s="6" t="n">
        <v>4000</v>
      </c>
      <c r="M124" s="6" t="n">
        <v>15</v>
      </c>
      <c r="N124" s="6" t="n">
        <v>1</v>
      </c>
      <c r="O124" s="6" t="n"/>
      <c r="P124" s="6" t="n">
        <v>5000</v>
      </c>
      <c r="Q124" s="6" t="n">
        <v>0.875</v>
      </c>
      <c r="R124">
        <f>M124+IF(N124&gt;1,N(O124)*(N124-1),0)</f>
        <v/>
      </c>
      <c r="S124">
        <f>IFERROR(L124*MAX(N124,1)/R124*Q124*IF(ISBLANK(K123),1,K123),0)</f>
        <v/>
      </c>
      <c r="AB124" s="7" t="inlineStr">
        <is>
          <t>^RA2SmallArms, ^RA2Chaingun</t>
        </is>
      </c>
    </row>
    <row r="125">
      <c r="A125" t="inlineStr">
        <is>
          <t>shared</t>
        </is>
      </c>
      <c r="B125" t="inlineStr">
        <is>
          <t>ra2_taxi_driveby</t>
        </is>
      </c>
      <c r="C125" t="inlineStr">
        <is>
          <t>Drive By Car</t>
        </is>
      </c>
      <c r="D125" s="6" t="inlineStr">
        <is>
          <t>ScoutVehicle</t>
        </is>
      </c>
      <c r="E125" s="6" t="n">
        <v>25000</v>
      </c>
      <c r="F125" s="6" t="n">
        <v>100</v>
      </c>
      <c r="G125" t="inlineStr">
        <is>
          <t>Scout</t>
        </is>
      </c>
      <c r="H125" s="6" t="n">
        <v>1</v>
      </c>
      <c r="I125" s="6" t="n">
        <v>1</v>
      </c>
      <c r="J125" s="6" t="n">
        <v>1</v>
      </c>
      <c r="K125" s="6" t="n"/>
      <c r="P125">
        <f>MAX(P126)</f>
        <v/>
      </c>
      <c r="S125">
        <f>S126</f>
        <v/>
      </c>
      <c r="T125">
        <f>(E125/100000+F125/100+(P125/1000)*J125/5+S125/200)*200*I125*H125</f>
        <v/>
      </c>
      <c r="U125">
        <f>((E125*F125/25000)+((P125/1000)*J125*S125/2.5))*I125*H125</f>
        <v/>
      </c>
      <c r="V125">
        <f>(E125*F125*(P125/1000)*J125*S125*I125*H125)/12500000</f>
        <v/>
      </c>
      <c r="W125">
        <f>(T125+U125+V125)/3</f>
        <v/>
      </c>
      <c r="X125" s="6" t="n">
        <v>1000</v>
      </c>
      <c r="Y125">
        <f>IFERROR(W125-X125,"")</f>
        <v/>
      </c>
      <c r="Z125">
        <f>IFERROR(ABS(Y125)/MAX(X125,1),"")</f>
        <v/>
      </c>
      <c r="AA125">
        <f>IFERROR((X125-(((E125/100000+F125/100+S125/200)*200*I125*H125)+((E125*F125/25000)*I125*H125))/3)/(((J125/5)*200*I125*H125)+((J125*S125/2.5)*I125*H125)+((E125*F125*J125*S125*I125*H125)/12500000))/3*1000,"")</f>
        <v/>
      </c>
    </row>
    <row r="126">
      <c r="B126" s="7" t="inlineStr">
        <is>
          <t xml:space="preserve">  ↳ RA220mmrapid</t>
        </is>
      </c>
      <c r="C126" s="7" t="inlineStr">
        <is>
          <t>Armament</t>
        </is>
      </c>
      <c r="L126" s="6" t="n">
        <v>4000</v>
      </c>
      <c r="M126" s="6" t="n">
        <v>15</v>
      </c>
      <c r="N126" s="6" t="n">
        <v>1</v>
      </c>
      <c r="O126" s="6" t="n"/>
      <c r="P126" s="6" t="n">
        <v>5000</v>
      </c>
      <c r="Q126" s="6" t="n">
        <v>0.875</v>
      </c>
      <c r="R126">
        <f>M126+IF(N126&gt;1,N(O126)*(N126-1),0)</f>
        <v/>
      </c>
      <c r="S126">
        <f>IFERROR(L126*MAX(N126,1)/R126*Q126*IF(ISBLANK(K125),1,K125),0)</f>
        <v/>
      </c>
      <c r="AB126" s="7" t="inlineStr">
        <is>
          <t>^RA2SmallArms, ^RA2Chaingun</t>
        </is>
      </c>
    </row>
    <row r="127">
      <c r="A127" t="inlineStr">
        <is>
          <t>shared</t>
        </is>
      </c>
      <c r="B127" t="inlineStr">
        <is>
          <t>ra2_tractor_driveby</t>
        </is>
      </c>
      <c r="C127" t="inlineStr">
        <is>
          <t>Drive By Car</t>
        </is>
      </c>
      <c r="D127" s="6" t="inlineStr">
        <is>
          <t>ScoutVehicle</t>
        </is>
      </c>
      <c r="E127" s="6" t="n">
        <v>25000</v>
      </c>
      <c r="F127" s="6" t="n">
        <v>100</v>
      </c>
      <c r="G127" t="inlineStr">
        <is>
          <t>Scout</t>
        </is>
      </c>
      <c r="H127" s="6" t="n">
        <v>1</v>
      </c>
      <c r="I127" s="6" t="n">
        <v>1</v>
      </c>
      <c r="J127" s="6" t="n">
        <v>1</v>
      </c>
      <c r="K127" s="6" t="n"/>
      <c r="P127">
        <f>MAX(P128)</f>
        <v/>
      </c>
      <c r="S127">
        <f>S128</f>
        <v/>
      </c>
      <c r="T127">
        <f>(E127/100000+F127/100+(P127/1000)*J127/5+S127/200)*200*I127*H127</f>
        <v/>
      </c>
      <c r="U127">
        <f>((E127*F127/25000)+((P127/1000)*J127*S127/2.5))*I127*H127</f>
        <v/>
      </c>
      <c r="V127">
        <f>(E127*F127*(P127/1000)*J127*S127*I127*H127)/12500000</f>
        <v/>
      </c>
      <c r="W127">
        <f>(T127+U127+V127)/3</f>
        <v/>
      </c>
      <c r="X127" s="6" t="n">
        <v>1000</v>
      </c>
      <c r="Y127">
        <f>IFERROR(W127-X127,"")</f>
        <v/>
      </c>
      <c r="Z127">
        <f>IFERROR(ABS(Y127)/MAX(X127,1),"")</f>
        <v/>
      </c>
      <c r="AA127">
        <f>IFERROR((X127-(((E127/100000+F127/100+S127/200)*200*I127*H127)+((E127*F127/25000)*I127*H127))/3)/(((J127/5)*200*I127*H127)+((J127*S127/2.5)*I127*H127)+((E127*F127*J127*S127*I127*H127)/12500000))/3*1000,"")</f>
        <v/>
      </c>
    </row>
    <row r="128">
      <c r="B128" s="7" t="inlineStr">
        <is>
          <t xml:space="preserve">  ↳ RA220mmrapid</t>
        </is>
      </c>
      <c r="C128" s="7" t="inlineStr">
        <is>
          <t>Armament</t>
        </is>
      </c>
      <c r="L128" s="6" t="n">
        <v>4000</v>
      </c>
      <c r="M128" s="6" t="n">
        <v>15</v>
      </c>
      <c r="N128" s="6" t="n">
        <v>1</v>
      </c>
      <c r="O128" s="6" t="n"/>
      <c r="P128" s="6" t="n">
        <v>5000</v>
      </c>
      <c r="Q128" s="6" t="n">
        <v>0.875</v>
      </c>
      <c r="R128">
        <f>M128+IF(N128&gt;1,N(O128)*(N128-1),0)</f>
        <v/>
      </c>
      <c r="S128">
        <f>IFERROR(L128*MAX(N128,1)/R128*Q128*IF(ISBLANK(K127),1,K127),0)</f>
        <v/>
      </c>
      <c r="AB128" s="7" t="inlineStr">
        <is>
          <t>^RA2SmallArms, ^RA2Chaingun</t>
        </is>
      </c>
    </row>
    <row r="129">
      <c r="A129" t="inlineStr">
        <is>
          <t>shared</t>
        </is>
      </c>
      <c r="B129" t="inlineStr">
        <is>
          <t>ra2_trucka_driveby</t>
        </is>
      </c>
      <c r="C129" t="inlineStr">
        <is>
          <t>Drive By Car</t>
        </is>
      </c>
      <c r="D129" s="6" t="inlineStr">
        <is>
          <t>ScoutVehicle</t>
        </is>
      </c>
      <c r="E129" s="6" t="n">
        <v>25000</v>
      </c>
      <c r="F129" s="6" t="n">
        <v>100</v>
      </c>
      <c r="G129" t="inlineStr">
        <is>
          <t>Scout</t>
        </is>
      </c>
      <c r="H129" s="6" t="n">
        <v>1</v>
      </c>
      <c r="I129" s="6" t="n">
        <v>1</v>
      </c>
      <c r="J129" s="6" t="n">
        <v>1</v>
      </c>
      <c r="K129" s="6" t="n"/>
      <c r="P129">
        <f>MAX(P130)</f>
        <v/>
      </c>
      <c r="S129">
        <f>S130</f>
        <v/>
      </c>
      <c r="T129">
        <f>(E129/100000+F129/100+(P129/1000)*J129/5+S129/200)*200*I129*H129</f>
        <v/>
      </c>
      <c r="U129">
        <f>((E129*F129/25000)+((P129/1000)*J129*S129/2.5))*I129*H129</f>
        <v/>
      </c>
      <c r="V129">
        <f>(E129*F129*(P129/1000)*J129*S129*I129*H129)/12500000</f>
        <v/>
      </c>
      <c r="W129">
        <f>(T129+U129+V129)/3</f>
        <v/>
      </c>
      <c r="X129" s="6" t="n">
        <v>1000</v>
      </c>
      <c r="Y129">
        <f>IFERROR(W129-X129,"")</f>
        <v/>
      </c>
      <c r="Z129">
        <f>IFERROR(ABS(Y129)/MAX(X129,1),"")</f>
        <v/>
      </c>
      <c r="AA129">
        <f>IFERROR((X129-(((E129/100000+F129/100+S129/200)*200*I129*H129)+((E129*F129/25000)*I129*H129))/3)/(((J129/5)*200*I129*H129)+((J129*S129/2.5)*I129*H129)+((E129*F129*J129*S129*I129*H129)/12500000))/3*1000,"")</f>
        <v/>
      </c>
    </row>
    <row r="130">
      <c r="B130" s="7" t="inlineStr">
        <is>
          <t xml:space="preserve">  ↳ RA220mmrapid</t>
        </is>
      </c>
      <c r="C130" s="7" t="inlineStr">
        <is>
          <t>Armament</t>
        </is>
      </c>
      <c r="L130" s="6" t="n">
        <v>4000</v>
      </c>
      <c r="M130" s="6" t="n">
        <v>15</v>
      </c>
      <c r="N130" s="6" t="n">
        <v>1</v>
      </c>
      <c r="O130" s="6" t="n"/>
      <c r="P130" s="6" t="n">
        <v>5000</v>
      </c>
      <c r="Q130" s="6" t="n">
        <v>0.875</v>
      </c>
      <c r="R130">
        <f>M130+IF(N130&gt;1,N(O130)*(N130-1),0)</f>
        <v/>
      </c>
      <c r="S130">
        <f>IFERROR(L130*MAX(N130,1)/R130*Q130*IF(ISBLANK(K129),1,K129),0)</f>
        <v/>
      </c>
      <c r="AB130" s="7" t="inlineStr">
        <is>
          <t>^RA2SmallArms, ^RA2Chaingun</t>
        </is>
      </c>
    </row>
    <row r="131">
      <c r="A131" t="inlineStr">
        <is>
          <t>shared</t>
        </is>
      </c>
      <c r="B131" t="inlineStr">
        <is>
          <t>ra2_truckb_driveby</t>
        </is>
      </c>
      <c r="C131" t="inlineStr">
        <is>
          <t>Drive By Car</t>
        </is>
      </c>
      <c r="D131" s="6" t="inlineStr">
        <is>
          <t>ScoutVehicle</t>
        </is>
      </c>
      <c r="E131" s="6" t="n">
        <v>25000</v>
      </c>
      <c r="F131" s="6" t="n">
        <v>100</v>
      </c>
      <c r="G131" t="inlineStr">
        <is>
          <t>Scout</t>
        </is>
      </c>
      <c r="H131" s="6" t="n">
        <v>1</v>
      </c>
      <c r="I131" s="6" t="n">
        <v>1</v>
      </c>
      <c r="J131" s="6" t="n">
        <v>1</v>
      </c>
      <c r="K131" s="6" t="n"/>
      <c r="P131">
        <f>MAX(P132)</f>
        <v/>
      </c>
      <c r="S131">
        <f>S132</f>
        <v/>
      </c>
      <c r="T131">
        <f>(E131/100000+F131/100+(P131/1000)*J131/5+S131/200)*200*I131*H131</f>
        <v/>
      </c>
      <c r="U131">
        <f>((E131*F131/25000)+((P131/1000)*J131*S131/2.5))*I131*H131</f>
        <v/>
      </c>
      <c r="V131">
        <f>(E131*F131*(P131/1000)*J131*S131*I131*H131)/12500000</f>
        <v/>
      </c>
      <c r="W131">
        <f>(T131+U131+V131)/3</f>
        <v/>
      </c>
      <c r="X131" s="6" t="n">
        <v>1000</v>
      </c>
      <c r="Y131">
        <f>IFERROR(W131-X131,"")</f>
        <v/>
      </c>
      <c r="Z131">
        <f>IFERROR(ABS(Y131)/MAX(X131,1),"")</f>
        <v/>
      </c>
      <c r="AA131">
        <f>IFERROR((X131-(((E131/100000+F131/100+S131/200)*200*I131*H131)+((E131*F131/25000)*I131*H131))/3)/(((J131/5)*200*I131*H131)+((J131*S131/2.5)*I131*H131)+((E131*F131*J131*S131*I131*H131)/12500000))/3*1000,"")</f>
        <v/>
      </c>
    </row>
    <row r="132">
      <c r="B132" s="7" t="inlineStr">
        <is>
          <t xml:space="preserve">  ↳ RA220mmrapid</t>
        </is>
      </c>
      <c r="C132" s="7" t="inlineStr">
        <is>
          <t>Armament</t>
        </is>
      </c>
      <c r="L132" s="6" t="n">
        <v>4000</v>
      </c>
      <c r="M132" s="6" t="n">
        <v>15</v>
      </c>
      <c r="N132" s="6" t="n">
        <v>1</v>
      </c>
      <c r="O132" s="6" t="n"/>
      <c r="P132" s="6" t="n">
        <v>5000</v>
      </c>
      <c r="Q132" s="6" t="n">
        <v>0.875</v>
      </c>
      <c r="R132">
        <f>M132+IF(N132&gt;1,N(O132)*(N132-1),0)</f>
        <v/>
      </c>
      <c r="S132">
        <f>IFERROR(L132*MAX(N132,1)/R132*Q132*IF(ISBLANK(K131),1,K131),0)</f>
        <v/>
      </c>
      <c r="AB132" s="7" t="inlineStr">
        <is>
          <t>^RA2SmallArms, ^RA2Chaingun</t>
        </is>
      </c>
    </row>
    <row r="133">
      <c r="A133" t="inlineStr">
        <is>
          <t>shared</t>
        </is>
      </c>
      <c r="B133" t="inlineStr">
        <is>
          <t>ra2_ycab_driveby</t>
        </is>
      </c>
      <c r="C133" t="inlineStr">
        <is>
          <t>Drive By Car</t>
        </is>
      </c>
      <c r="D133" s="6" t="inlineStr">
        <is>
          <t>ScoutVehicle</t>
        </is>
      </c>
      <c r="E133" s="6" t="n">
        <v>25000</v>
      </c>
      <c r="F133" s="6" t="n">
        <v>100</v>
      </c>
      <c r="G133" t="inlineStr">
        <is>
          <t>Scout</t>
        </is>
      </c>
      <c r="H133" s="6" t="n">
        <v>1</v>
      </c>
      <c r="I133" s="6" t="n">
        <v>1</v>
      </c>
      <c r="J133" s="6" t="n">
        <v>1</v>
      </c>
      <c r="K133" s="6" t="n"/>
      <c r="P133">
        <f>MAX(P134)</f>
        <v/>
      </c>
      <c r="S133">
        <f>S134</f>
        <v/>
      </c>
      <c r="T133">
        <f>(E133/100000+F133/100+(P133/1000)*J133/5+S133/200)*200*I133*H133</f>
        <v/>
      </c>
      <c r="U133">
        <f>((E133*F133/25000)+((P133/1000)*J133*S133/2.5))*I133*H133</f>
        <v/>
      </c>
      <c r="V133">
        <f>(E133*F133*(P133/1000)*J133*S133*I133*H133)/12500000</f>
        <v/>
      </c>
      <c r="W133">
        <f>(T133+U133+V133)/3</f>
        <v/>
      </c>
      <c r="X133" s="6" t="n">
        <v>1000</v>
      </c>
      <c r="Y133">
        <f>IFERROR(W133-X133,"")</f>
        <v/>
      </c>
      <c r="Z133">
        <f>IFERROR(ABS(Y133)/MAX(X133,1),"")</f>
        <v/>
      </c>
      <c r="AA133">
        <f>IFERROR((X133-(((E133/100000+F133/100+S133/200)*200*I133*H133)+((E133*F133/25000)*I133*H133))/3)/(((J133/5)*200*I133*H133)+((J133*S133/2.5)*I133*H133)+((E133*F133*J133*S133*I133*H133)/12500000))/3*1000,"")</f>
        <v/>
      </c>
    </row>
    <row r="134">
      <c r="B134" s="7" t="inlineStr">
        <is>
          <t xml:space="preserve">  ↳ RA220mmrapid</t>
        </is>
      </c>
      <c r="C134" s="7" t="inlineStr">
        <is>
          <t>Armament</t>
        </is>
      </c>
      <c r="L134" s="6" t="n">
        <v>4000</v>
      </c>
      <c r="M134" s="6" t="n">
        <v>15</v>
      </c>
      <c r="N134" s="6" t="n">
        <v>1</v>
      </c>
      <c r="O134" s="6" t="n"/>
      <c r="P134" s="6" t="n">
        <v>5000</v>
      </c>
      <c r="Q134" s="6" t="n">
        <v>0.875</v>
      </c>
      <c r="R134">
        <f>M134+IF(N134&gt;1,N(O134)*(N134-1),0)</f>
        <v/>
      </c>
      <c r="S134">
        <f>IFERROR(L134*MAX(N134,1)/R134*Q134*IF(ISBLANK(K133),1,K133),0)</f>
        <v/>
      </c>
      <c r="AB134" s="7" t="inlineStr">
        <is>
          <t>^RA2SmallArms, ^RA2Chaingun</t>
        </is>
      </c>
    </row>
    <row r="135">
      <c r="A135" t="inlineStr">
        <is>
          <t>redalert2</t>
        </is>
      </c>
      <c r="B135" t="inlineStr">
        <is>
          <t>ra2_allies_ifv</t>
        </is>
      </c>
      <c r="C135" t="inlineStr">
        <is>
          <t>actor_fv.name</t>
        </is>
      </c>
      <c r="D135" s="6" t="inlineStr">
        <is>
          <t>ScoutVehicle</t>
        </is>
      </c>
      <c r="E135" s="6" t="n">
        <v>25000</v>
      </c>
      <c r="F135" s="6" t="n">
        <v>150</v>
      </c>
      <c r="G135" t="inlineStr">
        <is>
          <t>Scout</t>
        </is>
      </c>
      <c r="H135" s="6" t="n">
        <v>1</v>
      </c>
      <c r="I135" s="6" t="n">
        <v>1</v>
      </c>
      <c r="J135" s="6" t="n">
        <v>1</v>
      </c>
      <c r="K135" s="6" t="n"/>
      <c r="P135">
        <f>MAX(P136,P137,P138,P139,P140,P141,P142,P143,P144,P145,P146,P147,P148,P149,P150,P151,P152,P153,P154,P155,P156,P157,P158,P159,P160,P161,P162,P163,P164,P165,P166,P167,P168,P169,P170,P171,P172,P173,P174,P175,P176,P177)</f>
        <v/>
      </c>
      <c r="S135">
        <f>S136+S137+S138+S139+S140+S141+S142+S143+S144+S145+S146+S147+S148+S149+S150+S151+S152+S153+S154+S155+S156+S157+S158+S159+S160+S161+S162+S163+S164+S165+S166+S167+S168+S169+S170+S171+S172+S173+S174+S175+S176+S177</f>
        <v/>
      </c>
      <c r="T135">
        <f>(E135/100000+F135/100+(P135/1000)*J135/5+S135/200)*200*I135*H135</f>
        <v/>
      </c>
      <c r="U135">
        <f>((E135*F135/25000)+((P135/1000)*J135*S135/2.5))*I135*H135</f>
        <v/>
      </c>
      <c r="V135">
        <f>(E135*F135*(P135/1000)*J135*S135*I135*H135)/12500000</f>
        <v/>
      </c>
      <c r="W135">
        <f>(T135+U135+V135)/3</f>
        <v/>
      </c>
      <c r="X135" s="6" t="n">
        <v>500</v>
      </c>
      <c r="Y135">
        <f>IFERROR(W135-X135,"")</f>
        <v/>
      </c>
      <c r="Z135">
        <f>IFERROR(ABS(Y135)/MAX(X135,1),"")</f>
        <v/>
      </c>
      <c r="AA135">
        <f>IFERROR((X135-(((E135/100000+F135/100+S135/200)*200*I135*H135)+((E135*F135/25000)*I135*H135))/3)/(((J135/5)*200*I135*H135)+((J135*S135/2.5)*I135*H135)+((E135*F135*J135*S135*I135*H135)/12500000))/3*1000,"")</f>
        <v/>
      </c>
    </row>
    <row r="136">
      <c r="B136" s="7" t="inlineStr">
        <is>
          <t xml:space="preserve">  ↳ RA2CRM60</t>
        </is>
      </c>
      <c r="C136" s="7" t="inlineStr">
        <is>
          <t>Armament@mg</t>
        </is>
      </c>
      <c r="L136" s="6" t="n">
        <v>2000</v>
      </c>
      <c r="M136" s="6" t="n">
        <v>14</v>
      </c>
      <c r="N136" s="6" t="n">
        <v>4</v>
      </c>
      <c r="O136" s="6" t="n">
        <v>2</v>
      </c>
      <c r="P136" s="6" t="n">
        <v>5660</v>
      </c>
      <c r="Q136" s="6" t="n">
        <v>0.875</v>
      </c>
      <c r="R136">
        <f>M136+IF(N136&gt;1,N(O136)*(N136-1),0)</f>
        <v/>
      </c>
      <c r="S136">
        <f>IFERROR(L136*MAX(N136,1)/R136*Q136*IF(ISBLANK(K135),1,K135),0)</f>
        <v/>
      </c>
      <c r="AB136" s="7" t="inlineStr">
        <is>
          <t>^RA2SmallArms, ^RA2Chaingun</t>
        </is>
      </c>
    </row>
    <row r="137">
      <c r="B137" s="7" t="inlineStr">
        <is>
          <t xml:space="preserve">  ↳ RA2CRM60H</t>
        </is>
      </c>
      <c r="C137" s="7" t="inlineStr">
        <is>
          <t>Armament@hmg</t>
        </is>
      </c>
      <c r="L137" s="6" t="n">
        <v>2000</v>
      </c>
      <c r="M137" s="6" t="n">
        <v>10</v>
      </c>
      <c r="N137" s="6" t="n">
        <v>6</v>
      </c>
      <c r="O137" s="6" t="n">
        <v>2</v>
      </c>
      <c r="P137" s="6" t="n">
        <v>4692</v>
      </c>
      <c r="Q137" s="6" t="n">
        <v>1</v>
      </c>
      <c r="R137">
        <f>M137+IF(N137&gt;1,N(O137)*(N137-1),0)</f>
        <v/>
      </c>
      <c r="S137">
        <f>IFERROR(L137*MAX(N137,1)/R137*Q137*IF(ISBLANK(K135),1,K135),0)</f>
        <v/>
      </c>
      <c r="AB137" s="7" t="inlineStr">
        <is>
          <t>^HeavyCannon, ^RA2Chaingun, ^SniperWeapon</t>
        </is>
      </c>
    </row>
    <row r="138">
      <c r="B138" s="7" t="inlineStr">
        <is>
          <t xml:space="preserve">  ↳ wc_tower_fire</t>
        </is>
      </c>
      <c r="C138" s="7" t="inlineStr">
        <is>
          <t>Armament@archer</t>
        </is>
      </c>
      <c r="L138" s="6" t="n">
        <v>2500</v>
      </c>
      <c r="M138" s="6" t="n">
        <v>40</v>
      </c>
      <c r="N138" s="6" t="n">
        <v>1</v>
      </c>
      <c r="O138" s="6" t="n"/>
      <c r="P138" s="6" t="n">
        <v>8704</v>
      </c>
      <c r="Q138" s="6" t="n">
        <v>1</v>
      </c>
      <c r="R138">
        <f>M138+IF(N138&gt;1,N(O138)*(N138-1),0)</f>
        <v/>
      </c>
      <c r="S138">
        <f>IFERROR(L138*MAX(N138,1)/R138*Q138*IF(ISBLANK(K135),1,K135),0)</f>
        <v/>
      </c>
      <c r="AB138" s="7" t="inlineStr">
        <is>
          <t>bowFire</t>
        </is>
      </c>
    </row>
    <row r="139">
      <c r="B139" s="7" t="inlineStr">
        <is>
          <t xml:space="preserve">  ↳ RA2IFVRepair</t>
        </is>
      </c>
      <c r="C139" s="7" t="inlineStr">
        <is>
          <t>Armament@repair</t>
        </is>
      </c>
      <c r="L139" s="6" t="n">
        <v>-1</v>
      </c>
      <c r="M139" s="6" t="n">
        <v>50</v>
      </c>
      <c r="N139" s="6" t="n">
        <v>10</v>
      </c>
      <c r="O139" s="6" t="n">
        <v>1</v>
      </c>
      <c r="P139" s="6" t="n">
        <v>5000</v>
      </c>
      <c r="Q139" s="6" t="n">
        <v>1.5</v>
      </c>
      <c r="R139">
        <f>M139+IF(N139&gt;1,N(O139)*(N139-1),0)</f>
        <v/>
      </c>
      <c r="S139">
        <f>IFERROR(L139*MAX(N139,1)/R139*Q139*IF(ISBLANK(K135),1,K135),0)</f>
        <v/>
      </c>
      <c r="AB139" s="7" t="inlineStr">
        <is>
          <t>^RepairWeapon</t>
        </is>
      </c>
    </row>
    <row r="140">
      <c r="B140" s="7" t="inlineStr">
        <is>
          <t xml:space="preserve">  ↳ LightSniper</t>
        </is>
      </c>
      <c r="C140" s="7" t="inlineStr">
        <is>
          <t>Armament@lightsniper</t>
        </is>
      </c>
      <c r="L140" s="6" t="n">
        <v>30000</v>
      </c>
      <c r="M140" s="6" t="n">
        <v>100</v>
      </c>
      <c r="N140" s="6" t="n">
        <v>1</v>
      </c>
      <c r="O140" s="6" t="n"/>
      <c r="P140" s="6" t="n">
        <v>9153</v>
      </c>
      <c r="Q140" s="6" t="n">
        <v>0.75</v>
      </c>
      <c r="R140">
        <f>M140+IF(N140&gt;1,N(O140)*(N140-1),0)</f>
        <v/>
      </c>
      <c r="S140">
        <f>IFERROR(L140*MAX(N140,1)/R140*Q140*IF(ISBLANK(K135),1,K135),0)</f>
        <v/>
      </c>
      <c r="AB140" s="7" t="inlineStr">
        <is>
          <t>^SniperWeapon</t>
        </is>
      </c>
    </row>
    <row r="141">
      <c r="B141" s="7" t="inlineStr">
        <is>
          <t xml:space="preserve">  ↳ RA2DoublePistolsIFV</t>
        </is>
      </c>
      <c r="C141" s="7" t="inlineStr">
        <is>
          <t>Armament@hero</t>
        </is>
      </c>
      <c r="L141" s="6" t="n">
        <v>14000</v>
      </c>
      <c r="M141" s="6" t="n">
        <v>12</v>
      </c>
      <c r="N141" s="6" t="n">
        <v>2</v>
      </c>
      <c r="O141" s="6" t="n">
        <v>3</v>
      </c>
      <c r="P141" s="6" t="n">
        <v>8000</v>
      </c>
      <c r="Q141" s="6" t="n">
        <v>0.75</v>
      </c>
      <c r="R141">
        <f>M141+IF(N141&gt;1,N(O141)*(N141-1),0)</f>
        <v/>
      </c>
      <c r="S141">
        <f>IFERROR(L141*MAX(N141,1)/R141*Q141*IF(ISBLANK(K135),1,K135),0)</f>
        <v/>
      </c>
      <c r="AB141" s="7" t="inlineStr">
        <is>
          <t>^SniperWeapon</t>
        </is>
      </c>
    </row>
    <row r="142">
      <c r="B142" s="7" t="inlineStr">
        <is>
          <t xml:space="preserve">  ↳ TTankZap</t>
        </is>
      </c>
      <c r="C142" s="7" t="inlineStr">
        <is>
          <t>Armament@tesla</t>
        </is>
      </c>
      <c r="L142" s="6" t="n">
        <v>40000</v>
      </c>
      <c r="M142" s="6" t="n">
        <v>80</v>
      </c>
      <c r="N142" s="6" t="n">
        <v>1</v>
      </c>
      <c r="O142" s="6" t="n"/>
      <c r="P142" s="6" t="n">
        <v>7300</v>
      </c>
      <c r="Q142" s="6" t="n">
        <v>1</v>
      </c>
      <c r="R142">
        <f>M142+IF(N142&gt;1,N(O142)*(N142-1),0)</f>
        <v/>
      </c>
      <c r="S142">
        <f>IFERROR(L142*MAX(N142,1)/R142*Q142*IF(ISBLANK(K135),1,K135),0)</f>
        <v/>
      </c>
      <c r="AB142" s="7" t="inlineStr">
        <is>
          <t>^TeslaWeapon</t>
        </is>
      </c>
    </row>
    <row r="143">
      <c r="B143" s="7" t="inlineStr">
        <is>
          <t xml:space="preserve">  ↳ DragunovSniper</t>
        </is>
      </c>
      <c r="C143" s="7" t="inlineStr">
        <is>
          <t>Armament@flak</t>
        </is>
      </c>
      <c r="L143" s="6" t="n">
        <v>8000</v>
      </c>
      <c r="M143" s="6" t="n">
        <v>85</v>
      </c>
      <c r="N143" s="6" t="n">
        <v>1</v>
      </c>
      <c r="O143" s="6" t="n"/>
      <c r="P143" s="6" t="n">
        <v>6880</v>
      </c>
      <c r="Q143" s="6" t="n">
        <v>1.0625</v>
      </c>
      <c r="R143">
        <f>M143+IF(N143&gt;1,N(O143)*(N143-1),0)</f>
        <v/>
      </c>
      <c r="S143">
        <f>IFERROR(L143*MAX(N143,1)/R143*Q143*IF(ISBLANK(K135),1,K135),0)</f>
        <v/>
      </c>
      <c r="AB143" s="7" t="inlineStr">
        <is>
          <t>^TankDestroyerCannon, ^RailgunWeapon, ^LightMissile, ^HeavyCannon, ^FlakWeapon</t>
        </is>
      </c>
    </row>
    <row r="144">
      <c r="B144" s="7" t="inlineStr">
        <is>
          <t xml:space="preserve">  ↳ RA2MirageGun</t>
        </is>
      </c>
      <c r="C144" s="7" t="inlineStr">
        <is>
          <t>Armament@cannon</t>
        </is>
      </c>
      <c r="L144" s="6" t="n">
        <v>8000</v>
      </c>
      <c r="M144" s="6" t="n">
        <v>39</v>
      </c>
      <c r="N144" s="6" t="n">
        <v>1</v>
      </c>
      <c r="O144" s="6" t="n"/>
      <c r="P144" s="6" t="n">
        <v>6031</v>
      </c>
      <c r="Q144" s="6" t="n">
        <v>1.125</v>
      </c>
      <c r="R144">
        <f>M144+IF(N144&gt;1,N(O144)*(N144-1),0)</f>
        <v/>
      </c>
      <c r="S144">
        <f>IFERROR(L144*MAX(N144,1)/R144*Q144*IF(ISBLANK(K135),1,K135),0)</f>
        <v/>
      </c>
      <c r="AB144" s="7" t="inlineStr">
        <is>
          <t>^RailgunWeapon, ^MediumChemicalWeapon, ^RA2TankDestroyerCannon</t>
        </is>
      </c>
    </row>
    <row r="145">
      <c r="B145" s="7" t="inlineStr">
        <is>
          <t xml:space="preserve">  ↳ Grenade</t>
        </is>
      </c>
      <c r="C145" s="7" t="inlineStr">
        <is>
          <t>Armament@grenade</t>
        </is>
      </c>
      <c r="L145" s="6" t="n">
        <v>16000</v>
      </c>
      <c r="M145" s="6" t="n">
        <v>42</v>
      </c>
      <c r="N145" s="6" t="n">
        <v>1</v>
      </c>
      <c r="O145" s="6" t="n"/>
      <c r="P145" s="6" t="n">
        <v>6097</v>
      </c>
      <c r="Q145" s="6" t="n">
        <v>1</v>
      </c>
      <c r="R145">
        <f>M145+IF(N145&gt;1,N(O145)*(N145-1),0)</f>
        <v/>
      </c>
      <c r="S145">
        <f>IFERROR(L145*MAX(N145,1)/R145*Q145*IF(ISBLANK(K135),1,K135),0)</f>
        <v/>
      </c>
      <c r="AB145" s="7" t="inlineStr">
        <is>
          <t>^Grenade</t>
        </is>
      </c>
    </row>
    <row r="146">
      <c r="B146" s="7" t="inlineStr">
        <is>
          <t xml:space="preserve">  ↳ DRPlasmaTankWeapon</t>
        </is>
      </c>
      <c r="C146" s="7" t="inlineStr">
        <is>
          <t>Armament@plasma</t>
        </is>
      </c>
      <c r="L146" s="6" t="n">
        <v>3750</v>
      </c>
      <c r="M146" s="6" t="n">
        <v>21</v>
      </c>
      <c r="N146" s="6" t="n">
        <v>1</v>
      </c>
      <c r="O146" s="6" t="n"/>
      <c r="P146" s="6" t="n">
        <v>5120</v>
      </c>
      <c r="Q146" s="6" t="n">
        <v>1</v>
      </c>
      <c r="R146">
        <f>M146+IF(N146&gt;1,N(O146)*(N146-1),0)</f>
        <v/>
      </c>
      <c r="S146">
        <f>IFERROR(L146*MAX(N146,1)/R146*Q146*IF(ISBLANK(K135),1,K135),0)</f>
        <v/>
      </c>
      <c r="AB146" s="7" t="inlineStr">
        <is>
          <t>^DRPlasmaWeapon</t>
        </is>
      </c>
    </row>
    <row r="147">
      <c r="B147" s="7" t="inlineStr">
        <is>
          <t xml:space="preserve">  ↳ SWLaserG</t>
        </is>
      </c>
      <c r="C147" s="7" t="inlineStr">
        <is>
          <t>Armament@litlaser</t>
        </is>
      </c>
      <c r="L147" s="6" t="n">
        <v>2000</v>
      </c>
      <c r="M147" s="6" t="n">
        <v>30</v>
      </c>
      <c r="N147" s="6" t="n">
        <v>6</v>
      </c>
      <c r="O147" s="6" t="n"/>
      <c r="P147" s="6" t="n">
        <v>6144</v>
      </c>
      <c r="Q147" s="6" t="n">
        <v>0.75</v>
      </c>
      <c r="R147">
        <f>M147+IF(N147&gt;1,N(O147)*(N147-1),0)</f>
        <v/>
      </c>
      <c r="S147">
        <f>IFERROR(L147*MAX(N147,1)/R147*Q147*IF(ISBLANK(K135),1,K135),0)</f>
        <v/>
      </c>
      <c r="AB147" s="7" t="inlineStr">
        <is>
          <t>^LightMG</t>
        </is>
      </c>
    </row>
    <row r="148">
      <c r="B148" s="7" t="inlineStr">
        <is>
          <t xml:space="preserve">  ↳ USALaserCannonAG</t>
        </is>
      </c>
      <c r="C148" s="7" t="inlineStr">
        <is>
          <t>Armament@medlaser</t>
        </is>
      </c>
      <c r="L148" s="6" t="n">
        <v>4000</v>
      </c>
      <c r="M148" s="6" t="n">
        <v>50</v>
      </c>
      <c r="N148" s="6" t="n">
        <v>3</v>
      </c>
      <c r="O148" s="6" t="n">
        <v>6</v>
      </c>
      <c r="P148" s="6" t="n">
        <v>7168</v>
      </c>
      <c r="Q148" s="6" t="n">
        <v>1</v>
      </c>
      <c r="R148">
        <f>M148+IF(N148&gt;1,N(O148)*(N148-1),0)</f>
        <v/>
      </c>
      <c r="S148">
        <f>IFERROR(L148*MAX(N148,1)/R148*Q148*IF(ISBLANK(K135),1,K135),0)</f>
        <v/>
      </c>
      <c r="AB148" s="7" t="inlineStr">
        <is>
          <t>^AntiGroundMissile</t>
        </is>
      </c>
    </row>
    <row r="149">
      <c r="B149" s="7" t="inlineStr">
        <is>
          <t xml:space="preserve">  ↳ SWGreenLaserG</t>
        </is>
      </c>
      <c r="C149" s="7" t="inlineStr">
        <is>
          <t>Armament@greenlaser</t>
        </is>
      </c>
      <c r="L149" s="6" t="n">
        <v>5000</v>
      </c>
      <c r="M149" s="6" t="n">
        <v>75</v>
      </c>
      <c r="N149" s="6" t="n">
        <v>1</v>
      </c>
      <c r="O149" s="6" t="n"/>
      <c r="P149" s="6" t="n">
        <v>7168</v>
      </c>
      <c r="Q149" s="6" t="n">
        <v>1</v>
      </c>
      <c r="R149">
        <f>M149+IF(N149&gt;1,N(O149)*(N149-1),0)</f>
        <v/>
      </c>
      <c r="S149">
        <f>IFERROR(L149*MAX(N149,1)/R149*Q149*IF(ISBLANK(K135),1,K135),0)</f>
        <v/>
      </c>
      <c r="AB149" s="7" t="inlineStr">
        <is>
          <t>^MissileWeapon</t>
        </is>
      </c>
    </row>
    <row r="150">
      <c r="B150" s="7" t="inlineStr">
        <is>
          <t xml:space="preserve">  ↳ SWGBigRedLaserG</t>
        </is>
      </c>
      <c r="C150" s="7" t="inlineStr">
        <is>
          <t>Armament@misslaser</t>
        </is>
      </c>
      <c r="L150" s="6" t="n">
        <v>4000</v>
      </c>
      <c r="M150" s="6" t="n">
        <v>75</v>
      </c>
      <c r="N150" s="6" t="n">
        <v>1</v>
      </c>
      <c r="O150" s="6" t="n"/>
      <c r="P150" s="6" t="n">
        <v>8192</v>
      </c>
      <c r="Q150" s="6" t="n">
        <v>1</v>
      </c>
      <c r="R150">
        <f>M150+IF(N150&gt;1,N(O150)*(N150-1),0)</f>
        <v/>
      </c>
      <c r="S150">
        <f>IFERROR(L150*MAX(N150,1)/R150*Q150*IF(ISBLANK(K135),1,K135),0)</f>
        <v/>
      </c>
      <c r="AB150" s="7" t="inlineStr">
        <is>
          <t>^MissileWeapon</t>
        </is>
      </c>
    </row>
    <row r="151">
      <c r="B151" s="7" t="inlineStr">
        <is>
          <t xml:space="preserve">  ↳ BigFlamer</t>
        </is>
      </c>
      <c r="C151" s="7" t="inlineStr">
        <is>
          <t>Armament@fire</t>
        </is>
      </c>
      <c r="L151" s="6" t="n">
        <v>14000</v>
      </c>
      <c r="M151" s="6" t="n">
        <v>50</v>
      </c>
      <c r="N151" s="6" t="n">
        <v>2</v>
      </c>
      <c r="O151" s="6" t="n">
        <v>10</v>
      </c>
      <c r="P151" s="6" t="n">
        <v>2390</v>
      </c>
      <c r="Q151" s="6" t="n">
        <v>1</v>
      </c>
      <c r="R151">
        <f>M151+IF(N151&gt;1,N(O151)*(N151-1),0)</f>
        <v/>
      </c>
      <c r="S151">
        <f>IFERROR(L151*MAX(N151,1)/R151*Q151*IF(ISBLANK(K135),1,K135),0)</f>
        <v/>
      </c>
      <c r="AB151" s="7" t="inlineStr">
        <is>
          <t>^MediumFlameWeapon</t>
        </is>
      </c>
    </row>
    <row r="152">
      <c r="B152" s="7" t="inlineStr">
        <is>
          <t xml:space="preserve">  ↳ RA2RadBeamWeapon</t>
        </is>
      </c>
      <c r="C152" s="7" t="inlineStr">
        <is>
          <t>Armament@chem</t>
        </is>
      </c>
      <c r="L152" s="6" t="n">
        <v>30000</v>
      </c>
      <c r="M152" s="6" t="n">
        <v>45</v>
      </c>
      <c r="N152" s="6" t="n">
        <v>1</v>
      </c>
      <c r="O152" s="6" t="n"/>
      <c r="P152" s="6" t="n">
        <v>6444</v>
      </c>
      <c r="Q152" s="6" t="n">
        <v>1</v>
      </c>
      <c r="R152">
        <f>M152+IF(N152&gt;1,N(O152)*(N152-1),0)</f>
        <v/>
      </c>
      <c r="S152">
        <f>IFERROR(L152*MAX(N152,1)/R152*Q152*IF(ISBLANK(K135),1,K135),0)</f>
        <v/>
      </c>
      <c r="AB152" s="7" t="inlineStr">
        <is>
          <t>^MediumChemicalWeapon</t>
        </is>
      </c>
    </row>
    <row r="153">
      <c r="B153" s="7" t="inlineStr">
        <is>
          <t xml:space="preserve">  ↳ RA2RadBeamWeapon</t>
        </is>
      </c>
      <c r="C153" s="7" t="inlineStr">
        <is>
          <t>Armament@thrax</t>
        </is>
      </c>
      <c r="L153" s="6" t="n">
        <v>30000</v>
      </c>
      <c r="M153" s="6" t="n">
        <v>45</v>
      </c>
      <c r="N153" s="6" t="n">
        <v>1</v>
      </c>
      <c r="O153" s="6" t="n"/>
      <c r="P153" s="6" t="n">
        <v>6444</v>
      </c>
      <c r="Q153" s="6" t="n">
        <v>1</v>
      </c>
      <c r="R153">
        <f>M153+IF(N153&gt;1,N(O153)*(N153-1),0)</f>
        <v/>
      </c>
      <c r="S153">
        <f>IFERROR(L153*MAX(N153,1)/R153*Q153*IF(ISBLANK(K135),1,K135),0)</f>
        <v/>
      </c>
      <c r="AB153" s="7" t="inlineStr">
        <is>
          <t>^MediumChemicalWeapon</t>
        </is>
      </c>
    </row>
    <row r="154">
      <c r="B154" s="7" t="inlineStr">
        <is>
          <t xml:space="preserve">  ↳ RA2MultiHoverMissile</t>
        </is>
      </c>
      <c r="C154" s="7" t="inlineStr">
        <is>
          <t>Armament@missile</t>
        </is>
      </c>
      <c r="L154" s="6" t="n">
        <v>2000</v>
      </c>
      <c r="M154" s="6" t="n">
        <v>20</v>
      </c>
      <c r="N154" s="6" t="n">
        <v>4</v>
      </c>
      <c r="O154" s="6" t="n">
        <v>4</v>
      </c>
      <c r="P154" s="6" t="n">
        <v>6170</v>
      </c>
      <c r="Q154" s="6" t="n">
        <v>0.9166666666666666</v>
      </c>
      <c r="R154">
        <f>M154+IF(N154&gt;1,N(O154)*(N154-1),0)</f>
        <v/>
      </c>
      <c r="S154">
        <f>IFERROR(L154*MAX(N154,1)/R154*Q154*IF(ISBLANK(K135),1,K135),0)</f>
        <v/>
      </c>
      <c r="AB154" s="7" t="inlineStr">
        <is>
          <t>^MediumCannon, ^MediumChemicalWeapon, ^ArrowWeapon, ^RA2LightMissile</t>
        </is>
      </c>
    </row>
    <row r="155">
      <c r="B155" s="7" t="inlineStr">
        <is>
          <t xml:space="preserve">  ↳ IFVChronoBeam</t>
        </is>
      </c>
      <c r="C155" s="7" t="inlineStr">
        <is>
          <t>Armament@chrono</t>
        </is>
      </c>
      <c r="L155" s="6" t="n"/>
      <c r="M155" s="6" t="n">
        <v>1</v>
      </c>
      <c r="N155" s="6" t="n">
        <v>1</v>
      </c>
      <c r="O155" s="6" t="n"/>
      <c r="P155" s="6" t="n">
        <v>7500</v>
      </c>
      <c r="Q155" s="6" t="n">
        <v>1</v>
      </c>
      <c r="R155">
        <f>M155+IF(N155&gt;1,N(O155)*(N155-1),0)</f>
        <v/>
      </c>
      <c r="S155">
        <f>IFERROR(L155*MAX(N155,1)/R155*Q155*IF(ISBLANK(K135),1,K135),0)</f>
        <v/>
      </c>
      <c r="AB155" s="7" t="inlineStr">
        <is>
          <t>ChronoBeam</t>
        </is>
      </c>
    </row>
    <row r="156">
      <c r="B156" s="7" t="inlineStr">
        <is>
          <t xml:space="preserve">  ↳ IFVChronoSound</t>
        </is>
      </c>
      <c r="C156" s="7" t="inlineStr">
        <is>
          <t>Armament@chronosound</t>
        </is>
      </c>
      <c r="L156" s="6" t="n"/>
      <c r="M156" s="6" t="n">
        <v>180</v>
      </c>
      <c r="N156" s="6" t="n">
        <v>1</v>
      </c>
      <c r="O156" s="6" t="n"/>
      <c r="P156" s="6" t="n">
        <v>8000</v>
      </c>
      <c r="Q156" s="6" t="n">
        <v>1</v>
      </c>
      <c r="R156">
        <f>M156+IF(N156&gt;1,N(O156)*(N156-1),0)</f>
        <v/>
      </c>
      <c r="S156">
        <f>IFERROR(L156*MAX(N156,1)/R156*Q156*IF(ISBLANK(K135),1,K135),0)</f>
        <v/>
      </c>
      <c r="AB156" s="7" t="inlineStr">
        <is>
          <t>RA2ChronoTele</t>
        </is>
      </c>
    </row>
    <row r="157">
      <c r="B157" s="7" t="inlineStr">
        <is>
          <t xml:space="preserve">  ↳ DemoTruckTargeting</t>
        </is>
      </c>
      <c r="C157" s="7" t="inlineStr">
        <is>
          <t>Armament@ivan</t>
        </is>
      </c>
      <c r="L157" s="6" t="n"/>
      <c r="M157" s="6" t="n"/>
      <c r="N157" s="6" t="n">
        <v>1</v>
      </c>
      <c r="O157" s="6" t="n"/>
      <c r="P157" s="6" t="n">
        <v>2000</v>
      </c>
      <c r="Q157" s="6" t="n">
        <v>1</v>
      </c>
      <c r="R157">
        <f>M157+IF(N157&gt;1,N(O157)*(N157-1),0)</f>
        <v/>
      </c>
      <c r="S157">
        <f>IFERROR(L157*MAX(N157,1)/R157*Q157*IF(ISBLANK(K135),1,K135),0)</f>
        <v/>
      </c>
      <c r="AB157" s="7" t="inlineStr"/>
    </row>
    <row r="158">
      <c r="B158" s="7" t="inlineStr">
        <is>
          <t xml:space="preserve">  ↳ Fremen_L</t>
        </is>
      </c>
      <c r="C158" s="7" t="inlineStr">
        <is>
          <t>Armament@fremen</t>
        </is>
      </c>
      <c r="L158" s="6" t="n">
        <v>3000</v>
      </c>
      <c r="M158" s="6" t="n">
        <v>25</v>
      </c>
      <c r="N158" s="6" t="n">
        <v>1</v>
      </c>
      <c r="O158" s="6" t="n"/>
      <c r="P158" s="6" t="n">
        <v>2560</v>
      </c>
      <c r="Q158" s="6" t="n">
        <v>1</v>
      </c>
      <c r="R158">
        <f>M158+IF(N158&gt;1,N(O158)*(N158-1),0)</f>
        <v/>
      </c>
      <c r="S158">
        <f>IFERROR(L158*MAX(N158,1)/R158*Q158*IF(ISBLANK(K135),1,K135),0)</f>
        <v/>
      </c>
      <c r="AB158" s="7" t="inlineStr">
        <is>
          <t>^MG</t>
        </is>
      </c>
    </row>
    <row r="159">
      <c r="B159" s="7" t="inlineStr">
        <is>
          <t xml:space="preserve">  ↳ TSSonicZap</t>
        </is>
      </c>
      <c r="C159" s="7" t="inlineStr">
        <is>
          <t>Armament@sonic</t>
        </is>
      </c>
      <c r="L159" s="6" t="n">
        <v>4000</v>
      </c>
      <c r="M159" s="6" t="n">
        <v>60</v>
      </c>
      <c r="N159" s="6" t="n">
        <v>1</v>
      </c>
      <c r="O159" s="6" t="n"/>
      <c r="P159" s="6" t="n">
        <v>6144</v>
      </c>
      <c r="Q159" s="6" t="n">
        <v>1</v>
      </c>
      <c r="R159">
        <f>M159+IF(N159&gt;1,N(O159)*(N159-1),0)</f>
        <v/>
      </c>
      <c r="S159">
        <f>IFERROR(L159*MAX(N159,1)/R159*Q159*IF(ISBLANK(K135),1,K135),0)</f>
        <v/>
      </c>
      <c r="AB159" s="7" t="inlineStr"/>
    </row>
    <row r="160">
      <c r="B160" s="7" t="inlineStr">
        <is>
          <t xml:space="preserve">  ↳ MedicHeal</t>
        </is>
      </c>
      <c r="C160" s="7" t="inlineStr">
        <is>
          <t>Armament@heal</t>
        </is>
      </c>
      <c r="L160" s="6" t="n">
        <v>-1</v>
      </c>
      <c r="M160" s="6" t="n">
        <v>10</v>
      </c>
      <c r="N160" s="6" t="n">
        <v>1</v>
      </c>
      <c r="O160" s="6" t="n"/>
      <c r="P160" s="6" t="n">
        <v>6000</v>
      </c>
      <c r="Q160" s="6" t="n">
        <v>1</v>
      </c>
      <c r="R160">
        <f>M160+IF(N160&gt;1,N(O160)*(N160-1),0)</f>
        <v/>
      </c>
      <c r="S160">
        <f>IFERROR(L160*MAX(N160,1)/R160*Q160*IF(ISBLANK(K135),1,K135),0)</f>
        <v/>
      </c>
      <c r="AB160" s="7" t="inlineStr">
        <is>
          <t>^HealingWeapon</t>
        </is>
      </c>
    </row>
    <row r="161">
      <c r="B161" s="7" t="inlineStr">
        <is>
          <t xml:space="preserve">  ↳ RA2HoverMissile</t>
        </is>
      </c>
      <c r="C161" s="7" t="inlineStr">
        <is>
          <t>Armament@primary</t>
        </is>
      </c>
      <c r="L161" s="6" t="n">
        <v>6000</v>
      </c>
      <c r="M161" s="6" t="n">
        <v>28</v>
      </c>
      <c r="N161" s="6" t="n">
        <v>2</v>
      </c>
      <c r="O161" s="6" t="n">
        <v>4</v>
      </c>
      <c r="P161" s="6" t="n">
        <v>5760</v>
      </c>
      <c r="Q161" s="6" t="n">
        <v>0.75</v>
      </c>
      <c r="R161">
        <f>M161+IF(N161&gt;1,N(O161)*(N161-1),0)</f>
        <v/>
      </c>
      <c r="S161">
        <f>IFERROR(L161*MAX(N161,1)/R161*Q161*IF(ISBLANK(K135),1,K135),0)</f>
        <v/>
      </c>
      <c r="AB161" s="7" t="inlineStr">
        <is>
          <t>^ArrowWeapon, ^RA2LightMissile</t>
        </is>
      </c>
    </row>
    <row r="162">
      <c r="B162" s="7" t="inlineStr">
        <is>
          <t xml:space="preserve">  ↳ RA2HoverMissile_elite</t>
        </is>
      </c>
      <c r="C162" s="7" t="inlineStr">
        <is>
          <t>Armament@primaryelite</t>
        </is>
      </c>
      <c r="L162" s="6" t="n">
        <v>6000</v>
      </c>
      <c r="M162" s="6" t="n">
        <v>28</v>
      </c>
      <c r="N162" s="6" t="n">
        <v>4</v>
      </c>
      <c r="O162" s="6" t="n">
        <v>4</v>
      </c>
      <c r="P162" s="6" t="n">
        <v>6760</v>
      </c>
      <c r="Q162" s="6" t="n">
        <v>0.75</v>
      </c>
      <c r="R162">
        <f>M162+IF(N162&gt;1,N(O162)*(N162-1),0)</f>
        <v/>
      </c>
      <c r="S162">
        <f>IFERROR(L162*MAX(N162,1)/R162*Q162*IF(ISBLANK(K135),1,K135),0)</f>
        <v/>
      </c>
      <c r="AB162" s="7" t="inlineStr">
        <is>
          <t>^ArrowWeapon, ^RA2LightMissile</t>
        </is>
      </c>
    </row>
    <row r="163">
      <c r="B163" s="7" t="inlineStr">
        <is>
          <t xml:space="preserve">  ↳ RA2HoverMissileAA</t>
        </is>
      </c>
      <c r="C163" s="7" t="inlineStr">
        <is>
          <t>Armament@primaryAA</t>
        </is>
      </c>
      <c r="L163" s="6" t="n">
        <v>6000</v>
      </c>
      <c r="M163" s="6" t="n">
        <v>28</v>
      </c>
      <c r="N163" s="6" t="n">
        <v>2</v>
      </c>
      <c r="O163" s="6" t="n">
        <v>4</v>
      </c>
      <c r="P163" s="6" t="n">
        <v>8640</v>
      </c>
      <c r="Q163" s="6" t="n">
        <v>0.75</v>
      </c>
      <c r="R163">
        <f>M163+IF(N163&gt;1,N(O163)*(N163-1),0)</f>
        <v/>
      </c>
      <c r="S163">
        <f>IFERROR(L163*MAX(N163,1)/R163*Q163*IF(ISBLANK(K135),1,K135),0)</f>
        <v/>
      </c>
      <c r="AB163" s="7" t="inlineStr">
        <is>
          <t>^ArrowWeapon, ^RA2LightMissile</t>
        </is>
      </c>
    </row>
    <row r="164">
      <c r="B164" s="7" t="inlineStr">
        <is>
          <t xml:space="preserve">  ↳ RA2HoverMissileAA_elite</t>
        </is>
      </c>
      <c r="C164" s="7" t="inlineStr">
        <is>
          <t>Armament@primaryeliteAA</t>
        </is>
      </c>
      <c r="L164" s="6" t="n">
        <v>6000</v>
      </c>
      <c r="M164" s="6" t="n">
        <v>28</v>
      </c>
      <c r="N164" s="6" t="n">
        <v>4</v>
      </c>
      <c r="O164" s="6" t="n">
        <v>4</v>
      </c>
      <c r="P164" s="6" t="n">
        <v>9640</v>
      </c>
      <c r="Q164" s="6" t="n">
        <v>0.75</v>
      </c>
      <c r="R164">
        <f>M164+IF(N164&gt;1,N(O164)*(N164-1),0)</f>
        <v/>
      </c>
      <c r="S164">
        <f>IFERROR(L164*MAX(N164,1)/R164*Q164*IF(ISBLANK(K135),1,K135),0)</f>
        <v/>
      </c>
      <c r="AB164" s="7" t="inlineStr">
        <is>
          <t>^ArrowWeapon, ^RA2LightMissile</t>
        </is>
      </c>
    </row>
    <row r="165">
      <c r="B165" s="7" t="inlineStr">
        <is>
          <t xml:space="preserve">  ↳ RA2ThunderboltMissile</t>
        </is>
      </c>
      <c r="C165" s="7" t="inlineStr">
        <is>
          <t>Armament@primaryThunderbolt</t>
        </is>
      </c>
      <c r="L165" s="6" t="n">
        <v>2000</v>
      </c>
      <c r="M165" s="6" t="n">
        <v>28</v>
      </c>
      <c r="N165" s="6" t="n">
        <v>2</v>
      </c>
      <c r="O165" s="6" t="n">
        <v>4</v>
      </c>
      <c r="P165" s="6" t="n">
        <v>5760</v>
      </c>
      <c r="Q165" s="6" t="n">
        <v>1.05</v>
      </c>
      <c r="R165">
        <f>M165+IF(N165&gt;1,N(O165)*(N165-1),0)</f>
        <v/>
      </c>
      <c r="S165">
        <f>IFERROR(L165*MAX(N165,1)/R165*Q165*IF(ISBLANK(K135),1,K135),0)</f>
        <v/>
      </c>
      <c r="AB165" s="7" t="inlineStr">
        <is>
          <t>^HeavyMissile, ^HeavyAAWeapon, ^MediumMissile, ^FlakWeapon, ^ArrowWeapon, ^RA2LightMissile</t>
        </is>
      </c>
    </row>
    <row r="166">
      <c r="B166" s="7" t="inlineStr">
        <is>
          <t xml:space="preserve">  ↳ RA2ThunderboltMissile_elite</t>
        </is>
      </c>
      <c r="C166" s="7" t="inlineStr">
        <is>
          <t>Armament@primaryeliteThunderbolt</t>
        </is>
      </c>
      <c r="L166" s="6" t="n">
        <v>2000</v>
      </c>
      <c r="M166" s="6" t="n">
        <v>28</v>
      </c>
      <c r="N166" s="6" t="n">
        <v>4</v>
      </c>
      <c r="O166" s="6" t="n">
        <v>4</v>
      </c>
      <c r="P166" s="6" t="n">
        <v>6760</v>
      </c>
      <c r="Q166" s="6" t="n">
        <v>1.05</v>
      </c>
      <c r="R166">
        <f>M166+IF(N166&gt;1,N(O166)*(N166-1),0)</f>
        <v/>
      </c>
      <c r="S166">
        <f>IFERROR(L166*MAX(N166,1)/R166*Q166*IF(ISBLANK(K135),1,K135),0)</f>
        <v/>
      </c>
      <c r="AB166" s="7" t="inlineStr">
        <is>
          <t>^HeavyMissile, ^HeavyAAWeapon, ^MediumMissile, ^FlakWeapon, ^ArrowWeapon, ^RA2LightMissile</t>
        </is>
      </c>
    </row>
    <row r="167">
      <c r="B167" s="7" t="inlineStr">
        <is>
          <t xml:space="preserve">  ↳ RA2ThunderboltMissileAA</t>
        </is>
      </c>
      <c r="C167" s="7" t="inlineStr">
        <is>
          <t>Armament@primaryAAThunderbolt</t>
        </is>
      </c>
      <c r="L167" s="6" t="n">
        <v>2000</v>
      </c>
      <c r="M167" s="6" t="n">
        <v>28</v>
      </c>
      <c r="N167" s="6" t="n">
        <v>2</v>
      </c>
      <c r="O167" s="6" t="n">
        <v>4</v>
      </c>
      <c r="P167" s="6" t="n">
        <v>8640</v>
      </c>
      <c r="Q167" s="6" t="n">
        <v>1.05</v>
      </c>
      <c r="R167">
        <f>M167+IF(N167&gt;1,N(O167)*(N167-1),0)</f>
        <v/>
      </c>
      <c r="S167">
        <f>IFERROR(L167*MAX(N167,1)/R167*Q167*IF(ISBLANK(K135),1,K135),0)</f>
        <v/>
      </c>
      <c r="AB167" s="7" t="inlineStr">
        <is>
          <t>^HeavyMissile, ^HeavyAAWeapon, ^MediumMissile, ^FlakWeapon, ^ArrowWeapon, ^RA2LightMissile</t>
        </is>
      </c>
    </row>
    <row r="168">
      <c r="B168" s="7" t="inlineStr">
        <is>
          <t xml:space="preserve">  ↳ RA2ThunderboltMissileAA_elite</t>
        </is>
      </c>
      <c r="C168" s="7" t="inlineStr">
        <is>
          <t>Armament@primaryeliteAAThunderbolt</t>
        </is>
      </c>
      <c r="L168" s="6" t="n">
        <v>2000</v>
      </c>
      <c r="M168" s="6" t="n">
        <v>28</v>
      </c>
      <c r="N168" s="6" t="n">
        <v>4</v>
      </c>
      <c r="O168" s="6" t="n">
        <v>4</v>
      </c>
      <c r="P168" s="6" t="n">
        <v>9640</v>
      </c>
      <c r="Q168" s="6" t="n">
        <v>1.05</v>
      </c>
      <c r="R168">
        <f>M168+IF(N168&gt;1,N(O168)*(N168-1),0)</f>
        <v/>
      </c>
      <c r="S168">
        <f>IFERROR(L168*MAX(N168,1)/R168*Q168*IF(ISBLANK(K135),1,K135),0)</f>
        <v/>
      </c>
      <c r="AB168" s="7" t="inlineStr">
        <is>
          <t>^HeavyMissile, ^HeavyAAWeapon, ^MediumMissile, ^FlakWeapon, ^ArrowWeapon, ^RA2LightMissile</t>
        </is>
      </c>
    </row>
    <row r="169">
      <c r="B169" s="7" t="inlineStr">
        <is>
          <t xml:space="preserve">  ↳ RA2MultiHoverMissile_elite</t>
        </is>
      </c>
      <c r="C169" s="7" t="inlineStr">
        <is>
          <t>Armament@missileelite</t>
        </is>
      </c>
      <c r="L169" s="6" t="n">
        <v>4000</v>
      </c>
      <c r="M169" s="6" t="n">
        <v>20</v>
      </c>
      <c r="N169" s="6" t="n">
        <v>4</v>
      </c>
      <c r="O169" s="6" t="n">
        <v>4</v>
      </c>
      <c r="P169" s="6" t="n">
        <v>7170</v>
      </c>
      <c r="Q169" s="6" t="n">
        <v>0.9166666666666666</v>
      </c>
      <c r="R169">
        <f>M169+IF(N169&gt;1,N(O169)*(N169-1),0)</f>
        <v/>
      </c>
      <c r="S169">
        <f>IFERROR(L169*MAX(N169,1)/R169*Q169*IF(ISBLANK(K135),1,K135),0)</f>
        <v/>
      </c>
      <c r="AB169" s="7" t="inlineStr">
        <is>
          <t>^MediumCannon, ^MediumChemicalWeapon, ^ArrowWeapon, ^RA2LightMissile</t>
        </is>
      </c>
    </row>
    <row r="170">
      <c r="B170" s="7" t="inlineStr">
        <is>
          <t xml:space="preserve">  ↳ RA2MultiHoverMissileAA</t>
        </is>
      </c>
      <c r="C170" s="7" t="inlineStr">
        <is>
          <t>Armament@missileAA</t>
        </is>
      </c>
      <c r="L170" s="6" t="n">
        <v>2000</v>
      </c>
      <c r="M170" s="6" t="n">
        <v>20</v>
      </c>
      <c r="N170" s="6" t="n">
        <v>4</v>
      </c>
      <c r="O170" s="6" t="n">
        <v>4</v>
      </c>
      <c r="P170" s="6" t="n">
        <v>9255</v>
      </c>
      <c r="Q170" s="6" t="n">
        <v>0.9166666666666666</v>
      </c>
      <c r="R170">
        <f>M170+IF(N170&gt;1,N(O170)*(N170-1),0)</f>
        <v/>
      </c>
      <c r="S170">
        <f>IFERROR(L170*MAX(N170,1)/R170*Q170*IF(ISBLANK(K135),1,K135),0)</f>
        <v/>
      </c>
      <c r="AB170" s="7" t="inlineStr">
        <is>
          <t>^MediumCannon, ^MediumChemicalWeapon, ^ArrowWeapon, ^RA2LightMissile</t>
        </is>
      </c>
    </row>
    <row r="171">
      <c r="B171" s="7" t="inlineStr">
        <is>
          <t xml:space="preserve">  ↳ RA2MultiHoverMissileAA_elite</t>
        </is>
      </c>
      <c r="C171" s="7" t="inlineStr">
        <is>
          <t>Armament@missileeliteAA</t>
        </is>
      </c>
      <c r="L171" s="6" t="n">
        <v>4000</v>
      </c>
      <c r="M171" s="6" t="n">
        <v>20</v>
      </c>
      <c r="N171" s="6" t="n">
        <v>4</v>
      </c>
      <c r="O171" s="6" t="n">
        <v>4</v>
      </c>
      <c r="P171" s="6" t="n">
        <v>10255</v>
      </c>
      <c r="Q171" s="6" t="n">
        <v>0.9166666666666666</v>
      </c>
      <c r="R171">
        <f>M171+IF(N171&gt;1,N(O171)*(N171-1),0)</f>
        <v/>
      </c>
      <c r="S171">
        <f>IFERROR(L171*MAX(N171,1)/R171*Q171*IF(ISBLANK(K135),1,K135),0)</f>
        <v/>
      </c>
      <c r="AB171" s="7" t="inlineStr">
        <is>
          <t>^MediumCannon, ^MediumChemicalWeapon, ^ArrowWeapon, ^RA2LightMissile</t>
        </is>
      </c>
    </row>
    <row r="172">
      <c r="B172" s="7" t="inlineStr">
        <is>
          <t xml:space="preserve">  ↳ RA2MultiThunderboltMissile</t>
        </is>
      </c>
      <c r="C172" s="7" t="inlineStr">
        <is>
          <t>Armament@missileThunderbolt</t>
        </is>
      </c>
      <c r="L172" s="6" t="n">
        <v>2000</v>
      </c>
      <c r="M172" s="6" t="n">
        <v>20</v>
      </c>
      <c r="N172" s="6" t="n">
        <v>4</v>
      </c>
      <c r="O172" s="6" t="n">
        <v>4</v>
      </c>
      <c r="P172" s="6" t="n">
        <v>6170</v>
      </c>
      <c r="Q172" s="6" t="n">
        <v>1.035714285714286</v>
      </c>
      <c r="R172">
        <f>M172+IF(N172&gt;1,N(O172)*(N172-1),0)</f>
        <v/>
      </c>
      <c r="S172">
        <f>IFERROR(L172*MAX(N172,1)/R172*Q172*IF(ISBLANK(K135),1,K135),0)</f>
        <v/>
      </c>
      <c r="AB172" s="7" t="inlineStr">
        <is>
          <t>^HeavyMissile, ^HeavyAAWeapon, ^MediumMissile, ^FlakWeapon, ^MediumCannon, ^MediumChemicalWeapon, ^ArrowWeapon, ^RA2LightMissile</t>
        </is>
      </c>
    </row>
    <row r="173">
      <c r="B173" s="7" t="inlineStr">
        <is>
          <t xml:space="preserve">  ↳ RA2MultiThunderboltMissile_elite</t>
        </is>
      </c>
      <c r="C173" s="7" t="inlineStr">
        <is>
          <t>Armament@missileeliteThunderbolt</t>
        </is>
      </c>
      <c r="L173" s="6" t="n">
        <v>4000</v>
      </c>
      <c r="M173" s="6" t="n">
        <v>20</v>
      </c>
      <c r="N173" s="6" t="n">
        <v>4</v>
      </c>
      <c r="O173" s="6" t="n">
        <v>4</v>
      </c>
      <c r="P173" s="6" t="n">
        <v>7170</v>
      </c>
      <c r="Q173" s="6" t="n">
        <v>1.035714285714286</v>
      </c>
      <c r="R173">
        <f>M173+IF(N173&gt;1,N(O173)*(N173-1),0)</f>
        <v/>
      </c>
      <c r="S173">
        <f>IFERROR(L173*MAX(N173,1)/R173*Q173*IF(ISBLANK(K135),1,K135),0)</f>
        <v/>
      </c>
      <c r="AB173" s="7" t="inlineStr">
        <is>
          <t>^HeavyMissile, ^HeavyAAWeapon, ^MediumMissile, ^FlakWeapon, ^MediumCannon, ^MediumChemicalWeapon, ^ArrowWeapon, ^RA2LightMissile</t>
        </is>
      </c>
    </row>
    <row r="174">
      <c r="B174" s="7" t="inlineStr">
        <is>
          <t xml:space="preserve">  ↳ RA2MultiThunderboltMissileAA</t>
        </is>
      </c>
      <c r="C174" s="7" t="inlineStr">
        <is>
          <t>Armament@missileAAThunderbolt</t>
        </is>
      </c>
      <c r="L174" s="6" t="n">
        <v>2000</v>
      </c>
      <c r="M174" s="6" t="n">
        <v>20</v>
      </c>
      <c r="N174" s="6" t="n">
        <v>4</v>
      </c>
      <c r="O174" s="6" t="n">
        <v>4</v>
      </c>
      <c r="P174" s="6" t="n">
        <v>9255</v>
      </c>
      <c r="Q174" s="6" t="n">
        <v>1.035714285714286</v>
      </c>
      <c r="R174">
        <f>M174+IF(N174&gt;1,N(O174)*(N174-1),0)</f>
        <v/>
      </c>
      <c r="S174">
        <f>IFERROR(L174*MAX(N174,1)/R174*Q174*IF(ISBLANK(K135),1,K135),0)</f>
        <v/>
      </c>
      <c r="AB174" s="7" t="inlineStr">
        <is>
          <t>^HeavyMissile, ^HeavyAAWeapon, ^MediumMissile, ^FlakWeapon, ^MediumCannon, ^MediumChemicalWeapon, ^ArrowWeapon, ^RA2LightMissile</t>
        </is>
      </c>
    </row>
    <row r="175">
      <c r="B175" s="7" t="inlineStr">
        <is>
          <t xml:space="preserve">  ↳ RA2MultiThunderboltMissileAA_elite</t>
        </is>
      </c>
      <c r="C175" s="7" t="inlineStr">
        <is>
          <t>Armament@missileeliteAAThunderbolt</t>
        </is>
      </c>
      <c r="L175" s="6" t="n">
        <v>4000</v>
      </c>
      <c r="M175" s="6" t="n">
        <v>20</v>
      </c>
      <c r="N175" s="6" t="n">
        <v>4</v>
      </c>
      <c r="O175" s="6" t="n">
        <v>4</v>
      </c>
      <c r="P175" s="6" t="n">
        <v>10255</v>
      </c>
      <c r="Q175" s="6" t="n">
        <v>1.035714285714286</v>
      </c>
      <c r="R175">
        <f>M175+IF(N175&gt;1,N(O175)*(N175-1),0)</f>
        <v/>
      </c>
      <c r="S175">
        <f>IFERROR(L175*MAX(N175,1)/R175*Q175*IF(ISBLANK(K135),1,K135),0)</f>
        <v/>
      </c>
      <c r="AB175" s="7" t="inlineStr">
        <is>
          <t>^HeavyMissile, ^HeavyAAWeapon, ^MediumMissile, ^FlakWeapon, ^MediumCannon, ^MediumChemicalWeapon, ^ArrowWeapon, ^RA2LightMissile</t>
        </is>
      </c>
    </row>
    <row r="176">
      <c r="B176" s="7" t="inlineStr">
        <is>
          <t xml:space="preserve">  ↳ MedicHeal</t>
        </is>
      </c>
      <c r="C176" s="7" t="inlineStr">
        <is>
          <t>Armament@healer</t>
        </is>
      </c>
      <c r="L176" s="6" t="n">
        <v>-1</v>
      </c>
      <c r="M176" s="6" t="n">
        <v>10</v>
      </c>
      <c r="N176" s="6" t="n">
        <v>1</v>
      </c>
      <c r="O176" s="6" t="n"/>
      <c r="P176" s="6" t="n">
        <v>6000</v>
      </c>
      <c r="Q176" s="6" t="n">
        <v>1</v>
      </c>
      <c r="R176">
        <f>M176+IF(N176&gt;1,N(O176)*(N176-1),0)</f>
        <v/>
      </c>
      <c r="S176">
        <f>IFERROR(L176*MAX(N176,1)/R176*Q176*IF(ISBLANK(K135),1,K135),0)</f>
        <v/>
      </c>
      <c r="AB176" s="7" t="inlineStr">
        <is>
          <t>^HealingWeapon</t>
        </is>
      </c>
    </row>
    <row r="177">
      <c r="B177" s="7" t="inlineStr">
        <is>
          <t xml:space="preserve">  ↳ RA2AWP</t>
        </is>
      </c>
      <c r="C177" s="7" t="inlineStr">
        <is>
          <t>Armament@ra1_allies_alliedsniper</t>
        </is>
      </c>
      <c r="L177" s="6" t="n">
        <v>44000</v>
      </c>
      <c r="M177" s="6" t="n">
        <v>54</v>
      </c>
      <c r="N177" s="6" t="n">
        <v>1</v>
      </c>
      <c r="O177" s="6" t="n"/>
      <c r="P177" s="6" t="n">
        <v>10000</v>
      </c>
      <c r="Q177" s="6" t="n">
        <v>0.75</v>
      </c>
      <c r="R177">
        <f>M177+IF(N177&gt;1,N(O177)*(N177-1),0)</f>
        <v/>
      </c>
      <c r="S177">
        <f>IFERROR(L177*MAX(N177,1)/R177*Q177*IF(ISBLANK(K135),1,K135),0)</f>
        <v/>
      </c>
      <c r="AB177" s="7" t="inlineStr">
        <is>
          <t>^SniperWeapon</t>
        </is>
      </c>
    </row>
    <row r="178">
      <c r="A178" t="inlineStr">
        <is>
          <t>redalert2</t>
        </is>
      </c>
      <c r="B178" t="inlineStr">
        <is>
          <t>ra2_allies_ifv_chrono</t>
        </is>
      </c>
      <c r="C178" t="inlineStr">
        <is>
          <t>actor_fv.name</t>
        </is>
      </c>
      <c r="D178" s="6" t="inlineStr">
        <is>
          <t>ScoutVehicle</t>
        </is>
      </c>
      <c r="E178" s="6" t="n">
        <v>25000</v>
      </c>
      <c r="F178" s="6" t="n">
        <v>150</v>
      </c>
      <c r="G178" t="inlineStr">
        <is>
          <t>Scout</t>
        </is>
      </c>
      <c r="H178" s="6" t="n">
        <v>1</v>
      </c>
      <c r="I178" s="6" t="n">
        <v>1</v>
      </c>
      <c r="J178" s="6" t="n">
        <v>1</v>
      </c>
      <c r="K178" s="6" t="n"/>
      <c r="P178">
        <f>MAX(P179,P180,P181,P182,P183,P184,P185,P186,P187,P188,P189,P190,P191,P192,P193,P194,P195,P196,P197,P198,P199,P200,P201,P202,P203,P204,P205,P206,P207,P208,P209,P210,P211,P212,P213,P214,P215,P216,P217,P218,P219,P220)</f>
        <v/>
      </c>
      <c r="S178">
        <f>S179+S180+S181+S182+S183+S184+S185+S186+S187+S188+S189+S190+S191+S192+S193+S194+S195+S196+S197+S198+S199+S200+S201+S202+S203+S204+S205+S206+S207+S208+S209+S210+S211+S212+S213+S214+S215+S216+S217+S218+S219+S220</f>
        <v/>
      </c>
      <c r="T178">
        <f>(E178/100000+F178/100+(P178/1000)*J178/5+S178/200)*200*I178*H178</f>
        <v/>
      </c>
      <c r="U178">
        <f>((E178*F178/25000)+((P178/1000)*J178*S178/2.5))*I178*H178</f>
        <v/>
      </c>
      <c r="V178">
        <f>(E178*F178*(P178/1000)*J178*S178*I178*H178)/12500000</f>
        <v/>
      </c>
      <c r="W178">
        <f>(T178+U178+V178)/3</f>
        <v/>
      </c>
      <c r="X178" s="6" t="n">
        <v>500</v>
      </c>
      <c r="Y178">
        <f>IFERROR(W178-X178,"")</f>
        <v/>
      </c>
      <c r="Z178">
        <f>IFERROR(ABS(Y178)/MAX(X178,1),"")</f>
        <v/>
      </c>
      <c r="AA178">
        <f>IFERROR((X178-(((E178/100000+F178/100+S178/200)*200*I178*H178)+((E178*F178/25000)*I178*H178))/3)/(((J178/5)*200*I178*H178)+((J178*S178/2.5)*I178*H178)+((E178*F178*J178*S178*I178*H178)/12500000))/3*1000,"")</f>
        <v/>
      </c>
    </row>
    <row r="179">
      <c r="B179" s="7" t="inlineStr">
        <is>
          <t xml:space="preserve">  ↳ RA2CRM60</t>
        </is>
      </c>
      <c r="C179" s="7" t="inlineStr">
        <is>
          <t>Armament@mg</t>
        </is>
      </c>
      <c r="L179" s="6" t="n">
        <v>2000</v>
      </c>
      <c r="M179" s="6" t="n">
        <v>14</v>
      </c>
      <c r="N179" s="6" t="n">
        <v>4</v>
      </c>
      <c r="O179" s="6" t="n">
        <v>2</v>
      </c>
      <c r="P179" s="6" t="n">
        <v>5660</v>
      </c>
      <c r="Q179" s="6" t="n">
        <v>0.875</v>
      </c>
      <c r="R179">
        <f>M179+IF(N179&gt;1,N(O179)*(N179-1),0)</f>
        <v/>
      </c>
      <c r="S179">
        <f>IFERROR(L179*MAX(N179,1)/R179*Q179*IF(ISBLANK(K178),1,K178),0)</f>
        <v/>
      </c>
      <c r="AB179" s="7" t="inlineStr">
        <is>
          <t>^RA2SmallArms, ^RA2Chaingun</t>
        </is>
      </c>
    </row>
    <row r="180">
      <c r="B180" s="7" t="inlineStr">
        <is>
          <t xml:space="preserve">  ↳ RA2CRM60H</t>
        </is>
      </c>
      <c r="C180" s="7" t="inlineStr">
        <is>
          <t>Armament@hmg</t>
        </is>
      </c>
      <c r="L180" s="6" t="n">
        <v>2000</v>
      </c>
      <c r="M180" s="6" t="n">
        <v>10</v>
      </c>
      <c r="N180" s="6" t="n">
        <v>6</v>
      </c>
      <c r="O180" s="6" t="n">
        <v>2</v>
      </c>
      <c r="P180" s="6" t="n">
        <v>4692</v>
      </c>
      <c r="Q180" s="6" t="n">
        <v>1</v>
      </c>
      <c r="R180">
        <f>M180+IF(N180&gt;1,N(O180)*(N180-1),0)</f>
        <v/>
      </c>
      <c r="S180">
        <f>IFERROR(L180*MAX(N180,1)/R180*Q180*IF(ISBLANK(K178),1,K178),0)</f>
        <v/>
      </c>
      <c r="AB180" s="7" t="inlineStr">
        <is>
          <t>^HeavyCannon, ^RA2Chaingun, ^SniperWeapon</t>
        </is>
      </c>
    </row>
    <row r="181">
      <c r="B181" s="7" t="inlineStr">
        <is>
          <t xml:space="preserve">  ↳ wc_tower_fire</t>
        </is>
      </c>
      <c r="C181" s="7" t="inlineStr">
        <is>
          <t>Armament@archer</t>
        </is>
      </c>
      <c r="L181" s="6" t="n">
        <v>2500</v>
      </c>
      <c r="M181" s="6" t="n">
        <v>40</v>
      </c>
      <c r="N181" s="6" t="n">
        <v>1</v>
      </c>
      <c r="O181" s="6" t="n"/>
      <c r="P181" s="6" t="n">
        <v>8704</v>
      </c>
      <c r="Q181" s="6" t="n">
        <v>1</v>
      </c>
      <c r="R181">
        <f>M181+IF(N181&gt;1,N(O181)*(N181-1),0)</f>
        <v/>
      </c>
      <c r="S181">
        <f>IFERROR(L181*MAX(N181,1)/R181*Q181*IF(ISBLANK(K178),1,K178),0)</f>
        <v/>
      </c>
      <c r="AB181" s="7" t="inlineStr">
        <is>
          <t>bowFire</t>
        </is>
      </c>
    </row>
    <row r="182">
      <c r="B182" s="7" t="inlineStr">
        <is>
          <t xml:space="preserve">  ↳ RA2IFVRepair</t>
        </is>
      </c>
      <c r="C182" s="7" t="inlineStr">
        <is>
          <t>Armament@repair</t>
        </is>
      </c>
      <c r="L182" s="6" t="n">
        <v>-1</v>
      </c>
      <c r="M182" s="6" t="n">
        <v>50</v>
      </c>
      <c r="N182" s="6" t="n">
        <v>10</v>
      </c>
      <c r="O182" s="6" t="n">
        <v>1</v>
      </c>
      <c r="P182" s="6" t="n">
        <v>5000</v>
      </c>
      <c r="Q182" s="6" t="n">
        <v>1.5</v>
      </c>
      <c r="R182">
        <f>M182+IF(N182&gt;1,N(O182)*(N182-1),0)</f>
        <v/>
      </c>
      <c r="S182">
        <f>IFERROR(L182*MAX(N182,1)/R182*Q182*IF(ISBLANK(K178),1,K178),0)</f>
        <v/>
      </c>
      <c r="AB182" s="7" t="inlineStr">
        <is>
          <t>^RepairWeapon</t>
        </is>
      </c>
    </row>
    <row r="183">
      <c r="B183" s="7" t="inlineStr">
        <is>
          <t xml:space="preserve">  ↳ LightSniper</t>
        </is>
      </c>
      <c r="C183" s="7" t="inlineStr">
        <is>
          <t>Armament@lightsniper</t>
        </is>
      </c>
      <c r="L183" s="6" t="n">
        <v>30000</v>
      </c>
      <c r="M183" s="6" t="n">
        <v>100</v>
      </c>
      <c r="N183" s="6" t="n">
        <v>1</v>
      </c>
      <c r="O183" s="6" t="n"/>
      <c r="P183" s="6" t="n">
        <v>9153</v>
      </c>
      <c r="Q183" s="6" t="n">
        <v>0.75</v>
      </c>
      <c r="R183">
        <f>M183+IF(N183&gt;1,N(O183)*(N183-1),0)</f>
        <v/>
      </c>
      <c r="S183">
        <f>IFERROR(L183*MAX(N183,1)/R183*Q183*IF(ISBLANK(K178),1,K178),0)</f>
        <v/>
      </c>
      <c r="AB183" s="7" t="inlineStr">
        <is>
          <t>^SniperWeapon</t>
        </is>
      </c>
    </row>
    <row r="184">
      <c r="B184" s="7" t="inlineStr">
        <is>
          <t xml:space="preserve">  ↳ RA2DoublePistolsIFV</t>
        </is>
      </c>
      <c r="C184" s="7" t="inlineStr">
        <is>
          <t>Armament@hero</t>
        </is>
      </c>
      <c r="L184" s="6" t="n">
        <v>14000</v>
      </c>
      <c r="M184" s="6" t="n">
        <v>12</v>
      </c>
      <c r="N184" s="6" t="n">
        <v>2</v>
      </c>
      <c r="O184" s="6" t="n">
        <v>3</v>
      </c>
      <c r="P184" s="6" t="n">
        <v>8000</v>
      </c>
      <c r="Q184" s="6" t="n">
        <v>0.75</v>
      </c>
      <c r="R184">
        <f>M184+IF(N184&gt;1,N(O184)*(N184-1),0)</f>
        <v/>
      </c>
      <c r="S184">
        <f>IFERROR(L184*MAX(N184,1)/R184*Q184*IF(ISBLANK(K178),1,K178),0)</f>
        <v/>
      </c>
      <c r="AB184" s="7" t="inlineStr">
        <is>
          <t>^SniperWeapon</t>
        </is>
      </c>
    </row>
    <row r="185">
      <c r="B185" s="7" t="inlineStr">
        <is>
          <t xml:space="preserve">  ↳ TTankZap</t>
        </is>
      </c>
      <c r="C185" s="7" t="inlineStr">
        <is>
          <t>Armament@tesla</t>
        </is>
      </c>
      <c r="L185" s="6" t="n">
        <v>40000</v>
      </c>
      <c r="M185" s="6" t="n">
        <v>80</v>
      </c>
      <c r="N185" s="6" t="n">
        <v>1</v>
      </c>
      <c r="O185" s="6" t="n"/>
      <c r="P185" s="6" t="n">
        <v>7300</v>
      </c>
      <c r="Q185" s="6" t="n">
        <v>1</v>
      </c>
      <c r="R185">
        <f>M185+IF(N185&gt;1,N(O185)*(N185-1),0)</f>
        <v/>
      </c>
      <c r="S185">
        <f>IFERROR(L185*MAX(N185,1)/R185*Q185*IF(ISBLANK(K178),1,K178),0)</f>
        <v/>
      </c>
      <c r="AB185" s="7" t="inlineStr">
        <is>
          <t>^TeslaWeapon</t>
        </is>
      </c>
    </row>
    <row r="186">
      <c r="B186" s="7" t="inlineStr">
        <is>
          <t xml:space="preserve">  ↳ DragunovSniper</t>
        </is>
      </c>
      <c r="C186" s="7" t="inlineStr">
        <is>
          <t>Armament@flak</t>
        </is>
      </c>
      <c r="L186" s="6" t="n">
        <v>8000</v>
      </c>
      <c r="M186" s="6" t="n">
        <v>85</v>
      </c>
      <c r="N186" s="6" t="n">
        <v>1</v>
      </c>
      <c r="O186" s="6" t="n"/>
      <c r="P186" s="6" t="n">
        <v>6880</v>
      </c>
      <c r="Q186" s="6" t="n">
        <v>1.0625</v>
      </c>
      <c r="R186">
        <f>M186+IF(N186&gt;1,N(O186)*(N186-1),0)</f>
        <v/>
      </c>
      <c r="S186">
        <f>IFERROR(L186*MAX(N186,1)/R186*Q186*IF(ISBLANK(K178),1,K178),0)</f>
        <v/>
      </c>
      <c r="AB186" s="7" t="inlineStr">
        <is>
          <t>^TankDestroyerCannon, ^RailgunWeapon, ^LightMissile, ^HeavyCannon, ^FlakWeapon</t>
        </is>
      </c>
    </row>
    <row r="187">
      <c r="B187" s="7" t="inlineStr">
        <is>
          <t xml:space="preserve">  ↳ RA2MirageGun</t>
        </is>
      </c>
      <c r="C187" s="7" t="inlineStr">
        <is>
          <t>Armament@cannon</t>
        </is>
      </c>
      <c r="L187" s="6" t="n">
        <v>8000</v>
      </c>
      <c r="M187" s="6" t="n">
        <v>39</v>
      </c>
      <c r="N187" s="6" t="n">
        <v>1</v>
      </c>
      <c r="O187" s="6" t="n"/>
      <c r="P187" s="6" t="n">
        <v>6031</v>
      </c>
      <c r="Q187" s="6" t="n">
        <v>1.125</v>
      </c>
      <c r="R187">
        <f>M187+IF(N187&gt;1,N(O187)*(N187-1),0)</f>
        <v/>
      </c>
      <c r="S187">
        <f>IFERROR(L187*MAX(N187,1)/R187*Q187*IF(ISBLANK(K178),1,K178),0)</f>
        <v/>
      </c>
      <c r="AB187" s="7" t="inlineStr">
        <is>
          <t>^RailgunWeapon, ^MediumChemicalWeapon, ^RA2TankDestroyerCannon</t>
        </is>
      </c>
    </row>
    <row r="188">
      <c r="B188" s="7" t="inlineStr">
        <is>
          <t xml:space="preserve">  ↳ Grenade</t>
        </is>
      </c>
      <c r="C188" s="7" t="inlineStr">
        <is>
          <t>Armament@grenade</t>
        </is>
      </c>
      <c r="L188" s="6" t="n">
        <v>16000</v>
      </c>
      <c r="M188" s="6" t="n">
        <v>42</v>
      </c>
      <c r="N188" s="6" t="n">
        <v>1</v>
      </c>
      <c r="O188" s="6" t="n"/>
      <c r="P188" s="6" t="n">
        <v>6097</v>
      </c>
      <c r="Q188" s="6" t="n">
        <v>1</v>
      </c>
      <c r="R188">
        <f>M188+IF(N188&gt;1,N(O188)*(N188-1),0)</f>
        <v/>
      </c>
      <c r="S188">
        <f>IFERROR(L188*MAX(N188,1)/R188*Q188*IF(ISBLANK(K178),1,K178),0)</f>
        <v/>
      </c>
      <c r="AB188" s="7" t="inlineStr">
        <is>
          <t>^Grenade</t>
        </is>
      </c>
    </row>
    <row r="189">
      <c r="B189" s="7" t="inlineStr">
        <is>
          <t xml:space="preserve">  ↳ DRPlasmaTankWeapon</t>
        </is>
      </c>
      <c r="C189" s="7" t="inlineStr">
        <is>
          <t>Armament@plasma</t>
        </is>
      </c>
      <c r="L189" s="6" t="n">
        <v>3750</v>
      </c>
      <c r="M189" s="6" t="n">
        <v>21</v>
      </c>
      <c r="N189" s="6" t="n">
        <v>1</v>
      </c>
      <c r="O189" s="6" t="n"/>
      <c r="P189" s="6" t="n">
        <v>5120</v>
      </c>
      <c r="Q189" s="6" t="n">
        <v>1</v>
      </c>
      <c r="R189">
        <f>M189+IF(N189&gt;1,N(O189)*(N189-1),0)</f>
        <v/>
      </c>
      <c r="S189">
        <f>IFERROR(L189*MAX(N189,1)/R189*Q189*IF(ISBLANK(K178),1,K178),0)</f>
        <v/>
      </c>
      <c r="AB189" s="7" t="inlineStr">
        <is>
          <t>^DRPlasmaWeapon</t>
        </is>
      </c>
    </row>
    <row r="190">
      <c r="B190" s="7" t="inlineStr">
        <is>
          <t xml:space="preserve">  ↳ SWLaserG</t>
        </is>
      </c>
      <c r="C190" s="7" t="inlineStr">
        <is>
          <t>Armament@litlaser</t>
        </is>
      </c>
      <c r="L190" s="6" t="n">
        <v>2000</v>
      </c>
      <c r="M190" s="6" t="n">
        <v>30</v>
      </c>
      <c r="N190" s="6" t="n">
        <v>6</v>
      </c>
      <c r="O190" s="6" t="n"/>
      <c r="P190" s="6" t="n">
        <v>6144</v>
      </c>
      <c r="Q190" s="6" t="n">
        <v>0.75</v>
      </c>
      <c r="R190">
        <f>M190+IF(N190&gt;1,N(O190)*(N190-1),0)</f>
        <v/>
      </c>
      <c r="S190">
        <f>IFERROR(L190*MAX(N190,1)/R190*Q190*IF(ISBLANK(K178),1,K178),0)</f>
        <v/>
      </c>
      <c r="AB190" s="7" t="inlineStr">
        <is>
          <t>^LightMG</t>
        </is>
      </c>
    </row>
    <row r="191">
      <c r="B191" s="7" t="inlineStr">
        <is>
          <t xml:space="preserve">  ↳ USALaserCannonAG</t>
        </is>
      </c>
      <c r="C191" s="7" t="inlineStr">
        <is>
          <t>Armament@medlaser</t>
        </is>
      </c>
      <c r="L191" s="6" t="n">
        <v>4000</v>
      </c>
      <c r="M191" s="6" t="n">
        <v>50</v>
      </c>
      <c r="N191" s="6" t="n">
        <v>3</v>
      </c>
      <c r="O191" s="6" t="n">
        <v>6</v>
      </c>
      <c r="P191" s="6" t="n">
        <v>7168</v>
      </c>
      <c r="Q191" s="6" t="n">
        <v>1</v>
      </c>
      <c r="R191">
        <f>M191+IF(N191&gt;1,N(O191)*(N191-1),0)</f>
        <v/>
      </c>
      <c r="S191">
        <f>IFERROR(L191*MAX(N191,1)/R191*Q191*IF(ISBLANK(K178),1,K178),0)</f>
        <v/>
      </c>
      <c r="AB191" s="7" t="inlineStr">
        <is>
          <t>^AntiGroundMissile</t>
        </is>
      </c>
    </row>
    <row r="192">
      <c r="B192" s="7" t="inlineStr">
        <is>
          <t xml:space="preserve">  ↳ SWGreenLaserG</t>
        </is>
      </c>
      <c r="C192" s="7" t="inlineStr">
        <is>
          <t>Armament@greenlaser</t>
        </is>
      </c>
      <c r="L192" s="6" t="n">
        <v>5000</v>
      </c>
      <c r="M192" s="6" t="n">
        <v>75</v>
      </c>
      <c r="N192" s="6" t="n">
        <v>1</v>
      </c>
      <c r="O192" s="6" t="n"/>
      <c r="P192" s="6" t="n">
        <v>7168</v>
      </c>
      <c r="Q192" s="6" t="n">
        <v>1</v>
      </c>
      <c r="R192">
        <f>M192+IF(N192&gt;1,N(O192)*(N192-1),0)</f>
        <v/>
      </c>
      <c r="S192">
        <f>IFERROR(L192*MAX(N192,1)/R192*Q192*IF(ISBLANK(K178),1,K178),0)</f>
        <v/>
      </c>
      <c r="AB192" s="7" t="inlineStr">
        <is>
          <t>^MissileWeapon</t>
        </is>
      </c>
    </row>
    <row r="193">
      <c r="B193" s="7" t="inlineStr">
        <is>
          <t xml:space="preserve">  ↳ SWGBigRedLaserG</t>
        </is>
      </c>
      <c r="C193" s="7" t="inlineStr">
        <is>
          <t>Armament@misslaser</t>
        </is>
      </c>
      <c r="L193" s="6" t="n">
        <v>4000</v>
      </c>
      <c r="M193" s="6" t="n">
        <v>75</v>
      </c>
      <c r="N193" s="6" t="n">
        <v>1</v>
      </c>
      <c r="O193" s="6" t="n"/>
      <c r="P193" s="6" t="n">
        <v>8192</v>
      </c>
      <c r="Q193" s="6" t="n">
        <v>1</v>
      </c>
      <c r="R193">
        <f>M193+IF(N193&gt;1,N(O193)*(N193-1),0)</f>
        <v/>
      </c>
      <c r="S193">
        <f>IFERROR(L193*MAX(N193,1)/R193*Q193*IF(ISBLANK(K178),1,K178),0)</f>
        <v/>
      </c>
      <c r="AB193" s="7" t="inlineStr">
        <is>
          <t>^MissileWeapon</t>
        </is>
      </c>
    </row>
    <row r="194">
      <c r="B194" s="7" t="inlineStr">
        <is>
          <t xml:space="preserve">  ↳ BigFlamer</t>
        </is>
      </c>
      <c r="C194" s="7" t="inlineStr">
        <is>
          <t>Armament@fire</t>
        </is>
      </c>
      <c r="L194" s="6" t="n">
        <v>14000</v>
      </c>
      <c r="M194" s="6" t="n">
        <v>50</v>
      </c>
      <c r="N194" s="6" t="n">
        <v>2</v>
      </c>
      <c r="O194" s="6" t="n">
        <v>10</v>
      </c>
      <c r="P194" s="6" t="n">
        <v>2390</v>
      </c>
      <c r="Q194" s="6" t="n">
        <v>1</v>
      </c>
      <c r="R194">
        <f>M194+IF(N194&gt;1,N(O194)*(N194-1),0)</f>
        <v/>
      </c>
      <c r="S194">
        <f>IFERROR(L194*MAX(N194,1)/R194*Q194*IF(ISBLANK(K178),1,K178),0)</f>
        <v/>
      </c>
      <c r="AB194" s="7" t="inlineStr">
        <is>
          <t>^MediumFlameWeapon</t>
        </is>
      </c>
    </row>
    <row r="195">
      <c r="B195" s="7" t="inlineStr">
        <is>
          <t xml:space="preserve">  ↳ RA2RadBeamWeapon</t>
        </is>
      </c>
      <c r="C195" s="7" t="inlineStr">
        <is>
          <t>Armament@chem</t>
        </is>
      </c>
      <c r="L195" s="6" t="n">
        <v>30000</v>
      </c>
      <c r="M195" s="6" t="n">
        <v>45</v>
      </c>
      <c r="N195" s="6" t="n">
        <v>1</v>
      </c>
      <c r="O195" s="6" t="n"/>
      <c r="P195" s="6" t="n">
        <v>6444</v>
      </c>
      <c r="Q195" s="6" t="n">
        <v>1</v>
      </c>
      <c r="R195">
        <f>M195+IF(N195&gt;1,N(O195)*(N195-1),0)</f>
        <v/>
      </c>
      <c r="S195">
        <f>IFERROR(L195*MAX(N195,1)/R195*Q195*IF(ISBLANK(K178),1,K178),0)</f>
        <v/>
      </c>
      <c r="AB195" s="7" t="inlineStr">
        <is>
          <t>^MediumChemicalWeapon</t>
        </is>
      </c>
    </row>
    <row r="196">
      <c r="B196" s="7" t="inlineStr">
        <is>
          <t xml:space="preserve">  ↳ RA2RadBeamWeapon</t>
        </is>
      </c>
      <c r="C196" s="7" t="inlineStr">
        <is>
          <t>Armament@thrax</t>
        </is>
      </c>
      <c r="L196" s="6" t="n">
        <v>30000</v>
      </c>
      <c r="M196" s="6" t="n">
        <v>45</v>
      </c>
      <c r="N196" s="6" t="n">
        <v>1</v>
      </c>
      <c r="O196" s="6" t="n"/>
      <c r="P196" s="6" t="n">
        <v>6444</v>
      </c>
      <c r="Q196" s="6" t="n">
        <v>1</v>
      </c>
      <c r="R196">
        <f>M196+IF(N196&gt;1,N(O196)*(N196-1),0)</f>
        <v/>
      </c>
      <c r="S196">
        <f>IFERROR(L196*MAX(N196,1)/R196*Q196*IF(ISBLANK(K178),1,K178),0)</f>
        <v/>
      </c>
      <c r="AB196" s="7" t="inlineStr">
        <is>
          <t>^MediumChemicalWeapon</t>
        </is>
      </c>
    </row>
    <row r="197">
      <c r="B197" s="7" t="inlineStr">
        <is>
          <t xml:space="preserve">  ↳ RA2MultiHoverMissile</t>
        </is>
      </c>
      <c r="C197" s="7" t="inlineStr">
        <is>
          <t>Armament@missile</t>
        </is>
      </c>
      <c r="L197" s="6" t="n">
        <v>2000</v>
      </c>
      <c r="M197" s="6" t="n">
        <v>20</v>
      </c>
      <c r="N197" s="6" t="n">
        <v>4</v>
      </c>
      <c r="O197" s="6" t="n">
        <v>4</v>
      </c>
      <c r="P197" s="6" t="n">
        <v>6170</v>
      </c>
      <c r="Q197" s="6" t="n">
        <v>0.9166666666666666</v>
      </c>
      <c r="R197">
        <f>M197+IF(N197&gt;1,N(O197)*(N197-1),0)</f>
        <v/>
      </c>
      <c r="S197">
        <f>IFERROR(L197*MAX(N197,1)/R197*Q197*IF(ISBLANK(K178),1,K178),0)</f>
        <v/>
      </c>
      <c r="AB197" s="7" t="inlineStr">
        <is>
          <t>^MediumCannon, ^MediumChemicalWeapon, ^ArrowWeapon, ^RA2LightMissile</t>
        </is>
      </c>
    </row>
    <row r="198">
      <c r="B198" s="7" t="inlineStr">
        <is>
          <t xml:space="preserve">  ↳ IFVChronoBeam</t>
        </is>
      </c>
      <c r="C198" s="7" t="inlineStr">
        <is>
          <t>Armament@chrono</t>
        </is>
      </c>
      <c r="L198" s="6" t="n"/>
      <c r="M198" s="6" t="n">
        <v>1</v>
      </c>
      <c r="N198" s="6" t="n">
        <v>1</v>
      </c>
      <c r="O198" s="6" t="n"/>
      <c r="P198" s="6" t="n">
        <v>7500</v>
      </c>
      <c r="Q198" s="6" t="n">
        <v>1</v>
      </c>
      <c r="R198">
        <f>M198+IF(N198&gt;1,N(O198)*(N198-1),0)</f>
        <v/>
      </c>
      <c r="S198">
        <f>IFERROR(L198*MAX(N198,1)/R198*Q198*IF(ISBLANK(K178),1,K178),0)</f>
        <v/>
      </c>
      <c r="AB198" s="7" t="inlineStr">
        <is>
          <t>ChronoBeam</t>
        </is>
      </c>
    </row>
    <row r="199">
      <c r="B199" s="7" t="inlineStr">
        <is>
          <t xml:space="preserve">  ↳ IFVChronoSound</t>
        </is>
      </c>
      <c r="C199" s="7" t="inlineStr">
        <is>
          <t>Armament@chronosound</t>
        </is>
      </c>
      <c r="L199" s="6" t="n"/>
      <c r="M199" s="6" t="n">
        <v>180</v>
      </c>
      <c r="N199" s="6" t="n">
        <v>1</v>
      </c>
      <c r="O199" s="6" t="n"/>
      <c r="P199" s="6" t="n">
        <v>8000</v>
      </c>
      <c r="Q199" s="6" t="n">
        <v>1</v>
      </c>
      <c r="R199">
        <f>M199+IF(N199&gt;1,N(O199)*(N199-1),0)</f>
        <v/>
      </c>
      <c r="S199">
        <f>IFERROR(L199*MAX(N199,1)/R199*Q199*IF(ISBLANK(K178),1,K178),0)</f>
        <v/>
      </c>
      <c r="AB199" s="7" t="inlineStr">
        <is>
          <t>RA2ChronoTele</t>
        </is>
      </c>
    </row>
    <row r="200">
      <c r="B200" s="7" t="inlineStr">
        <is>
          <t xml:space="preserve">  ↳ DemoTruckTargeting</t>
        </is>
      </c>
      <c r="C200" s="7" t="inlineStr">
        <is>
          <t>Armament@ivan</t>
        </is>
      </c>
      <c r="L200" s="6" t="n"/>
      <c r="M200" s="6" t="n"/>
      <c r="N200" s="6" t="n">
        <v>1</v>
      </c>
      <c r="O200" s="6" t="n"/>
      <c r="P200" s="6" t="n">
        <v>2000</v>
      </c>
      <c r="Q200" s="6" t="n">
        <v>1</v>
      </c>
      <c r="R200">
        <f>M200+IF(N200&gt;1,N(O200)*(N200-1),0)</f>
        <v/>
      </c>
      <c r="S200">
        <f>IFERROR(L200*MAX(N200,1)/R200*Q200*IF(ISBLANK(K178),1,K178),0)</f>
        <v/>
      </c>
      <c r="AB200" s="7" t="inlineStr"/>
    </row>
    <row r="201">
      <c r="B201" s="7" t="inlineStr">
        <is>
          <t xml:space="preserve">  ↳ Fremen_L</t>
        </is>
      </c>
      <c r="C201" s="7" t="inlineStr">
        <is>
          <t>Armament@fremen</t>
        </is>
      </c>
      <c r="L201" s="6" t="n">
        <v>3000</v>
      </c>
      <c r="M201" s="6" t="n">
        <v>25</v>
      </c>
      <c r="N201" s="6" t="n">
        <v>1</v>
      </c>
      <c r="O201" s="6" t="n"/>
      <c r="P201" s="6" t="n">
        <v>2560</v>
      </c>
      <c r="Q201" s="6" t="n">
        <v>1</v>
      </c>
      <c r="R201">
        <f>M201+IF(N201&gt;1,N(O201)*(N201-1),0)</f>
        <v/>
      </c>
      <c r="S201">
        <f>IFERROR(L201*MAX(N201,1)/R201*Q201*IF(ISBLANK(K178),1,K178),0)</f>
        <v/>
      </c>
      <c r="AB201" s="7" t="inlineStr">
        <is>
          <t>^MG</t>
        </is>
      </c>
    </row>
    <row r="202">
      <c r="B202" s="7" t="inlineStr">
        <is>
          <t xml:space="preserve">  ↳ TSSonicZap</t>
        </is>
      </c>
      <c r="C202" s="7" t="inlineStr">
        <is>
          <t>Armament@sonic</t>
        </is>
      </c>
      <c r="L202" s="6" t="n">
        <v>4000</v>
      </c>
      <c r="M202" s="6" t="n">
        <v>60</v>
      </c>
      <c r="N202" s="6" t="n">
        <v>1</v>
      </c>
      <c r="O202" s="6" t="n"/>
      <c r="P202" s="6" t="n">
        <v>6144</v>
      </c>
      <c r="Q202" s="6" t="n">
        <v>1</v>
      </c>
      <c r="R202">
        <f>M202+IF(N202&gt;1,N(O202)*(N202-1),0)</f>
        <v/>
      </c>
      <c r="S202">
        <f>IFERROR(L202*MAX(N202,1)/R202*Q202*IF(ISBLANK(K178),1,K178),0)</f>
        <v/>
      </c>
      <c r="AB202" s="7" t="inlineStr"/>
    </row>
    <row r="203">
      <c r="B203" s="7" t="inlineStr">
        <is>
          <t xml:space="preserve">  ↳ MedicHeal</t>
        </is>
      </c>
      <c r="C203" s="7" t="inlineStr">
        <is>
          <t>Armament@heal</t>
        </is>
      </c>
      <c r="L203" s="6" t="n">
        <v>-1</v>
      </c>
      <c r="M203" s="6" t="n">
        <v>10</v>
      </c>
      <c r="N203" s="6" t="n">
        <v>1</v>
      </c>
      <c r="O203" s="6" t="n"/>
      <c r="P203" s="6" t="n">
        <v>6000</v>
      </c>
      <c r="Q203" s="6" t="n">
        <v>1</v>
      </c>
      <c r="R203">
        <f>M203+IF(N203&gt;1,N(O203)*(N203-1),0)</f>
        <v/>
      </c>
      <c r="S203">
        <f>IFERROR(L203*MAX(N203,1)/R203*Q203*IF(ISBLANK(K178),1,K178),0)</f>
        <v/>
      </c>
      <c r="AB203" s="7" t="inlineStr">
        <is>
          <t>^HealingWeapon</t>
        </is>
      </c>
    </row>
    <row r="204">
      <c r="B204" s="7" t="inlineStr">
        <is>
          <t xml:space="preserve">  ↳ RA2HoverMissile</t>
        </is>
      </c>
      <c r="C204" s="7" t="inlineStr">
        <is>
          <t>Armament@primary</t>
        </is>
      </c>
      <c r="L204" s="6" t="n">
        <v>6000</v>
      </c>
      <c r="M204" s="6" t="n">
        <v>28</v>
      </c>
      <c r="N204" s="6" t="n">
        <v>2</v>
      </c>
      <c r="O204" s="6" t="n">
        <v>4</v>
      </c>
      <c r="P204" s="6" t="n">
        <v>5760</v>
      </c>
      <c r="Q204" s="6" t="n">
        <v>0.75</v>
      </c>
      <c r="R204">
        <f>M204+IF(N204&gt;1,N(O204)*(N204-1),0)</f>
        <v/>
      </c>
      <c r="S204">
        <f>IFERROR(L204*MAX(N204,1)/R204*Q204*IF(ISBLANK(K178),1,K178),0)</f>
        <v/>
      </c>
      <c r="AB204" s="7" t="inlineStr">
        <is>
          <t>^ArrowWeapon, ^RA2LightMissile</t>
        </is>
      </c>
    </row>
    <row r="205">
      <c r="B205" s="7" t="inlineStr">
        <is>
          <t xml:space="preserve">  ↳ RA2HoverMissile_elite</t>
        </is>
      </c>
      <c r="C205" s="7" t="inlineStr">
        <is>
          <t>Armament@primaryelite</t>
        </is>
      </c>
      <c r="L205" s="6" t="n">
        <v>6000</v>
      </c>
      <c r="M205" s="6" t="n">
        <v>28</v>
      </c>
      <c r="N205" s="6" t="n">
        <v>4</v>
      </c>
      <c r="O205" s="6" t="n">
        <v>4</v>
      </c>
      <c r="P205" s="6" t="n">
        <v>6760</v>
      </c>
      <c r="Q205" s="6" t="n">
        <v>0.75</v>
      </c>
      <c r="R205">
        <f>M205+IF(N205&gt;1,N(O205)*(N205-1),0)</f>
        <v/>
      </c>
      <c r="S205">
        <f>IFERROR(L205*MAX(N205,1)/R205*Q205*IF(ISBLANK(K178),1,K178),0)</f>
        <v/>
      </c>
      <c r="AB205" s="7" t="inlineStr">
        <is>
          <t>^ArrowWeapon, ^RA2LightMissile</t>
        </is>
      </c>
    </row>
    <row r="206">
      <c r="B206" s="7" t="inlineStr">
        <is>
          <t xml:space="preserve">  ↳ RA2HoverMissileAA</t>
        </is>
      </c>
      <c r="C206" s="7" t="inlineStr">
        <is>
          <t>Armament@primaryAA</t>
        </is>
      </c>
      <c r="L206" s="6" t="n">
        <v>6000</v>
      </c>
      <c r="M206" s="6" t="n">
        <v>28</v>
      </c>
      <c r="N206" s="6" t="n">
        <v>2</v>
      </c>
      <c r="O206" s="6" t="n">
        <v>4</v>
      </c>
      <c r="P206" s="6" t="n">
        <v>8640</v>
      </c>
      <c r="Q206" s="6" t="n">
        <v>0.75</v>
      </c>
      <c r="R206">
        <f>M206+IF(N206&gt;1,N(O206)*(N206-1),0)</f>
        <v/>
      </c>
      <c r="S206">
        <f>IFERROR(L206*MAX(N206,1)/R206*Q206*IF(ISBLANK(K178),1,K178),0)</f>
        <v/>
      </c>
      <c r="AB206" s="7" t="inlineStr">
        <is>
          <t>^ArrowWeapon, ^RA2LightMissile</t>
        </is>
      </c>
    </row>
    <row r="207">
      <c r="B207" s="7" t="inlineStr">
        <is>
          <t xml:space="preserve">  ↳ RA2HoverMissileAA_elite</t>
        </is>
      </c>
      <c r="C207" s="7" t="inlineStr">
        <is>
          <t>Armament@primaryeliteAA</t>
        </is>
      </c>
      <c r="L207" s="6" t="n">
        <v>6000</v>
      </c>
      <c r="M207" s="6" t="n">
        <v>28</v>
      </c>
      <c r="N207" s="6" t="n">
        <v>4</v>
      </c>
      <c r="O207" s="6" t="n">
        <v>4</v>
      </c>
      <c r="P207" s="6" t="n">
        <v>9640</v>
      </c>
      <c r="Q207" s="6" t="n">
        <v>0.75</v>
      </c>
      <c r="R207">
        <f>M207+IF(N207&gt;1,N(O207)*(N207-1),0)</f>
        <v/>
      </c>
      <c r="S207">
        <f>IFERROR(L207*MAX(N207,1)/R207*Q207*IF(ISBLANK(K178),1,K178),0)</f>
        <v/>
      </c>
      <c r="AB207" s="7" t="inlineStr">
        <is>
          <t>^ArrowWeapon, ^RA2LightMissile</t>
        </is>
      </c>
    </row>
    <row r="208">
      <c r="B208" s="7" t="inlineStr">
        <is>
          <t xml:space="preserve">  ↳ RA2ThunderboltMissile</t>
        </is>
      </c>
      <c r="C208" s="7" t="inlineStr">
        <is>
          <t>Armament@primaryThunderbolt</t>
        </is>
      </c>
      <c r="L208" s="6" t="n">
        <v>2000</v>
      </c>
      <c r="M208" s="6" t="n">
        <v>28</v>
      </c>
      <c r="N208" s="6" t="n">
        <v>2</v>
      </c>
      <c r="O208" s="6" t="n">
        <v>4</v>
      </c>
      <c r="P208" s="6" t="n">
        <v>5760</v>
      </c>
      <c r="Q208" s="6" t="n">
        <v>1.05</v>
      </c>
      <c r="R208">
        <f>M208+IF(N208&gt;1,N(O208)*(N208-1),0)</f>
        <v/>
      </c>
      <c r="S208">
        <f>IFERROR(L208*MAX(N208,1)/R208*Q208*IF(ISBLANK(K178),1,K178),0)</f>
        <v/>
      </c>
      <c r="AB208" s="7" t="inlineStr">
        <is>
          <t>^HeavyMissile, ^HeavyAAWeapon, ^MediumMissile, ^FlakWeapon, ^ArrowWeapon, ^RA2LightMissile</t>
        </is>
      </c>
    </row>
    <row r="209">
      <c r="B209" s="7" t="inlineStr">
        <is>
          <t xml:space="preserve">  ↳ RA2ThunderboltMissile_elite</t>
        </is>
      </c>
      <c r="C209" s="7" t="inlineStr">
        <is>
          <t>Armament@primaryeliteThunderbolt</t>
        </is>
      </c>
      <c r="L209" s="6" t="n">
        <v>2000</v>
      </c>
      <c r="M209" s="6" t="n">
        <v>28</v>
      </c>
      <c r="N209" s="6" t="n">
        <v>4</v>
      </c>
      <c r="O209" s="6" t="n">
        <v>4</v>
      </c>
      <c r="P209" s="6" t="n">
        <v>6760</v>
      </c>
      <c r="Q209" s="6" t="n">
        <v>1.05</v>
      </c>
      <c r="R209">
        <f>M209+IF(N209&gt;1,N(O209)*(N209-1),0)</f>
        <v/>
      </c>
      <c r="S209">
        <f>IFERROR(L209*MAX(N209,1)/R209*Q209*IF(ISBLANK(K178),1,K178),0)</f>
        <v/>
      </c>
      <c r="AB209" s="7" t="inlineStr">
        <is>
          <t>^HeavyMissile, ^HeavyAAWeapon, ^MediumMissile, ^FlakWeapon, ^ArrowWeapon, ^RA2LightMissile</t>
        </is>
      </c>
    </row>
    <row r="210">
      <c r="B210" s="7" t="inlineStr">
        <is>
          <t xml:space="preserve">  ↳ RA2ThunderboltMissileAA</t>
        </is>
      </c>
      <c r="C210" s="7" t="inlineStr">
        <is>
          <t>Armament@primaryAAThunderbolt</t>
        </is>
      </c>
      <c r="L210" s="6" t="n">
        <v>2000</v>
      </c>
      <c r="M210" s="6" t="n">
        <v>28</v>
      </c>
      <c r="N210" s="6" t="n">
        <v>2</v>
      </c>
      <c r="O210" s="6" t="n">
        <v>4</v>
      </c>
      <c r="P210" s="6" t="n">
        <v>8640</v>
      </c>
      <c r="Q210" s="6" t="n">
        <v>1.05</v>
      </c>
      <c r="R210">
        <f>M210+IF(N210&gt;1,N(O210)*(N210-1),0)</f>
        <v/>
      </c>
      <c r="S210">
        <f>IFERROR(L210*MAX(N210,1)/R210*Q210*IF(ISBLANK(K178),1,K178),0)</f>
        <v/>
      </c>
      <c r="AB210" s="7" t="inlineStr">
        <is>
          <t>^HeavyMissile, ^HeavyAAWeapon, ^MediumMissile, ^FlakWeapon, ^ArrowWeapon, ^RA2LightMissile</t>
        </is>
      </c>
    </row>
    <row r="211">
      <c r="B211" s="7" t="inlineStr">
        <is>
          <t xml:space="preserve">  ↳ RA2ThunderboltMissileAA_elite</t>
        </is>
      </c>
      <c r="C211" s="7" t="inlineStr">
        <is>
          <t>Armament@primaryeliteAAThunderbolt</t>
        </is>
      </c>
      <c r="L211" s="6" t="n">
        <v>2000</v>
      </c>
      <c r="M211" s="6" t="n">
        <v>28</v>
      </c>
      <c r="N211" s="6" t="n">
        <v>4</v>
      </c>
      <c r="O211" s="6" t="n">
        <v>4</v>
      </c>
      <c r="P211" s="6" t="n">
        <v>9640</v>
      </c>
      <c r="Q211" s="6" t="n">
        <v>1.05</v>
      </c>
      <c r="R211">
        <f>M211+IF(N211&gt;1,N(O211)*(N211-1),0)</f>
        <v/>
      </c>
      <c r="S211">
        <f>IFERROR(L211*MAX(N211,1)/R211*Q211*IF(ISBLANK(K178),1,K178),0)</f>
        <v/>
      </c>
      <c r="AB211" s="7" t="inlineStr">
        <is>
          <t>^HeavyMissile, ^HeavyAAWeapon, ^MediumMissile, ^FlakWeapon, ^ArrowWeapon, ^RA2LightMissile</t>
        </is>
      </c>
    </row>
    <row r="212">
      <c r="B212" s="7" t="inlineStr">
        <is>
          <t xml:space="preserve">  ↳ RA2MultiHoverMissile_elite</t>
        </is>
      </c>
      <c r="C212" s="7" t="inlineStr">
        <is>
          <t>Armament@missileelite</t>
        </is>
      </c>
      <c r="L212" s="6" t="n">
        <v>4000</v>
      </c>
      <c r="M212" s="6" t="n">
        <v>20</v>
      </c>
      <c r="N212" s="6" t="n">
        <v>4</v>
      </c>
      <c r="O212" s="6" t="n">
        <v>4</v>
      </c>
      <c r="P212" s="6" t="n">
        <v>7170</v>
      </c>
      <c r="Q212" s="6" t="n">
        <v>0.9166666666666666</v>
      </c>
      <c r="R212">
        <f>M212+IF(N212&gt;1,N(O212)*(N212-1),0)</f>
        <v/>
      </c>
      <c r="S212">
        <f>IFERROR(L212*MAX(N212,1)/R212*Q212*IF(ISBLANK(K178),1,K178),0)</f>
        <v/>
      </c>
      <c r="AB212" s="7" t="inlineStr">
        <is>
          <t>^MediumCannon, ^MediumChemicalWeapon, ^ArrowWeapon, ^RA2LightMissile</t>
        </is>
      </c>
    </row>
    <row r="213">
      <c r="B213" s="7" t="inlineStr">
        <is>
          <t xml:space="preserve">  ↳ RA2MultiHoverMissileAA</t>
        </is>
      </c>
      <c r="C213" s="7" t="inlineStr">
        <is>
          <t>Armament@missileAA</t>
        </is>
      </c>
      <c r="L213" s="6" t="n">
        <v>2000</v>
      </c>
      <c r="M213" s="6" t="n">
        <v>20</v>
      </c>
      <c r="N213" s="6" t="n">
        <v>4</v>
      </c>
      <c r="O213" s="6" t="n">
        <v>4</v>
      </c>
      <c r="P213" s="6" t="n">
        <v>9255</v>
      </c>
      <c r="Q213" s="6" t="n">
        <v>0.9166666666666666</v>
      </c>
      <c r="R213">
        <f>M213+IF(N213&gt;1,N(O213)*(N213-1),0)</f>
        <v/>
      </c>
      <c r="S213">
        <f>IFERROR(L213*MAX(N213,1)/R213*Q213*IF(ISBLANK(K178),1,K178),0)</f>
        <v/>
      </c>
      <c r="AB213" s="7" t="inlineStr">
        <is>
          <t>^MediumCannon, ^MediumChemicalWeapon, ^ArrowWeapon, ^RA2LightMissile</t>
        </is>
      </c>
    </row>
    <row r="214">
      <c r="B214" s="7" t="inlineStr">
        <is>
          <t xml:space="preserve">  ↳ RA2MultiHoverMissileAA_elite</t>
        </is>
      </c>
      <c r="C214" s="7" t="inlineStr">
        <is>
          <t>Armament@missileeliteAA</t>
        </is>
      </c>
      <c r="L214" s="6" t="n">
        <v>4000</v>
      </c>
      <c r="M214" s="6" t="n">
        <v>20</v>
      </c>
      <c r="N214" s="6" t="n">
        <v>4</v>
      </c>
      <c r="O214" s="6" t="n">
        <v>4</v>
      </c>
      <c r="P214" s="6" t="n">
        <v>10255</v>
      </c>
      <c r="Q214" s="6" t="n">
        <v>0.9166666666666666</v>
      </c>
      <c r="R214">
        <f>M214+IF(N214&gt;1,N(O214)*(N214-1),0)</f>
        <v/>
      </c>
      <c r="S214">
        <f>IFERROR(L214*MAX(N214,1)/R214*Q214*IF(ISBLANK(K178),1,K178),0)</f>
        <v/>
      </c>
      <c r="AB214" s="7" t="inlineStr">
        <is>
          <t>^MediumCannon, ^MediumChemicalWeapon, ^ArrowWeapon, ^RA2LightMissile</t>
        </is>
      </c>
    </row>
    <row r="215">
      <c r="B215" s="7" t="inlineStr">
        <is>
          <t xml:space="preserve">  ↳ RA2MultiThunderboltMissile</t>
        </is>
      </c>
      <c r="C215" s="7" t="inlineStr">
        <is>
          <t>Armament@missileThunderbolt</t>
        </is>
      </c>
      <c r="L215" s="6" t="n">
        <v>2000</v>
      </c>
      <c r="M215" s="6" t="n">
        <v>20</v>
      </c>
      <c r="N215" s="6" t="n">
        <v>4</v>
      </c>
      <c r="O215" s="6" t="n">
        <v>4</v>
      </c>
      <c r="P215" s="6" t="n">
        <v>6170</v>
      </c>
      <c r="Q215" s="6" t="n">
        <v>1.035714285714286</v>
      </c>
      <c r="R215">
        <f>M215+IF(N215&gt;1,N(O215)*(N215-1),0)</f>
        <v/>
      </c>
      <c r="S215">
        <f>IFERROR(L215*MAX(N215,1)/R215*Q215*IF(ISBLANK(K178),1,K178),0)</f>
        <v/>
      </c>
      <c r="AB215" s="7" t="inlineStr">
        <is>
          <t>^HeavyMissile, ^HeavyAAWeapon, ^MediumMissile, ^FlakWeapon, ^MediumCannon, ^MediumChemicalWeapon, ^ArrowWeapon, ^RA2LightMissile</t>
        </is>
      </c>
    </row>
    <row r="216">
      <c r="B216" s="7" t="inlineStr">
        <is>
          <t xml:space="preserve">  ↳ RA2MultiThunderboltMissile_elite</t>
        </is>
      </c>
      <c r="C216" s="7" t="inlineStr">
        <is>
          <t>Armament@missileeliteThunderbolt</t>
        </is>
      </c>
      <c r="L216" s="6" t="n">
        <v>4000</v>
      </c>
      <c r="M216" s="6" t="n">
        <v>20</v>
      </c>
      <c r="N216" s="6" t="n">
        <v>4</v>
      </c>
      <c r="O216" s="6" t="n">
        <v>4</v>
      </c>
      <c r="P216" s="6" t="n">
        <v>7170</v>
      </c>
      <c r="Q216" s="6" t="n">
        <v>1.035714285714286</v>
      </c>
      <c r="R216">
        <f>M216+IF(N216&gt;1,N(O216)*(N216-1),0)</f>
        <v/>
      </c>
      <c r="S216">
        <f>IFERROR(L216*MAX(N216,1)/R216*Q216*IF(ISBLANK(K178),1,K178),0)</f>
        <v/>
      </c>
      <c r="AB216" s="7" t="inlineStr">
        <is>
          <t>^HeavyMissile, ^HeavyAAWeapon, ^MediumMissile, ^FlakWeapon, ^MediumCannon, ^MediumChemicalWeapon, ^ArrowWeapon, ^RA2LightMissile</t>
        </is>
      </c>
    </row>
    <row r="217">
      <c r="B217" s="7" t="inlineStr">
        <is>
          <t xml:space="preserve">  ↳ RA2MultiThunderboltMissileAA</t>
        </is>
      </c>
      <c r="C217" s="7" t="inlineStr">
        <is>
          <t>Armament@missileAAThunderbolt</t>
        </is>
      </c>
      <c r="L217" s="6" t="n">
        <v>2000</v>
      </c>
      <c r="M217" s="6" t="n">
        <v>20</v>
      </c>
      <c r="N217" s="6" t="n">
        <v>4</v>
      </c>
      <c r="O217" s="6" t="n">
        <v>4</v>
      </c>
      <c r="P217" s="6" t="n">
        <v>9255</v>
      </c>
      <c r="Q217" s="6" t="n">
        <v>1.035714285714286</v>
      </c>
      <c r="R217">
        <f>M217+IF(N217&gt;1,N(O217)*(N217-1),0)</f>
        <v/>
      </c>
      <c r="S217">
        <f>IFERROR(L217*MAX(N217,1)/R217*Q217*IF(ISBLANK(K178),1,K178),0)</f>
        <v/>
      </c>
      <c r="AB217" s="7" t="inlineStr">
        <is>
          <t>^HeavyMissile, ^HeavyAAWeapon, ^MediumMissile, ^FlakWeapon, ^MediumCannon, ^MediumChemicalWeapon, ^ArrowWeapon, ^RA2LightMissile</t>
        </is>
      </c>
    </row>
    <row r="218">
      <c r="B218" s="7" t="inlineStr">
        <is>
          <t xml:space="preserve">  ↳ RA2MultiThunderboltMissileAA_elite</t>
        </is>
      </c>
      <c r="C218" s="7" t="inlineStr">
        <is>
          <t>Armament@missileeliteAAThunderbolt</t>
        </is>
      </c>
      <c r="L218" s="6" t="n">
        <v>4000</v>
      </c>
      <c r="M218" s="6" t="n">
        <v>20</v>
      </c>
      <c r="N218" s="6" t="n">
        <v>4</v>
      </c>
      <c r="O218" s="6" t="n">
        <v>4</v>
      </c>
      <c r="P218" s="6" t="n">
        <v>10255</v>
      </c>
      <c r="Q218" s="6" t="n">
        <v>1.035714285714286</v>
      </c>
      <c r="R218">
        <f>M218+IF(N218&gt;1,N(O218)*(N218-1),0)</f>
        <v/>
      </c>
      <c r="S218">
        <f>IFERROR(L218*MAX(N218,1)/R218*Q218*IF(ISBLANK(K178),1,K178),0)</f>
        <v/>
      </c>
      <c r="AB218" s="7" t="inlineStr">
        <is>
          <t>^HeavyMissile, ^HeavyAAWeapon, ^MediumMissile, ^FlakWeapon, ^MediumCannon, ^MediumChemicalWeapon, ^ArrowWeapon, ^RA2LightMissile</t>
        </is>
      </c>
    </row>
    <row r="219">
      <c r="B219" s="7" t="inlineStr">
        <is>
          <t xml:space="preserve">  ↳ MedicHeal</t>
        </is>
      </c>
      <c r="C219" s="7" t="inlineStr">
        <is>
          <t>Armament@healer</t>
        </is>
      </c>
      <c r="L219" s="6" t="n">
        <v>-1</v>
      </c>
      <c r="M219" s="6" t="n">
        <v>10</v>
      </c>
      <c r="N219" s="6" t="n">
        <v>1</v>
      </c>
      <c r="O219" s="6" t="n"/>
      <c r="P219" s="6" t="n">
        <v>6000</v>
      </c>
      <c r="Q219" s="6" t="n">
        <v>1</v>
      </c>
      <c r="R219">
        <f>M219+IF(N219&gt;1,N(O219)*(N219-1),0)</f>
        <v/>
      </c>
      <c r="S219">
        <f>IFERROR(L219*MAX(N219,1)/R219*Q219*IF(ISBLANK(K178),1,K178),0)</f>
        <v/>
      </c>
      <c r="AB219" s="7" t="inlineStr">
        <is>
          <t>^HealingWeapon</t>
        </is>
      </c>
    </row>
    <row r="220">
      <c r="B220" s="7" t="inlineStr">
        <is>
          <t xml:space="preserve">  ↳ RA2AWP</t>
        </is>
      </c>
      <c r="C220" s="7" t="inlineStr">
        <is>
          <t>Armament@ra1_allies_alliedsniper</t>
        </is>
      </c>
      <c r="L220" s="6" t="n">
        <v>44000</v>
      </c>
      <c r="M220" s="6" t="n">
        <v>54</v>
      </c>
      <c r="N220" s="6" t="n">
        <v>1</v>
      </c>
      <c r="O220" s="6" t="n"/>
      <c r="P220" s="6" t="n">
        <v>10000</v>
      </c>
      <c r="Q220" s="6" t="n">
        <v>0.75</v>
      </c>
      <c r="R220">
        <f>M220+IF(N220&gt;1,N(O220)*(N220-1),0)</f>
        <v/>
      </c>
      <c r="S220">
        <f>IFERROR(L220*MAX(N220,1)/R220*Q220*IF(ISBLANK(K178),1,K178),0)</f>
        <v/>
      </c>
      <c r="AB220" s="7" t="inlineStr">
        <is>
          <t>^SniperWeapon</t>
        </is>
      </c>
    </row>
    <row r="221">
      <c r="A221" t="inlineStr">
        <is>
          <t>redalert2</t>
        </is>
      </c>
      <c r="B221" t="inlineStr">
        <is>
          <t>ra2_allies_ifv_hmg</t>
        </is>
      </c>
      <c r="C221" t="inlineStr">
        <is>
          <t>actor_fv.name</t>
        </is>
      </c>
      <c r="D221" s="6" t="inlineStr">
        <is>
          <t>ScoutVehicle</t>
        </is>
      </c>
      <c r="E221" s="6" t="n">
        <v>25000</v>
      </c>
      <c r="F221" s="6" t="n">
        <v>150</v>
      </c>
      <c r="G221" t="inlineStr">
        <is>
          <t>Scout</t>
        </is>
      </c>
      <c r="H221" s="6" t="n">
        <v>1</v>
      </c>
      <c r="I221" s="6" t="n">
        <v>1</v>
      </c>
      <c r="J221" s="6" t="n">
        <v>1</v>
      </c>
      <c r="K221" s="6" t="n"/>
      <c r="P221">
        <f>MAX(P222,P223,P224,P225,P226,P227,P228,P229,P230,P231,P232,P233,P234,P235,P236,P237,P238,P239,P240,P241,P242,P243,P244,P245,P246,P247,P248,P249,P250,P251,P252,P253,P254,P255,P256,P257,P258,P259,P260,P261,P262,P263)</f>
        <v/>
      </c>
      <c r="S221">
        <f>S222+S223+S224+S225+S226+S227+S228+S229+S230+S231+S232+S233+S234+S235+S236+S237+S238+S239+S240+S241+S242+S243+S244+S245+S246+S247+S248+S249+S250+S251+S252+S253+S254+S255+S256+S257+S258+S259+S260+S261+S262+S263</f>
        <v/>
      </c>
      <c r="T221">
        <f>(E221/100000+F221/100+(P221/1000)*J221/5+S221/200)*200*I221*H221</f>
        <v/>
      </c>
      <c r="U221">
        <f>((E221*F221/25000)+((P221/1000)*J221*S221/2.5))*I221*H221</f>
        <v/>
      </c>
      <c r="V221">
        <f>(E221*F221*(P221/1000)*J221*S221*I221*H221)/12500000</f>
        <v/>
      </c>
      <c r="W221">
        <f>(T221+U221+V221)/3</f>
        <v/>
      </c>
      <c r="X221" s="6" t="n">
        <v>500</v>
      </c>
      <c r="Y221">
        <f>IFERROR(W221-X221,"")</f>
        <v/>
      </c>
      <c r="Z221">
        <f>IFERROR(ABS(Y221)/MAX(X221,1),"")</f>
        <v/>
      </c>
      <c r="AA221">
        <f>IFERROR((X221-(((E221/100000+F221/100+S221/200)*200*I221*H221)+((E221*F221/25000)*I221*H221))/3)/(((J221/5)*200*I221*H221)+((J221*S221/2.5)*I221*H221)+((E221*F221*J221*S221*I221*H221)/12500000))/3*1000,"")</f>
        <v/>
      </c>
    </row>
    <row r="222">
      <c r="B222" s="7" t="inlineStr">
        <is>
          <t xml:space="preserve">  ↳ RA2CRM60</t>
        </is>
      </c>
      <c r="C222" s="7" t="inlineStr">
        <is>
          <t>Armament@mg</t>
        </is>
      </c>
      <c r="L222" s="6" t="n">
        <v>2000</v>
      </c>
      <c r="M222" s="6" t="n">
        <v>14</v>
      </c>
      <c r="N222" s="6" t="n">
        <v>4</v>
      </c>
      <c r="O222" s="6" t="n">
        <v>2</v>
      </c>
      <c r="P222" s="6" t="n">
        <v>5660</v>
      </c>
      <c r="Q222" s="6" t="n">
        <v>0.875</v>
      </c>
      <c r="R222">
        <f>M222+IF(N222&gt;1,N(O222)*(N222-1),0)</f>
        <v/>
      </c>
      <c r="S222">
        <f>IFERROR(L222*MAX(N222,1)/R222*Q222*IF(ISBLANK(K221),1,K221),0)</f>
        <v/>
      </c>
      <c r="AB222" s="7" t="inlineStr">
        <is>
          <t>^RA2SmallArms, ^RA2Chaingun</t>
        </is>
      </c>
    </row>
    <row r="223">
      <c r="B223" s="7" t="inlineStr">
        <is>
          <t xml:space="preserve">  ↳ RA2CRM60H</t>
        </is>
      </c>
      <c r="C223" s="7" t="inlineStr">
        <is>
          <t>Armament@hmg</t>
        </is>
      </c>
      <c r="L223" s="6" t="n">
        <v>2000</v>
      </c>
      <c r="M223" s="6" t="n">
        <v>10</v>
      </c>
      <c r="N223" s="6" t="n">
        <v>6</v>
      </c>
      <c r="O223" s="6" t="n">
        <v>2</v>
      </c>
      <c r="P223" s="6" t="n">
        <v>4692</v>
      </c>
      <c r="Q223" s="6" t="n">
        <v>1</v>
      </c>
      <c r="R223">
        <f>M223+IF(N223&gt;1,N(O223)*(N223-1),0)</f>
        <v/>
      </c>
      <c r="S223">
        <f>IFERROR(L223*MAX(N223,1)/R223*Q223*IF(ISBLANK(K221),1,K221),0)</f>
        <v/>
      </c>
      <c r="AB223" s="7" t="inlineStr">
        <is>
          <t>^HeavyCannon, ^RA2Chaingun, ^SniperWeapon</t>
        </is>
      </c>
    </row>
    <row r="224">
      <c r="B224" s="7" t="inlineStr">
        <is>
          <t xml:space="preserve">  ↳ wc_tower_fire</t>
        </is>
      </c>
      <c r="C224" s="7" t="inlineStr">
        <is>
          <t>Armament@archer</t>
        </is>
      </c>
      <c r="L224" s="6" t="n">
        <v>2500</v>
      </c>
      <c r="M224" s="6" t="n">
        <v>40</v>
      </c>
      <c r="N224" s="6" t="n">
        <v>1</v>
      </c>
      <c r="O224" s="6" t="n"/>
      <c r="P224" s="6" t="n">
        <v>8704</v>
      </c>
      <c r="Q224" s="6" t="n">
        <v>1</v>
      </c>
      <c r="R224">
        <f>M224+IF(N224&gt;1,N(O224)*(N224-1),0)</f>
        <v/>
      </c>
      <c r="S224">
        <f>IFERROR(L224*MAX(N224,1)/R224*Q224*IF(ISBLANK(K221),1,K221),0)</f>
        <v/>
      </c>
      <c r="AB224" s="7" t="inlineStr">
        <is>
          <t>bowFire</t>
        </is>
      </c>
    </row>
    <row r="225">
      <c r="B225" s="7" t="inlineStr">
        <is>
          <t xml:space="preserve">  ↳ RA2IFVRepair</t>
        </is>
      </c>
      <c r="C225" s="7" t="inlineStr">
        <is>
          <t>Armament@repair</t>
        </is>
      </c>
      <c r="L225" s="6" t="n">
        <v>-1</v>
      </c>
      <c r="M225" s="6" t="n">
        <v>50</v>
      </c>
      <c r="N225" s="6" t="n">
        <v>10</v>
      </c>
      <c r="O225" s="6" t="n">
        <v>1</v>
      </c>
      <c r="P225" s="6" t="n">
        <v>5000</v>
      </c>
      <c r="Q225" s="6" t="n">
        <v>1.5</v>
      </c>
      <c r="R225">
        <f>M225+IF(N225&gt;1,N(O225)*(N225-1),0)</f>
        <v/>
      </c>
      <c r="S225">
        <f>IFERROR(L225*MAX(N225,1)/R225*Q225*IF(ISBLANK(K221),1,K221),0)</f>
        <v/>
      </c>
      <c r="AB225" s="7" t="inlineStr">
        <is>
          <t>^RepairWeapon</t>
        </is>
      </c>
    </row>
    <row r="226">
      <c r="B226" s="7" t="inlineStr">
        <is>
          <t xml:space="preserve">  ↳ LightSniper</t>
        </is>
      </c>
      <c r="C226" s="7" t="inlineStr">
        <is>
          <t>Armament@lightsniper</t>
        </is>
      </c>
      <c r="L226" s="6" t="n">
        <v>30000</v>
      </c>
      <c r="M226" s="6" t="n">
        <v>100</v>
      </c>
      <c r="N226" s="6" t="n">
        <v>1</v>
      </c>
      <c r="O226" s="6" t="n"/>
      <c r="P226" s="6" t="n">
        <v>9153</v>
      </c>
      <c r="Q226" s="6" t="n">
        <v>0.75</v>
      </c>
      <c r="R226">
        <f>M226+IF(N226&gt;1,N(O226)*(N226-1),0)</f>
        <v/>
      </c>
      <c r="S226">
        <f>IFERROR(L226*MAX(N226,1)/R226*Q226*IF(ISBLANK(K221),1,K221),0)</f>
        <v/>
      </c>
      <c r="AB226" s="7" t="inlineStr">
        <is>
          <t>^SniperWeapon</t>
        </is>
      </c>
    </row>
    <row r="227">
      <c r="B227" s="7" t="inlineStr">
        <is>
          <t xml:space="preserve">  ↳ RA2DoublePistolsIFV</t>
        </is>
      </c>
      <c r="C227" s="7" t="inlineStr">
        <is>
          <t>Armament@hero</t>
        </is>
      </c>
      <c r="L227" s="6" t="n">
        <v>14000</v>
      </c>
      <c r="M227" s="6" t="n">
        <v>12</v>
      </c>
      <c r="N227" s="6" t="n">
        <v>2</v>
      </c>
      <c r="O227" s="6" t="n">
        <v>3</v>
      </c>
      <c r="P227" s="6" t="n">
        <v>8000</v>
      </c>
      <c r="Q227" s="6" t="n">
        <v>0.75</v>
      </c>
      <c r="R227">
        <f>M227+IF(N227&gt;1,N(O227)*(N227-1),0)</f>
        <v/>
      </c>
      <c r="S227">
        <f>IFERROR(L227*MAX(N227,1)/R227*Q227*IF(ISBLANK(K221),1,K221),0)</f>
        <v/>
      </c>
      <c r="AB227" s="7" t="inlineStr">
        <is>
          <t>^SniperWeapon</t>
        </is>
      </c>
    </row>
    <row r="228">
      <c r="B228" s="7" t="inlineStr">
        <is>
          <t xml:space="preserve">  ↳ TTankZap</t>
        </is>
      </c>
      <c r="C228" s="7" t="inlineStr">
        <is>
          <t>Armament@tesla</t>
        </is>
      </c>
      <c r="L228" s="6" t="n">
        <v>40000</v>
      </c>
      <c r="M228" s="6" t="n">
        <v>80</v>
      </c>
      <c r="N228" s="6" t="n">
        <v>1</v>
      </c>
      <c r="O228" s="6" t="n"/>
      <c r="P228" s="6" t="n">
        <v>7300</v>
      </c>
      <c r="Q228" s="6" t="n">
        <v>1</v>
      </c>
      <c r="R228">
        <f>M228+IF(N228&gt;1,N(O228)*(N228-1),0)</f>
        <v/>
      </c>
      <c r="S228">
        <f>IFERROR(L228*MAX(N228,1)/R228*Q228*IF(ISBLANK(K221),1,K221),0)</f>
        <v/>
      </c>
      <c r="AB228" s="7" t="inlineStr">
        <is>
          <t>^TeslaWeapon</t>
        </is>
      </c>
    </row>
    <row r="229">
      <c r="B229" s="7" t="inlineStr">
        <is>
          <t xml:space="preserve">  ↳ DragunovSniper</t>
        </is>
      </c>
      <c r="C229" s="7" t="inlineStr">
        <is>
          <t>Armament@flak</t>
        </is>
      </c>
      <c r="L229" s="6" t="n">
        <v>8000</v>
      </c>
      <c r="M229" s="6" t="n">
        <v>85</v>
      </c>
      <c r="N229" s="6" t="n">
        <v>1</v>
      </c>
      <c r="O229" s="6" t="n"/>
      <c r="P229" s="6" t="n">
        <v>6880</v>
      </c>
      <c r="Q229" s="6" t="n">
        <v>1.0625</v>
      </c>
      <c r="R229">
        <f>M229+IF(N229&gt;1,N(O229)*(N229-1),0)</f>
        <v/>
      </c>
      <c r="S229">
        <f>IFERROR(L229*MAX(N229,1)/R229*Q229*IF(ISBLANK(K221),1,K221),0)</f>
        <v/>
      </c>
      <c r="AB229" s="7" t="inlineStr">
        <is>
          <t>^TankDestroyerCannon, ^RailgunWeapon, ^LightMissile, ^HeavyCannon, ^FlakWeapon</t>
        </is>
      </c>
    </row>
    <row r="230">
      <c r="B230" s="7" t="inlineStr">
        <is>
          <t xml:space="preserve">  ↳ RA2MirageGun</t>
        </is>
      </c>
      <c r="C230" s="7" t="inlineStr">
        <is>
          <t>Armament@cannon</t>
        </is>
      </c>
      <c r="L230" s="6" t="n">
        <v>8000</v>
      </c>
      <c r="M230" s="6" t="n">
        <v>39</v>
      </c>
      <c r="N230" s="6" t="n">
        <v>1</v>
      </c>
      <c r="O230" s="6" t="n"/>
      <c r="P230" s="6" t="n">
        <v>6031</v>
      </c>
      <c r="Q230" s="6" t="n">
        <v>1.125</v>
      </c>
      <c r="R230">
        <f>M230+IF(N230&gt;1,N(O230)*(N230-1),0)</f>
        <v/>
      </c>
      <c r="S230">
        <f>IFERROR(L230*MAX(N230,1)/R230*Q230*IF(ISBLANK(K221),1,K221),0)</f>
        <v/>
      </c>
      <c r="AB230" s="7" t="inlineStr">
        <is>
          <t>^RailgunWeapon, ^MediumChemicalWeapon, ^RA2TankDestroyerCannon</t>
        </is>
      </c>
    </row>
    <row r="231">
      <c r="B231" s="7" t="inlineStr">
        <is>
          <t xml:space="preserve">  ↳ Grenade</t>
        </is>
      </c>
      <c r="C231" s="7" t="inlineStr">
        <is>
          <t>Armament@grenade</t>
        </is>
      </c>
      <c r="L231" s="6" t="n">
        <v>16000</v>
      </c>
      <c r="M231" s="6" t="n">
        <v>42</v>
      </c>
      <c r="N231" s="6" t="n">
        <v>1</v>
      </c>
      <c r="O231" s="6" t="n"/>
      <c r="P231" s="6" t="n">
        <v>6097</v>
      </c>
      <c r="Q231" s="6" t="n">
        <v>1</v>
      </c>
      <c r="R231">
        <f>M231+IF(N231&gt;1,N(O231)*(N231-1),0)</f>
        <v/>
      </c>
      <c r="S231">
        <f>IFERROR(L231*MAX(N231,1)/R231*Q231*IF(ISBLANK(K221),1,K221),0)</f>
        <v/>
      </c>
      <c r="AB231" s="7" t="inlineStr">
        <is>
          <t>^Grenade</t>
        </is>
      </c>
    </row>
    <row r="232">
      <c r="B232" s="7" t="inlineStr">
        <is>
          <t xml:space="preserve">  ↳ DRPlasmaTankWeapon</t>
        </is>
      </c>
      <c r="C232" s="7" t="inlineStr">
        <is>
          <t>Armament@plasma</t>
        </is>
      </c>
      <c r="L232" s="6" t="n">
        <v>3750</v>
      </c>
      <c r="M232" s="6" t="n">
        <v>21</v>
      </c>
      <c r="N232" s="6" t="n">
        <v>1</v>
      </c>
      <c r="O232" s="6" t="n"/>
      <c r="P232" s="6" t="n">
        <v>5120</v>
      </c>
      <c r="Q232" s="6" t="n">
        <v>1</v>
      </c>
      <c r="R232">
        <f>M232+IF(N232&gt;1,N(O232)*(N232-1),0)</f>
        <v/>
      </c>
      <c r="S232">
        <f>IFERROR(L232*MAX(N232,1)/R232*Q232*IF(ISBLANK(K221),1,K221),0)</f>
        <v/>
      </c>
      <c r="AB232" s="7" t="inlineStr">
        <is>
          <t>^DRPlasmaWeapon</t>
        </is>
      </c>
    </row>
    <row r="233">
      <c r="B233" s="7" t="inlineStr">
        <is>
          <t xml:space="preserve">  ↳ SWLaserG</t>
        </is>
      </c>
      <c r="C233" s="7" t="inlineStr">
        <is>
          <t>Armament@litlaser</t>
        </is>
      </c>
      <c r="L233" s="6" t="n">
        <v>2000</v>
      </c>
      <c r="M233" s="6" t="n">
        <v>30</v>
      </c>
      <c r="N233" s="6" t="n">
        <v>6</v>
      </c>
      <c r="O233" s="6" t="n"/>
      <c r="P233" s="6" t="n">
        <v>6144</v>
      </c>
      <c r="Q233" s="6" t="n">
        <v>0.75</v>
      </c>
      <c r="R233">
        <f>M233+IF(N233&gt;1,N(O233)*(N233-1),0)</f>
        <v/>
      </c>
      <c r="S233">
        <f>IFERROR(L233*MAX(N233,1)/R233*Q233*IF(ISBLANK(K221),1,K221),0)</f>
        <v/>
      </c>
      <c r="AB233" s="7" t="inlineStr">
        <is>
          <t>^LightMG</t>
        </is>
      </c>
    </row>
    <row r="234">
      <c r="B234" s="7" t="inlineStr">
        <is>
          <t xml:space="preserve">  ↳ USALaserCannonAG</t>
        </is>
      </c>
      <c r="C234" s="7" t="inlineStr">
        <is>
          <t>Armament@medlaser</t>
        </is>
      </c>
      <c r="L234" s="6" t="n">
        <v>4000</v>
      </c>
      <c r="M234" s="6" t="n">
        <v>50</v>
      </c>
      <c r="N234" s="6" t="n">
        <v>3</v>
      </c>
      <c r="O234" s="6" t="n">
        <v>6</v>
      </c>
      <c r="P234" s="6" t="n">
        <v>7168</v>
      </c>
      <c r="Q234" s="6" t="n">
        <v>1</v>
      </c>
      <c r="R234">
        <f>M234+IF(N234&gt;1,N(O234)*(N234-1),0)</f>
        <v/>
      </c>
      <c r="S234">
        <f>IFERROR(L234*MAX(N234,1)/R234*Q234*IF(ISBLANK(K221),1,K221),0)</f>
        <v/>
      </c>
      <c r="AB234" s="7" t="inlineStr">
        <is>
          <t>^AntiGroundMissile</t>
        </is>
      </c>
    </row>
    <row r="235">
      <c r="B235" s="7" t="inlineStr">
        <is>
          <t xml:space="preserve">  ↳ SWGreenLaserG</t>
        </is>
      </c>
      <c r="C235" s="7" t="inlineStr">
        <is>
          <t>Armament@greenlaser</t>
        </is>
      </c>
      <c r="L235" s="6" t="n">
        <v>5000</v>
      </c>
      <c r="M235" s="6" t="n">
        <v>75</v>
      </c>
      <c r="N235" s="6" t="n">
        <v>1</v>
      </c>
      <c r="O235" s="6" t="n"/>
      <c r="P235" s="6" t="n">
        <v>7168</v>
      </c>
      <c r="Q235" s="6" t="n">
        <v>1</v>
      </c>
      <c r="R235">
        <f>M235+IF(N235&gt;1,N(O235)*(N235-1),0)</f>
        <v/>
      </c>
      <c r="S235">
        <f>IFERROR(L235*MAX(N235,1)/R235*Q235*IF(ISBLANK(K221),1,K221),0)</f>
        <v/>
      </c>
      <c r="AB235" s="7" t="inlineStr">
        <is>
          <t>^MissileWeapon</t>
        </is>
      </c>
    </row>
    <row r="236">
      <c r="B236" s="7" t="inlineStr">
        <is>
          <t xml:space="preserve">  ↳ SWGBigRedLaserG</t>
        </is>
      </c>
      <c r="C236" s="7" t="inlineStr">
        <is>
          <t>Armament@misslaser</t>
        </is>
      </c>
      <c r="L236" s="6" t="n">
        <v>4000</v>
      </c>
      <c r="M236" s="6" t="n">
        <v>75</v>
      </c>
      <c r="N236" s="6" t="n">
        <v>1</v>
      </c>
      <c r="O236" s="6" t="n"/>
      <c r="P236" s="6" t="n">
        <v>8192</v>
      </c>
      <c r="Q236" s="6" t="n">
        <v>1</v>
      </c>
      <c r="R236">
        <f>M236+IF(N236&gt;1,N(O236)*(N236-1),0)</f>
        <v/>
      </c>
      <c r="S236">
        <f>IFERROR(L236*MAX(N236,1)/R236*Q236*IF(ISBLANK(K221),1,K221),0)</f>
        <v/>
      </c>
      <c r="AB236" s="7" t="inlineStr">
        <is>
          <t>^MissileWeapon</t>
        </is>
      </c>
    </row>
    <row r="237">
      <c r="B237" s="7" t="inlineStr">
        <is>
          <t xml:space="preserve">  ↳ BigFlamer</t>
        </is>
      </c>
      <c r="C237" s="7" t="inlineStr">
        <is>
          <t>Armament@fire</t>
        </is>
      </c>
      <c r="L237" s="6" t="n">
        <v>14000</v>
      </c>
      <c r="M237" s="6" t="n">
        <v>50</v>
      </c>
      <c r="N237" s="6" t="n">
        <v>2</v>
      </c>
      <c r="O237" s="6" t="n">
        <v>10</v>
      </c>
      <c r="P237" s="6" t="n">
        <v>2390</v>
      </c>
      <c r="Q237" s="6" t="n">
        <v>1</v>
      </c>
      <c r="R237">
        <f>M237+IF(N237&gt;1,N(O237)*(N237-1),0)</f>
        <v/>
      </c>
      <c r="S237">
        <f>IFERROR(L237*MAX(N237,1)/R237*Q237*IF(ISBLANK(K221),1,K221),0)</f>
        <v/>
      </c>
      <c r="AB237" s="7" t="inlineStr">
        <is>
          <t>^MediumFlameWeapon</t>
        </is>
      </c>
    </row>
    <row r="238">
      <c r="B238" s="7" t="inlineStr">
        <is>
          <t xml:space="preserve">  ↳ RA2RadBeamWeapon</t>
        </is>
      </c>
      <c r="C238" s="7" t="inlineStr">
        <is>
          <t>Armament@chem</t>
        </is>
      </c>
      <c r="L238" s="6" t="n">
        <v>30000</v>
      </c>
      <c r="M238" s="6" t="n">
        <v>45</v>
      </c>
      <c r="N238" s="6" t="n">
        <v>1</v>
      </c>
      <c r="O238" s="6" t="n"/>
      <c r="P238" s="6" t="n">
        <v>6444</v>
      </c>
      <c r="Q238" s="6" t="n">
        <v>1</v>
      </c>
      <c r="R238">
        <f>M238+IF(N238&gt;1,N(O238)*(N238-1),0)</f>
        <v/>
      </c>
      <c r="S238">
        <f>IFERROR(L238*MAX(N238,1)/R238*Q238*IF(ISBLANK(K221),1,K221),0)</f>
        <v/>
      </c>
      <c r="AB238" s="7" t="inlineStr">
        <is>
          <t>^MediumChemicalWeapon</t>
        </is>
      </c>
    </row>
    <row r="239">
      <c r="B239" s="7" t="inlineStr">
        <is>
          <t xml:space="preserve">  ↳ RA2RadBeamWeapon</t>
        </is>
      </c>
      <c r="C239" s="7" t="inlineStr">
        <is>
          <t>Armament@thrax</t>
        </is>
      </c>
      <c r="L239" s="6" t="n">
        <v>30000</v>
      </c>
      <c r="M239" s="6" t="n">
        <v>45</v>
      </c>
      <c r="N239" s="6" t="n">
        <v>1</v>
      </c>
      <c r="O239" s="6" t="n"/>
      <c r="P239" s="6" t="n">
        <v>6444</v>
      </c>
      <c r="Q239" s="6" t="n">
        <v>1</v>
      </c>
      <c r="R239">
        <f>M239+IF(N239&gt;1,N(O239)*(N239-1),0)</f>
        <v/>
      </c>
      <c r="S239">
        <f>IFERROR(L239*MAX(N239,1)/R239*Q239*IF(ISBLANK(K221),1,K221),0)</f>
        <v/>
      </c>
      <c r="AB239" s="7" t="inlineStr">
        <is>
          <t>^MediumChemicalWeapon</t>
        </is>
      </c>
    </row>
    <row r="240">
      <c r="B240" s="7" t="inlineStr">
        <is>
          <t xml:space="preserve">  ↳ RA2MultiHoverMissile</t>
        </is>
      </c>
      <c r="C240" s="7" t="inlineStr">
        <is>
          <t>Armament@missile</t>
        </is>
      </c>
      <c r="L240" s="6" t="n">
        <v>2000</v>
      </c>
      <c r="M240" s="6" t="n">
        <v>20</v>
      </c>
      <c r="N240" s="6" t="n">
        <v>4</v>
      </c>
      <c r="O240" s="6" t="n">
        <v>4</v>
      </c>
      <c r="P240" s="6" t="n">
        <v>6170</v>
      </c>
      <c r="Q240" s="6" t="n">
        <v>0.9166666666666666</v>
      </c>
      <c r="R240">
        <f>M240+IF(N240&gt;1,N(O240)*(N240-1),0)</f>
        <v/>
      </c>
      <c r="S240">
        <f>IFERROR(L240*MAX(N240,1)/R240*Q240*IF(ISBLANK(K221),1,K221),0)</f>
        <v/>
      </c>
      <c r="AB240" s="7" t="inlineStr">
        <is>
          <t>^MediumCannon, ^MediumChemicalWeapon, ^ArrowWeapon, ^RA2LightMissile</t>
        </is>
      </c>
    </row>
    <row r="241">
      <c r="B241" s="7" t="inlineStr">
        <is>
          <t xml:space="preserve">  ↳ IFVChronoBeam</t>
        </is>
      </c>
      <c r="C241" s="7" t="inlineStr">
        <is>
          <t>Armament@chrono</t>
        </is>
      </c>
      <c r="L241" s="6" t="n"/>
      <c r="M241" s="6" t="n">
        <v>1</v>
      </c>
      <c r="N241" s="6" t="n">
        <v>1</v>
      </c>
      <c r="O241" s="6" t="n"/>
      <c r="P241" s="6" t="n">
        <v>7500</v>
      </c>
      <c r="Q241" s="6" t="n">
        <v>1</v>
      </c>
      <c r="R241">
        <f>M241+IF(N241&gt;1,N(O241)*(N241-1),0)</f>
        <v/>
      </c>
      <c r="S241">
        <f>IFERROR(L241*MAX(N241,1)/R241*Q241*IF(ISBLANK(K221),1,K221),0)</f>
        <v/>
      </c>
      <c r="AB241" s="7" t="inlineStr">
        <is>
          <t>ChronoBeam</t>
        </is>
      </c>
    </row>
    <row r="242">
      <c r="B242" s="7" t="inlineStr">
        <is>
          <t xml:space="preserve">  ↳ IFVChronoSound</t>
        </is>
      </c>
      <c r="C242" s="7" t="inlineStr">
        <is>
          <t>Armament@chronosound</t>
        </is>
      </c>
      <c r="L242" s="6" t="n"/>
      <c r="M242" s="6" t="n">
        <v>180</v>
      </c>
      <c r="N242" s="6" t="n">
        <v>1</v>
      </c>
      <c r="O242" s="6" t="n"/>
      <c r="P242" s="6" t="n">
        <v>8000</v>
      </c>
      <c r="Q242" s="6" t="n">
        <v>1</v>
      </c>
      <c r="R242">
        <f>M242+IF(N242&gt;1,N(O242)*(N242-1),0)</f>
        <v/>
      </c>
      <c r="S242">
        <f>IFERROR(L242*MAX(N242,1)/R242*Q242*IF(ISBLANK(K221),1,K221),0)</f>
        <v/>
      </c>
      <c r="AB242" s="7" t="inlineStr">
        <is>
          <t>RA2ChronoTele</t>
        </is>
      </c>
    </row>
    <row r="243">
      <c r="B243" s="7" t="inlineStr">
        <is>
          <t xml:space="preserve">  ↳ DemoTruckTargeting</t>
        </is>
      </c>
      <c r="C243" s="7" t="inlineStr">
        <is>
          <t>Armament@ivan</t>
        </is>
      </c>
      <c r="L243" s="6" t="n"/>
      <c r="M243" s="6" t="n"/>
      <c r="N243" s="6" t="n">
        <v>1</v>
      </c>
      <c r="O243" s="6" t="n"/>
      <c r="P243" s="6" t="n">
        <v>2000</v>
      </c>
      <c r="Q243" s="6" t="n">
        <v>1</v>
      </c>
      <c r="R243">
        <f>M243+IF(N243&gt;1,N(O243)*(N243-1),0)</f>
        <v/>
      </c>
      <c r="S243">
        <f>IFERROR(L243*MAX(N243,1)/R243*Q243*IF(ISBLANK(K221),1,K221),0)</f>
        <v/>
      </c>
      <c r="AB243" s="7" t="inlineStr"/>
    </row>
    <row r="244">
      <c r="B244" s="7" t="inlineStr">
        <is>
          <t xml:space="preserve">  ↳ Fremen_L</t>
        </is>
      </c>
      <c r="C244" s="7" t="inlineStr">
        <is>
          <t>Armament@fremen</t>
        </is>
      </c>
      <c r="L244" s="6" t="n">
        <v>3000</v>
      </c>
      <c r="M244" s="6" t="n">
        <v>25</v>
      </c>
      <c r="N244" s="6" t="n">
        <v>1</v>
      </c>
      <c r="O244" s="6" t="n"/>
      <c r="P244" s="6" t="n">
        <v>2560</v>
      </c>
      <c r="Q244" s="6" t="n">
        <v>1</v>
      </c>
      <c r="R244">
        <f>M244+IF(N244&gt;1,N(O244)*(N244-1),0)</f>
        <v/>
      </c>
      <c r="S244">
        <f>IFERROR(L244*MAX(N244,1)/R244*Q244*IF(ISBLANK(K221),1,K221),0)</f>
        <v/>
      </c>
      <c r="AB244" s="7" t="inlineStr">
        <is>
          <t>^MG</t>
        </is>
      </c>
    </row>
    <row r="245">
      <c r="B245" s="7" t="inlineStr">
        <is>
          <t xml:space="preserve">  ↳ TSSonicZap</t>
        </is>
      </c>
      <c r="C245" s="7" t="inlineStr">
        <is>
          <t>Armament@sonic</t>
        </is>
      </c>
      <c r="L245" s="6" t="n">
        <v>4000</v>
      </c>
      <c r="M245" s="6" t="n">
        <v>60</v>
      </c>
      <c r="N245" s="6" t="n">
        <v>1</v>
      </c>
      <c r="O245" s="6" t="n"/>
      <c r="P245" s="6" t="n">
        <v>6144</v>
      </c>
      <c r="Q245" s="6" t="n">
        <v>1</v>
      </c>
      <c r="R245">
        <f>M245+IF(N245&gt;1,N(O245)*(N245-1),0)</f>
        <v/>
      </c>
      <c r="S245">
        <f>IFERROR(L245*MAX(N245,1)/R245*Q245*IF(ISBLANK(K221),1,K221),0)</f>
        <v/>
      </c>
      <c r="AB245" s="7" t="inlineStr"/>
    </row>
    <row r="246">
      <c r="B246" s="7" t="inlineStr">
        <is>
          <t xml:space="preserve">  ↳ MedicHeal</t>
        </is>
      </c>
      <c r="C246" s="7" t="inlineStr">
        <is>
          <t>Armament@heal</t>
        </is>
      </c>
      <c r="L246" s="6" t="n">
        <v>-1</v>
      </c>
      <c r="M246" s="6" t="n">
        <v>10</v>
      </c>
      <c r="N246" s="6" t="n">
        <v>1</v>
      </c>
      <c r="O246" s="6" t="n"/>
      <c r="P246" s="6" t="n">
        <v>6000</v>
      </c>
      <c r="Q246" s="6" t="n">
        <v>1</v>
      </c>
      <c r="R246">
        <f>M246+IF(N246&gt;1,N(O246)*(N246-1),0)</f>
        <v/>
      </c>
      <c r="S246">
        <f>IFERROR(L246*MAX(N246,1)/R246*Q246*IF(ISBLANK(K221),1,K221),0)</f>
        <v/>
      </c>
      <c r="AB246" s="7" t="inlineStr">
        <is>
          <t>^HealingWeapon</t>
        </is>
      </c>
    </row>
    <row r="247">
      <c r="B247" s="7" t="inlineStr">
        <is>
          <t xml:space="preserve">  ↳ RA2HoverMissile</t>
        </is>
      </c>
      <c r="C247" s="7" t="inlineStr">
        <is>
          <t>Armament@primary</t>
        </is>
      </c>
      <c r="L247" s="6" t="n">
        <v>6000</v>
      </c>
      <c r="M247" s="6" t="n">
        <v>28</v>
      </c>
      <c r="N247" s="6" t="n">
        <v>2</v>
      </c>
      <c r="O247" s="6" t="n">
        <v>4</v>
      </c>
      <c r="P247" s="6" t="n">
        <v>5760</v>
      </c>
      <c r="Q247" s="6" t="n">
        <v>0.75</v>
      </c>
      <c r="R247">
        <f>M247+IF(N247&gt;1,N(O247)*(N247-1),0)</f>
        <v/>
      </c>
      <c r="S247">
        <f>IFERROR(L247*MAX(N247,1)/R247*Q247*IF(ISBLANK(K221),1,K221),0)</f>
        <v/>
      </c>
      <c r="AB247" s="7" t="inlineStr">
        <is>
          <t>^ArrowWeapon, ^RA2LightMissile</t>
        </is>
      </c>
    </row>
    <row r="248">
      <c r="B248" s="7" t="inlineStr">
        <is>
          <t xml:space="preserve">  ↳ RA2HoverMissile_elite</t>
        </is>
      </c>
      <c r="C248" s="7" t="inlineStr">
        <is>
          <t>Armament@primaryelite</t>
        </is>
      </c>
      <c r="L248" s="6" t="n">
        <v>6000</v>
      </c>
      <c r="M248" s="6" t="n">
        <v>28</v>
      </c>
      <c r="N248" s="6" t="n">
        <v>4</v>
      </c>
      <c r="O248" s="6" t="n">
        <v>4</v>
      </c>
      <c r="P248" s="6" t="n">
        <v>6760</v>
      </c>
      <c r="Q248" s="6" t="n">
        <v>0.75</v>
      </c>
      <c r="R248">
        <f>M248+IF(N248&gt;1,N(O248)*(N248-1),0)</f>
        <v/>
      </c>
      <c r="S248">
        <f>IFERROR(L248*MAX(N248,1)/R248*Q248*IF(ISBLANK(K221),1,K221),0)</f>
        <v/>
      </c>
      <c r="AB248" s="7" t="inlineStr">
        <is>
          <t>^ArrowWeapon, ^RA2LightMissile</t>
        </is>
      </c>
    </row>
    <row r="249">
      <c r="B249" s="7" t="inlineStr">
        <is>
          <t xml:space="preserve">  ↳ RA2HoverMissileAA</t>
        </is>
      </c>
      <c r="C249" s="7" t="inlineStr">
        <is>
          <t>Armament@primaryAA</t>
        </is>
      </c>
      <c r="L249" s="6" t="n">
        <v>6000</v>
      </c>
      <c r="M249" s="6" t="n">
        <v>28</v>
      </c>
      <c r="N249" s="6" t="n">
        <v>2</v>
      </c>
      <c r="O249" s="6" t="n">
        <v>4</v>
      </c>
      <c r="P249" s="6" t="n">
        <v>8640</v>
      </c>
      <c r="Q249" s="6" t="n">
        <v>0.75</v>
      </c>
      <c r="R249">
        <f>M249+IF(N249&gt;1,N(O249)*(N249-1),0)</f>
        <v/>
      </c>
      <c r="S249">
        <f>IFERROR(L249*MAX(N249,1)/R249*Q249*IF(ISBLANK(K221),1,K221),0)</f>
        <v/>
      </c>
      <c r="AB249" s="7" t="inlineStr">
        <is>
          <t>^ArrowWeapon, ^RA2LightMissile</t>
        </is>
      </c>
    </row>
    <row r="250">
      <c r="B250" s="7" t="inlineStr">
        <is>
          <t xml:space="preserve">  ↳ RA2HoverMissileAA_elite</t>
        </is>
      </c>
      <c r="C250" s="7" t="inlineStr">
        <is>
          <t>Armament@primaryeliteAA</t>
        </is>
      </c>
      <c r="L250" s="6" t="n">
        <v>6000</v>
      </c>
      <c r="M250" s="6" t="n">
        <v>28</v>
      </c>
      <c r="N250" s="6" t="n">
        <v>4</v>
      </c>
      <c r="O250" s="6" t="n">
        <v>4</v>
      </c>
      <c r="P250" s="6" t="n">
        <v>9640</v>
      </c>
      <c r="Q250" s="6" t="n">
        <v>0.75</v>
      </c>
      <c r="R250">
        <f>M250+IF(N250&gt;1,N(O250)*(N250-1),0)</f>
        <v/>
      </c>
      <c r="S250">
        <f>IFERROR(L250*MAX(N250,1)/R250*Q250*IF(ISBLANK(K221),1,K221),0)</f>
        <v/>
      </c>
      <c r="AB250" s="7" t="inlineStr">
        <is>
          <t>^ArrowWeapon, ^RA2LightMissile</t>
        </is>
      </c>
    </row>
    <row r="251">
      <c r="B251" s="7" t="inlineStr">
        <is>
          <t xml:space="preserve">  ↳ RA2ThunderboltMissile</t>
        </is>
      </c>
      <c r="C251" s="7" t="inlineStr">
        <is>
          <t>Armament@primaryThunderbolt</t>
        </is>
      </c>
      <c r="L251" s="6" t="n">
        <v>2000</v>
      </c>
      <c r="M251" s="6" t="n">
        <v>28</v>
      </c>
      <c r="N251" s="6" t="n">
        <v>2</v>
      </c>
      <c r="O251" s="6" t="n">
        <v>4</v>
      </c>
      <c r="P251" s="6" t="n">
        <v>5760</v>
      </c>
      <c r="Q251" s="6" t="n">
        <v>1.05</v>
      </c>
      <c r="R251">
        <f>M251+IF(N251&gt;1,N(O251)*(N251-1),0)</f>
        <v/>
      </c>
      <c r="S251">
        <f>IFERROR(L251*MAX(N251,1)/R251*Q251*IF(ISBLANK(K221),1,K221),0)</f>
        <v/>
      </c>
      <c r="AB251" s="7" t="inlineStr">
        <is>
          <t>^HeavyMissile, ^HeavyAAWeapon, ^MediumMissile, ^FlakWeapon, ^ArrowWeapon, ^RA2LightMissile</t>
        </is>
      </c>
    </row>
    <row r="252">
      <c r="B252" s="7" t="inlineStr">
        <is>
          <t xml:space="preserve">  ↳ RA2ThunderboltMissile_elite</t>
        </is>
      </c>
      <c r="C252" s="7" t="inlineStr">
        <is>
          <t>Armament@primaryeliteThunderbolt</t>
        </is>
      </c>
      <c r="L252" s="6" t="n">
        <v>2000</v>
      </c>
      <c r="M252" s="6" t="n">
        <v>28</v>
      </c>
      <c r="N252" s="6" t="n">
        <v>4</v>
      </c>
      <c r="O252" s="6" t="n">
        <v>4</v>
      </c>
      <c r="P252" s="6" t="n">
        <v>6760</v>
      </c>
      <c r="Q252" s="6" t="n">
        <v>1.05</v>
      </c>
      <c r="R252">
        <f>M252+IF(N252&gt;1,N(O252)*(N252-1),0)</f>
        <v/>
      </c>
      <c r="S252">
        <f>IFERROR(L252*MAX(N252,1)/R252*Q252*IF(ISBLANK(K221),1,K221),0)</f>
        <v/>
      </c>
      <c r="AB252" s="7" t="inlineStr">
        <is>
          <t>^HeavyMissile, ^HeavyAAWeapon, ^MediumMissile, ^FlakWeapon, ^ArrowWeapon, ^RA2LightMissile</t>
        </is>
      </c>
    </row>
    <row r="253">
      <c r="B253" s="7" t="inlineStr">
        <is>
          <t xml:space="preserve">  ↳ RA2ThunderboltMissileAA</t>
        </is>
      </c>
      <c r="C253" s="7" t="inlineStr">
        <is>
          <t>Armament@primaryAAThunderbolt</t>
        </is>
      </c>
      <c r="L253" s="6" t="n">
        <v>2000</v>
      </c>
      <c r="M253" s="6" t="n">
        <v>28</v>
      </c>
      <c r="N253" s="6" t="n">
        <v>2</v>
      </c>
      <c r="O253" s="6" t="n">
        <v>4</v>
      </c>
      <c r="P253" s="6" t="n">
        <v>8640</v>
      </c>
      <c r="Q253" s="6" t="n">
        <v>1.05</v>
      </c>
      <c r="R253">
        <f>M253+IF(N253&gt;1,N(O253)*(N253-1),0)</f>
        <v/>
      </c>
      <c r="S253">
        <f>IFERROR(L253*MAX(N253,1)/R253*Q253*IF(ISBLANK(K221),1,K221),0)</f>
        <v/>
      </c>
      <c r="AB253" s="7" t="inlineStr">
        <is>
          <t>^HeavyMissile, ^HeavyAAWeapon, ^MediumMissile, ^FlakWeapon, ^ArrowWeapon, ^RA2LightMissile</t>
        </is>
      </c>
    </row>
    <row r="254">
      <c r="B254" s="7" t="inlineStr">
        <is>
          <t xml:space="preserve">  ↳ RA2ThunderboltMissileAA_elite</t>
        </is>
      </c>
      <c r="C254" s="7" t="inlineStr">
        <is>
          <t>Armament@primaryeliteAAThunderbolt</t>
        </is>
      </c>
      <c r="L254" s="6" t="n">
        <v>2000</v>
      </c>
      <c r="M254" s="6" t="n">
        <v>28</v>
      </c>
      <c r="N254" s="6" t="n">
        <v>4</v>
      </c>
      <c r="O254" s="6" t="n">
        <v>4</v>
      </c>
      <c r="P254" s="6" t="n">
        <v>9640</v>
      </c>
      <c r="Q254" s="6" t="n">
        <v>1.05</v>
      </c>
      <c r="R254">
        <f>M254+IF(N254&gt;1,N(O254)*(N254-1),0)</f>
        <v/>
      </c>
      <c r="S254">
        <f>IFERROR(L254*MAX(N254,1)/R254*Q254*IF(ISBLANK(K221),1,K221),0)</f>
        <v/>
      </c>
      <c r="AB254" s="7" t="inlineStr">
        <is>
          <t>^HeavyMissile, ^HeavyAAWeapon, ^MediumMissile, ^FlakWeapon, ^ArrowWeapon, ^RA2LightMissile</t>
        </is>
      </c>
    </row>
    <row r="255">
      <c r="B255" s="7" t="inlineStr">
        <is>
          <t xml:space="preserve">  ↳ RA2MultiHoverMissile_elite</t>
        </is>
      </c>
      <c r="C255" s="7" t="inlineStr">
        <is>
          <t>Armament@missileelite</t>
        </is>
      </c>
      <c r="L255" s="6" t="n">
        <v>4000</v>
      </c>
      <c r="M255" s="6" t="n">
        <v>20</v>
      </c>
      <c r="N255" s="6" t="n">
        <v>4</v>
      </c>
      <c r="O255" s="6" t="n">
        <v>4</v>
      </c>
      <c r="P255" s="6" t="n">
        <v>7170</v>
      </c>
      <c r="Q255" s="6" t="n">
        <v>0.9166666666666666</v>
      </c>
      <c r="R255">
        <f>M255+IF(N255&gt;1,N(O255)*(N255-1),0)</f>
        <v/>
      </c>
      <c r="S255">
        <f>IFERROR(L255*MAX(N255,1)/R255*Q255*IF(ISBLANK(K221),1,K221),0)</f>
        <v/>
      </c>
      <c r="AB255" s="7" t="inlineStr">
        <is>
          <t>^MediumCannon, ^MediumChemicalWeapon, ^ArrowWeapon, ^RA2LightMissile</t>
        </is>
      </c>
    </row>
    <row r="256">
      <c r="B256" s="7" t="inlineStr">
        <is>
          <t xml:space="preserve">  ↳ RA2MultiHoverMissileAA</t>
        </is>
      </c>
      <c r="C256" s="7" t="inlineStr">
        <is>
          <t>Armament@missileAA</t>
        </is>
      </c>
      <c r="L256" s="6" t="n">
        <v>2000</v>
      </c>
      <c r="M256" s="6" t="n">
        <v>20</v>
      </c>
      <c r="N256" s="6" t="n">
        <v>4</v>
      </c>
      <c r="O256" s="6" t="n">
        <v>4</v>
      </c>
      <c r="P256" s="6" t="n">
        <v>9255</v>
      </c>
      <c r="Q256" s="6" t="n">
        <v>0.9166666666666666</v>
      </c>
      <c r="R256">
        <f>M256+IF(N256&gt;1,N(O256)*(N256-1),0)</f>
        <v/>
      </c>
      <c r="S256">
        <f>IFERROR(L256*MAX(N256,1)/R256*Q256*IF(ISBLANK(K221),1,K221),0)</f>
        <v/>
      </c>
      <c r="AB256" s="7" t="inlineStr">
        <is>
          <t>^MediumCannon, ^MediumChemicalWeapon, ^ArrowWeapon, ^RA2LightMissile</t>
        </is>
      </c>
    </row>
    <row r="257">
      <c r="B257" s="7" t="inlineStr">
        <is>
          <t xml:space="preserve">  ↳ RA2MultiHoverMissileAA_elite</t>
        </is>
      </c>
      <c r="C257" s="7" t="inlineStr">
        <is>
          <t>Armament@missileeliteAA</t>
        </is>
      </c>
      <c r="L257" s="6" t="n">
        <v>4000</v>
      </c>
      <c r="M257" s="6" t="n">
        <v>20</v>
      </c>
      <c r="N257" s="6" t="n">
        <v>4</v>
      </c>
      <c r="O257" s="6" t="n">
        <v>4</v>
      </c>
      <c r="P257" s="6" t="n">
        <v>10255</v>
      </c>
      <c r="Q257" s="6" t="n">
        <v>0.9166666666666666</v>
      </c>
      <c r="R257">
        <f>M257+IF(N257&gt;1,N(O257)*(N257-1),0)</f>
        <v/>
      </c>
      <c r="S257">
        <f>IFERROR(L257*MAX(N257,1)/R257*Q257*IF(ISBLANK(K221),1,K221),0)</f>
        <v/>
      </c>
      <c r="AB257" s="7" t="inlineStr">
        <is>
          <t>^MediumCannon, ^MediumChemicalWeapon, ^ArrowWeapon, ^RA2LightMissile</t>
        </is>
      </c>
    </row>
    <row r="258">
      <c r="B258" s="7" t="inlineStr">
        <is>
          <t xml:space="preserve">  ↳ RA2MultiThunderboltMissile</t>
        </is>
      </c>
      <c r="C258" s="7" t="inlineStr">
        <is>
          <t>Armament@missileThunderbolt</t>
        </is>
      </c>
      <c r="L258" s="6" t="n">
        <v>2000</v>
      </c>
      <c r="M258" s="6" t="n">
        <v>20</v>
      </c>
      <c r="N258" s="6" t="n">
        <v>4</v>
      </c>
      <c r="O258" s="6" t="n">
        <v>4</v>
      </c>
      <c r="P258" s="6" t="n">
        <v>6170</v>
      </c>
      <c r="Q258" s="6" t="n">
        <v>1.035714285714286</v>
      </c>
      <c r="R258">
        <f>M258+IF(N258&gt;1,N(O258)*(N258-1),0)</f>
        <v/>
      </c>
      <c r="S258">
        <f>IFERROR(L258*MAX(N258,1)/R258*Q258*IF(ISBLANK(K221),1,K221),0)</f>
        <v/>
      </c>
      <c r="AB258" s="7" t="inlineStr">
        <is>
          <t>^HeavyMissile, ^HeavyAAWeapon, ^MediumMissile, ^FlakWeapon, ^MediumCannon, ^MediumChemicalWeapon, ^ArrowWeapon, ^RA2LightMissile</t>
        </is>
      </c>
    </row>
    <row r="259">
      <c r="B259" s="7" t="inlineStr">
        <is>
          <t xml:space="preserve">  ↳ RA2MultiThunderboltMissile_elite</t>
        </is>
      </c>
      <c r="C259" s="7" t="inlineStr">
        <is>
          <t>Armament@missileeliteThunderbolt</t>
        </is>
      </c>
      <c r="L259" s="6" t="n">
        <v>4000</v>
      </c>
      <c r="M259" s="6" t="n">
        <v>20</v>
      </c>
      <c r="N259" s="6" t="n">
        <v>4</v>
      </c>
      <c r="O259" s="6" t="n">
        <v>4</v>
      </c>
      <c r="P259" s="6" t="n">
        <v>7170</v>
      </c>
      <c r="Q259" s="6" t="n">
        <v>1.035714285714286</v>
      </c>
      <c r="R259">
        <f>M259+IF(N259&gt;1,N(O259)*(N259-1),0)</f>
        <v/>
      </c>
      <c r="S259">
        <f>IFERROR(L259*MAX(N259,1)/R259*Q259*IF(ISBLANK(K221),1,K221),0)</f>
        <v/>
      </c>
      <c r="AB259" s="7" t="inlineStr">
        <is>
          <t>^HeavyMissile, ^HeavyAAWeapon, ^MediumMissile, ^FlakWeapon, ^MediumCannon, ^MediumChemicalWeapon, ^ArrowWeapon, ^RA2LightMissile</t>
        </is>
      </c>
    </row>
    <row r="260">
      <c r="B260" s="7" t="inlineStr">
        <is>
          <t xml:space="preserve">  ↳ RA2MultiThunderboltMissileAA</t>
        </is>
      </c>
      <c r="C260" s="7" t="inlineStr">
        <is>
          <t>Armament@missileAAThunderbolt</t>
        </is>
      </c>
      <c r="L260" s="6" t="n">
        <v>2000</v>
      </c>
      <c r="M260" s="6" t="n">
        <v>20</v>
      </c>
      <c r="N260" s="6" t="n">
        <v>4</v>
      </c>
      <c r="O260" s="6" t="n">
        <v>4</v>
      </c>
      <c r="P260" s="6" t="n">
        <v>9255</v>
      </c>
      <c r="Q260" s="6" t="n">
        <v>1.035714285714286</v>
      </c>
      <c r="R260">
        <f>M260+IF(N260&gt;1,N(O260)*(N260-1),0)</f>
        <v/>
      </c>
      <c r="S260">
        <f>IFERROR(L260*MAX(N260,1)/R260*Q260*IF(ISBLANK(K221),1,K221),0)</f>
        <v/>
      </c>
      <c r="AB260" s="7" t="inlineStr">
        <is>
          <t>^HeavyMissile, ^HeavyAAWeapon, ^MediumMissile, ^FlakWeapon, ^MediumCannon, ^MediumChemicalWeapon, ^ArrowWeapon, ^RA2LightMissile</t>
        </is>
      </c>
    </row>
    <row r="261">
      <c r="B261" s="7" t="inlineStr">
        <is>
          <t xml:space="preserve">  ↳ RA2MultiThunderboltMissileAA_elite</t>
        </is>
      </c>
      <c r="C261" s="7" t="inlineStr">
        <is>
          <t>Armament@missileeliteAAThunderbolt</t>
        </is>
      </c>
      <c r="L261" s="6" t="n">
        <v>4000</v>
      </c>
      <c r="M261" s="6" t="n">
        <v>20</v>
      </c>
      <c r="N261" s="6" t="n">
        <v>4</v>
      </c>
      <c r="O261" s="6" t="n">
        <v>4</v>
      </c>
      <c r="P261" s="6" t="n">
        <v>10255</v>
      </c>
      <c r="Q261" s="6" t="n">
        <v>1.035714285714286</v>
      </c>
      <c r="R261">
        <f>M261+IF(N261&gt;1,N(O261)*(N261-1),0)</f>
        <v/>
      </c>
      <c r="S261">
        <f>IFERROR(L261*MAX(N261,1)/R261*Q261*IF(ISBLANK(K221),1,K221),0)</f>
        <v/>
      </c>
      <c r="AB261" s="7" t="inlineStr">
        <is>
          <t>^HeavyMissile, ^HeavyAAWeapon, ^MediumMissile, ^FlakWeapon, ^MediumCannon, ^MediumChemicalWeapon, ^ArrowWeapon, ^RA2LightMissile</t>
        </is>
      </c>
    </row>
    <row r="262">
      <c r="B262" s="7" t="inlineStr">
        <is>
          <t xml:space="preserve">  ↳ MedicHeal</t>
        </is>
      </c>
      <c r="C262" s="7" t="inlineStr">
        <is>
          <t>Armament@healer</t>
        </is>
      </c>
      <c r="L262" s="6" t="n">
        <v>-1</v>
      </c>
      <c r="M262" s="6" t="n">
        <v>10</v>
      </c>
      <c r="N262" s="6" t="n">
        <v>1</v>
      </c>
      <c r="O262" s="6" t="n"/>
      <c r="P262" s="6" t="n">
        <v>6000</v>
      </c>
      <c r="Q262" s="6" t="n">
        <v>1</v>
      </c>
      <c r="R262">
        <f>M262+IF(N262&gt;1,N(O262)*(N262-1),0)</f>
        <v/>
      </c>
      <c r="S262">
        <f>IFERROR(L262*MAX(N262,1)/R262*Q262*IF(ISBLANK(K221),1,K221),0)</f>
        <v/>
      </c>
      <c r="AB262" s="7" t="inlineStr">
        <is>
          <t>^HealingWeapon</t>
        </is>
      </c>
    </row>
    <row r="263">
      <c r="B263" s="7" t="inlineStr">
        <is>
          <t xml:space="preserve">  ↳ RA2AWP</t>
        </is>
      </c>
      <c r="C263" s="7" t="inlineStr">
        <is>
          <t>Armament@ra1_allies_alliedsniper</t>
        </is>
      </c>
      <c r="L263" s="6" t="n">
        <v>44000</v>
      </c>
      <c r="M263" s="6" t="n">
        <v>54</v>
      </c>
      <c r="N263" s="6" t="n">
        <v>1</v>
      </c>
      <c r="O263" s="6" t="n"/>
      <c r="P263" s="6" t="n">
        <v>10000</v>
      </c>
      <c r="Q263" s="6" t="n">
        <v>0.75</v>
      </c>
      <c r="R263">
        <f>M263+IF(N263&gt;1,N(O263)*(N263-1),0)</f>
        <v/>
      </c>
      <c r="S263">
        <f>IFERROR(L263*MAX(N263,1)/R263*Q263*IF(ISBLANK(K221),1,K221),0)</f>
        <v/>
      </c>
      <c r="AB263" s="7" t="inlineStr">
        <is>
          <t>^SniperWeapon</t>
        </is>
      </c>
    </row>
    <row r="264">
      <c r="A264" t="inlineStr">
        <is>
          <t>redalert2</t>
        </is>
      </c>
      <c r="B264" t="inlineStr">
        <is>
          <t>ra2_allies_ifv_mg</t>
        </is>
      </c>
      <c r="C264" t="inlineStr">
        <is>
          <t>actor_fv.name</t>
        </is>
      </c>
      <c r="D264" s="6" t="inlineStr">
        <is>
          <t>ScoutVehicle</t>
        </is>
      </c>
      <c r="E264" s="6" t="n">
        <v>25000</v>
      </c>
      <c r="F264" s="6" t="n">
        <v>150</v>
      </c>
      <c r="G264" t="inlineStr">
        <is>
          <t>Scout</t>
        </is>
      </c>
      <c r="H264" s="6" t="n">
        <v>1</v>
      </c>
      <c r="I264" s="6" t="n">
        <v>1</v>
      </c>
      <c r="J264" s="6" t="n">
        <v>1</v>
      </c>
      <c r="K264" s="6" t="n"/>
      <c r="P264">
        <f>MAX(P265,P266,P267,P268,P269,P270,P271,P272,P273,P274,P275,P276,P277,P278,P279,P280,P281,P282,P283,P284,P285,P286,P287,P288,P289,P290,P291,P292,P293,P294,P295,P296,P297,P298,P299,P300,P301,P302,P303,P304,P305,P306)</f>
        <v/>
      </c>
      <c r="S264">
        <f>S265+S266+S267+S268+S269+S270+S271+S272+S273+S274+S275+S276+S277+S278+S279+S280+S281+S282+S283+S284+S285+S286+S287+S288+S289+S290+S291+S292+S293+S294+S295+S296+S297+S298+S299+S300+S301+S302+S303+S304+S305+S306</f>
        <v/>
      </c>
      <c r="T264">
        <f>(E264/100000+F264/100+(P264/1000)*J264/5+S264/200)*200*I264*H264</f>
        <v/>
      </c>
      <c r="U264">
        <f>((E264*F264/25000)+((P264/1000)*J264*S264/2.5))*I264*H264</f>
        <v/>
      </c>
      <c r="V264">
        <f>(E264*F264*(P264/1000)*J264*S264*I264*H264)/12500000</f>
        <v/>
      </c>
      <c r="W264">
        <f>(T264+U264+V264)/3</f>
        <v/>
      </c>
      <c r="X264" s="6" t="n">
        <v>500</v>
      </c>
      <c r="Y264">
        <f>IFERROR(W264-X264,"")</f>
        <v/>
      </c>
      <c r="Z264">
        <f>IFERROR(ABS(Y264)/MAX(X264,1),"")</f>
        <v/>
      </c>
      <c r="AA264">
        <f>IFERROR((X264-(((E264/100000+F264/100+S264/200)*200*I264*H264)+((E264*F264/25000)*I264*H264))/3)/(((J264/5)*200*I264*H264)+((J264*S264/2.5)*I264*H264)+((E264*F264*J264*S264*I264*H264)/12500000))/3*1000,"")</f>
        <v/>
      </c>
    </row>
    <row r="265">
      <c r="B265" s="7" t="inlineStr">
        <is>
          <t xml:space="preserve">  ↳ RA2CRM60</t>
        </is>
      </c>
      <c r="C265" s="7" t="inlineStr">
        <is>
          <t>Armament@mg</t>
        </is>
      </c>
      <c r="L265" s="6" t="n">
        <v>2000</v>
      </c>
      <c r="M265" s="6" t="n">
        <v>14</v>
      </c>
      <c r="N265" s="6" t="n">
        <v>4</v>
      </c>
      <c r="O265" s="6" t="n">
        <v>2</v>
      </c>
      <c r="P265" s="6" t="n">
        <v>5660</v>
      </c>
      <c r="Q265" s="6" t="n">
        <v>0.875</v>
      </c>
      <c r="R265">
        <f>M265+IF(N265&gt;1,N(O265)*(N265-1),0)</f>
        <v/>
      </c>
      <c r="S265">
        <f>IFERROR(L265*MAX(N265,1)/R265*Q265*IF(ISBLANK(K264),1,K264),0)</f>
        <v/>
      </c>
      <c r="AB265" s="7" t="inlineStr">
        <is>
          <t>^RA2SmallArms, ^RA2Chaingun</t>
        </is>
      </c>
    </row>
    <row r="266">
      <c r="B266" s="7" t="inlineStr">
        <is>
          <t xml:space="preserve">  ↳ RA2CRM60H</t>
        </is>
      </c>
      <c r="C266" s="7" t="inlineStr">
        <is>
          <t>Armament@hmg</t>
        </is>
      </c>
      <c r="L266" s="6" t="n">
        <v>2000</v>
      </c>
      <c r="M266" s="6" t="n">
        <v>10</v>
      </c>
      <c r="N266" s="6" t="n">
        <v>6</v>
      </c>
      <c r="O266" s="6" t="n">
        <v>2</v>
      </c>
      <c r="P266" s="6" t="n">
        <v>4692</v>
      </c>
      <c r="Q266" s="6" t="n">
        <v>1</v>
      </c>
      <c r="R266">
        <f>M266+IF(N266&gt;1,N(O266)*(N266-1),0)</f>
        <v/>
      </c>
      <c r="S266">
        <f>IFERROR(L266*MAX(N266,1)/R266*Q266*IF(ISBLANK(K264),1,K264),0)</f>
        <v/>
      </c>
      <c r="AB266" s="7" t="inlineStr">
        <is>
          <t>^HeavyCannon, ^RA2Chaingun, ^SniperWeapon</t>
        </is>
      </c>
    </row>
    <row r="267">
      <c r="B267" s="7" t="inlineStr">
        <is>
          <t xml:space="preserve">  ↳ wc_tower_fire</t>
        </is>
      </c>
      <c r="C267" s="7" t="inlineStr">
        <is>
          <t>Armament@archer</t>
        </is>
      </c>
      <c r="L267" s="6" t="n">
        <v>2500</v>
      </c>
      <c r="M267" s="6" t="n">
        <v>40</v>
      </c>
      <c r="N267" s="6" t="n">
        <v>1</v>
      </c>
      <c r="O267" s="6" t="n"/>
      <c r="P267" s="6" t="n">
        <v>8704</v>
      </c>
      <c r="Q267" s="6" t="n">
        <v>1</v>
      </c>
      <c r="R267">
        <f>M267+IF(N267&gt;1,N(O267)*(N267-1),0)</f>
        <v/>
      </c>
      <c r="S267">
        <f>IFERROR(L267*MAX(N267,1)/R267*Q267*IF(ISBLANK(K264),1,K264),0)</f>
        <v/>
      </c>
      <c r="AB267" s="7" t="inlineStr">
        <is>
          <t>bowFire</t>
        </is>
      </c>
    </row>
    <row r="268">
      <c r="B268" s="7" t="inlineStr">
        <is>
          <t xml:space="preserve">  ↳ RA2IFVRepair</t>
        </is>
      </c>
      <c r="C268" s="7" t="inlineStr">
        <is>
          <t>Armament@repair</t>
        </is>
      </c>
      <c r="L268" s="6" t="n">
        <v>-1</v>
      </c>
      <c r="M268" s="6" t="n">
        <v>50</v>
      </c>
      <c r="N268" s="6" t="n">
        <v>10</v>
      </c>
      <c r="O268" s="6" t="n">
        <v>1</v>
      </c>
      <c r="P268" s="6" t="n">
        <v>5000</v>
      </c>
      <c r="Q268" s="6" t="n">
        <v>1.5</v>
      </c>
      <c r="R268">
        <f>M268+IF(N268&gt;1,N(O268)*(N268-1),0)</f>
        <v/>
      </c>
      <c r="S268">
        <f>IFERROR(L268*MAX(N268,1)/R268*Q268*IF(ISBLANK(K264),1,K264),0)</f>
        <v/>
      </c>
      <c r="AB268" s="7" t="inlineStr">
        <is>
          <t>^RepairWeapon</t>
        </is>
      </c>
    </row>
    <row r="269">
      <c r="B269" s="7" t="inlineStr">
        <is>
          <t xml:space="preserve">  ↳ LightSniper</t>
        </is>
      </c>
      <c r="C269" s="7" t="inlineStr">
        <is>
          <t>Armament@lightsniper</t>
        </is>
      </c>
      <c r="L269" s="6" t="n">
        <v>30000</v>
      </c>
      <c r="M269" s="6" t="n">
        <v>100</v>
      </c>
      <c r="N269" s="6" t="n">
        <v>1</v>
      </c>
      <c r="O269" s="6" t="n"/>
      <c r="P269" s="6" t="n">
        <v>9153</v>
      </c>
      <c r="Q269" s="6" t="n">
        <v>0.75</v>
      </c>
      <c r="R269">
        <f>M269+IF(N269&gt;1,N(O269)*(N269-1),0)</f>
        <v/>
      </c>
      <c r="S269">
        <f>IFERROR(L269*MAX(N269,1)/R269*Q269*IF(ISBLANK(K264),1,K264),0)</f>
        <v/>
      </c>
      <c r="AB269" s="7" t="inlineStr">
        <is>
          <t>^SniperWeapon</t>
        </is>
      </c>
    </row>
    <row r="270">
      <c r="B270" s="7" t="inlineStr">
        <is>
          <t xml:space="preserve">  ↳ RA2DoublePistolsIFV</t>
        </is>
      </c>
      <c r="C270" s="7" t="inlineStr">
        <is>
          <t>Armament@hero</t>
        </is>
      </c>
      <c r="L270" s="6" t="n">
        <v>14000</v>
      </c>
      <c r="M270" s="6" t="n">
        <v>12</v>
      </c>
      <c r="N270" s="6" t="n">
        <v>2</v>
      </c>
      <c r="O270" s="6" t="n">
        <v>3</v>
      </c>
      <c r="P270" s="6" t="n">
        <v>8000</v>
      </c>
      <c r="Q270" s="6" t="n">
        <v>0.75</v>
      </c>
      <c r="R270">
        <f>M270+IF(N270&gt;1,N(O270)*(N270-1),0)</f>
        <v/>
      </c>
      <c r="S270">
        <f>IFERROR(L270*MAX(N270,1)/R270*Q270*IF(ISBLANK(K264),1,K264),0)</f>
        <v/>
      </c>
      <c r="AB270" s="7" t="inlineStr">
        <is>
          <t>^SniperWeapon</t>
        </is>
      </c>
    </row>
    <row r="271">
      <c r="B271" s="7" t="inlineStr">
        <is>
          <t xml:space="preserve">  ↳ TTankZap</t>
        </is>
      </c>
      <c r="C271" s="7" t="inlineStr">
        <is>
          <t>Armament@tesla</t>
        </is>
      </c>
      <c r="L271" s="6" t="n">
        <v>40000</v>
      </c>
      <c r="M271" s="6" t="n">
        <v>80</v>
      </c>
      <c r="N271" s="6" t="n">
        <v>1</v>
      </c>
      <c r="O271" s="6" t="n"/>
      <c r="P271" s="6" t="n">
        <v>7300</v>
      </c>
      <c r="Q271" s="6" t="n">
        <v>1</v>
      </c>
      <c r="R271">
        <f>M271+IF(N271&gt;1,N(O271)*(N271-1),0)</f>
        <v/>
      </c>
      <c r="S271">
        <f>IFERROR(L271*MAX(N271,1)/R271*Q271*IF(ISBLANK(K264),1,K264),0)</f>
        <v/>
      </c>
      <c r="AB271" s="7" t="inlineStr">
        <is>
          <t>^TeslaWeapon</t>
        </is>
      </c>
    </row>
    <row r="272">
      <c r="B272" s="7" t="inlineStr">
        <is>
          <t xml:space="preserve">  ↳ DragunovSniper</t>
        </is>
      </c>
      <c r="C272" s="7" t="inlineStr">
        <is>
          <t>Armament@flak</t>
        </is>
      </c>
      <c r="L272" s="6" t="n">
        <v>8000</v>
      </c>
      <c r="M272" s="6" t="n">
        <v>85</v>
      </c>
      <c r="N272" s="6" t="n">
        <v>1</v>
      </c>
      <c r="O272" s="6" t="n"/>
      <c r="P272" s="6" t="n">
        <v>6880</v>
      </c>
      <c r="Q272" s="6" t="n">
        <v>1.0625</v>
      </c>
      <c r="R272">
        <f>M272+IF(N272&gt;1,N(O272)*(N272-1),0)</f>
        <v/>
      </c>
      <c r="S272">
        <f>IFERROR(L272*MAX(N272,1)/R272*Q272*IF(ISBLANK(K264),1,K264),0)</f>
        <v/>
      </c>
      <c r="AB272" s="7" t="inlineStr">
        <is>
          <t>^TankDestroyerCannon, ^RailgunWeapon, ^LightMissile, ^HeavyCannon, ^FlakWeapon</t>
        </is>
      </c>
    </row>
    <row r="273">
      <c r="B273" s="7" t="inlineStr">
        <is>
          <t xml:space="preserve">  ↳ RA2MirageGun</t>
        </is>
      </c>
      <c r="C273" s="7" t="inlineStr">
        <is>
          <t>Armament@cannon</t>
        </is>
      </c>
      <c r="L273" s="6" t="n">
        <v>8000</v>
      </c>
      <c r="M273" s="6" t="n">
        <v>39</v>
      </c>
      <c r="N273" s="6" t="n">
        <v>1</v>
      </c>
      <c r="O273" s="6" t="n"/>
      <c r="P273" s="6" t="n">
        <v>6031</v>
      </c>
      <c r="Q273" s="6" t="n">
        <v>1.125</v>
      </c>
      <c r="R273">
        <f>M273+IF(N273&gt;1,N(O273)*(N273-1),0)</f>
        <v/>
      </c>
      <c r="S273">
        <f>IFERROR(L273*MAX(N273,1)/R273*Q273*IF(ISBLANK(K264),1,K264),0)</f>
        <v/>
      </c>
      <c r="AB273" s="7" t="inlineStr">
        <is>
          <t>^RailgunWeapon, ^MediumChemicalWeapon, ^RA2TankDestroyerCannon</t>
        </is>
      </c>
    </row>
    <row r="274">
      <c r="B274" s="7" t="inlineStr">
        <is>
          <t xml:space="preserve">  ↳ Grenade</t>
        </is>
      </c>
      <c r="C274" s="7" t="inlineStr">
        <is>
          <t>Armament@grenade</t>
        </is>
      </c>
      <c r="L274" s="6" t="n">
        <v>16000</v>
      </c>
      <c r="M274" s="6" t="n">
        <v>42</v>
      </c>
      <c r="N274" s="6" t="n">
        <v>1</v>
      </c>
      <c r="O274" s="6" t="n"/>
      <c r="P274" s="6" t="n">
        <v>6097</v>
      </c>
      <c r="Q274" s="6" t="n">
        <v>1</v>
      </c>
      <c r="R274">
        <f>M274+IF(N274&gt;1,N(O274)*(N274-1),0)</f>
        <v/>
      </c>
      <c r="S274">
        <f>IFERROR(L274*MAX(N274,1)/R274*Q274*IF(ISBLANK(K264),1,K264),0)</f>
        <v/>
      </c>
      <c r="AB274" s="7" t="inlineStr">
        <is>
          <t>^Grenade</t>
        </is>
      </c>
    </row>
    <row r="275">
      <c r="B275" s="7" t="inlineStr">
        <is>
          <t xml:space="preserve">  ↳ DRPlasmaTankWeapon</t>
        </is>
      </c>
      <c r="C275" s="7" t="inlineStr">
        <is>
          <t>Armament@plasma</t>
        </is>
      </c>
      <c r="L275" s="6" t="n">
        <v>3750</v>
      </c>
      <c r="M275" s="6" t="n">
        <v>21</v>
      </c>
      <c r="N275" s="6" t="n">
        <v>1</v>
      </c>
      <c r="O275" s="6" t="n"/>
      <c r="P275" s="6" t="n">
        <v>5120</v>
      </c>
      <c r="Q275" s="6" t="n">
        <v>1</v>
      </c>
      <c r="R275">
        <f>M275+IF(N275&gt;1,N(O275)*(N275-1),0)</f>
        <v/>
      </c>
      <c r="S275">
        <f>IFERROR(L275*MAX(N275,1)/R275*Q275*IF(ISBLANK(K264),1,K264),0)</f>
        <v/>
      </c>
      <c r="AB275" s="7" t="inlineStr">
        <is>
          <t>^DRPlasmaWeapon</t>
        </is>
      </c>
    </row>
    <row r="276">
      <c r="B276" s="7" t="inlineStr">
        <is>
          <t xml:space="preserve">  ↳ SWLaserG</t>
        </is>
      </c>
      <c r="C276" s="7" t="inlineStr">
        <is>
          <t>Armament@litlaser</t>
        </is>
      </c>
      <c r="L276" s="6" t="n">
        <v>2000</v>
      </c>
      <c r="M276" s="6" t="n">
        <v>30</v>
      </c>
      <c r="N276" s="6" t="n">
        <v>6</v>
      </c>
      <c r="O276" s="6" t="n"/>
      <c r="P276" s="6" t="n">
        <v>6144</v>
      </c>
      <c r="Q276" s="6" t="n">
        <v>0.75</v>
      </c>
      <c r="R276">
        <f>M276+IF(N276&gt;1,N(O276)*(N276-1),0)</f>
        <v/>
      </c>
      <c r="S276">
        <f>IFERROR(L276*MAX(N276,1)/R276*Q276*IF(ISBLANK(K264),1,K264),0)</f>
        <v/>
      </c>
      <c r="AB276" s="7" t="inlineStr">
        <is>
          <t>^LightMG</t>
        </is>
      </c>
    </row>
    <row r="277">
      <c r="B277" s="7" t="inlineStr">
        <is>
          <t xml:space="preserve">  ↳ USALaserCannonAG</t>
        </is>
      </c>
      <c r="C277" s="7" t="inlineStr">
        <is>
          <t>Armament@medlaser</t>
        </is>
      </c>
      <c r="L277" s="6" t="n">
        <v>4000</v>
      </c>
      <c r="M277" s="6" t="n">
        <v>50</v>
      </c>
      <c r="N277" s="6" t="n">
        <v>3</v>
      </c>
      <c r="O277" s="6" t="n">
        <v>6</v>
      </c>
      <c r="P277" s="6" t="n">
        <v>7168</v>
      </c>
      <c r="Q277" s="6" t="n">
        <v>1</v>
      </c>
      <c r="R277">
        <f>M277+IF(N277&gt;1,N(O277)*(N277-1),0)</f>
        <v/>
      </c>
      <c r="S277">
        <f>IFERROR(L277*MAX(N277,1)/R277*Q277*IF(ISBLANK(K264),1,K264),0)</f>
        <v/>
      </c>
      <c r="AB277" s="7" t="inlineStr">
        <is>
          <t>^AntiGroundMissile</t>
        </is>
      </c>
    </row>
    <row r="278">
      <c r="B278" s="7" t="inlineStr">
        <is>
          <t xml:space="preserve">  ↳ SWGreenLaserG</t>
        </is>
      </c>
      <c r="C278" s="7" t="inlineStr">
        <is>
          <t>Armament@greenlaser</t>
        </is>
      </c>
      <c r="L278" s="6" t="n">
        <v>5000</v>
      </c>
      <c r="M278" s="6" t="n">
        <v>75</v>
      </c>
      <c r="N278" s="6" t="n">
        <v>1</v>
      </c>
      <c r="O278" s="6" t="n"/>
      <c r="P278" s="6" t="n">
        <v>7168</v>
      </c>
      <c r="Q278" s="6" t="n">
        <v>1</v>
      </c>
      <c r="R278">
        <f>M278+IF(N278&gt;1,N(O278)*(N278-1),0)</f>
        <v/>
      </c>
      <c r="S278">
        <f>IFERROR(L278*MAX(N278,1)/R278*Q278*IF(ISBLANK(K264),1,K264),0)</f>
        <v/>
      </c>
      <c r="AB278" s="7" t="inlineStr">
        <is>
          <t>^MissileWeapon</t>
        </is>
      </c>
    </row>
    <row r="279">
      <c r="B279" s="7" t="inlineStr">
        <is>
          <t xml:space="preserve">  ↳ SWGBigRedLaserG</t>
        </is>
      </c>
      <c r="C279" s="7" t="inlineStr">
        <is>
          <t>Armament@misslaser</t>
        </is>
      </c>
      <c r="L279" s="6" t="n">
        <v>4000</v>
      </c>
      <c r="M279" s="6" t="n">
        <v>75</v>
      </c>
      <c r="N279" s="6" t="n">
        <v>1</v>
      </c>
      <c r="O279" s="6" t="n"/>
      <c r="P279" s="6" t="n">
        <v>8192</v>
      </c>
      <c r="Q279" s="6" t="n">
        <v>1</v>
      </c>
      <c r="R279">
        <f>M279+IF(N279&gt;1,N(O279)*(N279-1),0)</f>
        <v/>
      </c>
      <c r="S279">
        <f>IFERROR(L279*MAX(N279,1)/R279*Q279*IF(ISBLANK(K264),1,K264),0)</f>
        <v/>
      </c>
      <c r="AB279" s="7" t="inlineStr">
        <is>
          <t>^MissileWeapon</t>
        </is>
      </c>
    </row>
    <row r="280">
      <c r="B280" s="7" t="inlineStr">
        <is>
          <t xml:space="preserve">  ↳ BigFlamer</t>
        </is>
      </c>
      <c r="C280" s="7" t="inlineStr">
        <is>
          <t>Armament@fire</t>
        </is>
      </c>
      <c r="L280" s="6" t="n">
        <v>14000</v>
      </c>
      <c r="M280" s="6" t="n">
        <v>50</v>
      </c>
      <c r="N280" s="6" t="n">
        <v>2</v>
      </c>
      <c r="O280" s="6" t="n">
        <v>10</v>
      </c>
      <c r="P280" s="6" t="n">
        <v>2390</v>
      </c>
      <c r="Q280" s="6" t="n">
        <v>1</v>
      </c>
      <c r="R280">
        <f>M280+IF(N280&gt;1,N(O280)*(N280-1),0)</f>
        <v/>
      </c>
      <c r="S280">
        <f>IFERROR(L280*MAX(N280,1)/R280*Q280*IF(ISBLANK(K264),1,K264),0)</f>
        <v/>
      </c>
      <c r="AB280" s="7" t="inlineStr">
        <is>
          <t>^MediumFlameWeapon</t>
        </is>
      </c>
    </row>
    <row r="281">
      <c r="B281" s="7" t="inlineStr">
        <is>
          <t xml:space="preserve">  ↳ RA2RadBeamWeapon</t>
        </is>
      </c>
      <c r="C281" s="7" t="inlineStr">
        <is>
          <t>Armament@chem</t>
        </is>
      </c>
      <c r="L281" s="6" t="n">
        <v>30000</v>
      </c>
      <c r="M281" s="6" t="n">
        <v>45</v>
      </c>
      <c r="N281" s="6" t="n">
        <v>1</v>
      </c>
      <c r="O281" s="6" t="n"/>
      <c r="P281" s="6" t="n">
        <v>6444</v>
      </c>
      <c r="Q281" s="6" t="n">
        <v>1</v>
      </c>
      <c r="R281">
        <f>M281+IF(N281&gt;1,N(O281)*(N281-1),0)</f>
        <v/>
      </c>
      <c r="S281">
        <f>IFERROR(L281*MAX(N281,1)/R281*Q281*IF(ISBLANK(K264),1,K264),0)</f>
        <v/>
      </c>
      <c r="AB281" s="7" t="inlineStr">
        <is>
          <t>^MediumChemicalWeapon</t>
        </is>
      </c>
    </row>
    <row r="282">
      <c r="B282" s="7" t="inlineStr">
        <is>
          <t xml:space="preserve">  ↳ RA2RadBeamWeapon</t>
        </is>
      </c>
      <c r="C282" s="7" t="inlineStr">
        <is>
          <t>Armament@thrax</t>
        </is>
      </c>
      <c r="L282" s="6" t="n">
        <v>30000</v>
      </c>
      <c r="M282" s="6" t="n">
        <v>45</v>
      </c>
      <c r="N282" s="6" t="n">
        <v>1</v>
      </c>
      <c r="O282" s="6" t="n"/>
      <c r="P282" s="6" t="n">
        <v>6444</v>
      </c>
      <c r="Q282" s="6" t="n">
        <v>1</v>
      </c>
      <c r="R282">
        <f>M282+IF(N282&gt;1,N(O282)*(N282-1),0)</f>
        <v/>
      </c>
      <c r="S282">
        <f>IFERROR(L282*MAX(N282,1)/R282*Q282*IF(ISBLANK(K264),1,K264),0)</f>
        <v/>
      </c>
      <c r="AB282" s="7" t="inlineStr">
        <is>
          <t>^MediumChemicalWeapon</t>
        </is>
      </c>
    </row>
    <row r="283">
      <c r="B283" s="7" t="inlineStr">
        <is>
          <t xml:space="preserve">  ↳ RA2MultiHoverMissile</t>
        </is>
      </c>
      <c r="C283" s="7" t="inlineStr">
        <is>
          <t>Armament@missile</t>
        </is>
      </c>
      <c r="L283" s="6" t="n">
        <v>2000</v>
      </c>
      <c r="M283" s="6" t="n">
        <v>20</v>
      </c>
      <c r="N283" s="6" t="n">
        <v>4</v>
      </c>
      <c r="O283" s="6" t="n">
        <v>4</v>
      </c>
      <c r="P283" s="6" t="n">
        <v>6170</v>
      </c>
      <c r="Q283" s="6" t="n">
        <v>0.9166666666666666</v>
      </c>
      <c r="R283">
        <f>M283+IF(N283&gt;1,N(O283)*(N283-1),0)</f>
        <v/>
      </c>
      <c r="S283">
        <f>IFERROR(L283*MAX(N283,1)/R283*Q283*IF(ISBLANK(K264),1,K264),0)</f>
        <v/>
      </c>
      <c r="AB283" s="7" t="inlineStr">
        <is>
          <t>^MediumCannon, ^MediumChemicalWeapon, ^ArrowWeapon, ^RA2LightMissile</t>
        </is>
      </c>
    </row>
    <row r="284">
      <c r="B284" s="7" t="inlineStr">
        <is>
          <t xml:space="preserve">  ↳ IFVChronoBeam</t>
        </is>
      </c>
      <c r="C284" s="7" t="inlineStr">
        <is>
          <t>Armament@chrono</t>
        </is>
      </c>
      <c r="L284" s="6" t="n"/>
      <c r="M284" s="6" t="n">
        <v>1</v>
      </c>
      <c r="N284" s="6" t="n">
        <v>1</v>
      </c>
      <c r="O284" s="6" t="n"/>
      <c r="P284" s="6" t="n">
        <v>7500</v>
      </c>
      <c r="Q284" s="6" t="n">
        <v>1</v>
      </c>
      <c r="R284">
        <f>M284+IF(N284&gt;1,N(O284)*(N284-1),0)</f>
        <v/>
      </c>
      <c r="S284">
        <f>IFERROR(L284*MAX(N284,1)/R284*Q284*IF(ISBLANK(K264),1,K264),0)</f>
        <v/>
      </c>
      <c r="AB284" s="7" t="inlineStr">
        <is>
          <t>ChronoBeam</t>
        </is>
      </c>
    </row>
    <row r="285">
      <c r="B285" s="7" t="inlineStr">
        <is>
          <t xml:space="preserve">  ↳ IFVChronoSound</t>
        </is>
      </c>
      <c r="C285" s="7" t="inlineStr">
        <is>
          <t>Armament@chronosound</t>
        </is>
      </c>
      <c r="L285" s="6" t="n"/>
      <c r="M285" s="6" t="n">
        <v>180</v>
      </c>
      <c r="N285" s="6" t="n">
        <v>1</v>
      </c>
      <c r="O285" s="6" t="n"/>
      <c r="P285" s="6" t="n">
        <v>8000</v>
      </c>
      <c r="Q285" s="6" t="n">
        <v>1</v>
      </c>
      <c r="R285">
        <f>M285+IF(N285&gt;1,N(O285)*(N285-1),0)</f>
        <v/>
      </c>
      <c r="S285">
        <f>IFERROR(L285*MAX(N285,1)/R285*Q285*IF(ISBLANK(K264),1,K264),0)</f>
        <v/>
      </c>
      <c r="AB285" s="7" t="inlineStr">
        <is>
          <t>RA2ChronoTele</t>
        </is>
      </c>
    </row>
    <row r="286">
      <c r="B286" s="7" t="inlineStr">
        <is>
          <t xml:space="preserve">  ↳ DemoTruckTargeting</t>
        </is>
      </c>
      <c r="C286" s="7" t="inlineStr">
        <is>
          <t>Armament@ivan</t>
        </is>
      </c>
      <c r="L286" s="6" t="n"/>
      <c r="M286" s="6" t="n"/>
      <c r="N286" s="6" t="n">
        <v>1</v>
      </c>
      <c r="O286" s="6" t="n"/>
      <c r="P286" s="6" t="n">
        <v>2000</v>
      </c>
      <c r="Q286" s="6" t="n">
        <v>1</v>
      </c>
      <c r="R286">
        <f>M286+IF(N286&gt;1,N(O286)*(N286-1),0)</f>
        <v/>
      </c>
      <c r="S286">
        <f>IFERROR(L286*MAX(N286,1)/R286*Q286*IF(ISBLANK(K264),1,K264),0)</f>
        <v/>
      </c>
      <c r="AB286" s="7" t="inlineStr"/>
    </row>
    <row r="287">
      <c r="B287" s="7" t="inlineStr">
        <is>
          <t xml:space="preserve">  ↳ Fremen_L</t>
        </is>
      </c>
      <c r="C287" s="7" t="inlineStr">
        <is>
          <t>Armament@fremen</t>
        </is>
      </c>
      <c r="L287" s="6" t="n">
        <v>3000</v>
      </c>
      <c r="M287" s="6" t="n">
        <v>25</v>
      </c>
      <c r="N287" s="6" t="n">
        <v>1</v>
      </c>
      <c r="O287" s="6" t="n"/>
      <c r="P287" s="6" t="n">
        <v>2560</v>
      </c>
      <c r="Q287" s="6" t="n">
        <v>1</v>
      </c>
      <c r="R287">
        <f>M287+IF(N287&gt;1,N(O287)*(N287-1),0)</f>
        <v/>
      </c>
      <c r="S287">
        <f>IFERROR(L287*MAX(N287,1)/R287*Q287*IF(ISBLANK(K264),1,K264),0)</f>
        <v/>
      </c>
      <c r="AB287" s="7" t="inlineStr">
        <is>
          <t>^MG</t>
        </is>
      </c>
    </row>
    <row r="288">
      <c r="B288" s="7" t="inlineStr">
        <is>
          <t xml:space="preserve">  ↳ TSSonicZap</t>
        </is>
      </c>
      <c r="C288" s="7" t="inlineStr">
        <is>
          <t>Armament@sonic</t>
        </is>
      </c>
      <c r="L288" s="6" t="n">
        <v>4000</v>
      </c>
      <c r="M288" s="6" t="n">
        <v>60</v>
      </c>
      <c r="N288" s="6" t="n">
        <v>1</v>
      </c>
      <c r="O288" s="6" t="n"/>
      <c r="P288" s="6" t="n">
        <v>6144</v>
      </c>
      <c r="Q288" s="6" t="n">
        <v>1</v>
      </c>
      <c r="R288">
        <f>M288+IF(N288&gt;1,N(O288)*(N288-1),0)</f>
        <v/>
      </c>
      <c r="S288">
        <f>IFERROR(L288*MAX(N288,1)/R288*Q288*IF(ISBLANK(K264),1,K264),0)</f>
        <v/>
      </c>
      <c r="AB288" s="7" t="inlineStr"/>
    </row>
    <row r="289">
      <c r="B289" s="7" t="inlineStr">
        <is>
          <t xml:space="preserve">  ↳ MedicHeal</t>
        </is>
      </c>
      <c r="C289" s="7" t="inlineStr">
        <is>
          <t>Armament@heal</t>
        </is>
      </c>
      <c r="L289" s="6" t="n">
        <v>-1</v>
      </c>
      <c r="M289" s="6" t="n">
        <v>10</v>
      </c>
      <c r="N289" s="6" t="n">
        <v>1</v>
      </c>
      <c r="O289" s="6" t="n"/>
      <c r="P289" s="6" t="n">
        <v>6000</v>
      </c>
      <c r="Q289" s="6" t="n">
        <v>1</v>
      </c>
      <c r="R289">
        <f>M289+IF(N289&gt;1,N(O289)*(N289-1),0)</f>
        <v/>
      </c>
      <c r="S289">
        <f>IFERROR(L289*MAX(N289,1)/R289*Q289*IF(ISBLANK(K264),1,K264),0)</f>
        <v/>
      </c>
      <c r="AB289" s="7" t="inlineStr">
        <is>
          <t>^HealingWeapon</t>
        </is>
      </c>
    </row>
    <row r="290">
      <c r="B290" s="7" t="inlineStr">
        <is>
          <t xml:space="preserve">  ↳ RA2HoverMissile</t>
        </is>
      </c>
      <c r="C290" s="7" t="inlineStr">
        <is>
          <t>Armament@primary</t>
        </is>
      </c>
      <c r="L290" s="6" t="n">
        <v>6000</v>
      </c>
      <c r="M290" s="6" t="n">
        <v>28</v>
      </c>
      <c r="N290" s="6" t="n">
        <v>2</v>
      </c>
      <c r="O290" s="6" t="n">
        <v>4</v>
      </c>
      <c r="P290" s="6" t="n">
        <v>5760</v>
      </c>
      <c r="Q290" s="6" t="n">
        <v>0.75</v>
      </c>
      <c r="R290">
        <f>M290+IF(N290&gt;1,N(O290)*(N290-1),0)</f>
        <v/>
      </c>
      <c r="S290">
        <f>IFERROR(L290*MAX(N290,1)/R290*Q290*IF(ISBLANK(K264),1,K264),0)</f>
        <v/>
      </c>
      <c r="AB290" s="7" t="inlineStr">
        <is>
          <t>^ArrowWeapon, ^RA2LightMissile</t>
        </is>
      </c>
    </row>
    <row r="291">
      <c r="B291" s="7" t="inlineStr">
        <is>
          <t xml:space="preserve">  ↳ RA2HoverMissile_elite</t>
        </is>
      </c>
      <c r="C291" s="7" t="inlineStr">
        <is>
          <t>Armament@primaryelite</t>
        </is>
      </c>
      <c r="L291" s="6" t="n">
        <v>6000</v>
      </c>
      <c r="M291" s="6" t="n">
        <v>28</v>
      </c>
      <c r="N291" s="6" t="n">
        <v>4</v>
      </c>
      <c r="O291" s="6" t="n">
        <v>4</v>
      </c>
      <c r="P291" s="6" t="n">
        <v>6760</v>
      </c>
      <c r="Q291" s="6" t="n">
        <v>0.75</v>
      </c>
      <c r="R291">
        <f>M291+IF(N291&gt;1,N(O291)*(N291-1),0)</f>
        <v/>
      </c>
      <c r="S291">
        <f>IFERROR(L291*MAX(N291,1)/R291*Q291*IF(ISBLANK(K264),1,K264),0)</f>
        <v/>
      </c>
      <c r="AB291" s="7" t="inlineStr">
        <is>
          <t>^ArrowWeapon, ^RA2LightMissile</t>
        </is>
      </c>
    </row>
    <row r="292">
      <c r="B292" s="7" t="inlineStr">
        <is>
          <t xml:space="preserve">  ↳ RA2HoverMissileAA</t>
        </is>
      </c>
      <c r="C292" s="7" t="inlineStr">
        <is>
          <t>Armament@primaryAA</t>
        </is>
      </c>
      <c r="L292" s="6" t="n">
        <v>6000</v>
      </c>
      <c r="M292" s="6" t="n">
        <v>28</v>
      </c>
      <c r="N292" s="6" t="n">
        <v>2</v>
      </c>
      <c r="O292" s="6" t="n">
        <v>4</v>
      </c>
      <c r="P292" s="6" t="n">
        <v>8640</v>
      </c>
      <c r="Q292" s="6" t="n">
        <v>0.75</v>
      </c>
      <c r="R292">
        <f>M292+IF(N292&gt;1,N(O292)*(N292-1),0)</f>
        <v/>
      </c>
      <c r="S292">
        <f>IFERROR(L292*MAX(N292,1)/R292*Q292*IF(ISBLANK(K264),1,K264),0)</f>
        <v/>
      </c>
      <c r="AB292" s="7" t="inlineStr">
        <is>
          <t>^ArrowWeapon, ^RA2LightMissile</t>
        </is>
      </c>
    </row>
    <row r="293">
      <c r="B293" s="7" t="inlineStr">
        <is>
          <t xml:space="preserve">  ↳ RA2HoverMissileAA_elite</t>
        </is>
      </c>
      <c r="C293" s="7" t="inlineStr">
        <is>
          <t>Armament@primaryeliteAA</t>
        </is>
      </c>
      <c r="L293" s="6" t="n">
        <v>6000</v>
      </c>
      <c r="M293" s="6" t="n">
        <v>28</v>
      </c>
      <c r="N293" s="6" t="n">
        <v>4</v>
      </c>
      <c r="O293" s="6" t="n">
        <v>4</v>
      </c>
      <c r="P293" s="6" t="n">
        <v>9640</v>
      </c>
      <c r="Q293" s="6" t="n">
        <v>0.75</v>
      </c>
      <c r="R293">
        <f>M293+IF(N293&gt;1,N(O293)*(N293-1),0)</f>
        <v/>
      </c>
      <c r="S293">
        <f>IFERROR(L293*MAX(N293,1)/R293*Q293*IF(ISBLANK(K264),1,K264),0)</f>
        <v/>
      </c>
      <c r="AB293" s="7" t="inlineStr">
        <is>
          <t>^ArrowWeapon, ^RA2LightMissile</t>
        </is>
      </c>
    </row>
    <row r="294">
      <c r="B294" s="7" t="inlineStr">
        <is>
          <t xml:space="preserve">  ↳ RA2ThunderboltMissile</t>
        </is>
      </c>
      <c r="C294" s="7" t="inlineStr">
        <is>
          <t>Armament@primaryThunderbolt</t>
        </is>
      </c>
      <c r="L294" s="6" t="n">
        <v>2000</v>
      </c>
      <c r="M294" s="6" t="n">
        <v>28</v>
      </c>
      <c r="N294" s="6" t="n">
        <v>2</v>
      </c>
      <c r="O294" s="6" t="n">
        <v>4</v>
      </c>
      <c r="P294" s="6" t="n">
        <v>5760</v>
      </c>
      <c r="Q294" s="6" t="n">
        <v>1.05</v>
      </c>
      <c r="R294">
        <f>M294+IF(N294&gt;1,N(O294)*(N294-1),0)</f>
        <v/>
      </c>
      <c r="S294">
        <f>IFERROR(L294*MAX(N294,1)/R294*Q294*IF(ISBLANK(K264),1,K264),0)</f>
        <v/>
      </c>
      <c r="AB294" s="7" t="inlineStr">
        <is>
          <t>^HeavyMissile, ^HeavyAAWeapon, ^MediumMissile, ^FlakWeapon, ^ArrowWeapon, ^RA2LightMissile</t>
        </is>
      </c>
    </row>
    <row r="295">
      <c r="B295" s="7" t="inlineStr">
        <is>
          <t xml:space="preserve">  ↳ RA2ThunderboltMissile_elite</t>
        </is>
      </c>
      <c r="C295" s="7" t="inlineStr">
        <is>
          <t>Armament@primaryeliteThunderbolt</t>
        </is>
      </c>
      <c r="L295" s="6" t="n">
        <v>2000</v>
      </c>
      <c r="M295" s="6" t="n">
        <v>28</v>
      </c>
      <c r="N295" s="6" t="n">
        <v>4</v>
      </c>
      <c r="O295" s="6" t="n">
        <v>4</v>
      </c>
      <c r="P295" s="6" t="n">
        <v>6760</v>
      </c>
      <c r="Q295" s="6" t="n">
        <v>1.05</v>
      </c>
      <c r="R295">
        <f>M295+IF(N295&gt;1,N(O295)*(N295-1),0)</f>
        <v/>
      </c>
      <c r="S295">
        <f>IFERROR(L295*MAX(N295,1)/R295*Q295*IF(ISBLANK(K264),1,K264),0)</f>
        <v/>
      </c>
      <c r="AB295" s="7" t="inlineStr">
        <is>
          <t>^HeavyMissile, ^HeavyAAWeapon, ^MediumMissile, ^FlakWeapon, ^ArrowWeapon, ^RA2LightMissile</t>
        </is>
      </c>
    </row>
    <row r="296">
      <c r="B296" s="7" t="inlineStr">
        <is>
          <t xml:space="preserve">  ↳ RA2ThunderboltMissileAA</t>
        </is>
      </c>
      <c r="C296" s="7" t="inlineStr">
        <is>
          <t>Armament@primaryAAThunderbolt</t>
        </is>
      </c>
      <c r="L296" s="6" t="n">
        <v>2000</v>
      </c>
      <c r="M296" s="6" t="n">
        <v>28</v>
      </c>
      <c r="N296" s="6" t="n">
        <v>2</v>
      </c>
      <c r="O296" s="6" t="n">
        <v>4</v>
      </c>
      <c r="P296" s="6" t="n">
        <v>8640</v>
      </c>
      <c r="Q296" s="6" t="n">
        <v>1.05</v>
      </c>
      <c r="R296">
        <f>M296+IF(N296&gt;1,N(O296)*(N296-1),0)</f>
        <v/>
      </c>
      <c r="S296">
        <f>IFERROR(L296*MAX(N296,1)/R296*Q296*IF(ISBLANK(K264),1,K264),0)</f>
        <v/>
      </c>
      <c r="AB296" s="7" t="inlineStr">
        <is>
          <t>^HeavyMissile, ^HeavyAAWeapon, ^MediumMissile, ^FlakWeapon, ^ArrowWeapon, ^RA2LightMissile</t>
        </is>
      </c>
    </row>
    <row r="297">
      <c r="B297" s="7" t="inlineStr">
        <is>
          <t xml:space="preserve">  ↳ RA2ThunderboltMissileAA_elite</t>
        </is>
      </c>
      <c r="C297" s="7" t="inlineStr">
        <is>
          <t>Armament@primaryeliteAAThunderbolt</t>
        </is>
      </c>
      <c r="L297" s="6" t="n">
        <v>2000</v>
      </c>
      <c r="M297" s="6" t="n">
        <v>28</v>
      </c>
      <c r="N297" s="6" t="n">
        <v>4</v>
      </c>
      <c r="O297" s="6" t="n">
        <v>4</v>
      </c>
      <c r="P297" s="6" t="n">
        <v>9640</v>
      </c>
      <c r="Q297" s="6" t="n">
        <v>1.05</v>
      </c>
      <c r="R297">
        <f>M297+IF(N297&gt;1,N(O297)*(N297-1),0)</f>
        <v/>
      </c>
      <c r="S297">
        <f>IFERROR(L297*MAX(N297,1)/R297*Q297*IF(ISBLANK(K264),1,K264),0)</f>
        <v/>
      </c>
      <c r="AB297" s="7" t="inlineStr">
        <is>
          <t>^HeavyMissile, ^HeavyAAWeapon, ^MediumMissile, ^FlakWeapon, ^ArrowWeapon, ^RA2LightMissile</t>
        </is>
      </c>
    </row>
    <row r="298">
      <c r="B298" s="7" t="inlineStr">
        <is>
          <t xml:space="preserve">  ↳ RA2MultiHoverMissile_elite</t>
        </is>
      </c>
      <c r="C298" s="7" t="inlineStr">
        <is>
          <t>Armament@missileelite</t>
        </is>
      </c>
      <c r="L298" s="6" t="n">
        <v>4000</v>
      </c>
      <c r="M298" s="6" t="n">
        <v>20</v>
      </c>
      <c r="N298" s="6" t="n">
        <v>4</v>
      </c>
      <c r="O298" s="6" t="n">
        <v>4</v>
      </c>
      <c r="P298" s="6" t="n">
        <v>7170</v>
      </c>
      <c r="Q298" s="6" t="n">
        <v>0.9166666666666666</v>
      </c>
      <c r="R298">
        <f>M298+IF(N298&gt;1,N(O298)*(N298-1),0)</f>
        <v/>
      </c>
      <c r="S298">
        <f>IFERROR(L298*MAX(N298,1)/R298*Q298*IF(ISBLANK(K264),1,K264),0)</f>
        <v/>
      </c>
      <c r="AB298" s="7" t="inlineStr">
        <is>
          <t>^MediumCannon, ^MediumChemicalWeapon, ^ArrowWeapon, ^RA2LightMissile</t>
        </is>
      </c>
    </row>
    <row r="299">
      <c r="B299" s="7" t="inlineStr">
        <is>
          <t xml:space="preserve">  ↳ RA2MultiHoverMissileAA</t>
        </is>
      </c>
      <c r="C299" s="7" t="inlineStr">
        <is>
          <t>Armament@missileAA</t>
        </is>
      </c>
      <c r="L299" s="6" t="n">
        <v>2000</v>
      </c>
      <c r="M299" s="6" t="n">
        <v>20</v>
      </c>
      <c r="N299" s="6" t="n">
        <v>4</v>
      </c>
      <c r="O299" s="6" t="n">
        <v>4</v>
      </c>
      <c r="P299" s="6" t="n">
        <v>9255</v>
      </c>
      <c r="Q299" s="6" t="n">
        <v>0.9166666666666666</v>
      </c>
      <c r="R299">
        <f>M299+IF(N299&gt;1,N(O299)*(N299-1),0)</f>
        <v/>
      </c>
      <c r="S299">
        <f>IFERROR(L299*MAX(N299,1)/R299*Q299*IF(ISBLANK(K264),1,K264),0)</f>
        <v/>
      </c>
      <c r="AB299" s="7" t="inlineStr">
        <is>
          <t>^MediumCannon, ^MediumChemicalWeapon, ^ArrowWeapon, ^RA2LightMissile</t>
        </is>
      </c>
    </row>
    <row r="300">
      <c r="B300" s="7" t="inlineStr">
        <is>
          <t xml:space="preserve">  ↳ RA2MultiHoverMissileAA_elite</t>
        </is>
      </c>
      <c r="C300" s="7" t="inlineStr">
        <is>
          <t>Armament@missileeliteAA</t>
        </is>
      </c>
      <c r="L300" s="6" t="n">
        <v>4000</v>
      </c>
      <c r="M300" s="6" t="n">
        <v>20</v>
      </c>
      <c r="N300" s="6" t="n">
        <v>4</v>
      </c>
      <c r="O300" s="6" t="n">
        <v>4</v>
      </c>
      <c r="P300" s="6" t="n">
        <v>10255</v>
      </c>
      <c r="Q300" s="6" t="n">
        <v>0.9166666666666666</v>
      </c>
      <c r="R300">
        <f>M300+IF(N300&gt;1,N(O300)*(N300-1),0)</f>
        <v/>
      </c>
      <c r="S300">
        <f>IFERROR(L300*MAX(N300,1)/R300*Q300*IF(ISBLANK(K264),1,K264),0)</f>
        <v/>
      </c>
      <c r="AB300" s="7" t="inlineStr">
        <is>
          <t>^MediumCannon, ^MediumChemicalWeapon, ^ArrowWeapon, ^RA2LightMissile</t>
        </is>
      </c>
    </row>
    <row r="301">
      <c r="B301" s="7" t="inlineStr">
        <is>
          <t xml:space="preserve">  ↳ RA2MultiThunderboltMissile</t>
        </is>
      </c>
      <c r="C301" s="7" t="inlineStr">
        <is>
          <t>Armament@missileThunderbolt</t>
        </is>
      </c>
      <c r="L301" s="6" t="n">
        <v>2000</v>
      </c>
      <c r="M301" s="6" t="n">
        <v>20</v>
      </c>
      <c r="N301" s="6" t="n">
        <v>4</v>
      </c>
      <c r="O301" s="6" t="n">
        <v>4</v>
      </c>
      <c r="P301" s="6" t="n">
        <v>6170</v>
      </c>
      <c r="Q301" s="6" t="n">
        <v>1.035714285714286</v>
      </c>
      <c r="R301">
        <f>M301+IF(N301&gt;1,N(O301)*(N301-1),0)</f>
        <v/>
      </c>
      <c r="S301">
        <f>IFERROR(L301*MAX(N301,1)/R301*Q301*IF(ISBLANK(K264),1,K264),0)</f>
        <v/>
      </c>
      <c r="AB301" s="7" t="inlineStr">
        <is>
          <t>^HeavyMissile, ^HeavyAAWeapon, ^MediumMissile, ^FlakWeapon, ^MediumCannon, ^MediumChemicalWeapon, ^ArrowWeapon, ^RA2LightMissile</t>
        </is>
      </c>
    </row>
    <row r="302">
      <c r="B302" s="7" t="inlineStr">
        <is>
          <t xml:space="preserve">  ↳ RA2MultiThunderboltMissile_elite</t>
        </is>
      </c>
      <c r="C302" s="7" t="inlineStr">
        <is>
          <t>Armament@missileeliteThunderbolt</t>
        </is>
      </c>
      <c r="L302" s="6" t="n">
        <v>4000</v>
      </c>
      <c r="M302" s="6" t="n">
        <v>20</v>
      </c>
      <c r="N302" s="6" t="n">
        <v>4</v>
      </c>
      <c r="O302" s="6" t="n">
        <v>4</v>
      </c>
      <c r="P302" s="6" t="n">
        <v>7170</v>
      </c>
      <c r="Q302" s="6" t="n">
        <v>1.035714285714286</v>
      </c>
      <c r="R302">
        <f>M302+IF(N302&gt;1,N(O302)*(N302-1),0)</f>
        <v/>
      </c>
      <c r="S302">
        <f>IFERROR(L302*MAX(N302,1)/R302*Q302*IF(ISBLANK(K264),1,K264),0)</f>
        <v/>
      </c>
      <c r="AB302" s="7" t="inlineStr">
        <is>
          <t>^HeavyMissile, ^HeavyAAWeapon, ^MediumMissile, ^FlakWeapon, ^MediumCannon, ^MediumChemicalWeapon, ^ArrowWeapon, ^RA2LightMissile</t>
        </is>
      </c>
    </row>
    <row r="303">
      <c r="B303" s="7" t="inlineStr">
        <is>
          <t xml:space="preserve">  ↳ RA2MultiThunderboltMissileAA</t>
        </is>
      </c>
      <c r="C303" s="7" t="inlineStr">
        <is>
          <t>Armament@missileAAThunderbolt</t>
        </is>
      </c>
      <c r="L303" s="6" t="n">
        <v>2000</v>
      </c>
      <c r="M303" s="6" t="n">
        <v>20</v>
      </c>
      <c r="N303" s="6" t="n">
        <v>4</v>
      </c>
      <c r="O303" s="6" t="n">
        <v>4</v>
      </c>
      <c r="P303" s="6" t="n">
        <v>9255</v>
      </c>
      <c r="Q303" s="6" t="n">
        <v>1.035714285714286</v>
      </c>
      <c r="R303">
        <f>M303+IF(N303&gt;1,N(O303)*(N303-1),0)</f>
        <v/>
      </c>
      <c r="S303">
        <f>IFERROR(L303*MAX(N303,1)/R303*Q303*IF(ISBLANK(K264),1,K264),0)</f>
        <v/>
      </c>
      <c r="AB303" s="7" t="inlineStr">
        <is>
          <t>^HeavyMissile, ^HeavyAAWeapon, ^MediumMissile, ^FlakWeapon, ^MediumCannon, ^MediumChemicalWeapon, ^ArrowWeapon, ^RA2LightMissile</t>
        </is>
      </c>
    </row>
    <row r="304">
      <c r="B304" s="7" t="inlineStr">
        <is>
          <t xml:space="preserve">  ↳ RA2MultiThunderboltMissileAA_elite</t>
        </is>
      </c>
      <c r="C304" s="7" t="inlineStr">
        <is>
          <t>Armament@missileeliteAAThunderbolt</t>
        </is>
      </c>
      <c r="L304" s="6" t="n">
        <v>4000</v>
      </c>
      <c r="M304" s="6" t="n">
        <v>20</v>
      </c>
      <c r="N304" s="6" t="n">
        <v>4</v>
      </c>
      <c r="O304" s="6" t="n">
        <v>4</v>
      </c>
      <c r="P304" s="6" t="n">
        <v>10255</v>
      </c>
      <c r="Q304" s="6" t="n">
        <v>1.035714285714286</v>
      </c>
      <c r="R304">
        <f>M304+IF(N304&gt;1,N(O304)*(N304-1),0)</f>
        <v/>
      </c>
      <c r="S304">
        <f>IFERROR(L304*MAX(N304,1)/R304*Q304*IF(ISBLANK(K264),1,K264),0)</f>
        <v/>
      </c>
      <c r="AB304" s="7" t="inlineStr">
        <is>
          <t>^HeavyMissile, ^HeavyAAWeapon, ^MediumMissile, ^FlakWeapon, ^MediumCannon, ^MediumChemicalWeapon, ^ArrowWeapon, ^RA2LightMissile</t>
        </is>
      </c>
    </row>
    <row r="305">
      <c r="B305" s="7" t="inlineStr">
        <is>
          <t xml:space="preserve">  ↳ MedicHeal</t>
        </is>
      </c>
      <c r="C305" s="7" t="inlineStr">
        <is>
          <t>Armament@healer</t>
        </is>
      </c>
      <c r="L305" s="6" t="n">
        <v>-1</v>
      </c>
      <c r="M305" s="6" t="n">
        <v>10</v>
      </c>
      <c r="N305" s="6" t="n">
        <v>1</v>
      </c>
      <c r="O305" s="6" t="n"/>
      <c r="P305" s="6" t="n">
        <v>6000</v>
      </c>
      <c r="Q305" s="6" t="n">
        <v>1</v>
      </c>
      <c r="R305">
        <f>M305+IF(N305&gt;1,N(O305)*(N305-1),0)</f>
        <v/>
      </c>
      <c r="S305">
        <f>IFERROR(L305*MAX(N305,1)/R305*Q305*IF(ISBLANK(K264),1,K264),0)</f>
        <v/>
      </c>
      <c r="AB305" s="7" t="inlineStr">
        <is>
          <t>^HealingWeapon</t>
        </is>
      </c>
    </row>
    <row r="306">
      <c r="B306" s="7" t="inlineStr">
        <is>
          <t xml:space="preserve">  ↳ RA2AWP</t>
        </is>
      </c>
      <c r="C306" s="7" t="inlineStr">
        <is>
          <t>Armament@ra1_allies_alliedsniper</t>
        </is>
      </c>
      <c r="L306" s="6" t="n">
        <v>44000</v>
      </c>
      <c r="M306" s="6" t="n">
        <v>54</v>
      </c>
      <c r="N306" s="6" t="n">
        <v>1</v>
      </c>
      <c r="O306" s="6" t="n"/>
      <c r="P306" s="6" t="n">
        <v>10000</v>
      </c>
      <c r="Q306" s="6" t="n">
        <v>0.75</v>
      </c>
      <c r="R306">
        <f>M306+IF(N306&gt;1,N(O306)*(N306-1),0)</f>
        <v/>
      </c>
      <c r="S306">
        <f>IFERROR(L306*MAX(N306,1)/R306*Q306*IF(ISBLANK(K264),1,K264),0)</f>
        <v/>
      </c>
      <c r="AB306" s="7" t="inlineStr">
        <is>
          <t>^SniperWeapon</t>
        </is>
      </c>
    </row>
    <row r="307">
      <c r="A307" t="inlineStr">
        <is>
          <t>redalert2</t>
        </is>
      </c>
      <c r="B307" t="inlineStr">
        <is>
          <t>ra2_allies_ifv_missile</t>
        </is>
      </c>
      <c r="C307" t="inlineStr">
        <is>
          <t>actor_fv.name</t>
        </is>
      </c>
      <c r="D307" s="6" t="inlineStr">
        <is>
          <t>ScoutVehicle</t>
        </is>
      </c>
      <c r="E307" s="6" t="n">
        <v>25000</v>
      </c>
      <c r="F307" s="6" t="n">
        <v>150</v>
      </c>
      <c r="G307" t="inlineStr">
        <is>
          <t>Scout</t>
        </is>
      </c>
      <c r="H307" s="6" t="n">
        <v>1</v>
      </c>
      <c r="I307" s="6" t="n">
        <v>1</v>
      </c>
      <c r="J307" s="6" t="n">
        <v>1</v>
      </c>
      <c r="K307" s="6" t="n"/>
      <c r="P307">
        <f>MAX(P308,P309,P310,P311,P312,P313,P314,P315,P316,P317,P318,P319,P320,P321,P322,P323,P324,P325,P326,P327,P328,P329,P330,P331,P332,P333,P334,P335,P336,P337,P338,P339,P340,P341,P342,P343,P344,P345,P346,P347,P348,P349)</f>
        <v/>
      </c>
      <c r="S307">
        <f>S308+S309+S310+S311+S312+S313+S314+S315+S316+S317+S318+S319+S320+S321+S322+S323+S324+S325+S326+S327+S328+S329+S330+S331+S332+S333+S334+S335+S336+S337+S338+S339+S340+S341+S342+S343+S344+S345+S346+S347+S348+S349</f>
        <v/>
      </c>
      <c r="T307">
        <f>(E307/100000+F307/100+(P307/1000)*J307/5+S307/200)*200*I307*H307</f>
        <v/>
      </c>
      <c r="U307">
        <f>((E307*F307/25000)+((P307/1000)*J307*S307/2.5))*I307*H307</f>
        <v/>
      </c>
      <c r="V307">
        <f>(E307*F307*(P307/1000)*J307*S307*I307*H307)/12500000</f>
        <v/>
      </c>
      <c r="W307">
        <f>(T307+U307+V307)/3</f>
        <v/>
      </c>
      <c r="X307" s="6" t="n">
        <v>500</v>
      </c>
      <c r="Y307">
        <f>IFERROR(W307-X307,"")</f>
        <v/>
      </c>
      <c r="Z307">
        <f>IFERROR(ABS(Y307)/MAX(X307,1),"")</f>
        <v/>
      </c>
      <c r="AA307">
        <f>IFERROR((X307-(((E307/100000+F307/100+S307/200)*200*I307*H307)+((E307*F307/25000)*I307*H307))/3)/(((J307/5)*200*I307*H307)+((J307*S307/2.5)*I307*H307)+((E307*F307*J307*S307*I307*H307)/12500000))/3*1000,"")</f>
        <v/>
      </c>
    </row>
    <row r="308">
      <c r="B308" s="7" t="inlineStr">
        <is>
          <t xml:space="preserve">  ↳ RA2CRM60</t>
        </is>
      </c>
      <c r="C308" s="7" t="inlineStr">
        <is>
          <t>Armament@mg</t>
        </is>
      </c>
      <c r="L308" s="6" t="n">
        <v>2000</v>
      </c>
      <c r="M308" s="6" t="n">
        <v>14</v>
      </c>
      <c r="N308" s="6" t="n">
        <v>4</v>
      </c>
      <c r="O308" s="6" t="n">
        <v>2</v>
      </c>
      <c r="P308" s="6" t="n">
        <v>5660</v>
      </c>
      <c r="Q308" s="6" t="n">
        <v>0.875</v>
      </c>
      <c r="R308">
        <f>M308+IF(N308&gt;1,N(O308)*(N308-1),0)</f>
        <v/>
      </c>
      <c r="S308">
        <f>IFERROR(L308*MAX(N308,1)/R308*Q308*IF(ISBLANK(K307),1,K307),0)</f>
        <v/>
      </c>
      <c r="AB308" s="7" t="inlineStr">
        <is>
          <t>^RA2SmallArms, ^RA2Chaingun</t>
        </is>
      </c>
    </row>
    <row r="309">
      <c r="B309" s="7" t="inlineStr">
        <is>
          <t xml:space="preserve">  ↳ RA2CRM60H</t>
        </is>
      </c>
      <c r="C309" s="7" t="inlineStr">
        <is>
          <t>Armament@hmg</t>
        </is>
      </c>
      <c r="L309" s="6" t="n">
        <v>2000</v>
      </c>
      <c r="M309" s="6" t="n">
        <v>10</v>
      </c>
      <c r="N309" s="6" t="n">
        <v>6</v>
      </c>
      <c r="O309" s="6" t="n">
        <v>2</v>
      </c>
      <c r="P309" s="6" t="n">
        <v>4692</v>
      </c>
      <c r="Q309" s="6" t="n">
        <v>1</v>
      </c>
      <c r="R309">
        <f>M309+IF(N309&gt;1,N(O309)*(N309-1),0)</f>
        <v/>
      </c>
      <c r="S309">
        <f>IFERROR(L309*MAX(N309,1)/R309*Q309*IF(ISBLANK(K307),1,K307),0)</f>
        <v/>
      </c>
      <c r="AB309" s="7" t="inlineStr">
        <is>
          <t>^HeavyCannon, ^RA2Chaingun, ^SniperWeapon</t>
        </is>
      </c>
    </row>
    <row r="310">
      <c r="B310" s="7" t="inlineStr">
        <is>
          <t xml:space="preserve">  ↳ wc_tower_fire</t>
        </is>
      </c>
      <c r="C310" s="7" t="inlineStr">
        <is>
          <t>Armament@archer</t>
        </is>
      </c>
      <c r="L310" s="6" t="n">
        <v>2500</v>
      </c>
      <c r="M310" s="6" t="n">
        <v>40</v>
      </c>
      <c r="N310" s="6" t="n">
        <v>1</v>
      </c>
      <c r="O310" s="6" t="n"/>
      <c r="P310" s="6" t="n">
        <v>8704</v>
      </c>
      <c r="Q310" s="6" t="n">
        <v>1</v>
      </c>
      <c r="R310">
        <f>M310+IF(N310&gt;1,N(O310)*(N310-1),0)</f>
        <v/>
      </c>
      <c r="S310">
        <f>IFERROR(L310*MAX(N310,1)/R310*Q310*IF(ISBLANK(K307),1,K307),0)</f>
        <v/>
      </c>
      <c r="AB310" s="7" t="inlineStr">
        <is>
          <t>bowFire</t>
        </is>
      </c>
    </row>
    <row r="311">
      <c r="B311" s="7" t="inlineStr">
        <is>
          <t xml:space="preserve">  ↳ RA2IFVRepair</t>
        </is>
      </c>
      <c r="C311" s="7" t="inlineStr">
        <is>
          <t>Armament@repair</t>
        </is>
      </c>
      <c r="L311" s="6" t="n">
        <v>-1</v>
      </c>
      <c r="M311" s="6" t="n">
        <v>50</v>
      </c>
      <c r="N311" s="6" t="n">
        <v>10</v>
      </c>
      <c r="O311" s="6" t="n">
        <v>1</v>
      </c>
      <c r="P311" s="6" t="n">
        <v>5000</v>
      </c>
      <c r="Q311" s="6" t="n">
        <v>1.5</v>
      </c>
      <c r="R311">
        <f>M311+IF(N311&gt;1,N(O311)*(N311-1),0)</f>
        <v/>
      </c>
      <c r="S311">
        <f>IFERROR(L311*MAX(N311,1)/R311*Q311*IF(ISBLANK(K307),1,K307),0)</f>
        <v/>
      </c>
      <c r="AB311" s="7" t="inlineStr">
        <is>
          <t>^RepairWeapon</t>
        </is>
      </c>
    </row>
    <row r="312">
      <c r="B312" s="7" t="inlineStr">
        <is>
          <t xml:space="preserve">  ↳ LightSniper</t>
        </is>
      </c>
      <c r="C312" s="7" t="inlineStr">
        <is>
          <t>Armament@lightsniper</t>
        </is>
      </c>
      <c r="L312" s="6" t="n">
        <v>30000</v>
      </c>
      <c r="M312" s="6" t="n">
        <v>100</v>
      </c>
      <c r="N312" s="6" t="n">
        <v>1</v>
      </c>
      <c r="O312" s="6" t="n"/>
      <c r="P312" s="6" t="n">
        <v>9153</v>
      </c>
      <c r="Q312" s="6" t="n">
        <v>0.75</v>
      </c>
      <c r="R312">
        <f>M312+IF(N312&gt;1,N(O312)*(N312-1),0)</f>
        <v/>
      </c>
      <c r="S312">
        <f>IFERROR(L312*MAX(N312,1)/R312*Q312*IF(ISBLANK(K307),1,K307),0)</f>
        <v/>
      </c>
      <c r="AB312" s="7" t="inlineStr">
        <is>
          <t>^SniperWeapon</t>
        </is>
      </c>
    </row>
    <row r="313">
      <c r="B313" s="7" t="inlineStr">
        <is>
          <t xml:space="preserve">  ↳ RA2DoublePistolsIFV</t>
        </is>
      </c>
      <c r="C313" s="7" t="inlineStr">
        <is>
          <t>Armament@hero</t>
        </is>
      </c>
      <c r="L313" s="6" t="n">
        <v>14000</v>
      </c>
      <c r="M313" s="6" t="n">
        <v>12</v>
      </c>
      <c r="N313" s="6" t="n">
        <v>2</v>
      </c>
      <c r="O313" s="6" t="n">
        <v>3</v>
      </c>
      <c r="P313" s="6" t="n">
        <v>8000</v>
      </c>
      <c r="Q313" s="6" t="n">
        <v>0.75</v>
      </c>
      <c r="R313">
        <f>M313+IF(N313&gt;1,N(O313)*(N313-1),0)</f>
        <v/>
      </c>
      <c r="S313">
        <f>IFERROR(L313*MAX(N313,1)/R313*Q313*IF(ISBLANK(K307),1,K307),0)</f>
        <v/>
      </c>
      <c r="AB313" s="7" t="inlineStr">
        <is>
          <t>^SniperWeapon</t>
        </is>
      </c>
    </row>
    <row r="314">
      <c r="B314" s="7" t="inlineStr">
        <is>
          <t xml:space="preserve">  ↳ TTankZap</t>
        </is>
      </c>
      <c r="C314" s="7" t="inlineStr">
        <is>
          <t>Armament@tesla</t>
        </is>
      </c>
      <c r="L314" s="6" t="n">
        <v>40000</v>
      </c>
      <c r="M314" s="6" t="n">
        <v>80</v>
      </c>
      <c r="N314" s="6" t="n">
        <v>1</v>
      </c>
      <c r="O314" s="6" t="n"/>
      <c r="P314" s="6" t="n">
        <v>7300</v>
      </c>
      <c r="Q314" s="6" t="n">
        <v>1</v>
      </c>
      <c r="R314">
        <f>M314+IF(N314&gt;1,N(O314)*(N314-1),0)</f>
        <v/>
      </c>
      <c r="S314">
        <f>IFERROR(L314*MAX(N314,1)/R314*Q314*IF(ISBLANK(K307),1,K307),0)</f>
        <v/>
      </c>
      <c r="AB314" s="7" t="inlineStr">
        <is>
          <t>^TeslaWeapon</t>
        </is>
      </c>
    </row>
    <row r="315">
      <c r="B315" s="7" t="inlineStr">
        <is>
          <t xml:space="preserve">  ↳ DragunovSniper</t>
        </is>
      </c>
      <c r="C315" s="7" t="inlineStr">
        <is>
          <t>Armament@flak</t>
        </is>
      </c>
      <c r="L315" s="6" t="n">
        <v>8000</v>
      </c>
      <c r="M315" s="6" t="n">
        <v>85</v>
      </c>
      <c r="N315" s="6" t="n">
        <v>1</v>
      </c>
      <c r="O315" s="6" t="n"/>
      <c r="P315" s="6" t="n">
        <v>6880</v>
      </c>
      <c r="Q315" s="6" t="n">
        <v>1.0625</v>
      </c>
      <c r="R315">
        <f>M315+IF(N315&gt;1,N(O315)*(N315-1),0)</f>
        <v/>
      </c>
      <c r="S315">
        <f>IFERROR(L315*MAX(N315,1)/R315*Q315*IF(ISBLANK(K307),1,K307),0)</f>
        <v/>
      </c>
      <c r="AB315" s="7" t="inlineStr">
        <is>
          <t>^TankDestroyerCannon, ^RailgunWeapon, ^LightMissile, ^HeavyCannon, ^FlakWeapon</t>
        </is>
      </c>
    </row>
    <row r="316">
      <c r="B316" s="7" t="inlineStr">
        <is>
          <t xml:space="preserve">  ↳ RA2MirageGun</t>
        </is>
      </c>
      <c r="C316" s="7" t="inlineStr">
        <is>
          <t>Armament@cannon</t>
        </is>
      </c>
      <c r="L316" s="6" t="n">
        <v>8000</v>
      </c>
      <c r="M316" s="6" t="n">
        <v>39</v>
      </c>
      <c r="N316" s="6" t="n">
        <v>1</v>
      </c>
      <c r="O316" s="6" t="n"/>
      <c r="P316" s="6" t="n">
        <v>6031</v>
      </c>
      <c r="Q316" s="6" t="n">
        <v>1.125</v>
      </c>
      <c r="R316">
        <f>M316+IF(N316&gt;1,N(O316)*(N316-1),0)</f>
        <v/>
      </c>
      <c r="S316">
        <f>IFERROR(L316*MAX(N316,1)/R316*Q316*IF(ISBLANK(K307),1,K307),0)</f>
        <v/>
      </c>
      <c r="AB316" s="7" t="inlineStr">
        <is>
          <t>^RailgunWeapon, ^MediumChemicalWeapon, ^RA2TankDestroyerCannon</t>
        </is>
      </c>
    </row>
    <row r="317">
      <c r="B317" s="7" t="inlineStr">
        <is>
          <t xml:space="preserve">  ↳ Grenade</t>
        </is>
      </c>
      <c r="C317" s="7" t="inlineStr">
        <is>
          <t>Armament@grenade</t>
        </is>
      </c>
      <c r="L317" s="6" t="n">
        <v>16000</v>
      </c>
      <c r="M317" s="6" t="n">
        <v>42</v>
      </c>
      <c r="N317" s="6" t="n">
        <v>1</v>
      </c>
      <c r="O317" s="6" t="n"/>
      <c r="P317" s="6" t="n">
        <v>6097</v>
      </c>
      <c r="Q317" s="6" t="n">
        <v>1</v>
      </c>
      <c r="R317">
        <f>M317+IF(N317&gt;1,N(O317)*(N317-1),0)</f>
        <v/>
      </c>
      <c r="S317">
        <f>IFERROR(L317*MAX(N317,1)/R317*Q317*IF(ISBLANK(K307),1,K307),0)</f>
        <v/>
      </c>
      <c r="AB317" s="7" t="inlineStr">
        <is>
          <t>^Grenade</t>
        </is>
      </c>
    </row>
    <row r="318">
      <c r="B318" s="7" t="inlineStr">
        <is>
          <t xml:space="preserve">  ↳ DRPlasmaTankWeapon</t>
        </is>
      </c>
      <c r="C318" s="7" t="inlineStr">
        <is>
          <t>Armament@plasma</t>
        </is>
      </c>
      <c r="L318" s="6" t="n">
        <v>3750</v>
      </c>
      <c r="M318" s="6" t="n">
        <v>21</v>
      </c>
      <c r="N318" s="6" t="n">
        <v>1</v>
      </c>
      <c r="O318" s="6" t="n"/>
      <c r="P318" s="6" t="n">
        <v>5120</v>
      </c>
      <c r="Q318" s="6" t="n">
        <v>1</v>
      </c>
      <c r="R318">
        <f>M318+IF(N318&gt;1,N(O318)*(N318-1),0)</f>
        <v/>
      </c>
      <c r="S318">
        <f>IFERROR(L318*MAX(N318,1)/R318*Q318*IF(ISBLANK(K307),1,K307),0)</f>
        <v/>
      </c>
      <c r="AB318" s="7" t="inlineStr">
        <is>
          <t>^DRPlasmaWeapon</t>
        </is>
      </c>
    </row>
    <row r="319">
      <c r="B319" s="7" t="inlineStr">
        <is>
          <t xml:space="preserve">  ↳ SWLaserG</t>
        </is>
      </c>
      <c r="C319" s="7" t="inlineStr">
        <is>
          <t>Armament@litlaser</t>
        </is>
      </c>
      <c r="L319" s="6" t="n">
        <v>2000</v>
      </c>
      <c r="M319" s="6" t="n">
        <v>30</v>
      </c>
      <c r="N319" s="6" t="n">
        <v>6</v>
      </c>
      <c r="O319" s="6" t="n"/>
      <c r="P319" s="6" t="n">
        <v>6144</v>
      </c>
      <c r="Q319" s="6" t="n">
        <v>0.75</v>
      </c>
      <c r="R319">
        <f>M319+IF(N319&gt;1,N(O319)*(N319-1),0)</f>
        <v/>
      </c>
      <c r="S319">
        <f>IFERROR(L319*MAX(N319,1)/R319*Q319*IF(ISBLANK(K307),1,K307),0)</f>
        <v/>
      </c>
      <c r="AB319" s="7" t="inlineStr">
        <is>
          <t>^LightMG</t>
        </is>
      </c>
    </row>
    <row r="320">
      <c r="B320" s="7" t="inlineStr">
        <is>
          <t xml:space="preserve">  ↳ USALaserCannonAG</t>
        </is>
      </c>
      <c r="C320" s="7" t="inlineStr">
        <is>
          <t>Armament@medlaser</t>
        </is>
      </c>
      <c r="L320" s="6" t="n">
        <v>4000</v>
      </c>
      <c r="M320" s="6" t="n">
        <v>50</v>
      </c>
      <c r="N320" s="6" t="n">
        <v>3</v>
      </c>
      <c r="O320" s="6" t="n">
        <v>6</v>
      </c>
      <c r="P320" s="6" t="n">
        <v>7168</v>
      </c>
      <c r="Q320" s="6" t="n">
        <v>1</v>
      </c>
      <c r="R320">
        <f>M320+IF(N320&gt;1,N(O320)*(N320-1),0)</f>
        <v/>
      </c>
      <c r="S320">
        <f>IFERROR(L320*MAX(N320,1)/R320*Q320*IF(ISBLANK(K307),1,K307),0)</f>
        <v/>
      </c>
      <c r="AB320" s="7" t="inlineStr">
        <is>
          <t>^AntiGroundMissile</t>
        </is>
      </c>
    </row>
    <row r="321">
      <c r="B321" s="7" t="inlineStr">
        <is>
          <t xml:space="preserve">  ↳ SWGreenLaserG</t>
        </is>
      </c>
      <c r="C321" s="7" t="inlineStr">
        <is>
          <t>Armament@greenlaser</t>
        </is>
      </c>
      <c r="L321" s="6" t="n">
        <v>5000</v>
      </c>
      <c r="M321" s="6" t="n">
        <v>75</v>
      </c>
      <c r="N321" s="6" t="n">
        <v>1</v>
      </c>
      <c r="O321" s="6" t="n"/>
      <c r="P321" s="6" t="n">
        <v>7168</v>
      </c>
      <c r="Q321" s="6" t="n">
        <v>1</v>
      </c>
      <c r="R321">
        <f>M321+IF(N321&gt;1,N(O321)*(N321-1),0)</f>
        <v/>
      </c>
      <c r="S321">
        <f>IFERROR(L321*MAX(N321,1)/R321*Q321*IF(ISBLANK(K307),1,K307),0)</f>
        <v/>
      </c>
      <c r="AB321" s="7" t="inlineStr">
        <is>
          <t>^MissileWeapon</t>
        </is>
      </c>
    </row>
    <row r="322">
      <c r="B322" s="7" t="inlineStr">
        <is>
          <t xml:space="preserve">  ↳ SWGBigRedLaserG</t>
        </is>
      </c>
      <c r="C322" s="7" t="inlineStr">
        <is>
          <t>Armament@misslaser</t>
        </is>
      </c>
      <c r="L322" s="6" t="n">
        <v>4000</v>
      </c>
      <c r="M322" s="6" t="n">
        <v>75</v>
      </c>
      <c r="N322" s="6" t="n">
        <v>1</v>
      </c>
      <c r="O322" s="6" t="n"/>
      <c r="P322" s="6" t="n">
        <v>8192</v>
      </c>
      <c r="Q322" s="6" t="n">
        <v>1</v>
      </c>
      <c r="R322">
        <f>M322+IF(N322&gt;1,N(O322)*(N322-1),0)</f>
        <v/>
      </c>
      <c r="S322">
        <f>IFERROR(L322*MAX(N322,1)/R322*Q322*IF(ISBLANK(K307),1,K307),0)</f>
        <v/>
      </c>
      <c r="AB322" s="7" t="inlineStr">
        <is>
          <t>^MissileWeapon</t>
        </is>
      </c>
    </row>
    <row r="323">
      <c r="B323" s="7" t="inlineStr">
        <is>
          <t xml:space="preserve">  ↳ BigFlamer</t>
        </is>
      </c>
      <c r="C323" s="7" t="inlineStr">
        <is>
          <t>Armament@fire</t>
        </is>
      </c>
      <c r="L323" s="6" t="n">
        <v>14000</v>
      </c>
      <c r="M323" s="6" t="n">
        <v>50</v>
      </c>
      <c r="N323" s="6" t="n">
        <v>2</v>
      </c>
      <c r="O323" s="6" t="n">
        <v>10</v>
      </c>
      <c r="P323" s="6" t="n">
        <v>2390</v>
      </c>
      <c r="Q323" s="6" t="n">
        <v>1</v>
      </c>
      <c r="R323">
        <f>M323+IF(N323&gt;1,N(O323)*(N323-1),0)</f>
        <v/>
      </c>
      <c r="S323">
        <f>IFERROR(L323*MAX(N323,1)/R323*Q323*IF(ISBLANK(K307),1,K307),0)</f>
        <v/>
      </c>
      <c r="AB323" s="7" t="inlineStr">
        <is>
          <t>^MediumFlameWeapon</t>
        </is>
      </c>
    </row>
    <row r="324">
      <c r="B324" s="7" t="inlineStr">
        <is>
          <t xml:space="preserve">  ↳ RA2RadBeamWeapon</t>
        </is>
      </c>
      <c r="C324" s="7" t="inlineStr">
        <is>
          <t>Armament@chem</t>
        </is>
      </c>
      <c r="L324" s="6" t="n">
        <v>30000</v>
      </c>
      <c r="M324" s="6" t="n">
        <v>45</v>
      </c>
      <c r="N324" s="6" t="n">
        <v>1</v>
      </c>
      <c r="O324" s="6" t="n"/>
      <c r="P324" s="6" t="n">
        <v>6444</v>
      </c>
      <c r="Q324" s="6" t="n">
        <v>1</v>
      </c>
      <c r="R324">
        <f>M324+IF(N324&gt;1,N(O324)*(N324-1),0)</f>
        <v/>
      </c>
      <c r="S324">
        <f>IFERROR(L324*MAX(N324,1)/R324*Q324*IF(ISBLANK(K307),1,K307),0)</f>
        <v/>
      </c>
      <c r="AB324" s="7" t="inlineStr">
        <is>
          <t>^MediumChemicalWeapon</t>
        </is>
      </c>
    </row>
    <row r="325">
      <c r="B325" s="7" t="inlineStr">
        <is>
          <t xml:space="preserve">  ↳ RA2RadBeamWeapon</t>
        </is>
      </c>
      <c r="C325" s="7" t="inlineStr">
        <is>
          <t>Armament@thrax</t>
        </is>
      </c>
      <c r="L325" s="6" t="n">
        <v>30000</v>
      </c>
      <c r="M325" s="6" t="n">
        <v>45</v>
      </c>
      <c r="N325" s="6" t="n">
        <v>1</v>
      </c>
      <c r="O325" s="6" t="n"/>
      <c r="P325" s="6" t="n">
        <v>6444</v>
      </c>
      <c r="Q325" s="6" t="n">
        <v>1</v>
      </c>
      <c r="R325">
        <f>M325+IF(N325&gt;1,N(O325)*(N325-1),0)</f>
        <v/>
      </c>
      <c r="S325">
        <f>IFERROR(L325*MAX(N325,1)/R325*Q325*IF(ISBLANK(K307),1,K307),0)</f>
        <v/>
      </c>
      <c r="AB325" s="7" t="inlineStr">
        <is>
          <t>^MediumChemicalWeapon</t>
        </is>
      </c>
    </row>
    <row r="326">
      <c r="B326" s="7" t="inlineStr">
        <is>
          <t xml:space="preserve">  ↳ RA2MultiHoverMissile</t>
        </is>
      </c>
      <c r="C326" s="7" t="inlineStr">
        <is>
          <t>Armament@missile</t>
        </is>
      </c>
      <c r="L326" s="6" t="n">
        <v>2000</v>
      </c>
      <c r="M326" s="6" t="n">
        <v>20</v>
      </c>
      <c r="N326" s="6" t="n">
        <v>4</v>
      </c>
      <c r="O326" s="6" t="n">
        <v>4</v>
      </c>
      <c r="P326" s="6" t="n">
        <v>6170</v>
      </c>
      <c r="Q326" s="6" t="n">
        <v>0.9166666666666666</v>
      </c>
      <c r="R326">
        <f>M326+IF(N326&gt;1,N(O326)*(N326-1),0)</f>
        <v/>
      </c>
      <c r="S326">
        <f>IFERROR(L326*MAX(N326,1)/R326*Q326*IF(ISBLANK(K307),1,K307),0)</f>
        <v/>
      </c>
      <c r="AB326" s="7" t="inlineStr">
        <is>
          <t>^MediumCannon, ^MediumChemicalWeapon, ^ArrowWeapon, ^RA2LightMissile</t>
        </is>
      </c>
    </row>
    <row r="327">
      <c r="B327" s="7" t="inlineStr">
        <is>
          <t xml:space="preserve">  ↳ IFVChronoBeam</t>
        </is>
      </c>
      <c r="C327" s="7" t="inlineStr">
        <is>
          <t>Armament@chrono</t>
        </is>
      </c>
      <c r="L327" s="6" t="n"/>
      <c r="M327" s="6" t="n">
        <v>1</v>
      </c>
      <c r="N327" s="6" t="n">
        <v>1</v>
      </c>
      <c r="O327" s="6" t="n"/>
      <c r="P327" s="6" t="n">
        <v>7500</v>
      </c>
      <c r="Q327" s="6" t="n">
        <v>1</v>
      </c>
      <c r="R327">
        <f>M327+IF(N327&gt;1,N(O327)*(N327-1),0)</f>
        <v/>
      </c>
      <c r="S327">
        <f>IFERROR(L327*MAX(N327,1)/R327*Q327*IF(ISBLANK(K307),1,K307),0)</f>
        <v/>
      </c>
      <c r="AB327" s="7" t="inlineStr">
        <is>
          <t>ChronoBeam</t>
        </is>
      </c>
    </row>
    <row r="328">
      <c r="B328" s="7" t="inlineStr">
        <is>
          <t xml:space="preserve">  ↳ IFVChronoSound</t>
        </is>
      </c>
      <c r="C328" s="7" t="inlineStr">
        <is>
          <t>Armament@chronosound</t>
        </is>
      </c>
      <c r="L328" s="6" t="n"/>
      <c r="M328" s="6" t="n">
        <v>180</v>
      </c>
      <c r="N328" s="6" t="n">
        <v>1</v>
      </c>
      <c r="O328" s="6" t="n"/>
      <c r="P328" s="6" t="n">
        <v>8000</v>
      </c>
      <c r="Q328" s="6" t="n">
        <v>1</v>
      </c>
      <c r="R328">
        <f>M328+IF(N328&gt;1,N(O328)*(N328-1),0)</f>
        <v/>
      </c>
      <c r="S328">
        <f>IFERROR(L328*MAX(N328,1)/R328*Q328*IF(ISBLANK(K307),1,K307),0)</f>
        <v/>
      </c>
      <c r="AB328" s="7" t="inlineStr">
        <is>
          <t>RA2ChronoTele</t>
        </is>
      </c>
    </row>
    <row r="329">
      <c r="B329" s="7" t="inlineStr">
        <is>
          <t xml:space="preserve">  ↳ DemoTruckTargeting</t>
        </is>
      </c>
      <c r="C329" s="7" t="inlineStr">
        <is>
          <t>Armament@ivan</t>
        </is>
      </c>
      <c r="L329" s="6" t="n"/>
      <c r="M329" s="6" t="n"/>
      <c r="N329" s="6" t="n">
        <v>1</v>
      </c>
      <c r="O329" s="6" t="n"/>
      <c r="P329" s="6" t="n">
        <v>2000</v>
      </c>
      <c r="Q329" s="6" t="n">
        <v>1</v>
      </c>
      <c r="R329">
        <f>M329+IF(N329&gt;1,N(O329)*(N329-1),0)</f>
        <v/>
      </c>
      <c r="S329">
        <f>IFERROR(L329*MAX(N329,1)/R329*Q329*IF(ISBLANK(K307),1,K307),0)</f>
        <v/>
      </c>
      <c r="AB329" s="7" t="inlineStr"/>
    </row>
    <row r="330">
      <c r="B330" s="7" t="inlineStr">
        <is>
          <t xml:space="preserve">  ↳ Fremen_L</t>
        </is>
      </c>
      <c r="C330" s="7" t="inlineStr">
        <is>
          <t>Armament@fremen</t>
        </is>
      </c>
      <c r="L330" s="6" t="n">
        <v>3000</v>
      </c>
      <c r="M330" s="6" t="n">
        <v>25</v>
      </c>
      <c r="N330" s="6" t="n">
        <v>1</v>
      </c>
      <c r="O330" s="6" t="n"/>
      <c r="P330" s="6" t="n">
        <v>2560</v>
      </c>
      <c r="Q330" s="6" t="n">
        <v>1</v>
      </c>
      <c r="R330">
        <f>M330+IF(N330&gt;1,N(O330)*(N330-1),0)</f>
        <v/>
      </c>
      <c r="S330">
        <f>IFERROR(L330*MAX(N330,1)/R330*Q330*IF(ISBLANK(K307),1,K307),0)</f>
        <v/>
      </c>
      <c r="AB330" s="7" t="inlineStr">
        <is>
          <t>^MG</t>
        </is>
      </c>
    </row>
    <row r="331">
      <c r="B331" s="7" t="inlineStr">
        <is>
          <t xml:space="preserve">  ↳ TSSonicZap</t>
        </is>
      </c>
      <c r="C331" s="7" t="inlineStr">
        <is>
          <t>Armament@sonic</t>
        </is>
      </c>
      <c r="L331" s="6" t="n">
        <v>4000</v>
      </c>
      <c r="M331" s="6" t="n">
        <v>60</v>
      </c>
      <c r="N331" s="6" t="n">
        <v>1</v>
      </c>
      <c r="O331" s="6" t="n"/>
      <c r="P331" s="6" t="n">
        <v>6144</v>
      </c>
      <c r="Q331" s="6" t="n">
        <v>1</v>
      </c>
      <c r="R331">
        <f>M331+IF(N331&gt;1,N(O331)*(N331-1),0)</f>
        <v/>
      </c>
      <c r="S331">
        <f>IFERROR(L331*MAX(N331,1)/R331*Q331*IF(ISBLANK(K307),1,K307),0)</f>
        <v/>
      </c>
      <c r="AB331" s="7" t="inlineStr"/>
    </row>
    <row r="332">
      <c r="B332" s="7" t="inlineStr">
        <is>
          <t xml:space="preserve">  ↳ MedicHeal</t>
        </is>
      </c>
      <c r="C332" s="7" t="inlineStr">
        <is>
          <t>Armament@heal</t>
        </is>
      </c>
      <c r="L332" s="6" t="n">
        <v>-1</v>
      </c>
      <c r="M332" s="6" t="n">
        <v>10</v>
      </c>
      <c r="N332" s="6" t="n">
        <v>1</v>
      </c>
      <c r="O332" s="6" t="n"/>
      <c r="P332" s="6" t="n">
        <v>6000</v>
      </c>
      <c r="Q332" s="6" t="n">
        <v>1</v>
      </c>
      <c r="R332">
        <f>M332+IF(N332&gt;1,N(O332)*(N332-1),0)</f>
        <v/>
      </c>
      <c r="S332">
        <f>IFERROR(L332*MAX(N332,1)/R332*Q332*IF(ISBLANK(K307),1,K307),0)</f>
        <v/>
      </c>
      <c r="AB332" s="7" t="inlineStr">
        <is>
          <t>^HealingWeapon</t>
        </is>
      </c>
    </row>
    <row r="333">
      <c r="B333" s="7" t="inlineStr">
        <is>
          <t xml:space="preserve">  ↳ RA2HoverMissile</t>
        </is>
      </c>
      <c r="C333" s="7" t="inlineStr">
        <is>
          <t>Armament@primary</t>
        </is>
      </c>
      <c r="L333" s="6" t="n">
        <v>6000</v>
      </c>
      <c r="M333" s="6" t="n">
        <v>28</v>
      </c>
      <c r="N333" s="6" t="n">
        <v>2</v>
      </c>
      <c r="O333" s="6" t="n">
        <v>4</v>
      </c>
      <c r="P333" s="6" t="n">
        <v>5760</v>
      </c>
      <c r="Q333" s="6" t="n">
        <v>0.75</v>
      </c>
      <c r="R333">
        <f>M333+IF(N333&gt;1,N(O333)*(N333-1),0)</f>
        <v/>
      </c>
      <c r="S333">
        <f>IFERROR(L333*MAX(N333,1)/R333*Q333*IF(ISBLANK(K307),1,K307),0)</f>
        <v/>
      </c>
      <c r="AB333" s="7" t="inlineStr">
        <is>
          <t>^ArrowWeapon, ^RA2LightMissile</t>
        </is>
      </c>
    </row>
    <row r="334">
      <c r="B334" s="7" t="inlineStr">
        <is>
          <t xml:space="preserve">  ↳ RA2HoverMissile_elite</t>
        </is>
      </c>
      <c r="C334" s="7" t="inlineStr">
        <is>
          <t>Armament@primaryelite</t>
        </is>
      </c>
      <c r="L334" s="6" t="n">
        <v>6000</v>
      </c>
      <c r="M334" s="6" t="n">
        <v>28</v>
      </c>
      <c r="N334" s="6" t="n">
        <v>4</v>
      </c>
      <c r="O334" s="6" t="n">
        <v>4</v>
      </c>
      <c r="P334" s="6" t="n">
        <v>6760</v>
      </c>
      <c r="Q334" s="6" t="n">
        <v>0.75</v>
      </c>
      <c r="R334">
        <f>M334+IF(N334&gt;1,N(O334)*(N334-1),0)</f>
        <v/>
      </c>
      <c r="S334">
        <f>IFERROR(L334*MAX(N334,1)/R334*Q334*IF(ISBLANK(K307),1,K307),0)</f>
        <v/>
      </c>
      <c r="AB334" s="7" t="inlineStr">
        <is>
          <t>^ArrowWeapon, ^RA2LightMissile</t>
        </is>
      </c>
    </row>
    <row r="335">
      <c r="B335" s="7" t="inlineStr">
        <is>
          <t xml:space="preserve">  ↳ RA2HoverMissileAA</t>
        </is>
      </c>
      <c r="C335" s="7" t="inlineStr">
        <is>
          <t>Armament@primaryAA</t>
        </is>
      </c>
      <c r="L335" s="6" t="n">
        <v>6000</v>
      </c>
      <c r="M335" s="6" t="n">
        <v>28</v>
      </c>
      <c r="N335" s="6" t="n">
        <v>2</v>
      </c>
      <c r="O335" s="6" t="n">
        <v>4</v>
      </c>
      <c r="P335" s="6" t="n">
        <v>8640</v>
      </c>
      <c r="Q335" s="6" t="n">
        <v>0.75</v>
      </c>
      <c r="R335">
        <f>M335+IF(N335&gt;1,N(O335)*(N335-1),0)</f>
        <v/>
      </c>
      <c r="S335">
        <f>IFERROR(L335*MAX(N335,1)/R335*Q335*IF(ISBLANK(K307),1,K307),0)</f>
        <v/>
      </c>
      <c r="AB335" s="7" t="inlineStr">
        <is>
          <t>^ArrowWeapon, ^RA2LightMissile</t>
        </is>
      </c>
    </row>
    <row r="336">
      <c r="B336" s="7" t="inlineStr">
        <is>
          <t xml:space="preserve">  ↳ RA2HoverMissileAA_elite</t>
        </is>
      </c>
      <c r="C336" s="7" t="inlineStr">
        <is>
          <t>Armament@primaryeliteAA</t>
        </is>
      </c>
      <c r="L336" s="6" t="n">
        <v>6000</v>
      </c>
      <c r="M336" s="6" t="n">
        <v>28</v>
      </c>
      <c r="N336" s="6" t="n">
        <v>4</v>
      </c>
      <c r="O336" s="6" t="n">
        <v>4</v>
      </c>
      <c r="P336" s="6" t="n">
        <v>9640</v>
      </c>
      <c r="Q336" s="6" t="n">
        <v>0.75</v>
      </c>
      <c r="R336">
        <f>M336+IF(N336&gt;1,N(O336)*(N336-1),0)</f>
        <v/>
      </c>
      <c r="S336">
        <f>IFERROR(L336*MAX(N336,1)/R336*Q336*IF(ISBLANK(K307),1,K307),0)</f>
        <v/>
      </c>
      <c r="AB336" s="7" t="inlineStr">
        <is>
          <t>^ArrowWeapon, ^RA2LightMissile</t>
        </is>
      </c>
    </row>
    <row r="337">
      <c r="B337" s="7" t="inlineStr">
        <is>
          <t xml:space="preserve">  ↳ RA2ThunderboltMissile</t>
        </is>
      </c>
      <c r="C337" s="7" t="inlineStr">
        <is>
          <t>Armament@primaryThunderbolt</t>
        </is>
      </c>
      <c r="L337" s="6" t="n">
        <v>2000</v>
      </c>
      <c r="M337" s="6" t="n">
        <v>28</v>
      </c>
      <c r="N337" s="6" t="n">
        <v>2</v>
      </c>
      <c r="O337" s="6" t="n">
        <v>4</v>
      </c>
      <c r="P337" s="6" t="n">
        <v>5760</v>
      </c>
      <c r="Q337" s="6" t="n">
        <v>1.05</v>
      </c>
      <c r="R337">
        <f>M337+IF(N337&gt;1,N(O337)*(N337-1),0)</f>
        <v/>
      </c>
      <c r="S337">
        <f>IFERROR(L337*MAX(N337,1)/R337*Q337*IF(ISBLANK(K307),1,K307),0)</f>
        <v/>
      </c>
      <c r="AB337" s="7" t="inlineStr">
        <is>
          <t>^HeavyMissile, ^HeavyAAWeapon, ^MediumMissile, ^FlakWeapon, ^ArrowWeapon, ^RA2LightMissile</t>
        </is>
      </c>
    </row>
    <row r="338">
      <c r="B338" s="7" t="inlineStr">
        <is>
          <t xml:space="preserve">  ↳ RA2ThunderboltMissile_elite</t>
        </is>
      </c>
      <c r="C338" s="7" t="inlineStr">
        <is>
          <t>Armament@primaryeliteThunderbolt</t>
        </is>
      </c>
      <c r="L338" s="6" t="n">
        <v>2000</v>
      </c>
      <c r="M338" s="6" t="n">
        <v>28</v>
      </c>
      <c r="N338" s="6" t="n">
        <v>4</v>
      </c>
      <c r="O338" s="6" t="n">
        <v>4</v>
      </c>
      <c r="P338" s="6" t="n">
        <v>6760</v>
      </c>
      <c r="Q338" s="6" t="n">
        <v>1.05</v>
      </c>
      <c r="R338">
        <f>M338+IF(N338&gt;1,N(O338)*(N338-1),0)</f>
        <v/>
      </c>
      <c r="S338">
        <f>IFERROR(L338*MAX(N338,1)/R338*Q338*IF(ISBLANK(K307),1,K307),0)</f>
        <v/>
      </c>
      <c r="AB338" s="7" t="inlineStr">
        <is>
          <t>^HeavyMissile, ^HeavyAAWeapon, ^MediumMissile, ^FlakWeapon, ^ArrowWeapon, ^RA2LightMissile</t>
        </is>
      </c>
    </row>
    <row r="339">
      <c r="B339" s="7" t="inlineStr">
        <is>
          <t xml:space="preserve">  ↳ RA2ThunderboltMissileAA</t>
        </is>
      </c>
      <c r="C339" s="7" t="inlineStr">
        <is>
          <t>Armament@primaryAAThunderbolt</t>
        </is>
      </c>
      <c r="L339" s="6" t="n">
        <v>2000</v>
      </c>
      <c r="M339" s="6" t="n">
        <v>28</v>
      </c>
      <c r="N339" s="6" t="n">
        <v>2</v>
      </c>
      <c r="O339" s="6" t="n">
        <v>4</v>
      </c>
      <c r="P339" s="6" t="n">
        <v>8640</v>
      </c>
      <c r="Q339" s="6" t="n">
        <v>1.05</v>
      </c>
      <c r="R339">
        <f>M339+IF(N339&gt;1,N(O339)*(N339-1),0)</f>
        <v/>
      </c>
      <c r="S339">
        <f>IFERROR(L339*MAX(N339,1)/R339*Q339*IF(ISBLANK(K307),1,K307),0)</f>
        <v/>
      </c>
      <c r="AB339" s="7" t="inlineStr">
        <is>
          <t>^HeavyMissile, ^HeavyAAWeapon, ^MediumMissile, ^FlakWeapon, ^ArrowWeapon, ^RA2LightMissile</t>
        </is>
      </c>
    </row>
    <row r="340">
      <c r="B340" s="7" t="inlineStr">
        <is>
          <t xml:space="preserve">  ↳ RA2ThunderboltMissileAA_elite</t>
        </is>
      </c>
      <c r="C340" s="7" t="inlineStr">
        <is>
          <t>Armament@primaryeliteAAThunderbolt</t>
        </is>
      </c>
      <c r="L340" s="6" t="n">
        <v>2000</v>
      </c>
      <c r="M340" s="6" t="n">
        <v>28</v>
      </c>
      <c r="N340" s="6" t="n">
        <v>4</v>
      </c>
      <c r="O340" s="6" t="n">
        <v>4</v>
      </c>
      <c r="P340" s="6" t="n">
        <v>9640</v>
      </c>
      <c r="Q340" s="6" t="n">
        <v>1.05</v>
      </c>
      <c r="R340">
        <f>M340+IF(N340&gt;1,N(O340)*(N340-1),0)</f>
        <v/>
      </c>
      <c r="S340">
        <f>IFERROR(L340*MAX(N340,1)/R340*Q340*IF(ISBLANK(K307),1,K307),0)</f>
        <v/>
      </c>
      <c r="AB340" s="7" t="inlineStr">
        <is>
          <t>^HeavyMissile, ^HeavyAAWeapon, ^MediumMissile, ^FlakWeapon, ^ArrowWeapon, ^RA2LightMissile</t>
        </is>
      </c>
    </row>
    <row r="341">
      <c r="B341" s="7" t="inlineStr">
        <is>
          <t xml:space="preserve">  ↳ RA2MultiHoverMissile_elite</t>
        </is>
      </c>
      <c r="C341" s="7" t="inlineStr">
        <is>
          <t>Armament@missileelite</t>
        </is>
      </c>
      <c r="L341" s="6" t="n">
        <v>4000</v>
      </c>
      <c r="M341" s="6" t="n">
        <v>20</v>
      </c>
      <c r="N341" s="6" t="n">
        <v>4</v>
      </c>
      <c r="O341" s="6" t="n">
        <v>4</v>
      </c>
      <c r="P341" s="6" t="n">
        <v>7170</v>
      </c>
      <c r="Q341" s="6" t="n">
        <v>0.9166666666666666</v>
      </c>
      <c r="R341">
        <f>M341+IF(N341&gt;1,N(O341)*(N341-1),0)</f>
        <v/>
      </c>
      <c r="S341">
        <f>IFERROR(L341*MAX(N341,1)/R341*Q341*IF(ISBLANK(K307),1,K307),0)</f>
        <v/>
      </c>
      <c r="AB341" s="7" t="inlineStr">
        <is>
          <t>^MediumCannon, ^MediumChemicalWeapon, ^ArrowWeapon, ^RA2LightMissile</t>
        </is>
      </c>
    </row>
    <row r="342">
      <c r="B342" s="7" t="inlineStr">
        <is>
          <t xml:space="preserve">  ↳ RA2MultiHoverMissileAA</t>
        </is>
      </c>
      <c r="C342" s="7" t="inlineStr">
        <is>
          <t>Armament@missileAA</t>
        </is>
      </c>
      <c r="L342" s="6" t="n">
        <v>2000</v>
      </c>
      <c r="M342" s="6" t="n">
        <v>20</v>
      </c>
      <c r="N342" s="6" t="n">
        <v>4</v>
      </c>
      <c r="O342" s="6" t="n">
        <v>4</v>
      </c>
      <c r="P342" s="6" t="n">
        <v>9255</v>
      </c>
      <c r="Q342" s="6" t="n">
        <v>0.9166666666666666</v>
      </c>
      <c r="R342">
        <f>M342+IF(N342&gt;1,N(O342)*(N342-1),0)</f>
        <v/>
      </c>
      <c r="S342">
        <f>IFERROR(L342*MAX(N342,1)/R342*Q342*IF(ISBLANK(K307),1,K307),0)</f>
        <v/>
      </c>
      <c r="AB342" s="7" t="inlineStr">
        <is>
          <t>^MediumCannon, ^MediumChemicalWeapon, ^ArrowWeapon, ^RA2LightMissile</t>
        </is>
      </c>
    </row>
    <row r="343">
      <c r="B343" s="7" t="inlineStr">
        <is>
          <t xml:space="preserve">  ↳ RA2MultiHoverMissileAA_elite</t>
        </is>
      </c>
      <c r="C343" s="7" t="inlineStr">
        <is>
          <t>Armament@missileeliteAA</t>
        </is>
      </c>
      <c r="L343" s="6" t="n">
        <v>4000</v>
      </c>
      <c r="M343" s="6" t="n">
        <v>20</v>
      </c>
      <c r="N343" s="6" t="n">
        <v>4</v>
      </c>
      <c r="O343" s="6" t="n">
        <v>4</v>
      </c>
      <c r="P343" s="6" t="n">
        <v>10255</v>
      </c>
      <c r="Q343" s="6" t="n">
        <v>0.9166666666666666</v>
      </c>
      <c r="R343">
        <f>M343+IF(N343&gt;1,N(O343)*(N343-1),0)</f>
        <v/>
      </c>
      <c r="S343">
        <f>IFERROR(L343*MAX(N343,1)/R343*Q343*IF(ISBLANK(K307),1,K307),0)</f>
        <v/>
      </c>
      <c r="AB343" s="7" t="inlineStr">
        <is>
          <t>^MediumCannon, ^MediumChemicalWeapon, ^ArrowWeapon, ^RA2LightMissile</t>
        </is>
      </c>
    </row>
    <row r="344">
      <c r="B344" s="7" t="inlineStr">
        <is>
          <t xml:space="preserve">  ↳ RA2MultiThunderboltMissile</t>
        </is>
      </c>
      <c r="C344" s="7" t="inlineStr">
        <is>
          <t>Armament@missileThunderbolt</t>
        </is>
      </c>
      <c r="L344" s="6" t="n">
        <v>2000</v>
      </c>
      <c r="M344" s="6" t="n">
        <v>20</v>
      </c>
      <c r="N344" s="6" t="n">
        <v>4</v>
      </c>
      <c r="O344" s="6" t="n">
        <v>4</v>
      </c>
      <c r="P344" s="6" t="n">
        <v>6170</v>
      </c>
      <c r="Q344" s="6" t="n">
        <v>1.035714285714286</v>
      </c>
      <c r="R344">
        <f>M344+IF(N344&gt;1,N(O344)*(N344-1),0)</f>
        <v/>
      </c>
      <c r="S344">
        <f>IFERROR(L344*MAX(N344,1)/R344*Q344*IF(ISBLANK(K307),1,K307),0)</f>
        <v/>
      </c>
      <c r="AB344" s="7" t="inlineStr">
        <is>
          <t>^HeavyMissile, ^HeavyAAWeapon, ^MediumMissile, ^FlakWeapon, ^MediumCannon, ^MediumChemicalWeapon, ^ArrowWeapon, ^RA2LightMissile</t>
        </is>
      </c>
    </row>
    <row r="345">
      <c r="B345" s="7" t="inlineStr">
        <is>
          <t xml:space="preserve">  ↳ RA2MultiThunderboltMissile_elite</t>
        </is>
      </c>
      <c r="C345" s="7" t="inlineStr">
        <is>
          <t>Armament@missileeliteThunderbolt</t>
        </is>
      </c>
      <c r="L345" s="6" t="n">
        <v>4000</v>
      </c>
      <c r="M345" s="6" t="n">
        <v>20</v>
      </c>
      <c r="N345" s="6" t="n">
        <v>4</v>
      </c>
      <c r="O345" s="6" t="n">
        <v>4</v>
      </c>
      <c r="P345" s="6" t="n">
        <v>7170</v>
      </c>
      <c r="Q345" s="6" t="n">
        <v>1.035714285714286</v>
      </c>
      <c r="R345">
        <f>M345+IF(N345&gt;1,N(O345)*(N345-1),0)</f>
        <v/>
      </c>
      <c r="S345">
        <f>IFERROR(L345*MAX(N345,1)/R345*Q345*IF(ISBLANK(K307),1,K307),0)</f>
        <v/>
      </c>
      <c r="AB345" s="7" t="inlineStr">
        <is>
          <t>^HeavyMissile, ^HeavyAAWeapon, ^MediumMissile, ^FlakWeapon, ^MediumCannon, ^MediumChemicalWeapon, ^ArrowWeapon, ^RA2LightMissile</t>
        </is>
      </c>
    </row>
    <row r="346">
      <c r="B346" s="7" t="inlineStr">
        <is>
          <t xml:space="preserve">  ↳ RA2MultiThunderboltMissileAA</t>
        </is>
      </c>
      <c r="C346" s="7" t="inlineStr">
        <is>
          <t>Armament@missileAAThunderbolt</t>
        </is>
      </c>
      <c r="L346" s="6" t="n">
        <v>2000</v>
      </c>
      <c r="M346" s="6" t="n">
        <v>20</v>
      </c>
      <c r="N346" s="6" t="n">
        <v>4</v>
      </c>
      <c r="O346" s="6" t="n">
        <v>4</v>
      </c>
      <c r="P346" s="6" t="n">
        <v>9255</v>
      </c>
      <c r="Q346" s="6" t="n">
        <v>1.035714285714286</v>
      </c>
      <c r="R346">
        <f>M346+IF(N346&gt;1,N(O346)*(N346-1),0)</f>
        <v/>
      </c>
      <c r="S346">
        <f>IFERROR(L346*MAX(N346,1)/R346*Q346*IF(ISBLANK(K307),1,K307),0)</f>
        <v/>
      </c>
      <c r="AB346" s="7" t="inlineStr">
        <is>
          <t>^HeavyMissile, ^HeavyAAWeapon, ^MediumMissile, ^FlakWeapon, ^MediumCannon, ^MediumChemicalWeapon, ^ArrowWeapon, ^RA2LightMissile</t>
        </is>
      </c>
    </row>
    <row r="347">
      <c r="B347" s="7" t="inlineStr">
        <is>
          <t xml:space="preserve">  ↳ RA2MultiThunderboltMissileAA_elite</t>
        </is>
      </c>
      <c r="C347" s="7" t="inlineStr">
        <is>
          <t>Armament@missileeliteAAThunderbolt</t>
        </is>
      </c>
      <c r="L347" s="6" t="n">
        <v>4000</v>
      </c>
      <c r="M347" s="6" t="n">
        <v>20</v>
      </c>
      <c r="N347" s="6" t="n">
        <v>4</v>
      </c>
      <c r="O347" s="6" t="n">
        <v>4</v>
      </c>
      <c r="P347" s="6" t="n">
        <v>10255</v>
      </c>
      <c r="Q347" s="6" t="n">
        <v>1.035714285714286</v>
      </c>
      <c r="R347">
        <f>M347+IF(N347&gt;1,N(O347)*(N347-1),0)</f>
        <v/>
      </c>
      <c r="S347">
        <f>IFERROR(L347*MAX(N347,1)/R347*Q347*IF(ISBLANK(K307),1,K307),0)</f>
        <v/>
      </c>
      <c r="AB347" s="7" t="inlineStr">
        <is>
          <t>^HeavyMissile, ^HeavyAAWeapon, ^MediumMissile, ^FlakWeapon, ^MediumCannon, ^MediumChemicalWeapon, ^ArrowWeapon, ^RA2LightMissile</t>
        </is>
      </c>
    </row>
    <row r="348">
      <c r="B348" s="7" t="inlineStr">
        <is>
          <t xml:space="preserve">  ↳ MedicHeal</t>
        </is>
      </c>
      <c r="C348" s="7" t="inlineStr">
        <is>
          <t>Armament@healer</t>
        </is>
      </c>
      <c r="L348" s="6" t="n">
        <v>-1</v>
      </c>
      <c r="M348" s="6" t="n">
        <v>10</v>
      </c>
      <c r="N348" s="6" t="n">
        <v>1</v>
      </c>
      <c r="O348" s="6" t="n"/>
      <c r="P348" s="6" t="n">
        <v>6000</v>
      </c>
      <c r="Q348" s="6" t="n">
        <v>1</v>
      </c>
      <c r="R348">
        <f>M348+IF(N348&gt;1,N(O348)*(N348-1),0)</f>
        <v/>
      </c>
      <c r="S348">
        <f>IFERROR(L348*MAX(N348,1)/R348*Q348*IF(ISBLANK(K307),1,K307),0)</f>
        <v/>
      </c>
      <c r="AB348" s="7" t="inlineStr">
        <is>
          <t>^HealingWeapon</t>
        </is>
      </c>
    </row>
    <row r="349">
      <c r="B349" s="7" t="inlineStr">
        <is>
          <t xml:space="preserve">  ↳ RA2AWP</t>
        </is>
      </c>
      <c r="C349" s="7" t="inlineStr">
        <is>
          <t>Armament@ra1_allies_alliedsniper</t>
        </is>
      </c>
      <c r="L349" s="6" t="n">
        <v>44000</v>
      </c>
      <c r="M349" s="6" t="n">
        <v>54</v>
      </c>
      <c r="N349" s="6" t="n">
        <v>1</v>
      </c>
      <c r="O349" s="6" t="n"/>
      <c r="P349" s="6" t="n">
        <v>10000</v>
      </c>
      <c r="Q349" s="6" t="n">
        <v>0.75</v>
      </c>
      <c r="R349">
        <f>M349+IF(N349&gt;1,N(O349)*(N349-1),0)</f>
        <v/>
      </c>
      <c r="S349">
        <f>IFERROR(L349*MAX(N349,1)/R349*Q349*IF(ISBLANK(K307),1,K307),0)</f>
        <v/>
      </c>
      <c r="AB349" s="7" t="inlineStr">
        <is>
          <t>^SniperWeapon</t>
        </is>
      </c>
    </row>
    <row r="350">
      <c r="A350" t="inlineStr">
        <is>
          <t>redalert2</t>
        </is>
      </c>
      <c r="B350" t="inlineStr">
        <is>
          <t>ra2_allies_ifv_repair</t>
        </is>
      </c>
      <c r="C350" t="inlineStr">
        <is>
          <t>actor_fv.name</t>
        </is>
      </c>
      <c r="D350" s="6" t="inlineStr">
        <is>
          <t>ScoutVehicle</t>
        </is>
      </c>
      <c r="E350" s="6" t="n">
        <v>25000</v>
      </c>
      <c r="F350" s="6" t="n">
        <v>150</v>
      </c>
      <c r="G350" t="inlineStr">
        <is>
          <t>Scout</t>
        </is>
      </c>
      <c r="H350" s="6" t="n">
        <v>1</v>
      </c>
      <c r="I350" s="6" t="n">
        <v>1</v>
      </c>
      <c r="J350" s="6" t="n">
        <v>1</v>
      </c>
      <c r="K350" s="6" t="n"/>
      <c r="P350">
        <f>MAX(P351,P352,P353,P354,P355,P356,P357,P358,P359,P360,P361,P362,P363,P364,P365,P366,P367,P368,P369,P370,P371,P372,P373,P374,P375,P376,P377,P378,P379,P380,P381,P382,P383,P384,P385,P386,P387,P388,P389,P390,P391,P392)</f>
        <v/>
      </c>
      <c r="S350">
        <f>S351+S352+S353+S354+S355+S356+S357+S358+S359+S360+S361+S362+S363+S364+S365+S366+S367+S368+S369+S370+S371+S372+S373+S374+S375+S376+S377+S378+S379+S380+S381+S382+S383+S384+S385+S386+S387+S388+S389+S390+S391+S392</f>
        <v/>
      </c>
      <c r="T350">
        <f>(E350/100000+F350/100+(P350/1000)*J350/5+S350/200)*200*I350*H350</f>
        <v/>
      </c>
      <c r="U350">
        <f>((E350*F350/25000)+((P350/1000)*J350*S350/2.5))*I350*H350</f>
        <v/>
      </c>
      <c r="V350">
        <f>(E350*F350*(P350/1000)*J350*S350*I350*H350)/12500000</f>
        <v/>
      </c>
      <c r="W350">
        <f>(T350+U350+V350)/3</f>
        <v/>
      </c>
      <c r="X350" s="6" t="n">
        <v>500</v>
      </c>
      <c r="Y350">
        <f>IFERROR(W350-X350,"")</f>
        <v/>
      </c>
      <c r="Z350">
        <f>IFERROR(ABS(Y350)/MAX(X350,1),"")</f>
        <v/>
      </c>
      <c r="AA350">
        <f>IFERROR((X350-(((E350/100000+F350/100+S350/200)*200*I350*H350)+((E350*F350/25000)*I350*H350))/3)/(((J350/5)*200*I350*H350)+((J350*S350/2.5)*I350*H350)+((E350*F350*J350*S350*I350*H350)/12500000))/3*1000,"")</f>
        <v/>
      </c>
    </row>
    <row r="351">
      <c r="B351" s="7" t="inlineStr">
        <is>
          <t xml:space="preserve">  ↳ RA2CRM60</t>
        </is>
      </c>
      <c r="C351" s="7" t="inlineStr">
        <is>
          <t>Armament@mg</t>
        </is>
      </c>
      <c r="L351" s="6" t="n">
        <v>2000</v>
      </c>
      <c r="M351" s="6" t="n">
        <v>14</v>
      </c>
      <c r="N351" s="6" t="n">
        <v>4</v>
      </c>
      <c r="O351" s="6" t="n">
        <v>2</v>
      </c>
      <c r="P351" s="6" t="n">
        <v>5660</v>
      </c>
      <c r="Q351" s="6" t="n">
        <v>0.875</v>
      </c>
      <c r="R351">
        <f>M351+IF(N351&gt;1,N(O351)*(N351-1),0)</f>
        <v/>
      </c>
      <c r="S351">
        <f>IFERROR(L351*MAX(N351,1)/R351*Q351*IF(ISBLANK(K350),1,K350),0)</f>
        <v/>
      </c>
      <c r="AB351" s="7" t="inlineStr">
        <is>
          <t>^RA2SmallArms, ^RA2Chaingun</t>
        </is>
      </c>
    </row>
    <row r="352">
      <c r="B352" s="7" t="inlineStr">
        <is>
          <t xml:space="preserve">  ↳ RA2CRM60H</t>
        </is>
      </c>
      <c r="C352" s="7" t="inlineStr">
        <is>
          <t>Armament@hmg</t>
        </is>
      </c>
      <c r="L352" s="6" t="n">
        <v>2000</v>
      </c>
      <c r="M352" s="6" t="n">
        <v>10</v>
      </c>
      <c r="N352" s="6" t="n">
        <v>6</v>
      </c>
      <c r="O352" s="6" t="n">
        <v>2</v>
      </c>
      <c r="P352" s="6" t="n">
        <v>4692</v>
      </c>
      <c r="Q352" s="6" t="n">
        <v>1</v>
      </c>
      <c r="R352">
        <f>M352+IF(N352&gt;1,N(O352)*(N352-1),0)</f>
        <v/>
      </c>
      <c r="S352">
        <f>IFERROR(L352*MAX(N352,1)/R352*Q352*IF(ISBLANK(K350),1,K350),0)</f>
        <v/>
      </c>
      <c r="AB352" s="7" t="inlineStr">
        <is>
          <t>^HeavyCannon, ^RA2Chaingun, ^SniperWeapon</t>
        </is>
      </c>
    </row>
    <row r="353">
      <c r="B353" s="7" t="inlineStr">
        <is>
          <t xml:space="preserve">  ↳ wc_tower_fire</t>
        </is>
      </c>
      <c r="C353" s="7" t="inlineStr">
        <is>
          <t>Armament@archer</t>
        </is>
      </c>
      <c r="L353" s="6" t="n">
        <v>2500</v>
      </c>
      <c r="M353" s="6" t="n">
        <v>40</v>
      </c>
      <c r="N353" s="6" t="n">
        <v>1</v>
      </c>
      <c r="O353" s="6" t="n"/>
      <c r="P353" s="6" t="n">
        <v>8704</v>
      </c>
      <c r="Q353" s="6" t="n">
        <v>1</v>
      </c>
      <c r="R353">
        <f>M353+IF(N353&gt;1,N(O353)*(N353-1),0)</f>
        <v/>
      </c>
      <c r="S353">
        <f>IFERROR(L353*MAX(N353,1)/R353*Q353*IF(ISBLANK(K350),1,K350),0)</f>
        <v/>
      </c>
      <c r="AB353" s="7" t="inlineStr">
        <is>
          <t>bowFire</t>
        </is>
      </c>
    </row>
    <row r="354">
      <c r="B354" s="7" t="inlineStr">
        <is>
          <t xml:space="preserve">  ↳ RA2IFVRepair</t>
        </is>
      </c>
      <c r="C354" s="7" t="inlineStr">
        <is>
          <t>Armament@repair</t>
        </is>
      </c>
      <c r="L354" s="6" t="n">
        <v>-1</v>
      </c>
      <c r="M354" s="6" t="n">
        <v>50</v>
      </c>
      <c r="N354" s="6" t="n">
        <v>10</v>
      </c>
      <c r="O354" s="6" t="n">
        <v>1</v>
      </c>
      <c r="P354" s="6" t="n">
        <v>5000</v>
      </c>
      <c r="Q354" s="6" t="n">
        <v>1.5</v>
      </c>
      <c r="R354">
        <f>M354+IF(N354&gt;1,N(O354)*(N354-1),0)</f>
        <v/>
      </c>
      <c r="S354">
        <f>IFERROR(L354*MAX(N354,1)/R354*Q354*IF(ISBLANK(K350),1,K350),0)</f>
        <v/>
      </c>
      <c r="AB354" s="7" t="inlineStr">
        <is>
          <t>^RepairWeapon</t>
        </is>
      </c>
    </row>
    <row r="355">
      <c r="B355" s="7" t="inlineStr">
        <is>
          <t xml:space="preserve">  ↳ LightSniper</t>
        </is>
      </c>
      <c r="C355" s="7" t="inlineStr">
        <is>
          <t>Armament@lightsniper</t>
        </is>
      </c>
      <c r="L355" s="6" t="n">
        <v>30000</v>
      </c>
      <c r="M355" s="6" t="n">
        <v>100</v>
      </c>
      <c r="N355" s="6" t="n">
        <v>1</v>
      </c>
      <c r="O355" s="6" t="n"/>
      <c r="P355" s="6" t="n">
        <v>9153</v>
      </c>
      <c r="Q355" s="6" t="n">
        <v>0.75</v>
      </c>
      <c r="R355">
        <f>M355+IF(N355&gt;1,N(O355)*(N355-1),0)</f>
        <v/>
      </c>
      <c r="S355">
        <f>IFERROR(L355*MAX(N355,1)/R355*Q355*IF(ISBLANK(K350),1,K350),0)</f>
        <v/>
      </c>
      <c r="AB355" s="7" t="inlineStr">
        <is>
          <t>^SniperWeapon</t>
        </is>
      </c>
    </row>
    <row r="356">
      <c r="B356" s="7" t="inlineStr">
        <is>
          <t xml:space="preserve">  ↳ RA2DoublePistolsIFV</t>
        </is>
      </c>
      <c r="C356" s="7" t="inlineStr">
        <is>
          <t>Armament@hero</t>
        </is>
      </c>
      <c r="L356" s="6" t="n">
        <v>14000</v>
      </c>
      <c r="M356" s="6" t="n">
        <v>12</v>
      </c>
      <c r="N356" s="6" t="n">
        <v>2</v>
      </c>
      <c r="O356" s="6" t="n">
        <v>3</v>
      </c>
      <c r="P356" s="6" t="n">
        <v>8000</v>
      </c>
      <c r="Q356" s="6" t="n">
        <v>0.75</v>
      </c>
      <c r="R356">
        <f>M356+IF(N356&gt;1,N(O356)*(N356-1),0)</f>
        <v/>
      </c>
      <c r="S356">
        <f>IFERROR(L356*MAX(N356,1)/R356*Q356*IF(ISBLANK(K350),1,K350),0)</f>
        <v/>
      </c>
      <c r="AB356" s="7" t="inlineStr">
        <is>
          <t>^SniperWeapon</t>
        </is>
      </c>
    </row>
    <row r="357">
      <c r="B357" s="7" t="inlineStr">
        <is>
          <t xml:space="preserve">  ↳ TTankZap</t>
        </is>
      </c>
      <c r="C357" s="7" t="inlineStr">
        <is>
          <t>Armament@tesla</t>
        </is>
      </c>
      <c r="L357" s="6" t="n">
        <v>40000</v>
      </c>
      <c r="M357" s="6" t="n">
        <v>80</v>
      </c>
      <c r="N357" s="6" t="n">
        <v>1</v>
      </c>
      <c r="O357" s="6" t="n"/>
      <c r="P357" s="6" t="n">
        <v>7300</v>
      </c>
      <c r="Q357" s="6" t="n">
        <v>1</v>
      </c>
      <c r="R357">
        <f>M357+IF(N357&gt;1,N(O357)*(N357-1),0)</f>
        <v/>
      </c>
      <c r="S357">
        <f>IFERROR(L357*MAX(N357,1)/R357*Q357*IF(ISBLANK(K350),1,K350),0)</f>
        <v/>
      </c>
      <c r="AB357" s="7" t="inlineStr">
        <is>
          <t>^TeslaWeapon</t>
        </is>
      </c>
    </row>
    <row r="358">
      <c r="B358" s="7" t="inlineStr">
        <is>
          <t xml:space="preserve">  ↳ DragunovSniper</t>
        </is>
      </c>
      <c r="C358" s="7" t="inlineStr">
        <is>
          <t>Armament@flak</t>
        </is>
      </c>
      <c r="L358" s="6" t="n">
        <v>8000</v>
      </c>
      <c r="M358" s="6" t="n">
        <v>85</v>
      </c>
      <c r="N358" s="6" t="n">
        <v>1</v>
      </c>
      <c r="O358" s="6" t="n"/>
      <c r="P358" s="6" t="n">
        <v>6880</v>
      </c>
      <c r="Q358" s="6" t="n">
        <v>1.0625</v>
      </c>
      <c r="R358">
        <f>M358+IF(N358&gt;1,N(O358)*(N358-1),0)</f>
        <v/>
      </c>
      <c r="S358">
        <f>IFERROR(L358*MAX(N358,1)/R358*Q358*IF(ISBLANK(K350),1,K350),0)</f>
        <v/>
      </c>
      <c r="AB358" s="7" t="inlineStr">
        <is>
          <t>^TankDestroyerCannon, ^RailgunWeapon, ^LightMissile, ^HeavyCannon, ^FlakWeapon</t>
        </is>
      </c>
    </row>
    <row r="359">
      <c r="B359" s="7" t="inlineStr">
        <is>
          <t xml:space="preserve">  ↳ RA2MirageGun</t>
        </is>
      </c>
      <c r="C359" s="7" t="inlineStr">
        <is>
          <t>Armament@cannon</t>
        </is>
      </c>
      <c r="L359" s="6" t="n">
        <v>8000</v>
      </c>
      <c r="M359" s="6" t="n">
        <v>39</v>
      </c>
      <c r="N359" s="6" t="n">
        <v>1</v>
      </c>
      <c r="O359" s="6" t="n"/>
      <c r="P359" s="6" t="n">
        <v>6031</v>
      </c>
      <c r="Q359" s="6" t="n">
        <v>1.125</v>
      </c>
      <c r="R359">
        <f>M359+IF(N359&gt;1,N(O359)*(N359-1),0)</f>
        <v/>
      </c>
      <c r="S359">
        <f>IFERROR(L359*MAX(N359,1)/R359*Q359*IF(ISBLANK(K350),1,K350),0)</f>
        <v/>
      </c>
      <c r="AB359" s="7" t="inlineStr">
        <is>
          <t>^RailgunWeapon, ^MediumChemicalWeapon, ^RA2TankDestroyerCannon</t>
        </is>
      </c>
    </row>
    <row r="360">
      <c r="B360" s="7" t="inlineStr">
        <is>
          <t xml:space="preserve">  ↳ Grenade</t>
        </is>
      </c>
      <c r="C360" s="7" t="inlineStr">
        <is>
          <t>Armament@grenade</t>
        </is>
      </c>
      <c r="L360" s="6" t="n">
        <v>16000</v>
      </c>
      <c r="M360" s="6" t="n">
        <v>42</v>
      </c>
      <c r="N360" s="6" t="n">
        <v>1</v>
      </c>
      <c r="O360" s="6" t="n"/>
      <c r="P360" s="6" t="n">
        <v>6097</v>
      </c>
      <c r="Q360" s="6" t="n">
        <v>1</v>
      </c>
      <c r="R360">
        <f>M360+IF(N360&gt;1,N(O360)*(N360-1),0)</f>
        <v/>
      </c>
      <c r="S360">
        <f>IFERROR(L360*MAX(N360,1)/R360*Q360*IF(ISBLANK(K350),1,K350),0)</f>
        <v/>
      </c>
      <c r="AB360" s="7" t="inlineStr">
        <is>
          <t>^Grenade</t>
        </is>
      </c>
    </row>
    <row r="361">
      <c r="B361" s="7" t="inlineStr">
        <is>
          <t xml:space="preserve">  ↳ DRPlasmaTankWeapon</t>
        </is>
      </c>
      <c r="C361" s="7" t="inlineStr">
        <is>
          <t>Armament@plasma</t>
        </is>
      </c>
      <c r="L361" s="6" t="n">
        <v>3750</v>
      </c>
      <c r="M361" s="6" t="n">
        <v>21</v>
      </c>
      <c r="N361" s="6" t="n">
        <v>1</v>
      </c>
      <c r="O361" s="6" t="n"/>
      <c r="P361" s="6" t="n">
        <v>5120</v>
      </c>
      <c r="Q361" s="6" t="n">
        <v>1</v>
      </c>
      <c r="R361">
        <f>M361+IF(N361&gt;1,N(O361)*(N361-1),0)</f>
        <v/>
      </c>
      <c r="S361">
        <f>IFERROR(L361*MAX(N361,1)/R361*Q361*IF(ISBLANK(K350),1,K350),0)</f>
        <v/>
      </c>
      <c r="AB361" s="7" t="inlineStr">
        <is>
          <t>^DRPlasmaWeapon</t>
        </is>
      </c>
    </row>
    <row r="362">
      <c r="B362" s="7" t="inlineStr">
        <is>
          <t xml:space="preserve">  ↳ SWLaserG</t>
        </is>
      </c>
      <c r="C362" s="7" t="inlineStr">
        <is>
          <t>Armament@litlaser</t>
        </is>
      </c>
      <c r="L362" s="6" t="n">
        <v>2000</v>
      </c>
      <c r="M362" s="6" t="n">
        <v>30</v>
      </c>
      <c r="N362" s="6" t="n">
        <v>6</v>
      </c>
      <c r="O362" s="6" t="n"/>
      <c r="P362" s="6" t="n">
        <v>6144</v>
      </c>
      <c r="Q362" s="6" t="n">
        <v>0.75</v>
      </c>
      <c r="R362">
        <f>M362+IF(N362&gt;1,N(O362)*(N362-1),0)</f>
        <v/>
      </c>
      <c r="S362">
        <f>IFERROR(L362*MAX(N362,1)/R362*Q362*IF(ISBLANK(K350),1,K350),0)</f>
        <v/>
      </c>
      <c r="AB362" s="7" t="inlineStr">
        <is>
          <t>^LightMG</t>
        </is>
      </c>
    </row>
    <row r="363">
      <c r="B363" s="7" t="inlineStr">
        <is>
          <t xml:space="preserve">  ↳ USALaserCannonAG</t>
        </is>
      </c>
      <c r="C363" s="7" t="inlineStr">
        <is>
          <t>Armament@medlaser</t>
        </is>
      </c>
      <c r="L363" s="6" t="n">
        <v>4000</v>
      </c>
      <c r="M363" s="6" t="n">
        <v>50</v>
      </c>
      <c r="N363" s="6" t="n">
        <v>3</v>
      </c>
      <c r="O363" s="6" t="n">
        <v>6</v>
      </c>
      <c r="P363" s="6" t="n">
        <v>7168</v>
      </c>
      <c r="Q363" s="6" t="n">
        <v>1</v>
      </c>
      <c r="R363">
        <f>M363+IF(N363&gt;1,N(O363)*(N363-1),0)</f>
        <v/>
      </c>
      <c r="S363">
        <f>IFERROR(L363*MAX(N363,1)/R363*Q363*IF(ISBLANK(K350),1,K350),0)</f>
        <v/>
      </c>
      <c r="AB363" s="7" t="inlineStr">
        <is>
          <t>^AntiGroundMissile</t>
        </is>
      </c>
    </row>
    <row r="364">
      <c r="B364" s="7" t="inlineStr">
        <is>
          <t xml:space="preserve">  ↳ SWGreenLaserG</t>
        </is>
      </c>
      <c r="C364" s="7" t="inlineStr">
        <is>
          <t>Armament@greenlaser</t>
        </is>
      </c>
      <c r="L364" s="6" t="n">
        <v>5000</v>
      </c>
      <c r="M364" s="6" t="n">
        <v>75</v>
      </c>
      <c r="N364" s="6" t="n">
        <v>1</v>
      </c>
      <c r="O364" s="6" t="n"/>
      <c r="P364" s="6" t="n">
        <v>7168</v>
      </c>
      <c r="Q364" s="6" t="n">
        <v>1</v>
      </c>
      <c r="R364">
        <f>M364+IF(N364&gt;1,N(O364)*(N364-1),0)</f>
        <v/>
      </c>
      <c r="S364">
        <f>IFERROR(L364*MAX(N364,1)/R364*Q364*IF(ISBLANK(K350),1,K350),0)</f>
        <v/>
      </c>
      <c r="AB364" s="7" t="inlineStr">
        <is>
          <t>^MissileWeapon</t>
        </is>
      </c>
    </row>
    <row r="365">
      <c r="B365" s="7" t="inlineStr">
        <is>
          <t xml:space="preserve">  ↳ SWGBigRedLaserG</t>
        </is>
      </c>
      <c r="C365" s="7" t="inlineStr">
        <is>
          <t>Armament@misslaser</t>
        </is>
      </c>
      <c r="L365" s="6" t="n">
        <v>4000</v>
      </c>
      <c r="M365" s="6" t="n">
        <v>75</v>
      </c>
      <c r="N365" s="6" t="n">
        <v>1</v>
      </c>
      <c r="O365" s="6" t="n"/>
      <c r="P365" s="6" t="n">
        <v>8192</v>
      </c>
      <c r="Q365" s="6" t="n">
        <v>1</v>
      </c>
      <c r="R365">
        <f>M365+IF(N365&gt;1,N(O365)*(N365-1),0)</f>
        <v/>
      </c>
      <c r="S365">
        <f>IFERROR(L365*MAX(N365,1)/R365*Q365*IF(ISBLANK(K350),1,K350),0)</f>
        <v/>
      </c>
      <c r="AB365" s="7" t="inlineStr">
        <is>
          <t>^MissileWeapon</t>
        </is>
      </c>
    </row>
    <row r="366">
      <c r="B366" s="7" t="inlineStr">
        <is>
          <t xml:space="preserve">  ↳ BigFlamer</t>
        </is>
      </c>
      <c r="C366" s="7" t="inlineStr">
        <is>
          <t>Armament@fire</t>
        </is>
      </c>
      <c r="L366" s="6" t="n">
        <v>14000</v>
      </c>
      <c r="M366" s="6" t="n">
        <v>50</v>
      </c>
      <c r="N366" s="6" t="n">
        <v>2</v>
      </c>
      <c r="O366" s="6" t="n">
        <v>10</v>
      </c>
      <c r="P366" s="6" t="n">
        <v>2390</v>
      </c>
      <c r="Q366" s="6" t="n">
        <v>1</v>
      </c>
      <c r="R366">
        <f>M366+IF(N366&gt;1,N(O366)*(N366-1),0)</f>
        <v/>
      </c>
      <c r="S366">
        <f>IFERROR(L366*MAX(N366,1)/R366*Q366*IF(ISBLANK(K350),1,K350),0)</f>
        <v/>
      </c>
      <c r="AB366" s="7" t="inlineStr">
        <is>
          <t>^MediumFlameWeapon</t>
        </is>
      </c>
    </row>
    <row r="367">
      <c r="B367" s="7" t="inlineStr">
        <is>
          <t xml:space="preserve">  ↳ RA2RadBeamWeapon</t>
        </is>
      </c>
      <c r="C367" s="7" t="inlineStr">
        <is>
          <t>Armament@chem</t>
        </is>
      </c>
      <c r="L367" s="6" t="n">
        <v>30000</v>
      </c>
      <c r="M367" s="6" t="n">
        <v>45</v>
      </c>
      <c r="N367" s="6" t="n">
        <v>1</v>
      </c>
      <c r="O367" s="6" t="n"/>
      <c r="P367" s="6" t="n">
        <v>6444</v>
      </c>
      <c r="Q367" s="6" t="n">
        <v>1</v>
      </c>
      <c r="R367">
        <f>M367+IF(N367&gt;1,N(O367)*(N367-1),0)</f>
        <v/>
      </c>
      <c r="S367">
        <f>IFERROR(L367*MAX(N367,1)/R367*Q367*IF(ISBLANK(K350),1,K350),0)</f>
        <v/>
      </c>
      <c r="AB367" s="7" t="inlineStr">
        <is>
          <t>^MediumChemicalWeapon</t>
        </is>
      </c>
    </row>
    <row r="368">
      <c r="B368" s="7" t="inlineStr">
        <is>
          <t xml:space="preserve">  ↳ RA2RadBeamWeapon</t>
        </is>
      </c>
      <c r="C368" s="7" t="inlineStr">
        <is>
          <t>Armament@thrax</t>
        </is>
      </c>
      <c r="L368" s="6" t="n">
        <v>30000</v>
      </c>
      <c r="M368" s="6" t="n">
        <v>45</v>
      </c>
      <c r="N368" s="6" t="n">
        <v>1</v>
      </c>
      <c r="O368" s="6" t="n"/>
      <c r="P368" s="6" t="n">
        <v>6444</v>
      </c>
      <c r="Q368" s="6" t="n">
        <v>1</v>
      </c>
      <c r="R368">
        <f>M368+IF(N368&gt;1,N(O368)*(N368-1),0)</f>
        <v/>
      </c>
      <c r="S368">
        <f>IFERROR(L368*MAX(N368,1)/R368*Q368*IF(ISBLANK(K350),1,K350),0)</f>
        <v/>
      </c>
      <c r="AB368" s="7" t="inlineStr">
        <is>
          <t>^MediumChemicalWeapon</t>
        </is>
      </c>
    </row>
    <row r="369">
      <c r="B369" s="7" t="inlineStr">
        <is>
          <t xml:space="preserve">  ↳ RA2MultiHoverMissile</t>
        </is>
      </c>
      <c r="C369" s="7" t="inlineStr">
        <is>
          <t>Armament@missile</t>
        </is>
      </c>
      <c r="L369" s="6" t="n">
        <v>2000</v>
      </c>
      <c r="M369" s="6" t="n">
        <v>20</v>
      </c>
      <c r="N369" s="6" t="n">
        <v>4</v>
      </c>
      <c r="O369" s="6" t="n">
        <v>4</v>
      </c>
      <c r="P369" s="6" t="n">
        <v>6170</v>
      </c>
      <c r="Q369" s="6" t="n">
        <v>0.9166666666666666</v>
      </c>
      <c r="R369">
        <f>M369+IF(N369&gt;1,N(O369)*(N369-1),0)</f>
        <v/>
      </c>
      <c r="S369">
        <f>IFERROR(L369*MAX(N369,1)/R369*Q369*IF(ISBLANK(K350),1,K350),0)</f>
        <v/>
      </c>
      <c r="AB369" s="7" t="inlineStr">
        <is>
          <t>^MediumCannon, ^MediumChemicalWeapon, ^ArrowWeapon, ^RA2LightMissile</t>
        </is>
      </c>
    </row>
    <row r="370">
      <c r="B370" s="7" t="inlineStr">
        <is>
          <t xml:space="preserve">  ↳ IFVChronoBeam</t>
        </is>
      </c>
      <c r="C370" s="7" t="inlineStr">
        <is>
          <t>Armament@chrono</t>
        </is>
      </c>
      <c r="L370" s="6" t="n"/>
      <c r="M370" s="6" t="n">
        <v>1</v>
      </c>
      <c r="N370" s="6" t="n">
        <v>1</v>
      </c>
      <c r="O370" s="6" t="n"/>
      <c r="P370" s="6" t="n">
        <v>7500</v>
      </c>
      <c r="Q370" s="6" t="n">
        <v>1</v>
      </c>
      <c r="R370">
        <f>M370+IF(N370&gt;1,N(O370)*(N370-1),0)</f>
        <v/>
      </c>
      <c r="S370">
        <f>IFERROR(L370*MAX(N370,1)/R370*Q370*IF(ISBLANK(K350),1,K350),0)</f>
        <v/>
      </c>
      <c r="AB370" s="7" t="inlineStr">
        <is>
          <t>ChronoBeam</t>
        </is>
      </c>
    </row>
    <row r="371">
      <c r="B371" s="7" t="inlineStr">
        <is>
          <t xml:space="preserve">  ↳ IFVChronoSound</t>
        </is>
      </c>
      <c r="C371" s="7" t="inlineStr">
        <is>
          <t>Armament@chronosound</t>
        </is>
      </c>
      <c r="L371" s="6" t="n"/>
      <c r="M371" s="6" t="n">
        <v>180</v>
      </c>
      <c r="N371" s="6" t="n">
        <v>1</v>
      </c>
      <c r="O371" s="6" t="n"/>
      <c r="P371" s="6" t="n">
        <v>8000</v>
      </c>
      <c r="Q371" s="6" t="n">
        <v>1</v>
      </c>
      <c r="R371">
        <f>M371+IF(N371&gt;1,N(O371)*(N371-1),0)</f>
        <v/>
      </c>
      <c r="S371">
        <f>IFERROR(L371*MAX(N371,1)/R371*Q371*IF(ISBLANK(K350),1,K350),0)</f>
        <v/>
      </c>
      <c r="AB371" s="7" t="inlineStr">
        <is>
          <t>RA2ChronoTele</t>
        </is>
      </c>
    </row>
    <row r="372">
      <c r="B372" s="7" t="inlineStr">
        <is>
          <t xml:space="preserve">  ↳ DemoTruckTargeting</t>
        </is>
      </c>
      <c r="C372" s="7" t="inlineStr">
        <is>
          <t>Armament@ivan</t>
        </is>
      </c>
      <c r="L372" s="6" t="n"/>
      <c r="M372" s="6" t="n"/>
      <c r="N372" s="6" t="n">
        <v>1</v>
      </c>
      <c r="O372" s="6" t="n"/>
      <c r="P372" s="6" t="n">
        <v>2000</v>
      </c>
      <c r="Q372" s="6" t="n">
        <v>1</v>
      </c>
      <c r="R372">
        <f>M372+IF(N372&gt;1,N(O372)*(N372-1),0)</f>
        <v/>
      </c>
      <c r="S372">
        <f>IFERROR(L372*MAX(N372,1)/R372*Q372*IF(ISBLANK(K350),1,K350),0)</f>
        <v/>
      </c>
      <c r="AB372" s="7" t="inlineStr"/>
    </row>
    <row r="373">
      <c r="B373" s="7" t="inlineStr">
        <is>
          <t xml:space="preserve">  ↳ Fremen_L</t>
        </is>
      </c>
      <c r="C373" s="7" t="inlineStr">
        <is>
          <t>Armament@fremen</t>
        </is>
      </c>
      <c r="L373" s="6" t="n">
        <v>3000</v>
      </c>
      <c r="M373" s="6" t="n">
        <v>25</v>
      </c>
      <c r="N373" s="6" t="n">
        <v>1</v>
      </c>
      <c r="O373" s="6" t="n"/>
      <c r="P373" s="6" t="n">
        <v>2560</v>
      </c>
      <c r="Q373" s="6" t="n">
        <v>1</v>
      </c>
      <c r="R373">
        <f>M373+IF(N373&gt;1,N(O373)*(N373-1),0)</f>
        <v/>
      </c>
      <c r="S373">
        <f>IFERROR(L373*MAX(N373,1)/R373*Q373*IF(ISBLANK(K350),1,K350),0)</f>
        <v/>
      </c>
      <c r="AB373" s="7" t="inlineStr">
        <is>
          <t>^MG</t>
        </is>
      </c>
    </row>
    <row r="374">
      <c r="B374" s="7" t="inlineStr">
        <is>
          <t xml:space="preserve">  ↳ TSSonicZap</t>
        </is>
      </c>
      <c r="C374" s="7" t="inlineStr">
        <is>
          <t>Armament@sonic</t>
        </is>
      </c>
      <c r="L374" s="6" t="n">
        <v>4000</v>
      </c>
      <c r="M374" s="6" t="n">
        <v>60</v>
      </c>
      <c r="N374" s="6" t="n">
        <v>1</v>
      </c>
      <c r="O374" s="6" t="n"/>
      <c r="P374" s="6" t="n">
        <v>6144</v>
      </c>
      <c r="Q374" s="6" t="n">
        <v>1</v>
      </c>
      <c r="R374">
        <f>M374+IF(N374&gt;1,N(O374)*(N374-1),0)</f>
        <v/>
      </c>
      <c r="S374">
        <f>IFERROR(L374*MAX(N374,1)/R374*Q374*IF(ISBLANK(K350),1,K350),0)</f>
        <v/>
      </c>
      <c r="AB374" s="7" t="inlineStr"/>
    </row>
    <row r="375">
      <c r="B375" s="7" t="inlineStr">
        <is>
          <t xml:space="preserve">  ↳ MedicHeal</t>
        </is>
      </c>
      <c r="C375" s="7" t="inlineStr">
        <is>
          <t>Armament@heal</t>
        </is>
      </c>
      <c r="L375" s="6" t="n">
        <v>-1</v>
      </c>
      <c r="M375" s="6" t="n">
        <v>10</v>
      </c>
      <c r="N375" s="6" t="n">
        <v>1</v>
      </c>
      <c r="O375" s="6" t="n"/>
      <c r="P375" s="6" t="n">
        <v>6000</v>
      </c>
      <c r="Q375" s="6" t="n">
        <v>1</v>
      </c>
      <c r="R375">
        <f>M375+IF(N375&gt;1,N(O375)*(N375-1),0)</f>
        <v/>
      </c>
      <c r="S375">
        <f>IFERROR(L375*MAX(N375,1)/R375*Q375*IF(ISBLANK(K350),1,K350),0)</f>
        <v/>
      </c>
      <c r="AB375" s="7" t="inlineStr">
        <is>
          <t>^HealingWeapon</t>
        </is>
      </c>
    </row>
    <row r="376">
      <c r="B376" s="7" t="inlineStr">
        <is>
          <t xml:space="preserve">  ↳ RA2HoverMissile</t>
        </is>
      </c>
      <c r="C376" s="7" t="inlineStr">
        <is>
          <t>Armament@primary</t>
        </is>
      </c>
      <c r="L376" s="6" t="n">
        <v>6000</v>
      </c>
      <c r="M376" s="6" t="n">
        <v>28</v>
      </c>
      <c r="N376" s="6" t="n">
        <v>2</v>
      </c>
      <c r="O376" s="6" t="n">
        <v>4</v>
      </c>
      <c r="P376" s="6" t="n">
        <v>5760</v>
      </c>
      <c r="Q376" s="6" t="n">
        <v>0.75</v>
      </c>
      <c r="R376">
        <f>M376+IF(N376&gt;1,N(O376)*(N376-1),0)</f>
        <v/>
      </c>
      <c r="S376">
        <f>IFERROR(L376*MAX(N376,1)/R376*Q376*IF(ISBLANK(K350),1,K350),0)</f>
        <v/>
      </c>
      <c r="AB376" s="7" t="inlineStr">
        <is>
          <t>^ArrowWeapon, ^RA2LightMissile</t>
        </is>
      </c>
    </row>
    <row r="377">
      <c r="B377" s="7" t="inlineStr">
        <is>
          <t xml:space="preserve">  ↳ RA2HoverMissile_elite</t>
        </is>
      </c>
      <c r="C377" s="7" t="inlineStr">
        <is>
          <t>Armament@primaryelite</t>
        </is>
      </c>
      <c r="L377" s="6" t="n">
        <v>6000</v>
      </c>
      <c r="M377" s="6" t="n">
        <v>28</v>
      </c>
      <c r="N377" s="6" t="n">
        <v>4</v>
      </c>
      <c r="O377" s="6" t="n">
        <v>4</v>
      </c>
      <c r="P377" s="6" t="n">
        <v>6760</v>
      </c>
      <c r="Q377" s="6" t="n">
        <v>0.75</v>
      </c>
      <c r="R377">
        <f>M377+IF(N377&gt;1,N(O377)*(N377-1),0)</f>
        <v/>
      </c>
      <c r="S377">
        <f>IFERROR(L377*MAX(N377,1)/R377*Q377*IF(ISBLANK(K350),1,K350),0)</f>
        <v/>
      </c>
      <c r="AB377" s="7" t="inlineStr">
        <is>
          <t>^ArrowWeapon, ^RA2LightMissile</t>
        </is>
      </c>
    </row>
    <row r="378">
      <c r="B378" s="7" t="inlineStr">
        <is>
          <t xml:space="preserve">  ↳ RA2HoverMissileAA</t>
        </is>
      </c>
      <c r="C378" s="7" t="inlineStr">
        <is>
          <t>Armament@primaryAA</t>
        </is>
      </c>
      <c r="L378" s="6" t="n">
        <v>6000</v>
      </c>
      <c r="M378" s="6" t="n">
        <v>28</v>
      </c>
      <c r="N378" s="6" t="n">
        <v>2</v>
      </c>
      <c r="O378" s="6" t="n">
        <v>4</v>
      </c>
      <c r="P378" s="6" t="n">
        <v>8640</v>
      </c>
      <c r="Q378" s="6" t="n">
        <v>0.75</v>
      </c>
      <c r="R378">
        <f>M378+IF(N378&gt;1,N(O378)*(N378-1),0)</f>
        <v/>
      </c>
      <c r="S378">
        <f>IFERROR(L378*MAX(N378,1)/R378*Q378*IF(ISBLANK(K350),1,K350),0)</f>
        <v/>
      </c>
      <c r="AB378" s="7" t="inlineStr">
        <is>
          <t>^ArrowWeapon, ^RA2LightMissile</t>
        </is>
      </c>
    </row>
    <row r="379">
      <c r="B379" s="7" t="inlineStr">
        <is>
          <t xml:space="preserve">  ↳ RA2HoverMissileAA_elite</t>
        </is>
      </c>
      <c r="C379" s="7" t="inlineStr">
        <is>
          <t>Armament@primaryeliteAA</t>
        </is>
      </c>
      <c r="L379" s="6" t="n">
        <v>6000</v>
      </c>
      <c r="M379" s="6" t="n">
        <v>28</v>
      </c>
      <c r="N379" s="6" t="n">
        <v>4</v>
      </c>
      <c r="O379" s="6" t="n">
        <v>4</v>
      </c>
      <c r="P379" s="6" t="n">
        <v>9640</v>
      </c>
      <c r="Q379" s="6" t="n">
        <v>0.75</v>
      </c>
      <c r="R379">
        <f>M379+IF(N379&gt;1,N(O379)*(N379-1),0)</f>
        <v/>
      </c>
      <c r="S379">
        <f>IFERROR(L379*MAX(N379,1)/R379*Q379*IF(ISBLANK(K350),1,K350),0)</f>
        <v/>
      </c>
      <c r="AB379" s="7" t="inlineStr">
        <is>
          <t>^ArrowWeapon, ^RA2LightMissile</t>
        </is>
      </c>
    </row>
    <row r="380">
      <c r="B380" s="7" t="inlineStr">
        <is>
          <t xml:space="preserve">  ↳ RA2ThunderboltMissile</t>
        </is>
      </c>
      <c r="C380" s="7" t="inlineStr">
        <is>
          <t>Armament@primaryThunderbolt</t>
        </is>
      </c>
      <c r="L380" s="6" t="n">
        <v>2000</v>
      </c>
      <c r="M380" s="6" t="n">
        <v>28</v>
      </c>
      <c r="N380" s="6" t="n">
        <v>2</v>
      </c>
      <c r="O380" s="6" t="n">
        <v>4</v>
      </c>
      <c r="P380" s="6" t="n">
        <v>5760</v>
      </c>
      <c r="Q380" s="6" t="n">
        <v>1.05</v>
      </c>
      <c r="R380">
        <f>M380+IF(N380&gt;1,N(O380)*(N380-1),0)</f>
        <v/>
      </c>
      <c r="S380">
        <f>IFERROR(L380*MAX(N380,1)/R380*Q380*IF(ISBLANK(K350),1,K350),0)</f>
        <v/>
      </c>
      <c r="AB380" s="7" t="inlineStr">
        <is>
          <t>^HeavyMissile, ^HeavyAAWeapon, ^MediumMissile, ^FlakWeapon, ^ArrowWeapon, ^RA2LightMissile</t>
        </is>
      </c>
    </row>
    <row r="381">
      <c r="B381" s="7" t="inlineStr">
        <is>
          <t xml:space="preserve">  ↳ RA2ThunderboltMissile_elite</t>
        </is>
      </c>
      <c r="C381" s="7" t="inlineStr">
        <is>
          <t>Armament@primaryeliteThunderbolt</t>
        </is>
      </c>
      <c r="L381" s="6" t="n">
        <v>2000</v>
      </c>
      <c r="M381" s="6" t="n">
        <v>28</v>
      </c>
      <c r="N381" s="6" t="n">
        <v>4</v>
      </c>
      <c r="O381" s="6" t="n">
        <v>4</v>
      </c>
      <c r="P381" s="6" t="n">
        <v>6760</v>
      </c>
      <c r="Q381" s="6" t="n">
        <v>1.05</v>
      </c>
      <c r="R381">
        <f>M381+IF(N381&gt;1,N(O381)*(N381-1),0)</f>
        <v/>
      </c>
      <c r="S381">
        <f>IFERROR(L381*MAX(N381,1)/R381*Q381*IF(ISBLANK(K350),1,K350),0)</f>
        <v/>
      </c>
      <c r="AB381" s="7" t="inlineStr">
        <is>
          <t>^HeavyMissile, ^HeavyAAWeapon, ^MediumMissile, ^FlakWeapon, ^ArrowWeapon, ^RA2LightMissile</t>
        </is>
      </c>
    </row>
    <row r="382">
      <c r="B382" s="7" t="inlineStr">
        <is>
          <t xml:space="preserve">  ↳ RA2ThunderboltMissileAA</t>
        </is>
      </c>
      <c r="C382" s="7" t="inlineStr">
        <is>
          <t>Armament@primaryAAThunderbolt</t>
        </is>
      </c>
      <c r="L382" s="6" t="n">
        <v>2000</v>
      </c>
      <c r="M382" s="6" t="n">
        <v>28</v>
      </c>
      <c r="N382" s="6" t="n">
        <v>2</v>
      </c>
      <c r="O382" s="6" t="n">
        <v>4</v>
      </c>
      <c r="P382" s="6" t="n">
        <v>8640</v>
      </c>
      <c r="Q382" s="6" t="n">
        <v>1.05</v>
      </c>
      <c r="R382">
        <f>M382+IF(N382&gt;1,N(O382)*(N382-1),0)</f>
        <v/>
      </c>
      <c r="S382">
        <f>IFERROR(L382*MAX(N382,1)/R382*Q382*IF(ISBLANK(K350),1,K350),0)</f>
        <v/>
      </c>
      <c r="AB382" s="7" t="inlineStr">
        <is>
          <t>^HeavyMissile, ^HeavyAAWeapon, ^MediumMissile, ^FlakWeapon, ^ArrowWeapon, ^RA2LightMissile</t>
        </is>
      </c>
    </row>
    <row r="383">
      <c r="B383" s="7" t="inlineStr">
        <is>
          <t xml:space="preserve">  ↳ RA2ThunderboltMissileAA_elite</t>
        </is>
      </c>
      <c r="C383" s="7" t="inlineStr">
        <is>
          <t>Armament@primaryeliteAAThunderbolt</t>
        </is>
      </c>
      <c r="L383" s="6" t="n">
        <v>2000</v>
      </c>
      <c r="M383" s="6" t="n">
        <v>28</v>
      </c>
      <c r="N383" s="6" t="n">
        <v>4</v>
      </c>
      <c r="O383" s="6" t="n">
        <v>4</v>
      </c>
      <c r="P383" s="6" t="n">
        <v>9640</v>
      </c>
      <c r="Q383" s="6" t="n">
        <v>1.05</v>
      </c>
      <c r="R383">
        <f>M383+IF(N383&gt;1,N(O383)*(N383-1),0)</f>
        <v/>
      </c>
      <c r="S383">
        <f>IFERROR(L383*MAX(N383,1)/R383*Q383*IF(ISBLANK(K350),1,K350),0)</f>
        <v/>
      </c>
      <c r="AB383" s="7" t="inlineStr">
        <is>
          <t>^HeavyMissile, ^HeavyAAWeapon, ^MediumMissile, ^FlakWeapon, ^ArrowWeapon, ^RA2LightMissile</t>
        </is>
      </c>
    </row>
    <row r="384">
      <c r="B384" s="7" t="inlineStr">
        <is>
          <t xml:space="preserve">  ↳ RA2MultiHoverMissile_elite</t>
        </is>
      </c>
      <c r="C384" s="7" t="inlineStr">
        <is>
          <t>Armament@missileelite</t>
        </is>
      </c>
      <c r="L384" s="6" t="n">
        <v>4000</v>
      </c>
      <c r="M384" s="6" t="n">
        <v>20</v>
      </c>
      <c r="N384" s="6" t="n">
        <v>4</v>
      </c>
      <c r="O384" s="6" t="n">
        <v>4</v>
      </c>
      <c r="P384" s="6" t="n">
        <v>7170</v>
      </c>
      <c r="Q384" s="6" t="n">
        <v>0.9166666666666666</v>
      </c>
      <c r="R384">
        <f>M384+IF(N384&gt;1,N(O384)*(N384-1),0)</f>
        <v/>
      </c>
      <c r="S384">
        <f>IFERROR(L384*MAX(N384,1)/R384*Q384*IF(ISBLANK(K350),1,K350),0)</f>
        <v/>
      </c>
      <c r="AB384" s="7" t="inlineStr">
        <is>
          <t>^MediumCannon, ^MediumChemicalWeapon, ^ArrowWeapon, ^RA2LightMissile</t>
        </is>
      </c>
    </row>
    <row r="385">
      <c r="B385" s="7" t="inlineStr">
        <is>
          <t xml:space="preserve">  ↳ RA2MultiHoverMissileAA</t>
        </is>
      </c>
      <c r="C385" s="7" t="inlineStr">
        <is>
          <t>Armament@missileAA</t>
        </is>
      </c>
      <c r="L385" s="6" t="n">
        <v>2000</v>
      </c>
      <c r="M385" s="6" t="n">
        <v>20</v>
      </c>
      <c r="N385" s="6" t="n">
        <v>4</v>
      </c>
      <c r="O385" s="6" t="n">
        <v>4</v>
      </c>
      <c r="P385" s="6" t="n">
        <v>9255</v>
      </c>
      <c r="Q385" s="6" t="n">
        <v>0.9166666666666666</v>
      </c>
      <c r="R385">
        <f>M385+IF(N385&gt;1,N(O385)*(N385-1),0)</f>
        <v/>
      </c>
      <c r="S385">
        <f>IFERROR(L385*MAX(N385,1)/R385*Q385*IF(ISBLANK(K350),1,K350),0)</f>
        <v/>
      </c>
      <c r="AB385" s="7" t="inlineStr">
        <is>
          <t>^MediumCannon, ^MediumChemicalWeapon, ^ArrowWeapon, ^RA2LightMissile</t>
        </is>
      </c>
    </row>
    <row r="386">
      <c r="B386" s="7" t="inlineStr">
        <is>
          <t xml:space="preserve">  ↳ RA2MultiHoverMissileAA_elite</t>
        </is>
      </c>
      <c r="C386" s="7" t="inlineStr">
        <is>
          <t>Armament@missileeliteAA</t>
        </is>
      </c>
      <c r="L386" s="6" t="n">
        <v>4000</v>
      </c>
      <c r="M386" s="6" t="n">
        <v>20</v>
      </c>
      <c r="N386" s="6" t="n">
        <v>4</v>
      </c>
      <c r="O386" s="6" t="n">
        <v>4</v>
      </c>
      <c r="P386" s="6" t="n">
        <v>10255</v>
      </c>
      <c r="Q386" s="6" t="n">
        <v>0.9166666666666666</v>
      </c>
      <c r="R386">
        <f>M386+IF(N386&gt;1,N(O386)*(N386-1),0)</f>
        <v/>
      </c>
      <c r="S386">
        <f>IFERROR(L386*MAX(N386,1)/R386*Q386*IF(ISBLANK(K350),1,K350),0)</f>
        <v/>
      </c>
      <c r="AB386" s="7" t="inlineStr">
        <is>
          <t>^MediumCannon, ^MediumChemicalWeapon, ^ArrowWeapon, ^RA2LightMissile</t>
        </is>
      </c>
    </row>
    <row r="387">
      <c r="B387" s="7" t="inlineStr">
        <is>
          <t xml:space="preserve">  ↳ RA2MultiThunderboltMissile</t>
        </is>
      </c>
      <c r="C387" s="7" t="inlineStr">
        <is>
          <t>Armament@missileThunderbolt</t>
        </is>
      </c>
      <c r="L387" s="6" t="n">
        <v>2000</v>
      </c>
      <c r="M387" s="6" t="n">
        <v>20</v>
      </c>
      <c r="N387" s="6" t="n">
        <v>4</v>
      </c>
      <c r="O387" s="6" t="n">
        <v>4</v>
      </c>
      <c r="P387" s="6" t="n">
        <v>6170</v>
      </c>
      <c r="Q387" s="6" t="n">
        <v>1.035714285714286</v>
      </c>
      <c r="R387">
        <f>M387+IF(N387&gt;1,N(O387)*(N387-1),0)</f>
        <v/>
      </c>
      <c r="S387">
        <f>IFERROR(L387*MAX(N387,1)/R387*Q387*IF(ISBLANK(K350),1,K350),0)</f>
        <v/>
      </c>
      <c r="AB387" s="7" t="inlineStr">
        <is>
          <t>^HeavyMissile, ^HeavyAAWeapon, ^MediumMissile, ^FlakWeapon, ^MediumCannon, ^MediumChemicalWeapon, ^ArrowWeapon, ^RA2LightMissile</t>
        </is>
      </c>
    </row>
    <row r="388">
      <c r="B388" s="7" t="inlineStr">
        <is>
          <t xml:space="preserve">  ↳ RA2MultiThunderboltMissile_elite</t>
        </is>
      </c>
      <c r="C388" s="7" t="inlineStr">
        <is>
          <t>Armament@missileeliteThunderbolt</t>
        </is>
      </c>
      <c r="L388" s="6" t="n">
        <v>4000</v>
      </c>
      <c r="M388" s="6" t="n">
        <v>20</v>
      </c>
      <c r="N388" s="6" t="n">
        <v>4</v>
      </c>
      <c r="O388" s="6" t="n">
        <v>4</v>
      </c>
      <c r="P388" s="6" t="n">
        <v>7170</v>
      </c>
      <c r="Q388" s="6" t="n">
        <v>1.035714285714286</v>
      </c>
      <c r="R388">
        <f>M388+IF(N388&gt;1,N(O388)*(N388-1),0)</f>
        <v/>
      </c>
      <c r="S388">
        <f>IFERROR(L388*MAX(N388,1)/R388*Q388*IF(ISBLANK(K350),1,K350),0)</f>
        <v/>
      </c>
      <c r="AB388" s="7" t="inlineStr">
        <is>
          <t>^HeavyMissile, ^HeavyAAWeapon, ^MediumMissile, ^FlakWeapon, ^MediumCannon, ^MediumChemicalWeapon, ^ArrowWeapon, ^RA2LightMissile</t>
        </is>
      </c>
    </row>
    <row r="389">
      <c r="B389" s="7" t="inlineStr">
        <is>
          <t xml:space="preserve">  ↳ RA2MultiThunderboltMissileAA</t>
        </is>
      </c>
      <c r="C389" s="7" t="inlineStr">
        <is>
          <t>Armament@missileAAThunderbolt</t>
        </is>
      </c>
      <c r="L389" s="6" t="n">
        <v>2000</v>
      </c>
      <c r="M389" s="6" t="n">
        <v>20</v>
      </c>
      <c r="N389" s="6" t="n">
        <v>4</v>
      </c>
      <c r="O389" s="6" t="n">
        <v>4</v>
      </c>
      <c r="P389" s="6" t="n">
        <v>9255</v>
      </c>
      <c r="Q389" s="6" t="n">
        <v>1.035714285714286</v>
      </c>
      <c r="R389">
        <f>M389+IF(N389&gt;1,N(O389)*(N389-1),0)</f>
        <v/>
      </c>
      <c r="S389">
        <f>IFERROR(L389*MAX(N389,1)/R389*Q389*IF(ISBLANK(K350),1,K350),0)</f>
        <v/>
      </c>
      <c r="AB389" s="7" t="inlineStr">
        <is>
          <t>^HeavyMissile, ^HeavyAAWeapon, ^MediumMissile, ^FlakWeapon, ^MediumCannon, ^MediumChemicalWeapon, ^ArrowWeapon, ^RA2LightMissile</t>
        </is>
      </c>
    </row>
    <row r="390">
      <c r="B390" s="7" t="inlineStr">
        <is>
          <t xml:space="preserve">  ↳ RA2MultiThunderboltMissileAA_elite</t>
        </is>
      </c>
      <c r="C390" s="7" t="inlineStr">
        <is>
          <t>Armament@missileeliteAAThunderbolt</t>
        </is>
      </c>
      <c r="L390" s="6" t="n">
        <v>4000</v>
      </c>
      <c r="M390" s="6" t="n">
        <v>20</v>
      </c>
      <c r="N390" s="6" t="n">
        <v>4</v>
      </c>
      <c r="O390" s="6" t="n">
        <v>4</v>
      </c>
      <c r="P390" s="6" t="n">
        <v>10255</v>
      </c>
      <c r="Q390" s="6" t="n">
        <v>1.035714285714286</v>
      </c>
      <c r="R390">
        <f>M390+IF(N390&gt;1,N(O390)*(N390-1),0)</f>
        <v/>
      </c>
      <c r="S390">
        <f>IFERROR(L390*MAX(N390,1)/R390*Q390*IF(ISBLANK(K350),1,K350),0)</f>
        <v/>
      </c>
      <c r="AB390" s="7" t="inlineStr">
        <is>
          <t>^HeavyMissile, ^HeavyAAWeapon, ^MediumMissile, ^FlakWeapon, ^MediumCannon, ^MediumChemicalWeapon, ^ArrowWeapon, ^RA2LightMissile</t>
        </is>
      </c>
    </row>
    <row r="391">
      <c r="B391" s="7" t="inlineStr">
        <is>
          <t xml:space="preserve">  ↳ MedicHeal</t>
        </is>
      </c>
      <c r="C391" s="7" t="inlineStr">
        <is>
          <t>Armament@healer</t>
        </is>
      </c>
      <c r="L391" s="6" t="n">
        <v>-1</v>
      </c>
      <c r="M391" s="6" t="n">
        <v>10</v>
      </c>
      <c r="N391" s="6" t="n">
        <v>1</v>
      </c>
      <c r="O391" s="6" t="n"/>
      <c r="P391" s="6" t="n">
        <v>6000</v>
      </c>
      <c r="Q391" s="6" t="n">
        <v>1</v>
      </c>
      <c r="R391">
        <f>M391+IF(N391&gt;1,N(O391)*(N391-1),0)</f>
        <v/>
      </c>
      <c r="S391">
        <f>IFERROR(L391*MAX(N391,1)/R391*Q391*IF(ISBLANK(K350),1,K350),0)</f>
        <v/>
      </c>
      <c r="AB391" s="7" t="inlineStr">
        <is>
          <t>^HealingWeapon</t>
        </is>
      </c>
    </row>
    <row r="392">
      <c r="B392" s="7" t="inlineStr">
        <is>
          <t xml:space="preserve">  ↳ RA2AWP</t>
        </is>
      </c>
      <c r="C392" s="7" t="inlineStr">
        <is>
          <t>Armament@ra1_allies_alliedsniper</t>
        </is>
      </c>
      <c r="L392" s="6" t="n">
        <v>44000</v>
      </c>
      <c r="M392" s="6" t="n">
        <v>54</v>
      </c>
      <c r="N392" s="6" t="n">
        <v>1</v>
      </c>
      <c r="O392" s="6" t="n"/>
      <c r="P392" s="6" t="n">
        <v>10000</v>
      </c>
      <c r="Q392" s="6" t="n">
        <v>0.75</v>
      </c>
      <c r="R392">
        <f>M392+IF(N392&gt;1,N(O392)*(N392-1),0)</f>
        <v/>
      </c>
      <c r="S392">
        <f>IFERROR(L392*MAX(N392,1)/R392*Q392*IF(ISBLANK(K350),1,K350),0)</f>
        <v/>
      </c>
      <c r="AB392" s="7" t="inlineStr">
        <is>
          <t>^SniperWeapon</t>
        </is>
      </c>
    </row>
    <row r="393">
      <c r="A393" t="inlineStr">
        <is>
          <t>redalert2</t>
        </is>
      </c>
      <c r="B393" t="inlineStr">
        <is>
          <t>ra2_soviets_terrordrone</t>
        </is>
      </c>
      <c r="C393" t="inlineStr">
        <is>
          <t>Terror Drone</t>
        </is>
      </c>
      <c r="D393" s="6" t="inlineStr">
        <is>
          <t>ScoutVehicle</t>
        </is>
      </c>
      <c r="E393" s="6" t="n">
        <v>10000</v>
      </c>
      <c r="F393" s="6" t="n">
        <v>200</v>
      </c>
      <c r="G393" t="inlineStr">
        <is>
          <t>Scout</t>
        </is>
      </c>
      <c r="H393" s="6" t="n">
        <v>1</v>
      </c>
      <c r="I393" s="6" t="n">
        <v>1</v>
      </c>
      <c r="J393" s="6" t="n">
        <v>1</v>
      </c>
      <c r="K393" s="6" t="n"/>
      <c r="P393">
        <f>MAX(P394,P395)</f>
        <v/>
      </c>
      <c r="S393">
        <f>S394+S395</f>
        <v/>
      </c>
      <c r="T393">
        <f>(E393/100000+F393/100+(P393/1000)*J393/5+S393/200)*200*I393*H393</f>
        <v/>
      </c>
      <c r="U393">
        <f>((E393*F393/25000)+((P393/1000)*J393*S393/2.5))*I393*H393</f>
        <v/>
      </c>
      <c r="V393">
        <f>(E393*F393*(P393/1000)*J393*S393*I393*H393)/12500000</f>
        <v/>
      </c>
      <c r="W393">
        <f>(T393+U393+V393)/3</f>
        <v/>
      </c>
      <c r="X393" s="6" t="n">
        <v>600</v>
      </c>
      <c r="Y393">
        <f>IFERROR(W393-X393,"")</f>
        <v/>
      </c>
      <c r="Z393">
        <f>IFERROR(ABS(Y393)/MAX(X393,1),"")</f>
        <v/>
      </c>
      <c r="AA393">
        <f>IFERROR((X393-(((E393/100000+F393/100+S393/200)*200*I393*H393)+((E393*F393/25000)*I393*H393))/3)/(((J393/5)*200*I393*H393)+((J393*S393/2.5)*I393*H393)+((E393*F393*J393*S393*I393*H393)/12500000))/3*1000,"")</f>
        <v/>
      </c>
    </row>
    <row r="394">
      <c r="B394" s="7" t="inlineStr">
        <is>
          <t xml:space="preserve">  ↳ RA2DroneJump</t>
        </is>
      </c>
      <c r="C394" s="7" t="inlineStr">
        <is>
          <t>Armament</t>
        </is>
      </c>
      <c r="L394" s="6" t="n">
        <v>100000</v>
      </c>
      <c r="M394" s="6" t="n">
        <v>40</v>
      </c>
      <c r="N394" s="6" t="n">
        <v>1</v>
      </c>
      <c r="O394" s="6" t="n"/>
      <c r="P394" s="6" t="n">
        <v>4000</v>
      </c>
      <c r="Q394" s="6" t="n">
        <v>1</v>
      </c>
      <c r="R394">
        <f>M394+IF(N394&gt;1,N(O394)*(N394-1),0)</f>
        <v/>
      </c>
      <c r="S394">
        <f>IFERROR(L394*MAX(N394,1)/R394*Q394*IF(ISBLANK(K393),1,K393),0)</f>
        <v/>
      </c>
      <c r="AB394" s="7" t="inlineStr"/>
    </row>
    <row r="395">
      <c r="B395" s="7" t="inlineStr">
        <is>
          <t xml:space="preserve">  ↳ RA2DroneJumpE</t>
        </is>
      </c>
      <c r="C395" s="7" t="inlineStr">
        <is>
          <t>Armament@Elite</t>
        </is>
      </c>
      <c r="L395" s="6" t="n">
        <v>100000</v>
      </c>
      <c r="M395" s="6" t="n">
        <v>10</v>
      </c>
      <c r="N395" s="6" t="n">
        <v>1</v>
      </c>
      <c r="O395" s="6" t="n"/>
      <c r="P395" s="6" t="n">
        <v>4000</v>
      </c>
      <c r="Q395" s="6" t="n">
        <v>1</v>
      </c>
      <c r="R395">
        <f>M395+IF(N395&gt;1,N(O395)*(N395-1),0)</f>
        <v/>
      </c>
      <c r="S395">
        <f>IFERROR(L395*MAX(N395,1)/R395*Q395*IF(ISBLANK(K393),1,K393),0)</f>
        <v/>
      </c>
      <c r="AB395" s="7" t="inlineStr">
        <is>
          <t>RA2DroneJump</t>
        </is>
      </c>
    </row>
    <row r="396">
      <c r="A396" t="inlineStr">
        <is>
          <t>redalert2mod</t>
        </is>
      </c>
      <c r="B396" t="inlineStr">
        <is>
          <t>cougar.steel</t>
        </is>
      </c>
      <c r="C396" t="inlineStr">
        <is>
          <t>Federation Cougar</t>
        </is>
      </c>
      <c r="D396" s="6" t="inlineStr">
        <is>
          <t>ScoutVehicle</t>
        </is>
      </c>
      <c r="E396" s="6" t="n">
        <v>25000</v>
      </c>
      <c r="F396" s="6" t="n">
        <v>150</v>
      </c>
      <c r="G396" t="inlineStr">
        <is>
          <t>Light</t>
        </is>
      </c>
      <c r="H396" s="6" t="n">
        <v>1</v>
      </c>
      <c r="I396" s="6" t="n">
        <v>1</v>
      </c>
      <c r="J396" s="6" t="n">
        <v>1</v>
      </c>
      <c r="K396" s="6" t="n"/>
      <c r="P396">
        <f>MAX(P397)</f>
        <v/>
      </c>
      <c r="S396">
        <f>S397</f>
        <v/>
      </c>
      <c r="T396">
        <f>(E396/100000+F396/100+(P396/1000)*J396/5+S396/200)*200*I396*H396</f>
        <v/>
      </c>
      <c r="U396">
        <f>((E396*F396/25000)+((P396/1000)*J396*S396/2.5))*I396*H396</f>
        <v/>
      </c>
      <c r="V396">
        <f>(E396*F396*(P396/1000)*J396*S396*I396*H396)/12500000</f>
        <v/>
      </c>
      <c r="W396">
        <f>(T396+U396+V396)/3</f>
        <v/>
      </c>
      <c r="X396" s="6" t="n">
        <v>1200</v>
      </c>
      <c r="Y396">
        <f>IFERROR(W396-X396,"")</f>
        <v/>
      </c>
      <c r="Z396">
        <f>IFERROR(ABS(Y396)/MAX(X396,1),"")</f>
        <v/>
      </c>
      <c r="AA396">
        <f>IFERROR((X396-(((E396/100000+F396/100+S396/200)*200*I396*H396)+((E396*F396/25000)*I396*H396))/3)/(((J396/5)*200*I396*H396)+((J396*S396/2.5)*I396*H396)+((E396*F396*J396*S396*I396*H396)/12500000))/3*1000,"")</f>
        <v/>
      </c>
    </row>
    <row r="397">
      <c r="B397" s="7" t="inlineStr">
        <is>
          <t xml:space="preserve">  ↳ SteelVulcan</t>
        </is>
      </c>
      <c r="C397" s="7" t="inlineStr">
        <is>
          <t>Armament</t>
        </is>
      </c>
      <c r="L397" s="6" t="n">
        <v>2000</v>
      </c>
      <c r="M397" s="6" t="n">
        <v>10</v>
      </c>
      <c r="N397" s="6" t="n">
        <v>1</v>
      </c>
      <c r="O397" s="6" t="n"/>
      <c r="P397" s="6" t="n">
        <v>6666</v>
      </c>
      <c r="Q397" s="6" t="n">
        <v>1</v>
      </c>
      <c r="R397">
        <f>M397+IF(N397&gt;1,N(O397)*(N397-1),0)</f>
        <v/>
      </c>
      <c r="S397">
        <f>IFERROR(L397*MAX(N397,1)/R397*Q397*IF(ISBLANK(K396),1,K396),0)</f>
        <v/>
      </c>
      <c r="AB397" s="7" t="inlineStr">
        <is>
          <t>^SteelHeavyCannon, ^SteelSmallArms, ^SteelChaingun</t>
        </is>
      </c>
    </row>
    <row r="398">
      <c r="A398" t="inlineStr">
        <is>
          <t>redalert2mod</t>
        </is>
      </c>
      <c r="B398" t="inlineStr">
        <is>
          <t>scrapcar2_driveby.latin</t>
        </is>
      </c>
      <c r="C398" t="inlineStr">
        <is>
          <t>Drive By Car</t>
        </is>
      </c>
      <c r="D398" s="6" t="inlineStr">
        <is>
          <t>ScoutVehicle</t>
        </is>
      </c>
      <c r="E398" s="6" t="n">
        <v>25000</v>
      </c>
      <c r="F398" s="6" t="n">
        <v>100</v>
      </c>
      <c r="G398" t="inlineStr">
        <is>
          <t>Scout</t>
        </is>
      </c>
      <c r="H398" s="6" t="n">
        <v>1</v>
      </c>
      <c r="I398" s="6" t="n">
        <v>1</v>
      </c>
      <c r="J398" s="6" t="n">
        <v>1</v>
      </c>
      <c r="K398" s="6" t="n"/>
      <c r="P398">
        <f>MAX(P399)</f>
        <v/>
      </c>
      <c r="S398">
        <f>S399</f>
        <v/>
      </c>
      <c r="T398">
        <f>(E398/100000+F398/100+(P398/1000)*J398/5+S398/200)*200*I398*H398</f>
        <v/>
      </c>
      <c r="U398">
        <f>((E398*F398/25000)+((P398/1000)*J398*S398/2.5))*I398*H398</f>
        <v/>
      </c>
      <c r="V398">
        <f>(E398*F398*(P398/1000)*J398*S398*I398*H398)/12500000</f>
        <v/>
      </c>
      <c r="W398">
        <f>(T398+U398+V398)/3</f>
        <v/>
      </c>
      <c r="X398" s="6" t="n">
        <v>1000</v>
      </c>
      <c r="Y398">
        <f>IFERROR(W398-X398,"")</f>
        <v/>
      </c>
      <c r="Z398">
        <f>IFERROR(ABS(Y398)/MAX(X398,1),"")</f>
        <v/>
      </c>
      <c r="AA398">
        <f>IFERROR((X398-(((E398/100000+F398/100+S398/200)*200*I398*H398)+((E398*F398/25000)*I398*H398))/3)/(((J398/5)*200*I398*H398)+((J398*S398/2.5)*I398*H398)+((E398*F398*J398*S398*I398*H398)/12500000))/3*1000,"")</f>
        <v/>
      </c>
    </row>
    <row r="399">
      <c r="B399" s="7" t="inlineStr">
        <is>
          <t xml:space="preserve">  ↳ RA220mmrapid</t>
        </is>
      </c>
      <c r="C399" s="7" t="inlineStr">
        <is>
          <t>Armament</t>
        </is>
      </c>
      <c r="L399" s="6" t="n">
        <v>4000</v>
      </c>
      <c r="M399" s="6" t="n">
        <v>15</v>
      </c>
      <c r="N399" s="6" t="n">
        <v>1</v>
      </c>
      <c r="O399" s="6" t="n"/>
      <c r="P399" s="6" t="n">
        <v>5000</v>
      </c>
      <c r="Q399" s="6" t="n">
        <v>0.875</v>
      </c>
      <c r="R399">
        <f>M399+IF(N399&gt;1,N(O399)*(N399-1),0)</f>
        <v/>
      </c>
      <c r="S399">
        <f>IFERROR(L399*MAX(N399,1)/R399*Q399*IF(ISBLANK(K398),1,K398),0)</f>
        <v/>
      </c>
      <c r="AB399" s="7" t="inlineStr">
        <is>
          <t>^RA2SmallArms, ^RA2Chaingun</t>
        </is>
      </c>
    </row>
    <row r="400">
      <c r="A400" t="inlineStr">
        <is>
          <t>redalert2mod</t>
        </is>
      </c>
      <c r="B400" t="inlineStr">
        <is>
          <t>scrapcar_driveby.latin</t>
        </is>
      </c>
      <c r="C400" t="inlineStr">
        <is>
          <t>Drive By Car</t>
        </is>
      </c>
      <c r="D400" s="6" t="inlineStr">
        <is>
          <t>ScoutVehicle</t>
        </is>
      </c>
      <c r="E400" s="6" t="n">
        <v>25000</v>
      </c>
      <c r="F400" s="6" t="n">
        <v>100</v>
      </c>
      <c r="G400" t="inlineStr">
        <is>
          <t>Scout</t>
        </is>
      </c>
      <c r="H400" s="6" t="n">
        <v>1</v>
      </c>
      <c r="I400" s="6" t="n">
        <v>1</v>
      </c>
      <c r="J400" s="6" t="n">
        <v>1</v>
      </c>
      <c r="K400" s="6" t="n"/>
      <c r="P400">
        <f>MAX(P401)</f>
        <v/>
      </c>
      <c r="S400">
        <f>S401</f>
        <v/>
      </c>
      <c r="T400">
        <f>(E400/100000+F400/100+(P400/1000)*J400/5+S400/200)*200*I400*H400</f>
        <v/>
      </c>
      <c r="U400">
        <f>((E400*F400/25000)+((P400/1000)*J400*S400/2.5))*I400*H400</f>
        <v/>
      </c>
      <c r="V400">
        <f>(E400*F400*(P400/1000)*J400*S400*I400*H400)/12500000</f>
        <v/>
      </c>
      <c r="W400">
        <f>(T400+U400+V400)/3</f>
        <v/>
      </c>
      <c r="X400" s="6" t="n">
        <v>1000</v>
      </c>
      <c r="Y400">
        <f>IFERROR(W400-X400,"")</f>
        <v/>
      </c>
      <c r="Z400">
        <f>IFERROR(ABS(Y400)/MAX(X400,1),"")</f>
        <v/>
      </c>
      <c r="AA400">
        <f>IFERROR((X400-(((E400/100000+F400/100+S400/200)*200*I400*H400)+((E400*F400/25000)*I400*H400))/3)/(((J400/5)*200*I400*H400)+((J400*S400/2.5)*I400*H400)+((E400*F400*J400*S400*I400*H400)/12500000))/3*1000,"")</f>
        <v/>
      </c>
    </row>
    <row r="401">
      <c r="B401" s="7" t="inlineStr">
        <is>
          <t xml:space="preserve">  ↳ RA220mmrapid</t>
        </is>
      </c>
      <c r="C401" s="7" t="inlineStr">
        <is>
          <t>Armament</t>
        </is>
      </c>
      <c r="L401" s="6" t="n">
        <v>4000</v>
      </c>
      <c r="M401" s="6" t="n">
        <v>15</v>
      </c>
      <c r="N401" s="6" t="n">
        <v>1</v>
      </c>
      <c r="O401" s="6" t="n"/>
      <c r="P401" s="6" t="n">
        <v>5000</v>
      </c>
      <c r="Q401" s="6" t="n">
        <v>0.875</v>
      </c>
      <c r="R401">
        <f>M401+IF(N401&gt;1,N(O401)*(N401-1),0)</f>
        <v/>
      </c>
      <c r="S401">
        <f>IFERROR(L401*MAX(N401,1)/R401*Q401*IF(ISBLANK(K400),1,K400),0)</f>
        <v/>
      </c>
      <c r="AB401" s="7" t="inlineStr">
        <is>
          <t>^RA2SmallArms, ^RA2Chaingun</t>
        </is>
      </c>
    </row>
    <row r="402">
      <c r="A402" t="inlineStr">
        <is>
          <t>redalert2mod</t>
        </is>
      </c>
      <c r="B402" t="inlineStr">
        <is>
          <t>naxis_bmwbike</t>
        </is>
      </c>
      <c r="C402" t="inlineStr">
        <is>
          <t>BMW Bike</t>
        </is>
      </c>
      <c r="D402" s="6" t="inlineStr">
        <is>
          <t>ScoutVehicle</t>
        </is>
      </c>
      <c r="E402" s="6" t="n">
        <v>22000</v>
      </c>
      <c r="F402" s="6" t="n">
        <v>125</v>
      </c>
      <c r="G402" t="inlineStr">
        <is>
          <t>Light</t>
        </is>
      </c>
      <c r="H402" s="6" t="n">
        <v>1</v>
      </c>
      <c r="I402" s="6" t="n">
        <v>1</v>
      </c>
      <c r="J402" s="6" t="n">
        <v>1</v>
      </c>
      <c r="K402" s="6" t="n"/>
      <c r="P402">
        <f>MAX(P403,P404)</f>
        <v/>
      </c>
      <c r="S402">
        <f>S403+S404</f>
        <v/>
      </c>
      <c r="T402">
        <f>(E402/100000+F402/100+(P402/1000)*J402/5+S402/200)*200*I402*H402</f>
        <v/>
      </c>
      <c r="U402">
        <f>((E402*F402/25000)+((P402/1000)*J402*S402/2.5))*I402*H402</f>
        <v/>
      </c>
      <c r="V402">
        <f>(E402*F402*(P402/1000)*J402*S402*I402*H402)/12500000</f>
        <v/>
      </c>
      <c r="W402">
        <f>(T402+U402+V402)/3</f>
        <v/>
      </c>
      <c r="X402" s="6" t="n">
        <v>450</v>
      </c>
      <c r="Y402">
        <f>IFERROR(W402-X402,"")</f>
        <v/>
      </c>
      <c r="Z402">
        <f>IFERROR(ABS(Y402)/MAX(X402,1),"")</f>
        <v/>
      </c>
      <c r="AA402">
        <f>IFERROR((X402-(((E402/100000+F402/100+S402/200)*200*I402*H402)+((E402*F402/25000)*I402*H402))/3)/(((J402/5)*200*I402*H402)+((J402*S402/2.5)*I402*H402)+((E402*F402*J402*S402*I402*H402)/12500000))/3*1000,"")</f>
        <v/>
      </c>
    </row>
    <row r="403">
      <c r="B403" s="7" t="inlineStr">
        <is>
          <t xml:space="preserve">  ↳ NaxiWW2MachinegunSmall</t>
        </is>
      </c>
      <c r="C403" s="7" t="inlineStr">
        <is>
          <t>Armament@AG</t>
        </is>
      </c>
      <c r="L403" s="6" t="n">
        <v>2000</v>
      </c>
      <c r="M403" s="6" t="n">
        <v>60</v>
      </c>
      <c r="N403" s="6" t="n">
        <v>3</v>
      </c>
      <c r="O403" s="6" t="n">
        <v>4</v>
      </c>
      <c r="P403" s="6" t="n">
        <v>5570</v>
      </c>
      <c r="Q403" s="6" t="n">
        <v>0.875</v>
      </c>
      <c r="R403">
        <f>M403+IF(N403&gt;1,N(O403)*(N403-1),0)</f>
        <v/>
      </c>
      <c r="S403">
        <f>IFERROR(L403*MAX(N403,1)/R403*Q403*IF(ISBLANK(K402),1,K402),0)</f>
        <v/>
      </c>
      <c r="AB403" s="7" t="inlineStr">
        <is>
          <t>^RA2SmallArms, ^RA2Chaingun</t>
        </is>
      </c>
    </row>
    <row r="404">
      <c r="B404" s="7" t="inlineStr">
        <is>
          <t xml:space="preserve">  ↳ NaxiWW2MachinegunSmallAA</t>
        </is>
      </c>
      <c r="C404" s="7" t="inlineStr">
        <is>
          <t>Armament@AA</t>
        </is>
      </c>
      <c r="L404" s="6" t="n">
        <v>2000</v>
      </c>
      <c r="M404" s="6" t="n">
        <v>60</v>
      </c>
      <c r="N404" s="6" t="n">
        <v>3</v>
      </c>
      <c r="O404" s="6" t="n">
        <v>4</v>
      </c>
      <c r="P404" s="6" t="n">
        <v>8355</v>
      </c>
      <c r="Q404" s="6" t="n">
        <v>0.875</v>
      </c>
      <c r="R404">
        <f>M404+IF(N404&gt;1,N(O404)*(N404-1),0)</f>
        <v/>
      </c>
      <c r="S404">
        <f>IFERROR(L404*MAX(N404,1)/R404*Q404*IF(ISBLANK(K402),1,K402),0)</f>
        <v/>
      </c>
      <c r="AB404" s="7" t="inlineStr">
        <is>
          <t>^RA2SmallArms, ^RA2Chaingun</t>
        </is>
      </c>
    </row>
    <row r="405">
      <c r="A405" t="inlineStr">
        <is>
          <t>redalert2mod</t>
        </is>
      </c>
      <c r="B405" t="inlineStr">
        <is>
          <t>futuretech_salamanderifv</t>
        </is>
      </c>
      <c r="C405" t="inlineStr">
        <is>
          <t>Salamander IFV</t>
        </is>
      </c>
      <c r="D405" s="6" t="inlineStr">
        <is>
          <t>ScoutVehicle</t>
        </is>
      </c>
      <c r="E405" s="6" t="n">
        <v>50000</v>
      </c>
      <c r="F405" s="6" t="n">
        <v>150</v>
      </c>
      <c r="G405" t="inlineStr">
        <is>
          <t>Scout</t>
        </is>
      </c>
      <c r="H405" s="6" t="n">
        <v>1</v>
      </c>
      <c r="I405" s="6" t="n">
        <v>0.333</v>
      </c>
      <c r="J405" s="6" t="n">
        <v>1</v>
      </c>
      <c r="K405" s="6" t="n">
        <v>1.5</v>
      </c>
      <c r="P405">
        <f>MAX(P406,P407,P408,P409,P410,P411,P412,P413,P414,P415,P416,P417,P418,P419,P420,P421,P422,P423,P424,P425,P426,P427,P428,P429,P430,P431,P432,P433,P434,P435,P436,P437,P438,P439,P440,P441,P442,P443,P444,P445,P446,P447)</f>
        <v/>
      </c>
      <c r="S405">
        <f>S406+S407+S408+S409+S410+S411+S412+S413+S414+S415+S416+S417+S418+S419+S420+S421+S422+S423+S424+S425+S426+S427+S428+S429+S430+S431+S432+S433+S434+S435+S436+S437+S438+S439+S440+S441+S442+S443+S444+S445+S446+S447</f>
        <v/>
      </c>
      <c r="T405">
        <f>(E405/100000+F405/100+(P405/1000)*J405/5+S405/200)*200*I405*H405</f>
        <v/>
      </c>
      <c r="U405">
        <f>((E405*F405/25000)+((P405/1000)*J405*S405/2.5))*I405*H405</f>
        <v/>
      </c>
      <c r="V405">
        <f>(E405*F405*(P405/1000)*J405*S405*I405*H405)/12500000</f>
        <v/>
      </c>
      <c r="W405">
        <f>(T405+U405+V405)/3</f>
        <v/>
      </c>
      <c r="X405" s="6" t="n">
        <v>950</v>
      </c>
      <c r="Y405">
        <f>IFERROR(W405-X405,"")</f>
        <v/>
      </c>
      <c r="Z405">
        <f>IFERROR(ABS(Y405)/MAX(X405,1),"")</f>
        <v/>
      </c>
      <c r="AA405">
        <f>IFERROR((X405-(((E405/100000+F405/100+S405/200)*200*I405*H405)+((E405*F405/25000)*I405*H405))/3)/(((J405/5)*200*I405*H405)+((J405*S405/2.5)*I405*H405)+((E405*F405*J405*S405*I405*H405)/12500000))/3*1000,"")</f>
        <v/>
      </c>
    </row>
    <row r="406">
      <c r="B406" s="7" t="inlineStr">
        <is>
          <t xml:space="preserve">  ↳ RA2CRM60</t>
        </is>
      </c>
      <c r="C406" s="7" t="inlineStr">
        <is>
          <t>Armament@mg</t>
        </is>
      </c>
      <c r="L406" s="6" t="n">
        <v>2000</v>
      </c>
      <c r="M406" s="6" t="n">
        <v>14</v>
      </c>
      <c r="N406" s="6" t="n">
        <v>4</v>
      </c>
      <c r="O406" s="6" t="n">
        <v>2</v>
      </c>
      <c r="P406" s="6" t="n">
        <v>5660</v>
      </c>
      <c r="Q406" s="6" t="n">
        <v>0.875</v>
      </c>
      <c r="R406">
        <f>M406+IF(N406&gt;1,N(O406)*(N406-1),0)</f>
        <v/>
      </c>
      <c r="S406">
        <f>IFERROR(L406*MAX(N406,1)/R406*Q406*IF(ISBLANK(K405),1,K405),0)</f>
        <v/>
      </c>
      <c r="AB406" s="7" t="inlineStr">
        <is>
          <t>^RA2SmallArms, ^RA2Chaingun</t>
        </is>
      </c>
    </row>
    <row r="407">
      <c r="B407" s="7" t="inlineStr">
        <is>
          <t xml:space="preserve">  ↳ RA2CRM60H</t>
        </is>
      </c>
      <c r="C407" s="7" t="inlineStr">
        <is>
          <t>Armament@hmg</t>
        </is>
      </c>
      <c r="L407" s="6" t="n">
        <v>2000</v>
      </c>
      <c r="M407" s="6" t="n">
        <v>10</v>
      </c>
      <c r="N407" s="6" t="n">
        <v>6</v>
      </c>
      <c r="O407" s="6" t="n">
        <v>2</v>
      </c>
      <c r="P407" s="6" t="n">
        <v>4692</v>
      </c>
      <c r="Q407" s="6" t="n">
        <v>1</v>
      </c>
      <c r="R407">
        <f>M407+IF(N407&gt;1,N(O407)*(N407-1),0)</f>
        <v/>
      </c>
      <c r="S407">
        <f>IFERROR(L407*MAX(N407,1)/R407*Q407*IF(ISBLANK(K405),1,K405),0)</f>
        <v/>
      </c>
      <c r="AB407" s="7" t="inlineStr">
        <is>
          <t>^HeavyCannon, ^RA2Chaingun, ^SniperWeapon</t>
        </is>
      </c>
    </row>
    <row r="408">
      <c r="B408" s="7" t="inlineStr">
        <is>
          <t xml:space="preserve">  ↳ wc_tower_fire</t>
        </is>
      </c>
      <c r="C408" s="7" t="inlineStr">
        <is>
          <t>Armament@archer</t>
        </is>
      </c>
      <c r="L408" s="6" t="n">
        <v>2500</v>
      </c>
      <c r="M408" s="6" t="n">
        <v>40</v>
      </c>
      <c r="N408" s="6" t="n">
        <v>1</v>
      </c>
      <c r="O408" s="6" t="n"/>
      <c r="P408" s="6" t="n">
        <v>8704</v>
      </c>
      <c r="Q408" s="6" t="n">
        <v>1</v>
      </c>
      <c r="R408">
        <f>M408+IF(N408&gt;1,N(O408)*(N408-1),0)</f>
        <v/>
      </c>
      <c r="S408">
        <f>IFERROR(L408*MAX(N408,1)/R408*Q408*IF(ISBLANK(K405),1,K405),0)</f>
        <v/>
      </c>
      <c r="AB408" s="7" t="inlineStr">
        <is>
          <t>bowFire</t>
        </is>
      </c>
    </row>
    <row r="409">
      <c r="B409" s="7" t="inlineStr">
        <is>
          <t xml:space="preserve">  ↳ RA2IFVRepair</t>
        </is>
      </c>
      <c r="C409" s="7" t="inlineStr">
        <is>
          <t>Armament@repair</t>
        </is>
      </c>
      <c r="L409" s="6" t="n">
        <v>-1</v>
      </c>
      <c r="M409" s="6" t="n">
        <v>50</v>
      </c>
      <c r="N409" s="6" t="n">
        <v>10</v>
      </c>
      <c r="O409" s="6" t="n">
        <v>1</v>
      </c>
      <c r="P409" s="6" t="n">
        <v>5000</v>
      </c>
      <c r="Q409" s="6" t="n">
        <v>1.5</v>
      </c>
      <c r="R409">
        <f>M409+IF(N409&gt;1,N(O409)*(N409-1),0)</f>
        <v/>
      </c>
      <c r="S409">
        <f>IFERROR(L409*MAX(N409,1)/R409*Q409*IF(ISBLANK(K405),1,K405),0)</f>
        <v/>
      </c>
      <c r="AB409" s="7" t="inlineStr">
        <is>
          <t>^RepairWeapon</t>
        </is>
      </c>
    </row>
    <row r="410">
      <c r="B410" s="7" t="inlineStr">
        <is>
          <t xml:space="preserve">  ↳ LightSniper</t>
        </is>
      </c>
      <c r="C410" s="7" t="inlineStr">
        <is>
          <t>Armament@lightsniper</t>
        </is>
      </c>
      <c r="L410" s="6" t="n">
        <v>30000</v>
      </c>
      <c r="M410" s="6" t="n">
        <v>100</v>
      </c>
      <c r="N410" s="6" t="n">
        <v>1</v>
      </c>
      <c r="O410" s="6" t="n"/>
      <c r="P410" s="6" t="n">
        <v>9153</v>
      </c>
      <c r="Q410" s="6" t="n">
        <v>0.75</v>
      </c>
      <c r="R410">
        <f>M410+IF(N410&gt;1,N(O410)*(N410-1),0)</f>
        <v/>
      </c>
      <c r="S410">
        <f>IFERROR(L410*MAX(N410,1)/R410*Q410*IF(ISBLANK(K405),1,K405),0)</f>
        <v/>
      </c>
      <c r="AB410" s="7" t="inlineStr">
        <is>
          <t>^SniperWeapon</t>
        </is>
      </c>
    </row>
    <row r="411">
      <c r="B411" s="7" t="inlineStr">
        <is>
          <t xml:space="preserve">  ↳ RA2DoublePistolsIFV</t>
        </is>
      </c>
      <c r="C411" s="7" t="inlineStr">
        <is>
          <t>Armament@hero</t>
        </is>
      </c>
      <c r="L411" s="6" t="n">
        <v>14000</v>
      </c>
      <c r="M411" s="6" t="n">
        <v>12</v>
      </c>
      <c r="N411" s="6" t="n">
        <v>2</v>
      </c>
      <c r="O411" s="6" t="n">
        <v>3</v>
      </c>
      <c r="P411" s="6" t="n">
        <v>8000</v>
      </c>
      <c r="Q411" s="6" t="n">
        <v>0.75</v>
      </c>
      <c r="R411">
        <f>M411+IF(N411&gt;1,N(O411)*(N411-1),0)</f>
        <v/>
      </c>
      <c r="S411">
        <f>IFERROR(L411*MAX(N411,1)/R411*Q411*IF(ISBLANK(K405),1,K405),0)</f>
        <v/>
      </c>
      <c r="AB411" s="7" t="inlineStr">
        <is>
          <t>^SniperWeapon</t>
        </is>
      </c>
    </row>
    <row r="412">
      <c r="B412" s="7" t="inlineStr">
        <is>
          <t xml:space="preserve">  ↳ TTankZap</t>
        </is>
      </c>
      <c r="C412" s="7" t="inlineStr">
        <is>
          <t>Armament@tesla</t>
        </is>
      </c>
      <c r="L412" s="6" t="n">
        <v>40000</v>
      </c>
      <c r="M412" s="6" t="n">
        <v>80</v>
      </c>
      <c r="N412" s="6" t="n">
        <v>1</v>
      </c>
      <c r="O412" s="6" t="n"/>
      <c r="P412" s="6" t="n">
        <v>7300</v>
      </c>
      <c r="Q412" s="6" t="n">
        <v>1</v>
      </c>
      <c r="R412">
        <f>M412+IF(N412&gt;1,N(O412)*(N412-1),0)</f>
        <v/>
      </c>
      <c r="S412">
        <f>IFERROR(L412*MAX(N412,1)/R412*Q412*IF(ISBLANK(K405),1,K405),0)</f>
        <v/>
      </c>
      <c r="AB412" s="7" t="inlineStr">
        <is>
          <t>^TeslaWeapon</t>
        </is>
      </c>
    </row>
    <row r="413">
      <c r="B413" s="7" t="inlineStr">
        <is>
          <t xml:space="preserve">  ↳ DragunovSniper</t>
        </is>
      </c>
      <c r="C413" s="7" t="inlineStr">
        <is>
          <t>Armament@flak</t>
        </is>
      </c>
      <c r="L413" s="6" t="n">
        <v>8000</v>
      </c>
      <c r="M413" s="6" t="n">
        <v>85</v>
      </c>
      <c r="N413" s="6" t="n">
        <v>1</v>
      </c>
      <c r="O413" s="6" t="n"/>
      <c r="P413" s="6" t="n">
        <v>6880</v>
      </c>
      <c r="Q413" s="6" t="n">
        <v>1.0625</v>
      </c>
      <c r="R413">
        <f>M413+IF(N413&gt;1,N(O413)*(N413-1),0)</f>
        <v/>
      </c>
      <c r="S413">
        <f>IFERROR(L413*MAX(N413,1)/R413*Q413*IF(ISBLANK(K405),1,K405),0)</f>
        <v/>
      </c>
      <c r="AB413" s="7" t="inlineStr">
        <is>
          <t>^TankDestroyerCannon, ^RailgunWeapon, ^LightMissile, ^HeavyCannon, ^FlakWeapon</t>
        </is>
      </c>
    </row>
    <row r="414">
      <c r="B414" s="7" t="inlineStr">
        <is>
          <t xml:space="preserve">  ↳ RA2MirageGun</t>
        </is>
      </c>
      <c r="C414" s="7" t="inlineStr">
        <is>
          <t>Armament@cannon</t>
        </is>
      </c>
      <c r="L414" s="6" t="n">
        <v>8000</v>
      </c>
      <c r="M414" s="6" t="n">
        <v>39</v>
      </c>
      <c r="N414" s="6" t="n">
        <v>1</v>
      </c>
      <c r="O414" s="6" t="n"/>
      <c r="P414" s="6" t="n">
        <v>6031</v>
      </c>
      <c r="Q414" s="6" t="n">
        <v>1.125</v>
      </c>
      <c r="R414">
        <f>M414+IF(N414&gt;1,N(O414)*(N414-1),0)</f>
        <v/>
      </c>
      <c r="S414">
        <f>IFERROR(L414*MAX(N414,1)/R414*Q414*IF(ISBLANK(K405),1,K405),0)</f>
        <v/>
      </c>
      <c r="AB414" s="7" t="inlineStr">
        <is>
          <t>^RailgunWeapon, ^MediumChemicalWeapon, ^RA2TankDestroyerCannon</t>
        </is>
      </c>
    </row>
    <row r="415">
      <c r="B415" s="7" t="inlineStr">
        <is>
          <t xml:space="preserve">  ↳ Grenade</t>
        </is>
      </c>
      <c r="C415" s="7" t="inlineStr">
        <is>
          <t>Armament@grenade</t>
        </is>
      </c>
      <c r="L415" s="6" t="n">
        <v>16000</v>
      </c>
      <c r="M415" s="6" t="n">
        <v>42</v>
      </c>
      <c r="N415" s="6" t="n">
        <v>1</v>
      </c>
      <c r="O415" s="6" t="n"/>
      <c r="P415" s="6" t="n">
        <v>6097</v>
      </c>
      <c r="Q415" s="6" t="n">
        <v>1</v>
      </c>
      <c r="R415">
        <f>M415+IF(N415&gt;1,N(O415)*(N415-1),0)</f>
        <v/>
      </c>
      <c r="S415">
        <f>IFERROR(L415*MAX(N415,1)/R415*Q415*IF(ISBLANK(K405),1,K405),0)</f>
        <v/>
      </c>
      <c r="AB415" s="7" t="inlineStr">
        <is>
          <t>^Grenade</t>
        </is>
      </c>
    </row>
    <row r="416">
      <c r="B416" s="7" t="inlineStr">
        <is>
          <t xml:space="preserve">  ↳ DRPlasmaTankWeapon</t>
        </is>
      </c>
      <c r="C416" s="7" t="inlineStr">
        <is>
          <t>Armament@plasma</t>
        </is>
      </c>
      <c r="L416" s="6" t="n">
        <v>3750</v>
      </c>
      <c r="M416" s="6" t="n">
        <v>21</v>
      </c>
      <c r="N416" s="6" t="n">
        <v>1</v>
      </c>
      <c r="O416" s="6" t="n"/>
      <c r="P416" s="6" t="n">
        <v>5120</v>
      </c>
      <c r="Q416" s="6" t="n">
        <v>1</v>
      </c>
      <c r="R416">
        <f>M416+IF(N416&gt;1,N(O416)*(N416-1),0)</f>
        <v/>
      </c>
      <c r="S416">
        <f>IFERROR(L416*MAX(N416,1)/R416*Q416*IF(ISBLANK(K405),1,K405),0)</f>
        <v/>
      </c>
      <c r="AB416" s="7" t="inlineStr">
        <is>
          <t>^DRPlasmaWeapon</t>
        </is>
      </c>
    </row>
    <row r="417">
      <c r="B417" s="7" t="inlineStr">
        <is>
          <t xml:space="preserve">  ↳ SWLaserG</t>
        </is>
      </c>
      <c r="C417" s="7" t="inlineStr">
        <is>
          <t>Armament@litlaser</t>
        </is>
      </c>
      <c r="L417" s="6" t="n">
        <v>2000</v>
      </c>
      <c r="M417" s="6" t="n">
        <v>30</v>
      </c>
      <c r="N417" s="6" t="n">
        <v>6</v>
      </c>
      <c r="O417" s="6" t="n"/>
      <c r="P417" s="6" t="n">
        <v>6144</v>
      </c>
      <c r="Q417" s="6" t="n">
        <v>0.75</v>
      </c>
      <c r="R417">
        <f>M417+IF(N417&gt;1,N(O417)*(N417-1),0)</f>
        <v/>
      </c>
      <c r="S417">
        <f>IFERROR(L417*MAX(N417,1)/R417*Q417*IF(ISBLANK(K405),1,K405),0)</f>
        <v/>
      </c>
      <c r="AB417" s="7" t="inlineStr">
        <is>
          <t>^LightMG</t>
        </is>
      </c>
    </row>
    <row r="418">
      <c r="B418" s="7" t="inlineStr">
        <is>
          <t xml:space="preserve">  ↳ USALaserCannonAG</t>
        </is>
      </c>
      <c r="C418" s="7" t="inlineStr">
        <is>
          <t>Armament@medlaser</t>
        </is>
      </c>
      <c r="L418" s="6" t="n">
        <v>4000</v>
      </c>
      <c r="M418" s="6" t="n">
        <v>50</v>
      </c>
      <c r="N418" s="6" t="n">
        <v>3</v>
      </c>
      <c r="O418" s="6" t="n">
        <v>6</v>
      </c>
      <c r="P418" s="6" t="n">
        <v>7168</v>
      </c>
      <c r="Q418" s="6" t="n">
        <v>1</v>
      </c>
      <c r="R418">
        <f>M418+IF(N418&gt;1,N(O418)*(N418-1),0)</f>
        <v/>
      </c>
      <c r="S418">
        <f>IFERROR(L418*MAX(N418,1)/R418*Q418*IF(ISBLANK(K405),1,K405),0)</f>
        <v/>
      </c>
      <c r="AB418" s="7" t="inlineStr">
        <is>
          <t>^AntiGroundMissile</t>
        </is>
      </c>
    </row>
    <row r="419">
      <c r="B419" s="7" t="inlineStr">
        <is>
          <t xml:space="preserve">  ↳ SWGreenLaserG</t>
        </is>
      </c>
      <c r="C419" s="7" t="inlineStr">
        <is>
          <t>Armament@greenlaser</t>
        </is>
      </c>
      <c r="L419" s="6" t="n">
        <v>5000</v>
      </c>
      <c r="M419" s="6" t="n">
        <v>75</v>
      </c>
      <c r="N419" s="6" t="n">
        <v>1</v>
      </c>
      <c r="O419" s="6" t="n"/>
      <c r="P419" s="6" t="n">
        <v>7168</v>
      </c>
      <c r="Q419" s="6" t="n">
        <v>1</v>
      </c>
      <c r="R419">
        <f>M419+IF(N419&gt;1,N(O419)*(N419-1),0)</f>
        <v/>
      </c>
      <c r="S419">
        <f>IFERROR(L419*MAX(N419,1)/R419*Q419*IF(ISBLANK(K405),1,K405),0)</f>
        <v/>
      </c>
      <c r="AB419" s="7" t="inlineStr">
        <is>
          <t>^MissileWeapon</t>
        </is>
      </c>
    </row>
    <row r="420">
      <c r="B420" s="7" t="inlineStr">
        <is>
          <t xml:space="preserve">  ↳ SWGBigRedLaserG</t>
        </is>
      </c>
      <c r="C420" s="7" t="inlineStr">
        <is>
          <t>Armament@misslaser</t>
        </is>
      </c>
      <c r="L420" s="6" t="n">
        <v>4000</v>
      </c>
      <c r="M420" s="6" t="n">
        <v>75</v>
      </c>
      <c r="N420" s="6" t="n">
        <v>1</v>
      </c>
      <c r="O420" s="6" t="n"/>
      <c r="P420" s="6" t="n">
        <v>8192</v>
      </c>
      <c r="Q420" s="6" t="n">
        <v>1</v>
      </c>
      <c r="R420">
        <f>M420+IF(N420&gt;1,N(O420)*(N420-1),0)</f>
        <v/>
      </c>
      <c r="S420">
        <f>IFERROR(L420*MAX(N420,1)/R420*Q420*IF(ISBLANK(K405),1,K405),0)</f>
        <v/>
      </c>
      <c r="AB420" s="7" t="inlineStr">
        <is>
          <t>^MissileWeapon</t>
        </is>
      </c>
    </row>
    <row r="421">
      <c r="B421" s="7" t="inlineStr">
        <is>
          <t xml:space="preserve">  ↳ BigFlamer</t>
        </is>
      </c>
      <c r="C421" s="7" t="inlineStr">
        <is>
          <t>Armament@fire</t>
        </is>
      </c>
      <c r="L421" s="6" t="n">
        <v>14000</v>
      </c>
      <c r="M421" s="6" t="n">
        <v>50</v>
      </c>
      <c r="N421" s="6" t="n">
        <v>2</v>
      </c>
      <c r="O421" s="6" t="n">
        <v>10</v>
      </c>
      <c r="P421" s="6" t="n">
        <v>2390</v>
      </c>
      <c r="Q421" s="6" t="n">
        <v>1</v>
      </c>
      <c r="R421">
        <f>M421+IF(N421&gt;1,N(O421)*(N421-1),0)</f>
        <v/>
      </c>
      <c r="S421">
        <f>IFERROR(L421*MAX(N421,1)/R421*Q421*IF(ISBLANK(K405),1,K405),0)</f>
        <v/>
      </c>
      <c r="AB421" s="7" t="inlineStr">
        <is>
          <t>^MediumFlameWeapon</t>
        </is>
      </c>
    </row>
    <row r="422">
      <c r="B422" s="7" t="inlineStr">
        <is>
          <t xml:space="preserve">  ↳ RA2RadBeamWeapon</t>
        </is>
      </c>
      <c r="C422" s="7" t="inlineStr">
        <is>
          <t>Armament@chem</t>
        </is>
      </c>
      <c r="L422" s="6" t="n">
        <v>30000</v>
      </c>
      <c r="M422" s="6" t="n">
        <v>45</v>
      </c>
      <c r="N422" s="6" t="n">
        <v>1</v>
      </c>
      <c r="O422" s="6" t="n"/>
      <c r="P422" s="6" t="n">
        <v>6444</v>
      </c>
      <c r="Q422" s="6" t="n">
        <v>1</v>
      </c>
      <c r="R422">
        <f>M422+IF(N422&gt;1,N(O422)*(N422-1),0)</f>
        <v/>
      </c>
      <c r="S422">
        <f>IFERROR(L422*MAX(N422,1)/R422*Q422*IF(ISBLANK(K405),1,K405),0)</f>
        <v/>
      </c>
      <c r="AB422" s="7" t="inlineStr">
        <is>
          <t>^MediumChemicalWeapon</t>
        </is>
      </c>
    </row>
    <row r="423">
      <c r="B423" s="7" t="inlineStr">
        <is>
          <t xml:space="preserve">  ↳ RA2RadBeamWeapon</t>
        </is>
      </c>
      <c r="C423" s="7" t="inlineStr">
        <is>
          <t>Armament@thrax</t>
        </is>
      </c>
      <c r="L423" s="6" t="n">
        <v>30000</v>
      </c>
      <c r="M423" s="6" t="n">
        <v>45</v>
      </c>
      <c r="N423" s="6" t="n">
        <v>1</v>
      </c>
      <c r="O423" s="6" t="n"/>
      <c r="P423" s="6" t="n">
        <v>6444</v>
      </c>
      <c r="Q423" s="6" t="n">
        <v>1</v>
      </c>
      <c r="R423">
        <f>M423+IF(N423&gt;1,N(O423)*(N423-1),0)</f>
        <v/>
      </c>
      <c r="S423">
        <f>IFERROR(L423*MAX(N423,1)/R423*Q423*IF(ISBLANK(K405),1,K405),0)</f>
        <v/>
      </c>
      <c r="AB423" s="7" t="inlineStr">
        <is>
          <t>^MediumChemicalWeapon</t>
        </is>
      </c>
    </row>
    <row r="424">
      <c r="B424" s="7" t="inlineStr">
        <is>
          <t xml:space="preserve">  ↳ RA2MultiHoverMissile</t>
        </is>
      </c>
      <c r="C424" s="7" t="inlineStr">
        <is>
          <t>Armament@missile</t>
        </is>
      </c>
      <c r="L424" s="6" t="n">
        <v>2000</v>
      </c>
      <c r="M424" s="6" t="n">
        <v>20</v>
      </c>
      <c r="N424" s="6" t="n">
        <v>4</v>
      </c>
      <c r="O424" s="6" t="n">
        <v>4</v>
      </c>
      <c r="P424" s="6" t="n">
        <v>6170</v>
      </c>
      <c r="Q424" s="6" t="n">
        <v>0.9166666666666666</v>
      </c>
      <c r="R424">
        <f>M424+IF(N424&gt;1,N(O424)*(N424-1),0)</f>
        <v/>
      </c>
      <c r="S424">
        <f>IFERROR(L424*MAX(N424,1)/R424*Q424*IF(ISBLANK(K405),1,K405),0)</f>
        <v/>
      </c>
      <c r="AB424" s="7" t="inlineStr">
        <is>
          <t>^MediumCannon, ^MediumChemicalWeapon, ^ArrowWeapon, ^RA2LightMissile</t>
        </is>
      </c>
    </row>
    <row r="425">
      <c r="B425" s="7" t="inlineStr">
        <is>
          <t xml:space="preserve">  ↳ IFVChronoBeam</t>
        </is>
      </c>
      <c r="C425" s="7" t="inlineStr">
        <is>
          <t>Armament@chrono</t>
        </is>
      </c>
      <c r="L425" s="6" t="n"/>
      <c r="M425" s="6" t="n">
        <v>1</v>
      </c>
      <c r="N425" s="6" t="n">
        <v>1</v>
      </c>
      <c r="O425" s="6" t="n"/>
      <c r="P425" s="6" t="n">
        <v>7500</v>
      </c>
      <c r="Q425" s="6" t="n">
        <v>1</v>
      </c>
      <c r="R425">
        <f>M425+IF(N425&gt;1,N(O425)*(N425-1),0)</f>
        <v/>
      </c>
      <c r="S425">
        <f>IFERROR(L425*MAX(N425,1)/R425*Q425*IF(ISBLANK(K405),1,K405),0)</f>
        <v/>
      </c>
      <c r="AB425" s="7" t="inlineStr">
        <is>
          <t>ChronoBeam</t>
        </is>
      </c>
    </row>
    <row r="426">
      <c r="B426" s="7" t="inlineStr">
        <is>
          <t xml:space="preserve">  ↳ IFVChronoSound</t>
        </is>
      </c>
      <c r="C426" s="7" t="inlineStr">
        <is>
          <t>Armament@chronosound</t>
        </is>
      </c>
      <c r="L426" s="6" t="n"/>
      <c r="M426" s="6" t="n">
        <v>180</v>
      </c>
      <c r="N426" s="6" t="n">
        <v>1</v>
      </c>
      <c r="O426" s="6" t="n"/>
      <c r="P426" s="6" t="n">
        <v>8000</v>
      </c>
      <c r="Q426" s="6" t="n">
        <v>1</v>
      </c>
      <c r="R426">
        <f>M426+IF(N426&gt;1,N(O426)*(N426-1),0)</f>
        <v/>
      </c>
      <c r="S426">
        <f>IFERROR(L426*MAX(N426,1)/R426*Q426*IF(ISBLANK(K405),1,K405),0)</f>
        <v/>
      </c>
      <c r="AB426" s="7" t="inlineStr">
        <is>
          <t>RA2ChronoTele</t>
        </is>
      </c>
    </row>
    <row r="427">
      <c r="B427" s="7" t="inlineStr">
        <is>
          <t xml:space="preserve">  ↳ DemoTruckTargeting</t>
        </is>
      </c>
      <c r="C427" s="7" t="inlineStr">
        <is>
          <t>Armament@ivan</t>
        </is>
      </c>
      <c r="L427" s="6" t="n"/>
      <c r="M427" s="6" t="n"/>
      <c r="N427" s="6" t="n">
        <v>1</v>
      </c>
      <c r="O427" s="6" t="n"/>
      <c r="P427" s="6" t="n">
        <v>2000</v>
      </c>
      <c r="Q427" s="6" t="n">
        <v>1</v>
      </c>
      <c r="R427">
        <f>M427+IF(N427&gt;1,N(O427)*(N427-1),0)</f>
        <v/>
      </c>
      <c r="S427">
        <f>IFERROR(L427*MAX(N427,1)/R427*Q427*IF(ISBLANK(K405),1,K405),0)</f>
        <v/>
      </c>
      <c r="AB427" s="7" t="inlineStr"/>
    </row>
    <row r="428">
      <c r="B428" s="7" t="inlineStr">
        <is>
          <t xml:space="preserve">  ↳ Fremen_L</t>
        </is>
      </c>
      <c r="C428" s="7" t="inlineStr">
        <is>
          <t>Armament@fremen</t>
        </is>
      </c>
      <c r="L428" s="6" t="n">
        <v>3000</v>
      </c>
      <c r="M428" s="6" t="n">
        <v>25</v>
      </c>
      <c r="N428" s="6" t="n">
        <v>1</v>
      </c>
      <c r="O428" s="6" t="n"/>
      <c r="P428" s="6" t="n">
        <v>2560</v>
      </c>
      <c r="Q428" s="6" t="n">
        <v>1</v>
      </c>
      <c r="R428">
        <f>M428+IF(N428&gt;1,N(O428)*(N428-1),0)</f>
        <v/>
      </c>
      <c r="S428">
        <f>IFERROR(L428*MAX(N428,1)/R428*Q428*IF(ISBLANK(K405),1,K405),0)</f>
        <v/>
      </c>
      <c r="AB428" s="7" t="inlineStr">
        <is>
          <t>^MG</t>
        </is>
      </c>
    </row>
    <row r="429">
      <c r="B429" s="7" t="inlineStr">
        <is>
          <t xml:space="preserve">  ↳ TSSonicZap</t>
        </is>
      </c>
      <c r="C429" s="7" t="inlineStr">
        <is>
          <t>Armament@sonic</t>
        </is>
      </c>
      <c r="L429" s="6" t="n">
        <v>4000</v>
      </c>
      <c r="M429" s="6" t="n">
        <v>60</v>
      </c>
      <c r="N429" s="6" t="n">
        <v>1</v>
      </c>
      <c r="O429" s="6" t="n"/>
      <c r="P429" s="6" t="n">
        <v>6144</v>
      </c>
      <c r="Q429" s="6" t="n">
        <v>1</v>
      </c>
      <c r="R429">
        <f>M429+IF(N429&gt;1,N(O429)*(N429-1),0)</f>
        <v/>
      </c>
      <c r="S429">
        <f>IFERROR(L429*MAX(N429,1)/R429*Q429*IF(ISBLANK(K405),1,K405),0)</f>
        <v/>
      </c>
      <c r="AB429" s="7" t="inlineStr"/>
    </row>
    <row r="430">
      <c r="B430" s="7" t="inlineStr">
        <is>
          <t xml:space="preserve">  ↳ MedicHeal</t>
        </is>
      </c>
      <c r="C430" s="7" t="inlineStr">
        <is>
          <t>Armament@heal</t>
        </is>
      </c>
      <c r="L430" s="6" t="n">
        <v>-1</v>
      </c>
      <c r="M430" s="6" t="n">
        <v>10</v>
      </c>
      <c r="N430" s="6" t="n">
        <v>1</v>
      </c>
      <c r="O430" s="6" t="n"/>
      <c r="P430" s="6" t="n">
        <v>6000</v>
      </c>
      <c r="Q430" s="6" t="n">
        <v>1</v>
      </c>
      <c r="R430">
        <f>M430+IF(N430&gt;1,N(O430)*(N430-1),0)</f>
        <v/>
      </c>
      <c r="S430">
        <f>IFERROR(L430*MAX(N430,1)/R430*Q430*IF(ISBLANK(K405),1,K405),0)</f>
        <v/>
      </c>
      <c r="AB430" s="7" t="inlineStr">
        <is>
          <t>^HealingWeapon</t>
        </is>
      </c>
    </row>
    <row r="431">
      <c r="B431" s="7" t="inlineStr">
        <is>
          <t xml:space="preserve">  ↳ RA2HoverMissile</t>
        </is>
      </c>
      <c r="C431" s="7" t="inlineStr">
        <is>
          <t>Armament@primary</t>
        </is>
      </c>
      <c r="L431" s="6" t="n">
        <v>6000</v>
      </c>
      <c r="M431" s="6" t="n">
        <v>28</v>
      </c>
      <c r="N431" s="6" t="n">
        <v>2</v>
      </c>
      <c r="O431" s="6" t="n">
        <v>4</v>
      </c>
      <c r="P431" s="6" t="n">
        <v>5760</v>
      </c>
      <c r="Q431" s="6" t="n">
        <v>0.75</v>
      </c>
      <c r="R431">
        <f>M431+IF(N431&gt;1,N(O431)*(N431-1),0)</f>
        <v/>
      </c>
      <c r="S431">
        <f>IFERROR(L431*MAX(N431,1)/R431*Q431*IF(ISBLANK(K405),1,K405),0)</f>
        <v/>
      </c>
      <c r="AB431" s="7" t="inlineStr">
        <is>
          <t>^ArrowWeapon, ^RA2LightMissile</t>
        </is>
      </c>
    </row>
    <row r="432">
      <c r="B432" s="7" t="inlineStr">
        <is>
          <t xml:space="preserve">  ↳ RA2HoverMissile_elite</t>
        </is>
      </c>
      <c r="C432" s="7" t="inlineStr">
        <is>
          <t>Armament@primaryelite</t>
        </is>
      </c>
      <c r="L432" s="6" t="n">
        <v>6000</v>
      </c>
      <c r="M432" s="6" t="n">
        <v>28</v>
      </c>
      <c r="N432" s="6" t="n">
        <v>4</v>
      </c>
      <c r="O432" s="6" t="n">
        <v>4</v>
      </c>
      <c r="P432" s="6" t="n">
        <v>6760</v>
      </c>
      <c r="Q432" s="6" t="n">
        <v>0.75</v>
      </c>
      <c r="R432">
        <f>M432+IF(N432&gt;1,N(O432)*(N432-1),0)</f>
        <v/>
      </c>
      <c r="S432">
        <f>IFERROR(L432*MAX(N432,1)/R432*Q432*IF(ISBLANK(K405),1,K405),0)</f>
        <v/>
      </c>
      <c r="AB432" s="7" t="inlineStr">
        <is>
          <t>^ArrowWeapon, ^RA2LightMissile</t>
        </is>
      </c>
    </row>
    <row r="433">
      <c r="B433" s="7" t="inlineStr">
        <is>
          <t xml:space="preserve">  ↳ RA2HoverMissileAA</t>
        </is>
      </c>
      <c r="C433" s="7" t="inlineStr">
        <is>
          <t>Armament@primaryAA</t>
        </is>
      </c>
      <c r="L433" s="6" t="n">
        <v>6000</v>
      </c>
      <c r="M433" s="6" t="n">
        <v>28</v>
      </c>
      <c r="N433" s="6" t="n">
        <v>2</v>
      </c>
      <c r="O433" s="6" t="n">
        <v>4</v>
      </c>
      <c r="P433" s="6" t="n">
        <v>8640</v>
      </c>
      <c r="Q433" s="6" t="n">
        <v>0.75</v>
      </c>
      <c r="R433">
        <f>M433+IF(N433&gt;1,N(O433)*(N433-1),0)</f>
        <v/>
      </c>
      <c r="S433">
        <f>IFERROR(L433*MAX(N433,1)/R433*Q433*IF(ISBLANK(K405),1,K405),0)</f>
        <v/>
      </c>
      <c r="AB433" s="7" t="inlineStr">
        <is>
          <t>^ArrowWeapon, ^RA2LightMissile</t>
        </is>
      </c>
    </row>
    <row r="434">
      <c r="B434" s="7" t="inlineStr">
        <is>
          <t xml:space="preserve">  ↳ RA2HoverMissileAA_elite</t>
        </is>
      </c>
      <c r="C434" s="7" t="inlineStr">
        <is>
          <t>Armament@primaryeliteAA</t>
        </is>
      </c>
      <c r="L434" s="6" t="n">
        <v>6000</v>
      </c>
      <c r="M434" s="6" t="n">
        <v>28</v>
      </c>
      <c r="N434" s="6" t="n">
        <v>4</v>
      </c>
      <c r="O434" s="6" t="n">
        <v>4</v>
      </c>
      <c r="P434" s="6" t="n">
        <v>9640</v>
      </c>
      <c r="Q434" s="6" t="n">
        <v>0.75</v>
      </c>
      <c r="R434">
        <f>M434+IF(N434&gt;1,N(O434)*(N434-1),0)</f>
        <v/>
      </c>
      <c r="S434">
        <f>IFERROR(L434*MAX(N434,1)/R434*Q434*IF(ISBLANK(K405),1,K405),0)</f>
        <v/>
      </c>
      <c r="AB434" s="7" t="inlineStr">
        <is>
          <t>^ArrowWeapon, ^RA2LightMissile</t>
        </is>
      </c>
    </row>
    <row r="435">
      <c r="B435" s="7" t="inlineStr">
        <is>
          <t xml:space="preserve">  ↳ RA2ThunderboltMissile</t>
        </is>
      </c>
      <c r="C435" s="7" t="inlineStr">
        <is>
          <t>Armament@primaryThunderbolt</t>
        </is>
      </c>
      <c r="L435" s="6" t="n">
        <v>2000</v>
      </c>
      <c r="M435" s="6" t="n">
        <v>28</v>
      </c>
      <c r="N435" s="6" t="n">
        <v>2</v>
      </c>
      <c r="O435" s="6" t="n">
        <v>4</v>
      </c>
      <c r="P435" s="6" t="n">
        <v>5760</v>
      </c>
      <c r="Q435" s="6" t="n">
        <v>1.05</v>
      </c>
      <c r="R435">
        <f>M435+IF(N435&gt;1,N(O435)*(N435-1),0)</f>
        <v/>
      </c>
      <c r="S435">
        <f>IFERROR(L435*MAX(N435,1)/R435*Q435*IF(ISBLANK(K405),1,K405),0)</f>
        <v/>
      </c>
      <c r="AB435" s="7" t="inlineStr">
        <is>
          <t>^HeavyMissile, ^HeavyAAWeapon, ^MediumMissile, ^FlakWeapon, ^ArrowWeapon, ^RA2LightMissile</t>
        </is>
      </c>
    </row>
    <row r="436">
      <c r="B436" s="7" t="inlineStr">
        <is>
          <t xml:space="preserve">  ↳ RA2ThunderboltMissile_elite</t>
        </is>
      </c>
      <c r="C436" s="7" t="inlineStr">
        <is>
          <t>Armament@primaryeliteThunderbolt</t>
        </is>
      </c>
      <c r="L436" s="6" t="n">
        <v>2000</v>
      </c>
      <c r="M436" s="6" t="n">
        <v>28</v>
      </c>
      <c r="N436" s="6" t="n">
        <v>4</v>
      </c>
      <c r="O436" s="6" t="n">
        <v>4</v>
      </c>
      <c r="P436" s="6" t="n">
        <v>6760</v>
      </c>
      <c r="Q436" s="6" t="n">
        <v>1.05</v>
      </c>
      <c r="R436">
        <f>M436+IF(N436&gt;1,N(O436)*(N436-1),0)</f>
        <v/>
      </c>
      <c r="S436">
        <f>IFERROR(L436*MAX(N436,1)/R436*Q436*IF(ISBLANK(K405),1,K405),0)</f>
        <v/>
      </c>
      <c r="AB436" s="7" t="inlineStr">
        <is>
          <t>^HeavyMissile, ^HeavyAAWeapon, ^MediumMissile, ^FlakWeapon, ^ArrowWeapon, ^RA2LightMissile</t>
        </is>
      </c>
    </row>
    <row r="437">
      <c r="B437" s="7" t="inlineStr">
        <is>
          <t xml:space="preserve">  ↳ RA2ThunderboltMissileAA</t>
        </is>
      </c>
      <c r="C437" s="7" t="inlineStr">
        <is>
          <t>Armament@primaryAAThunderbolt</t>
        </is>
      </c>
      <c r="L437" s="6" t="n">
        <v>2000</v>
      </c>
      <c r="M437" s="6" t="n">
        <v>28</v>
      </c>
      <c r="N437" s="6" t="n">
        <v>2</v>
      </c>
      <c r="O437" s="6" t="n">
        <v>4</v>
      </c>
      <c r="P437" s="6" t="n">
        <v>8640</v>
      </c>
      <c r="Q437" s="6" t="n">
        <v>1.05</v>
      </c>
      <c r="R437">
        <f>M437+IF(N437&gt;1,N(O437)*(N437-1),0)</f>
        <v/>
      </c>
      <c r="S437">
        <f>IFERROR(L437*MAX(N437,1)/R437*Q437*IF(ISBLANK(K405),1,K405),0)</f>
        <v/>
      </c>
      <c r="AB437" s="7" t="inlineStr">
        <is>
          <t>^HeavyMissile, ^HeavyAAWeapon, ^MediumMissile, ^FlakWeapon, ^ArrowWeapon, ^RA2LightMissile</t>
        </is>
      </c>
    </row>
    <row r="438">
      <c r="B438" s="7" t="inlineStr">
        <is>
          <t xml:space="preserve">  ↳ RA2ThunderboltMissileAA_elite</t>
        </is>
      </c>
      <c r="C438" s="7" t="inlineStr">
        <is>
          <t>Armament@primaryeliteAAThunderbolt</t>
        </is>
      </c>
      <c r="L438" s="6" t="n">
        <v>2000</v>
      </c>
      <c r="M438" s="6" t="n">
        <v>28</v>
      </c>
      <c r="N438" s="6" t="n">
        <v>4</v>
      </c>
      <c r="O438" s="6" t="n">
        <v>4</v>
      </c>
      <c r="P438" s="6" t="n">
        <v>9640</v>
      </c>
      <c r="Q438" s="6" t="n">
        <v>1.05</v>
      </c>
      <c r="R438">
        <f>M438+IF(N438&gt;1,N(O438)*(N438-1),0)</f>
        <v/>
      </c>
      <c r="S438">
        <f>IFERROR(L438*MAX(N438,1)/R438*Q438*IF(ISBLANK(K405),1,K405),0)</f>
        <v/>
      </c>
      <c r="AB438" s="7" t="inlineStr">
        <is>
          <t>^HeavyMissile, ^HeavyAAWeapon, ^MediumMissile, ^FlakWeapon, ^ArrowWeapon, ^RA2LightMissile</t>
        </is>
      </c>
    </row>
    <row r="439">
      <c r="B439" s="7" t="inlineStr">
        <is>
          <t xml:space="preserve">  ↳ RA2MultiHoverMissile_elite</t>
        </is>
      </c>
      <c r="C439" s="7" t="inlineStr">
        <is>
          <t>Armament@missileelite</t>
        </is>
      </c>
      <c r="L439" s="6" t="n">
        <v>4000</v>
      </c>
      <c r="M439" s="6" t="n">
        <v>20</v>
      </c>
      <c r="N439" s="6" t="n">
        <v>4</v>
      </c>
      <c r="O439" s="6" t="n">
        <v>4</v>
      </c>
      <c r="P439" s="6" t="n">
        <v>7170</v>
      </c>
      <c r="Q439" s="6" t="n">
        <v>0.9166666666666666</v>
      </c>
      <c r="R439">
        <f>M439+IF(N439&gt;1,N(O439)*(N439-1),0)</f>
        <v/>
      </c>
      <c r="S439">
        <f>IFERROR(L439*MAX(N439,1)/R439*Q439*IF(ISBLANK(K405),1,K405),0)</f>
        <v/>
      </c>
      <c r="AB439" s="7" t="inlineStr">
        <is>
          <t>^MediumCannon, ^MediumChemicalWeapon, ^ArrowWeapon, ^RA2LightMissile</t>
        </is>
      </c>
    </row>
    <row r="440">
      <c r="B440" s="7" t="inlineStr">
        <is>
          <t xml:space="preserve">  ↳ RA2MultiHoverMissileAA</t>
        </is>
      </c>
      <c r="C440" s="7" t="inlineStr">
        <is>
          <t>Armament@missileAA</t>
        </is>
      </c>
      <c r="L440" s="6" t="n">
        <v>2000</v>
      </c>
      <c r="M440" s="6" t="n">
        <v>20</v>
      </c>
      <c r="N440" s="6" t="n">
        <v>4</v>
      </c>
      <c r="O440" s="6" t="n">
        <v>4</v>
      </c>
      <c r="P440" s="6" t="n">
        <v>9255</v>
      </c>
      <c r="Q440" s="6" t="n">
        <v>0.9166666666666666</v>
      </c>
      <c r="R440">
        <f>M440+IF(N440&gt;1,N(O440)*(N440-1),0)</f>
        <v/>
      </c>
      <c r="S440">
        <f>IFERROR(L440*MAX(N440,1)/R440*Q440*IF(ISBLANK(K405),1,K405),0)</f>
        <v/>
      </c>
      <c r="AB440" s="7" t="inlineStr">
        <is>
          <t>^MediumCannon, ^MediumChemicalWeapon, ^ArrowWeapon, ^RA2LightMissile</t>
        </is>
      </c>
    </row>
    <row r="441">
      <c r="B441" s="7" t="inlineStr">
        <is>
          <t xml:space="preserve">  ↳ RA2MultiHoverMissileAA_elite</t>
        </is>
      </c>
      <c r="C441" s="7" t="inlineStr">
        <is>
          <t>Armament@missileeliteAA</t>
        </is>
      </c>
      <c r="L441" s="6" t="n">
        <v>4000</v>
      </c>
      <c r="M441" s="6" t="n">
        <v>20</v>
      </c>
      <c r="N441" s="6" t="n">
        <v>4</v>
      </c>
      <c r="O441" s="6" t="n">
        <v>4</v>
      </c>
      <c r="P441" s="6" t="n">
        <v>10255</v>
      </c>
      <c r="Q441" s="6" t="n">
        <v>0.9166666666666666</v>
      </c>
      <c r="R441">
        <f>M441+IF(N441&gt;1,N(O441)*(N441-1),0)</f>
        <v/>
      </c>
      <c r="S441">
        <f>IFERROR(L441*MAX(N441,1)/R441*Q441*IF(ISBLANK(K405),1,K405),0)</f>
        <v/>
      </c>
      <c r="AB441" s="7" t="inlineStr">
        <is>
          <t>^MediumCannon, ^MediumChemicalWeapon, ^ArrowWeapon, ^RA2LightMissile</t>
        </is>
      </c>
    </row>
    <row r="442">
      <c r="B442" s="7" t="inlineStr">
        <is>
          <t xml:space="preserve">  ↳ RA2MultiThunderboltMissile</t>
        </is>
      </c>
      <c r="C442" s="7" t="inlineStr">
        <is>
          <t>Armament@missileThunderbolt</t>
        </is>
      </c>
      <c r="L442" s="6" t="n">
        <v>2000</v>
      </c>
      <c r="M442" s="6" t="n">
        <v>20</v>
      </c>
      <c r="N442" s="6" t="n">
        <v>4</v>
      </c>
      <c r="O442" s="6" t="n">
        <v>4</v>
      </c>
      <c r="P442" s="6" t="n">
        <v>6170</v>
      </c>
      <c r="Q442" s="6" t="n">
        <v>1.035714285714286</v>
      </c>
      <c r="R442">
        <f>M442+IF(N442&gt;1,N(O442)*(N442-1),0)</f>
        <v/>
      </c>
      <c r="S442">
        <f>IFERROR(L442*MAX(N442,1)/R442*Q442*IF(ISBLANK(K405),1,K405),0)</f>
        <v/>
      </c>
      <c r="AB442" s="7" t="inlineStr">
        <is>
          <t>^HeavyMissile, ^HeavyAAWeapon, ^MediumMissile, ^FlakWeapon, ^MediumCannon, ^MediumChemicalWeapon, ^ArrowWeapon, ^RA2LightMissile</t>
        </is>
      </c>
    </row>
    <row r="443">
      <c r="B443" s="7" t="inlineStr">
        <is>
          <t xml:space="preserve">  ↳ RA2MultiThunderboltMissile_elite</t>
        </is>
      </c>
      <c r="C443" s="7" t="inlineStr">
        <is>
          <t>Armament@missileeliteThunderbolt</t>
        </is>
      </c>
      <c r="L443" s="6" t="n">
        <v>4000</v>
      </c>
      <c r="M443" s="6" t="n">
        <v>20</v>
      </c>
      <c r="N443" s="6" t="n">
        <v>4</v>
      </c>
      <c r="O443" s="6" t="n">
        <v>4</v>
      </c>
      <c r="P443" s="6" t="n">
        <v>7170</v>
      </c>
      <c r="Q443" s="6" t="n">
        <v>1.035714285714286</v>
      </c>
      <c r="R443">
        <f>M443+IF(N443&gt;1,N(O443)*(N443-1),0)</f>
        <v/>
      </c>
      <c r="S443">
        <f>IFERROR(L443*MAX(N443,1)/R443*Q443*IF(ISBLANK(K405),1,K405),0)</f>
        <v/>
      </c>
      <c r="AB443" s="7" t="inlineStr">
        <is>
          <t>^HeavyMissile, ^HeavyAAWeapon, ^MediumMissile, ^FlakWeapon, ^MediumCannon, ^MediumChemicalWeapon, ^ArrowWeapon, ^RA2LightMissile</t>
        </is>
      </c>
    </row>
    <row r="444">
      <c r="B444" s="7" t="inlineStr">
        <is>
          <t xml:space="preserve">  ↳ RA2MultiThunderboltMissileAA</t>
        </is>
      </c>
      <c r="C444" s="7" t="inlineStr">
        <is>
          <t>Armament@missileAAThunderbolt</t>
        </is>
      </c>
      <c r="L444" s="6" t="n">
        <v>2000</v>
      </c>
      <c r="M444" s="6" t="n">
        <v>20</v>
      </c>
      <c r="N444" s="6" t="n">
        <v>4</v>
      </c>
      <c r="O444" s="6" t="n">
        <v>4</v>
      </c>
      <c r="P444" s="6" t="n">
        <v>9255</v>
      </c>
      <c r="Q444" s="6" t="n">
        <v>1.035714285714286</v>
      </c>
      <c r="R444">
        <f>M444+IF(N444&gt;1,N(O444)*(N444-1),0)</f>
        <v/>
      </c>
      <c r="S444">
        <f>IFERROR(L444*MAX(N444,1)/R444*Q444*IF(ISBLANK(K405),1,K405),0)</f>
        <v/>
      </c>
      <c r="AB444" s="7" t="inlineStr">
        <is>
          <t>^HeavyMissile, ^HeavyAAWeapon, ^MediumMissile, ^FlakWeapon, ^MediumCannon, ^MediumChemicalWeapon, ^ArrowWeapon, ^RA2LightMissile</t>
        </is>
      </c>
    </row>
    <row r="445">
      <c r="B445" s="7" t="inlineStr">
        <is>
          <t xml:space="preserve">  ↳ RA2MultiThunderboltMissileAA_elite</t>
        </is>
      </c>
      <c r="C445" s="7" t="inlineStr">
        <is>
          <t>Armament@missileeliteAAThunderbolt</t>
        </is>
      </c>
      <c r="L445" s="6" t="n">
        <v>4000</v>
      </c>
      <c r="M445" s="6" t="n">
        <v>20</v>
      </c>
      <c r="N445" s="6" t="n">
        <v>4</v>
      </c>
      <c r="O445" s="6" t="n">
        <v>4</v>
      </c>
      <c r="P445" s="6" t="n">
        <v>10255</v>
      </c>
      <c r="Q445" s="6" t="n">
        <v>1.035714285714286</v>
      </c>
      <c r="R445">
        <f>M445+IF(N445&gt;1,N(O445)*(N445-1),0)</f>
        <v/>
      </c>
      <c r="S445">
        <f>IFERROR(L445*MAX(N445,1)/R445*Q445*IF(ISBLANK(K405),1,K405),0)</f>
        <v/>
      </c>
      <c r="AB445" s="7" t="inlineStr">
        <is>
          <t>^HeavyMissile, ^HeavyAAWeapon, ^MediumMissile, ^FlakWeapon, ^MediumCannon, ^MediumChemicalWeapon, ^ArrowWeapon, ^RA2LightMissile</t>
        </is>
      </c>
    </row>
    <row r="446">
      <c r="B446" s="7" t="inlineStr">
        <is>
          <t xml:space="preserve">  ↳ MedicHeal</t>
        </is>
      </c>
      <c r="C446" s="7" t="inlineStr">
        <is>
          <t>Armament@healer</t>
        </is>
      </c>
      <c r="L446" s="6" t="n">
        <v>-1</v>
      </c>
      <c r="M446" s="6" t="n">
        <v>10</v>
      </c>
      <c r="N446" s="6" t="n">
        <v>1</v>
      </c>
      <c r="O446" s="6" t="n"/>
      <c r="P446" s="6" t="n">
        <v>6000</v>
      </c>
      <c r="Q446" s="6" t="n">
        <v>1</v>
      </c>
      <c r="R446">
        <f>M446+IF(N446&gt;1,N(O446)*(N446-1),0)</f>
        <v/>
      </c>
      <c r="S446">
        <f>IFERROR(L446*MAX(N446,1)/R446*Q446*IF(ISBLANK(K405),1,K405),0)</f>
        <v/>
      </c>
      <c r="AB446" s="7" t="inlineStr">
        <is>
          <t>^HealingWeapon</t>
        </is>
      </c>
    </row>
    <row r="447">
      <c r="B447" s="7" t="inlineStr">
        <is>
          <t xml:space="preserve">  ↳ RA2AWP</t>
        </is>
      </c>
      <c r="C447" s="7" t="inlineStr">
        <is>
          <t>Armament@ra1_allies_alliedsniper</t>
        </is>
      </c>
      <c r="L447" s="6" t="n">
        <v>44000</v>
      </c>
      <c r="M447" s="6" t="n">
        <v>54</v>
      </c>
      <c r="N447" s="6" t="n">
        <v>1</v>
      </c>
      <c r="O447" s="6" t="n"/>
      <c r="P447" s="6" t="n">
        <v>10000</v>
      </c>
      <c r="Q447" s="6" t="n">
        <v>0.75</v>
      </c>
      <c r="R447">
        <f>M447+IF(N447&gt;1,N(O447)*(N447-1),0)</f>
        <v/>
      </c>
      <c r="S447">
        <f>IFERROR(L447*MAX(N447,1)/R447*Q447*IF(ISBLANK(K405),1,K405),0)</f>
        <v/>
      </c>
      <c r="AB447" s="7" t="inlineStr">
        <is>
          <t>^SniperWeapon</t>
        </is>
      </c>
    </row>
    <row r="448">
      <c r="A448" t="inlineStr">
        <is>
          <t>redalert2mod</t>
        </is>
      </c>
      <c r="B448" t="inlineStr">
        <is>
          <t>futuretech_scoutdroid</t>
        </is>
      </c>
      <c r="C448" t="inlineStr">
        <is>
          <t>Scout Droid</t>
        </is>
      </c>
      <c r="D448" s="6" t="inlineStr">
        <is>
          <t>ScoutVehicle</t>
        </is>
      </c>
      <c r="E448" s="6" t="n">
        <v>30000</v>
      </c>
      <c r="F448" s="6" t="n">
        <v>70</v>
      </c>
      <c r="G448" t="inlineStr">
        <is>
          <t>None</t>
        </is>
      </c>
      <c r="H448" s="6" t="n">
        <v>1</v>
      </c>
      <c r="I448" s="6" t="n">
        <v>1</v>
      </c>
      <c r="J448" s="6" t="n">
        <v>1</v>
      </c>
      <c r="K448" s="6" t="n"/>
      <c r="P448">
        <f>MAX(P449,P450)</f>
        <v/>
      </c>
      <c r="S448">
        <f>S449+S450</f>
        <v/>
      </c>
      <c r="T448">
        <f>(E448/100000+F448/100+(P448/1000)*J448/5+S448/200)*200*I448*H448</f>
        <v/>
      </c>
      <c r="U448">
        <f>((E448*F448/25000)+((P448/1000)*J448*S448/2.5))*I448*H448</f>
        <v/>
      </c>
      <c r="V448">
        <f>(E448*F448*(P448/1000)*J448*S448*I448*H448)/12500000</f>
        <v/>
      </c>
      <c r="W448">
        <f>(T448+U448+V448)/3</f>
        <v/>
      </c>
      <c r="X448" s="6" t="n">
        <v>200</v>
      </c>
      <c r="Y448">
        <f>IFERROR(W448-X448,"")</f>
        <v/>
      </c>
      <c r="Z448">
        <f>IFERROR(ABS(Y448)/MAX(X448,1),"")</f>
        <v/>
      </c>
      <c r="AA448">
        <f>IFERROR((X448-(((E448/100000+F448/100+S448/200)*200*I448*H448)+((E448*F448/25000)*I448*H448))/3)/(((J448/5)*200*I448*H448)+((J448*S448/2.5)*I448*H448)+((E448*F448*J448*S448*I448*H448)/12500000))/3*1000,"")</f>
        <v/>
      </c>
    </row>
    <row r="449">
      <c r="B449" s="7" t="inlineStr">
        <is>
          <t xml:space="preserve">  ↳ Future_Wheel_MG</t>
        </is>
      </c>
      <c r="C449" s="7" t="inlineStr">
        <is>
          <t>Armament@PRIMARY</t>
        </is>
      </c>
      <c r="L449" s="6" t="n">
        <v>2000</v>
      </c>
      <c r="M449" s="6" t="n">
        <v>40</v>
      </c>
      <c r="N449" s="6" t="n">
        <v>4</v>
      </c>
      <c r="O449" s="6" t="n">
        <v>2</v>
      </c>
      <c r="P449" s="6" t="n">
        <v>5806</v>
      </c>
      <c r="Q449" s="6" t="n">
        <v>0.875</v>
      </c>
      <c r="R449">
        <f>M449+IF(N449&gt;1,N(O449)*(N449-1),0)</f>
        <v/>
      </c>
      <c r="S449">
        <f>IFERROR(L449*MAX(N449,1)/R449*Q449*IF(ISBLANK(K448),1,K448),0)</f>
        <v/>
      </c>
      <c r="AB449" s="7" t="inlineStr">
        <is>
          <t>^RA2SmallArms, ^RA2Chaingun</t>
        </is>
      </c>
    </row>
    <row r="450">
      <c r="B450" s="7" t="inlineStr">
        <is>
          <t xml:space="preserve">  ↳ Future_Wheel_MGE</t>
        </is>
      </c>
      <c r="C450" s="7" t="inlineStr">
        <is>
          <t>Armament@ELITE</t>
        </is>
      </c>
      <c r="L450" s="6" t="n">
        <v>2000</v>
      </c>
      <c r="M450" s="6" t="n">
        <v>25</v>
      </c>
      <c r="N450" s="6" t="n">
        <v>8</v>
      </c>
      <c r="O450" s="6" t="n">
        <v>2</v>
      </c>
      <c r="P450" s="6" t="n">
        <v>6806</v>
      </c>
      <c r="Q450" s="6" t="n">
        <v>0.9166666666666666</v>
      </c>
      <c r="R450">
        <f>M450+IF(N450&gt;1,N(O450)*(N450-1),0)</f>
        <v/>
      </c>
      <c r="S450">
        <f>IFERROR(L450*MAX(N450,1)/R450*Q450*IF(ISBLANK(K448),1,K448),0)</f>
        <v/>
      </c>
      <c r="AB450" s="7" t="inlineStr">
        <is>
          <t>^RA2SmallArms, ^RA2Chaingun, ^SteelChaingun</t>
        </is>
      </c>
    </row>
    <row r="451">
      <c r="A451" t="inlineStr">
        <is>
          <t>redalert2mod</t>
        </is>
      </c>
      <c r="B451" t="inlineStr">
        <is>
          <t>tkm_as42</t>
        </is>
      </c>
      <c r="C451" t="inlineStr">
        <is>
          <t>TKM AS42</t>
        </is>
      </c>
      <c r="D451" s="6" t="inlineStr">
        <is>
          <t>ScoutVehicle</t>
        </is>
      </c>
      <c r="E451" s="6" t="n">
        <v>27500</v>
      </c>
      <c r="F451" s="6" t="n">
        <v>150</v>
      </c>
      <c r="G451" t="inlineStr">
        <is>
          <t>Scout</t>
        </is>
      </c>
      <c r="H451" s="6" t="n">
        <v>1</v>
      </c>
      <c r="I451" s="6" t="n">
        <v>1</v>
      </c>
      <c r="J451" s="6" t="n">
        <v>1</v>
      </c>
      <c r="K451" s="6" t="n"/>
      <c r="P451">
        <f>MAX(P452,P453,P454,P455)</f>
        <v/>
      </c>
      <c r="S451">
        <f>S452+S453+S454+S455</f>
        <v/>
      </c>
      <c r="T451">
        <f>(E451/100000+F451/100+(P451/1000)*J451/5+S451/200)*200*I451*H451</f>
        <v/>
      </c>
      <c r="U451">
        <f>((E451*F451/25000)+((P451/1000)*J451*S451/2.5))*I451*H451</f>
        <v/>
      </c>
      <c r="V451">
        <f>(E451*F451*(P451/1000)*J451*S451*I451*H451)/12500000</f>
        <v/>
      </c>
      <c r="W451">
        <f>(T451+U451+V451)/3</f>
        <v/>
      </c>
      <c r="X451" s="6" t="n">
        <v>400</v>
      </c>
      <c r="Y451">
        <f>IFERROR(W451-X451,"")</f>
        <v/>
      </c>
      <c r="Z451">
        <f>IFERROR(ABS(Y451)/MAX(X451,1),"")</f>
        <v/>
      </c>
      <c r="AA451">
        <f>IFERROR((X451-(((E451/100000+F451/100+S451/200)*200*I451*H451)+((E451*F451/25000)*I451*H451))/3)/(((J451/5)*200*I451*H451)+((J451*S451/2.5)*I451*H451)+((E451*F451*J451*S451*I451*H451)/12500000))/3*1000,"")</f>
        <v/>
      </c>
    </row>
    <row r="452">
      <c r="B452" s="7" t="inlineStr">
        <is>
          <t xml:space="preserve">  ↳ as42rockets</t>
        </is>
      </c>
      <c r="C452" s="7" t="inlineStr">
        <is>
          <t>Armament@Missiles</t>
        </is>
      </c>
      <c r="L452" s="6" t="n">
        <v>20000</v>
      </c>
      <c r="M452" s="6" t="n">
        <v>30</v>
      </c>
      <c r="N452" s="6" t="n">
        <v>1</v>
      </c>
      <c r="O452" s="6" t="n"/>
      <c r="P452" s="6" t="n">
        <v>6379</v>
      </c>
      <c r="Q452" s="6" t="n">
        <v>0.75</v>
      </c>
      <c r="R452">
        <f>M452+IF(N452&gt;1,N(O452)*(N452-1),0)</f>
        <v/>
      </c>
      <c r="S452">
        <f>IFERROR(L452*MAX(N452,1)/R452*Q452*IF(ISBLANK(K451),1,K451),0)</f>
        <v/>
      </c>
      <c r="AB452" s="7" t="inlineStr">
        <is>
          <t>^LightMissile</t>
        </is>
      </c>
    </row>
    <row r="453">
      <c r="B453" s="7" t="inlineStr">
        <is>
          <t xml:space="preserve">  ↳ tkmcryorockets</t>
        </is>
      </c>
      <c r="C453" s="7" t="inlineStr">
        <is>
          <t>Armament@PRIMARYNATO</t>
        </is>
      </c>
      <c r="L453" s="6" t="n">
        <v>18000</v>
      </c>
      <c r="M453" s="6" t="n">
        <v>64</v>
      </c>
      <c r="N453" s="6" t="n">
        <v>1</v>
      </c>
      <c r="O453" s="6" t="n"/>
      <c r="P453" s="6" t="n">
        <v>6214</v>
      </c>
      <c r="Q453" s="6" t="n">
        <v>0.75</v>
      </c>
      <c r="R453">
        <f>M453+IF(N453&gt;1,N(O453)*(N453-1),0)</f>
        <v/>
      </c>
      <c r="S453">
        <f>IFERROR(L453*MAX(N453,1)/R453*Q453*IF(ISBLANK(K451),1,K451),0)</f>
        <v/>
      </c>
      <c r="AB453" s="7" t="inlineStr">
        <is>
          <t>^LightMissile</t>
        </is>
      </c>
    </row>
    <row r="454">
      <c r="B454" s="7" t="inlineStr">
        <is>
          <t xml:space="preserve">  ↳ tkmtwinrockets</t>
        </is>
      </c>
      <c r="C454" s="7" t="inlineStr">
        <is>
          <t>Armament@PRIMARYBEREZKA</t>
        </is>
      </c>
      <c r="L454" s="6" t="n">
        <v>18000</v>
      </c>
      <c r="M454" s="6" t="n">
        <v>64</v>
      </c>
      <c r="N454" s="6" t="n">
        <v>2</v>
      </c>
      <c r="O454" s="6" t="n"/>
      <c r="P454" s="6" t="n">
        <v>7214</v>
      </c>
      <c r="Q454" s="6" t="n">
        <v>0.75</v>
      </c>
      <c r="R454">
        <f>M454+IF(N454&gt;1,N(O454)*(N454-1),0)</f>
        <v/>
      </c>
      <c r="S454">
        <f>IFERROR(L454*MAX(N454,1)/R454*Q454*IF(ISBLANK(K451),1,K451),0)</f>
        <v/>
      </c>
      <c r="AB454" s="7" t="inlineStr">
        <is>
          <t>^LightMissile</t>
        </is>
      </c>
    </row>
    <row r="455">
      <c r="B455" s="7" t="inlineStr">
        <is>
          <t xml:space="preserve">  ↳ tkmfirerockets</t>
        </is>
      </c>
      <c r="C455" s="7" t="inlineStr">
        <is>
          <t>Armament@PRIMARYTITAN</t>
        </is>
      </c>
      <c r="L455" s="6" t="n">
        <v>18000</v>
      </c>
      <c r="M455" s="6" t="n">
        <v>64</v>
      </c>
      <c r="N455" s="6" t="n">
        <v>1</v>
      </c>
      <c r="O455" s="6" t="n"/>
      <c r="P455" s="6" t="n">
        <v>6214</v>
      </c>
      <c r="Q455" s="6" t="n">
        <v>0.75</v>
      </c>
      <c r="R455">
        <f>M455+IF(N455&gt;1,N(O455)*(N455-1),0)</f>
        <v/>
      </c>
      <c r="S455">
        <f>IFERROR(L455*MAX(N455,1)/R455*Q455*IF(ISBLANK(K451),1,K451),0)</f>
        <v/>
      </c>
      <c r="AB455" s="7" t="inlineStr">
        <is>
          <t>^LightFlameWeapon, ^LightMissile</t>
        </is>
      </c>
    </row>
    <row r="456">
      <c r="A456" t="inlineStr">
        <is>
          <t>redalert2mod</t>
        </is>
      </c>
      <c r="B456" t="inlineStr">
        <is>
          <t>tkm_technical</t>
        </is>
      </c>
      <c r="C456" t="inlineStr">
        <is>
          <t>TKM Technical</t>
        </is>
      </c>
      <c r="D456" s="6" t="inlineStr">
        <is>
          <t>ScoutVehicle</t>
        </is>
      </c>
      <c r="E456" s="6" t="n">
        <v>27500</v>
      </c>
      <c r="F456" s="6" t="n">
        <v>175</v>
      </c>
      <c r="G456" t="inlineStr">
        <is>
          <t>Scout</t>
        </is>
      </c>
      <c r="H456" s="6" t="n">
        <v>1</v>
      </c>
      <c r="I456" s="6" t="n">
        <v>1</v>
      </c>
      <c r="J456" s="6" t="n">
        <v>1</v>
      </c>
      <c r="K456" s="6" t="n"/>
      <c r="P456">
        <f>MAX(P457,P458)</f>
        <v/>
      </c>
      <c r="S456">
        <f>S457+S458</f>
        <v/>
      </c>
      <c r="T456">
        <f>(E456/100000+F456/100+(P456/1000)*J456/5+S456/200)*200*I456*H456</f>
        <v/>
      </c>
      <c r="U456">
        <f>((E456*F456/25000)+((P456/1000)*J456*S456/2.5))*I456*H456</f>
        <v/>
      </c>
      <c r="V456">
        <f>(E456*F456*(P456/1000)*J456*S456*I456*H456)/12500000</f>
        <v/>
      </c>
      <c r="W456">
        <f>(T456+U456+V456)/3</f>
        <v/>
      </c>
      <c r="X456" s="6" t="n">
        <v>400</v>
      </c>
      <c r="Y456">
        <f>IFERROR(W456-X456,"")</f>
        <v/>
      </c>
      <c r="Z456">
        <f>IFERROR(ABS(Y456)/MAX(X456,1),"")</f>
        <v/>
      </c>
      <c r="AA456">
        <f>IFERROR((X456-(((E456/100000+F456/100+S456/200)*200*I456*H456)+((E456*F456/25000)*I456*H456))/3)/(((J456/5)*200*I456*H456)+((J456*S456/2.5)*I456*H456)+((E456*F456*J456*S456*I456*H456)/12500000))/3*1000,"")</f>
        <v/>
      </c>
    </row>
    <row r="457">
      <c r="B457" s="7" t="inlineStr">
        <is>
          <t xml:space="preserve">  ↳ tkmtechmg</t>
        </is>
      </c>
      <c r="C457" s="7" t="inlineStr">
        <is>
          <t>Armament</t>
        </is>
      </c>
      <c r="L457" s="6" t="n">
        <v>4000</v>
      </c>
      <c r="M457" s="6" t="n">
        <v>6</v>
      </c>
      <c r="N457" s="6" t="n">
        <v>1</v>
      </c>
      <c r="O457" s="6" t="n"/>
      <c r="P457" s="6" t="n">
        <v>4153</v>
      </c>
      <c r="Q457" s="6" t="n">
        <v>1</v>
      </c>
      <c r="R457">
        <f>M457+IF(N457&gt;1,N(O457)*(N457-1),0)</f>
        <v/>
      </c>
      <c r="S457">
        <f>IFERROR(L457*MAX(N457,1)/R457*Q457*IF(ISBLANK(K456),1,K456),0)</f>
        <v/>
      </c>
      <c r="AB457" s="7" t="inlineStr">
        <is>
          <t>^RA2Chaingun</t>
        </is>
      </c>
    </row>
    <row r="458">
      <c r="B458" s="7" t="inlineStr">
        <is>
          <t xml:space="preserve">  ↳ tkmtechnicalmgap</t>
        </is>
      </c>
      <c r="C458" s="7" t="inlineStr">
        <is>
          <t>Armament@PRIMARYNATO</t>
        </is>
      </c>
      <c r="L458" s="6" t="n">
        <v>6000</v>
      </c>
      <c r="M458" s="6" t="n">
        <v>9</v>
      </c>
      <c r="N458" s="6" t="n">
        <v>3</v>
      </c>
      <c r="O458" s="6" t="n">
        <v>6</v>
      </c>
      <c r="P458" s="6" t="n">
        <v>4792</v>
      </c>
      <c r="Q458" s="6" t="n">
        <v>0.875</v>
      </c>
      <c r="R458">
        <f>M458+IF(N458&gt;1,N(O458)*(N458-1),0)</f>
        <v/>
      </c>
      <c r="S458">
        <f>IFERROR(L458*MAX(N458,1)/R458*Q458*IF(ISBLANK(K456),1,K456),0)</f>
        <v/>
      </c>
      <c r="AB458" s="7" t="inlineStr">
        <is>
          <t>^RA2Grenade, ^SmallArms</t>
        </is>
      </c>
    </row>
    <row r="459">
      <c r="A459" t="inlineStr">
        <is>
          <t>d2k</t>
        </is>
      </c>
      <c r="B459" t="inlineStr">
        <is>
          <t>ordos_leech</t>
        </is>
      </c>
      <c r="C459" t="inlineStr">
        <is>
          <t>Leech</t>
        </is>
      </c>
      <c r="D459" s="6" t="inlineStr">
        <is>
          <t>ScoutVehicle</t>
        </is>
      </c>
      <c r="E459" s="6" t="n">
        <v>50000</v>
      </c>
      <c r="F459" s="6" t="n">
        <v>150</v>
      </c>
      <c r="G459" t="inlineStr">
        <is>
          <t>Scout</t>
        </is>
      </c>
      <c r="H459" s="6" t="n">
        <v>1</v>
      </c>
      <c r="I459" s="6" t="n">
        <v>1</v>
      </c>
      <c r="J459" s="6" t="n">
        <v>1</v>
      </c>
      <c r="K459" s="6" t="n"/>
      <c r="P459">
        <f>MAX(P460)</f>
        <v/>
      </c>
      <c r="S459">
        <f>S460</f>
        <v/>
      </c>
      <c r="T459">
        <f>(E459/100000+F459/100+(P459/1000)*J459/5+S459/200)*200*I459*H459</f>
        <v/>
      </c>
      <c r="U459">
        <f>((E459*F459/25000)+((P459/1000)*J459*S459/2.5))*I459*H459</f>
        <v/>
      </c>
      <c r="V459">
        <f>(E459*F459*(P459/1000)*J459*S459*I459*H459)/12500000</f>
        <v/>
      </c>
      <c r="W459">
        <f>(T459+U459+V459)/3</f>
        <v/>
      </c>
      <c r="X459" s="6" t="n">
        <v>1100</v>
      </c>
      <c r="Y459">
        <f>IFERROR(W459-X459,"")</f>
        <v/>
      </c>
      <c r="Z459">
        <f>IFERROR(ABS(Y459)/MAX(X459,1),"")</f>
        <v/>
      </c>
      <c r="AA459">
        <f>IFERROR((X459-(((E459/100000+F459/100+S459/200)*200*I459*H459)+((E459*F459/25000)*I459*H459))/3)/(((J459/5)*200*I459*H459)+((J459*S459/2.5)*I459*H459)+((E459*F459*J459*S459*I459*H459)/12500000))/3*1000,"")</f>
        <v/>
      </c>
    </row>
    <row r="460">
      <c r="B460" s="7" t="inlineStr">
        <is>
          <t xml:space="preserve">  ↳ LeechJump</t>
        </is>
      </c>
      <c r="C460" s="7" t="inlineStr">
        <is>
          <t>Armament@PRIMARY</t>
        </is>
      </c>
      <c r="L460" s="6" t="n">
        <v>100000</v>
      </c>
      <c r="M460" s="6" t="n">
        <v>30</v>
      </c>
      <c r="N460" s="6" t="n">
        <v>1</v>
      </c>
      <c r="O460" s="6" t="n"/>
      <c r="P460" s="6" t="n">
        <v>3000</v>
      </c>
      <c r="Q460" s="6" t="n">
        <v>1</v>
      </c>
      <c r="R460">
        <f>M460+IF(N460&gt;1,N(O460)*(N460-1),0)</f>
        <v/>
      </c>
      <c r="S460">
        <f>IFERROR(L460*MAX(N460,1)/R460*Q460*IF(ISBLANK(K459),1,K459),0)</f>
        <v/>
      </c>
      <c r="AB460" s="7" t="inlineStr"/>
    </row>
    <row r="461">
      <c r="A461" t="inlineStr">
        <is>
          <t>d2k</t>
        </is>
      </c>
      <c r="B461" t="inlineStr">
        <is>
          <t>ordos_raider</t>
        </is>
      </c>
      <c r="C461" t="inlineStr">
        <is>
          <t>Ordos Raider</t>
        </is>
      </c>
      <c r="D461" s="6" t="inlineStr">
        <is>
          <t>ScoutVehicle</t>
        </is>
      </c>
      <c r="E461" s="6" t="n">
        <v>60000</v>
      </c>
      <c r="F461" s="6" t="n">
        <v>180</v>
      </c>
      <c r="G461" t="inlineStr">
        <is>
          <t>Scout</t>
        </is>
      </c>
      <c r="H461" s="6" t="n">
        <v>1</v>
      </c>
      <c r="I461" s="6" t="n">
        <v>1.25</v>
      </c>
      <c r="J461" s="6" t="n">
        <v>1</v>
      </c>
      <c r="K461" s="6" t="n"/>
      <c r="P461">
        <f>MAX(P462,P463)</f>
        <v/>
      </c>
      <c r="S461">
        <f>S462+S463</f>
        <v/>
      </c>
      <c r="T461">
        <f>(E461/100000+F461/100+(P461/1000)*J461/5+S461/200)*200*I461*H461</f>
        <v/>
      </c>
      <c r="U461">
        <f>((E461*F461/25000)+((P461/1000)*J461*S461/2.5))*I461*H461</f>
        <v/>
      </c>
      <c r="V461">
        <f>(E461*F461*(P461/1000)*J461*S461*I461*H461)/12500000</f>
        <v/>
      </c>
      <c r="W461">
        <f>(T461+U461+V461)/3</f>
        <v/>
      </c>
      <c r="X461" s="6" t="n">
        <v>1200</v>
      </c>
      <c r="Y461">
        <f>IFERROR(W461-X461,"")</f>
        <v/>
      </c>
      <c r="Z461">
        <f>IFERROR(ABS(Y461)/MAX(X461,1),"")</f>
        <v/>
      </c>
      <c r="AA461">
        <f>IFERROR((X461-(((E461/100000+F461/100+S461/200)*200*I461*H461)+((E461*F461/25000)*I461*H461))/3)/(((J461/5)*200*I461*H461)+((J461*S461/2.5)*I461*H461)+((E461*F461*J461*S461*I461*H461)/12500000))/3*1000,"")</f>
        <v/>
      </c>
    </row>
    <row r="462">
      <c r="B462" s="7" t="inlineStr">
        <is>
          <t xml:space="preserve">  ↳ HMGo</t>
        </is>
      </c>
      <c r="C462" s="7" t="inlineStr">
        <is>
          <t>Armament@damage</t>
        </is>
      </c>
      <c r="L462" s="6" t="n">
        <v>4000</v>
      </c>
      <c r="M462" s="6" t="n">
        <v>8</v>
      </c>
      <c r="N462" s="6" t="n">
        <v>9</v>
      </c>
      <c r="O462" s="6" t="n">
        <v>2</v>
      </c>
      <c r="P462" s="6" t="n">
        <v>6000</v>
      </c>
      <c r="Q462" s="6" t="n">
        <v>0.75</v>
      </c>
      <c r="R462">
        <f>M462+IF(N462&gt;1,N(O462)*(N462-1),0)</f>
        <v/>
      </c>
      <c r="S462">
        <f>IFERROR(L462*MAX(N462,1)/R462*Q462*IF(ISBLANK(K461),1,K461),0)</f>
        <v/>
      </c>
      <c r="AB462" s="7" t="inlineStr">
        <is>
          <t>^SmallArms</t>
        </is>
      </c>
    </row>
    <row r="463">
      <c r="B463" s="7" t="inlineStr">
        <is>
          <t xml:space="preserve">  ↳ HMGo_upgrade</t>
        </is>
      </c>
      <c r="C463" s="7" t="inlineStr">
        <is>
          <t>Armament@damageLaser</t>
        </is>
      </c>
      <c r="L463" s="6" t="n">
        <v>2000</v>
      </c>
      <c r="M463" s="6" t="n">
        <v>8</v>
      </c>
      <c r="N463" s="6" t="n">
        <v>9</v>
      </c>
      <c r="O463" s="6" t="n">
        <v>2</v>
      </c>
      <c r="P463" s="6" t="n">
        <v>6000</v>
      </c>
      <c r="Q463" s="6" t="n">
        <v>0.9166666666666666</v>
      </c>
      <c r="R463">
        <f>M463+IF(N463&gt;1,N(O463)*(N463-1),0)</f>
        <v/>
      </c>
      <c r="S463">
        <f>IFERROR(L463*MAX(N463,1)/R463*Q463*IF(ISBLANK(K461),1,K461),0)</f>
        <v/>
      </c>
      <c r="AB463" s="7" t="inlineStr">
        <is>
          <t>^LaserWeapon, ^Chaingun, ^SmallArms</t>
        </is>
      </c>
    </row>
    <row r="464">
      <c r="A464" t="inlineStr">
        <is>
          <t>d2k</t>
        </is>
      </c>
      <c r="B464" t="inlineStr">
        <is>
          <t>ordos_stealthraider</t>
        </is>
      </c>
      <c r="C464" t="inlineStr">
        <is>
          <t>Stealth Raider</t>
        </is>
      </c>
      <c r="D464" s="6" t="inlineStr">
        <is>
          <t>ScoutVehicle</t>
        </is>
      </c>
      <c r="E464" s="6" t="n">
        <v>60000</v>
      </c>
      <c r="F464" s="6" t="n">
        <v>180</v>
      </c>
      <c r="G464" t="inlineStr">
        <is>
          <t>Scout</t>
        </is>
      </c>
      <c r="H464" s="6" t="n">
        <v>1</v>
      </c>
      <c r="I464" s="6" t="n">
        <v>1.25</v>
      </c>
      <c r="J464" s="6" t="n">
        <v>1.25</v>
      </c>
      <c r="K464" s="6" t="n"/>
      <c r="P464">
        <f>MAX(P465,P466)</f>
        <v/>
      </c>
      <c r="S464">
        <f>S465+S466</f>
        <v/>
      </c>
      <c r="T464">
        <f>(E464/100000+F464/100+(P464/1000)*J464/5+S464/200)*200*I464*H464</f>
        <v/>
      </c>
      <c r="U464">
        <f>((E464*F464/25000)+((P464/1000)*J464*S464/2.5))*I464*H464</f>
        <v/>
      </c>
      <c r="V464">
        <f>(E464*F464*(P464/1000)*J464*S464*I464*H464)/12500000</f>
        <v/>
      </c>
      <c r="W464">
        <f>(T464+U464+V464)/3</f>
        <v/>
      </c>
      <c r="X464" s="6" t="n">
        <v>1300</v>
      </c>
      <c r="Y464">
        <f>IFERROR(W464-X464,"")</f>
        <v/>
      </c>
      <c r="Z464">
        <f>IFERROR(ABS(Y464)/MAX(X464,1),"")</f>
        <v/>
      </c>
      <c r="AA464">
        <f>IFERROR((X464-(((E464/100000+F464/100+S464/200)*200*I464*H464)+((E464*F464/25000)*I464*H464))/3)/(((J464/5)*200*I464*H464)+((J464*S464/2.5)*I464*H464)+((E464*F464*J464*S464*I464*H464)/12500000))/3*1000,"")</f>
        <v/>
      </c>
    </row>
    <row r="465">
      <c r="B465" s="7" t="inlineStr">
        <is>
          <t xml:space="preserve">  ↳ HMGstealth</t>
        </is>
      </c>
      <c r="C465" s="7" t="inlineStr">
        <is>
          <t>Armament@damage</t>
        </is>
      </c>
      <c r="L465" s="6" t="n">
        <v>2000</v>
      </c>
      <c r="M465" s="6" t="n">
        <v>33</v>
      </c>
      <c r="N465" s="6" t="n">
        <v>4</v>
      </c>
      <c r="O465" s="6" t="n">
        <v>2</v>
      </c>
      <c r="P465" s="6" t="n">
        <v>4857</v>
      </c>
      <c r="Q465" s="6" t="n">
        <v>0.875</v>
      </c>
      <c r="R465">
        <f>M465+IF(N465&gt;1,N(O465)*(N465-1),0)</f>
        <v/>
      </c>
      <c r="S465">
        <f>IFERROR(L465*MAX(N465,1)/R465*Q465*IF(ISBLANK(K464),1,K464),0)</f>
        <v/>
      </c>
      <c r="AB465" s="7" t="inlineStr">
        <is>
          <t>^SmallArms, ^Chaingun</t>
        </is>
      </c>
    </row>
    <row r="466">
      <c r="B466" s="7" t="inlineStr">
        <is>
          <t xml:space="preserve">  ↳ HMGstealth_upgrade</t>
        </is>
      </c>
      <c r="C466" s="7" t="inlineStr">
        <is>
          <t>Armament@damageLaser</t>
        </is>
      </c>
      <c r="L466" s="6" t="n">
        <v>2000</v>
      </c>
      <c r="M466" s="6" t="n">
        <v>33</v>
      </c>
      <c r="N466" s="6" t="n">
        <v>4</v>
      </c>
      <c r="O466" s="6" t="n">
        <v>2</v>
      </c>
      <c r="P466" s="6" t="n">
        <v>4857</v>
      </c>
      <c r="Q466" s="6" t="n">
        <v>0.9166666666666666</v>
      </c>
      <c r="R466">
        <f>M466+IF(N466&gt;1,N(O466)*(N466-1),0)</f>
        <v/>
      </c>
      <c r="S466">
        <f>IFERROR(L466*MAX(N466,1)/R466*Q466*IF(ISBLANK(K464),1,K464),0)</f>
        <v/>
      </c>
      <c r="AB466" s="7" t="inlineStr">
        <is>
          <t>^LaserWeapon, ^SmallArms, ^Chaingun</t>
        </is>
      </c>
    </row>
    <row r="467">
      <c r="A467" t="inlineStr">
        <is>
          <t>starcraft</t>
        </is>
      </c>
      <c r="B467" t="inlineStr">
        <is>
          <t>protoss_positron</t>
        </is>
      </c>
      <c r="C467" t="inlineStr">
        <is>
          <t>Positron</t>
        </is>
      </c>
      <c r="D467" s="6" t="inlineStr">
        <is>
          <t>ScoutVehicle</t>
        </is>
      </c>
      <c r="E467" s="6" t="n">
        <v>60000</v>
      </c>
      <c r="F467" s="6" t="n">
        <v>120</v>
      </c>
      <c r="G467" t="inlineStr">
        <is>
          <t>Light</t>
        </is>
      </c>
      <c r="H467" s="6" t="n">
        <v>1</v>
      </c>
      <c r="I467" s="6" t="n">
        <v>0.5</v>
      </c>
      <c r="J467" s="6" t="n">
        <v>2</v>
      </c>
      <c r="K467" s="6" t="n">
        <v>0.5</v>
      </c>
      <c r="P467">
        <f>MAX(P468)</f>
        <v/>
      </c>
      <c r="S467">
        <f>S468</f>
        <v/>
      </c>
      <c r="T467">
        <f>(E467/100000+F467/100+(P467/1000)*J467/5+S467/200)*200*I467*H467</f>
        <v/>
      </c>
      <c r="U467">
        <f>((E467*F467/25000)+((P467/1000)*J467*S467/2.5))*I467*H467</f>
        <v/>
      </c>
      <c r="V467">
        <f>(E467*F467*(P467/1000)*J467*S467*I467*H467)/12500000</f>
        <v/>
      </c>
      <c r="W467">
        <f>(T467+U467+V467)/3</f>
        <v/>
      </c>
      <c r="X467" s="6" t="n">
        <v>1200</v>
      </c>
      <c r="Y467">
        <f>IFERROR(W467-X467,"")</f>
        <v/>
      </c>
      <c r="Z467">
        <f>IFERROR(ABS(Y467)/MAX(X467,1),"")</f>
        <v/>
      </c>
      <c r="AA467">
        <f>IFERROR((X467-(((E467/100000+F467/100+S467/200)*200*I467*H467)+((E467*F467/25000)*I467*H467))/3)/(((J467/5)*200*I467*H467)+((J467*S467/2.5)*I467*H467)+((E467*F467*J467*S467*I467*H467)/12500000))/3*1000,"")</f>
        <v/>
      </c>
    </row>
    <row r="468">
      <c r="B468" s="7" t="inlineStr">
        <is>
          <t xml:space="preserve">  ↳ PositronGrenade</t>
        </is>
      </c>
      <c r="C468" s="7" t="inlineStr">
        <is>
          <t>Armament</t>
        </is>
      </c>
      <c r="L468" s="6" t="n">
        <v>8000</v>
      </c>
      <c r="M468" s="6" t="n">
        <v>30</v>
      </c>
      <c r="N468" s="6" t="n">
        <v>1</v>
      </c>
      <c r="O468" s="6" t="n"/>
      <c r="P468" s="6" t="n">
        <v>5044</v>
      </c>
      <c r="Q468" s="6" t="n">
        <v>0.9375</v>
      </c>
      <c r="R468">
        <f>M468+IF(N468&gt;1,N(O468)*(N468-1),0)</f>
        <v/>
      </c>
      <c r="S468">
        <f>IFERROR(L468*MAX(N468,1)/R468*Q468*IF(ISBLANK(K467),1,K467),0)</f>
        <v/>
      </c>
      <c r="AB468" s="7" t="inlineStr">
        <is>
          <t>^SmallArms, ^FlakWeapon, ^Grenade, ^TankDestroyerCannon, ^MediumCannon</t>
        </is>
      </c>
    </row>
    <row r="469">
      <c r="A469" t="inlineStr">
        <is>
          <t>starcraft</t>
        </is>
      </c>
      <c r="B469" t="inlineStr">
        <is>
          <t>terran_vulture</t>
        </is>
      </c>
      <c r="C469" t="inlineStr">
        <is>
          <t>Vulture</t>
        </is>
      </c>
      <c r="D469" s="6" t="inlineStr">
        <is>
          <t>ScoutVehicle</t>
        </is>
      </c>
      <c r="E469" s="6" t="n">
        <v>75000</v>
      </c>
      <c r="F469" s="6" t="n">
        <v>125</v>
      </c>
      <c r="G469" t="inlineStr">
        <is>
          <t>Light</t>
        </is>
      </c>
      <c r="H469" s="6" t="n">
        <v>1</v>
      </c>
      <c r="I469" s="6" t="n">
        <v>0.5</v>
      </c>
      <c r="J469" s="6" t="n">
        <v>1</v>
      </c>
      <c r="K469" s="6" t="n"/>
      <c r="P469">
        <f>MAX(P470)</f>
        <v/>
      </c>
      <c r="S469">
        <f>S470</f>
        <v/>
      </c>
      <c r="T469">
        <f>(E469/100000+F469/100+(P469/1000)*J469/5+S469/200)*200*I469*H469</f>
        <v/>
      </c>
      <c r="U469">
        <f>((E469*F469/25000)+((P469/1000)*J469*S469/2.5))*I469*H469</f>
        <v/>
      </c>
      <c r="V469">
        <f>(E469*F469*(P469/1000)*J469*S469*I469*H469)/12500000</f>
        <v/>
      </c>
      <c r="W469">
        <f>(T469+U469+V469)/3</f>
        <v/>
      </c>
      <c r="X469" s="6" t="n">
        <v>900</v>
      </c>
      <c r="Y469">
        <f>IFERROR(W469-X469,"")</f>
        <v/>
      </c>
      <c r="Z469">
        <f>IFERROR(ABS(Y469)/MAX(X469,1),"")</f>
        <v/>
      </c>
      <c r="AA469">
        <f>IFERROR((X469-(((E469/100000+F469/100+S469/200)*200*I469*H469)+((E469*F469/25000)*I469*H469))/3)/(((J469/5)*200*I469*H469)+((J469*S469/2.5)*I469*H469)+((E469*F469*J469*S469*I469*H469)/12500000))/3*1000,"")</f>
        <v/>
      </c>
    </row>
    <row r="470">
      <c r="B470" s="7" t="inlineStr">
        <is>
          <t xml:space="preserve">  ↳ VultureGrenade</t>
        </is>
      </c>
      <c r="C470" s="7" t="inlineStr">
        <is>
          <t>Armament</t>
        </is>
      </c>
      <c r="L470" s="6" t="n">
        <v>4000</v>
      </c>
      <c r="M470" s="6" t="n">
        <v>25</v>
      </c>
      <c r="N470" s="6" t="n">
        <v>1</v>
      </c>
      <c r="O470" s="6" t="n"/>
      <c r="P470" s="6" t="n">
        <v>4800</v>
      </c>
      <c r="Q470" s="6" t="n">
        <v>0.9375</v>
      </c>
      <c r="R470">
        <f>M470+IF(N470&gt;1,N(O470)*(N470-1),0)</f>
        <v/>
      </c>
      <c r="S470">
        <f>IFERROR(L470*MAX(N470,1)/R470*Q470*IF(ISBLANK(K469),1,K469),0)</f>
        <v/>
      </c>
      <c r="AB470" s="7" t="inlineStr">
        <is>
          <t>^SmallArms, ^FlakWeapon, ^Grenade, ^TankDestroyerCannon, ^MediumCannon</t>
        </is>
      </c>
    </row>
    <row r="471">
      <c r="A471" s="4" t="inlineStr">
        <is>
          <t>FireSupport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</row>
    <row r="472">
      <c r="A472" t="inlineStr">
        <is>
          <t>tiberiandawn</t>
        </is>
      </c>
      <c r="B472" t="inlineStr">
        <is>
          <t>td_gdi_exosuit</t>
        </is>
      </c>
      <c r="C472" t="inlineStr">
        <is>
          <t>Exosuit</t>
        </is>
      </c>
      <c r="D472" s="6" t="inlineStr">
        <is>
          <t>FireSupport</t>
        </is>
      </c>
      <c r="E472" s="6" t="n">
        <v>50000</v>
      </c>
      <c r="F472" s="6" t="n">
        <v>100</v>
      </c>
      <c r="G472" t="inlineStr">
        <is>
          <t>Medium</t>
        </is>
      </c>
      <c r="H472" s="6" t="n">
        <v>1</v>
      </c>
      <c r="I472" s="6" t="n">
        <v>1</v>
      </c>
      <c r="J472" s="6" t="n">
        <v>1</v>
      </c>
      <c r="K472" s="6" t="n">
        <v>1.2</v>
      </c>
      <c r="P472">
        <f>MAX(P473)</f>
        <v/>
      </c>
      <c r="S472">
        <f>S473</f>
        <v/>
      </c>
      <c r="T472">
        <f>(E472/100000+F472/100+(P472/1000)*J472/5+S472/200)*200*I472*H472</f>
        <v/>
      </c>
      <c r="U472">
        <f>((E472*F472/25000)+((P472/1000)*J472*S472/2.5))*I472*H472</f>
        <v/>
      </c>
      <c r="V472">
        <f>(E472*F472*(P472/1000)*J472*S472*I472*H472)/12500000</f>
        <v/>
      </c>
      <c r="W472">
        <f>(T472+U472+V472)/3</f>
        <v/>
      </c>
      <c r="X472" s="6" t="n">
        <v>1200</v>
      </c>
      <c r="Y472">
        <f>IFERROR(W472-X472,"")</f>
        <v/>
      </c>
      <c r="Z472">
        <f>IFERROR(ABS(Y472)/MAX(X472,1),"")</f>
        <v/>
      </c>
      <c r="AA472">
        <f>IFERROR((X472-(((E472/100000+F472/100+S472/200)*200*I472*H472)+((E472*F472/25000)*I472*H472))/3)/(((J472/5)*200*I472*H472)+((J472*S472/2.5)*I472*H472)+((E472*F472*J472*S472*I472*H472)/12500000))/3*1000,"")</f>
        <v/>
      </c>
    </row>
    <row r="473">
      <c r="B473" s="7" t="inlineStr">
        <is>
          <t xml:space="preserve">  ↳ ExosuitRailgun</t>
        </is>
      </c>
      <c r="C473" s="7" t="inlineStr">
        <is>
          <t>Armament@Railgun</t>
        </is>
      </c>
      <c r="L473" s="6" t="n">
        <v>20000</v>
      </c>
      <c r="M473" s="6" t="n">
        <v>75</v>
      </c>
      <c r="N473" s="6" t="n">
        <v>2</v>
      </c>
      <c r="O473" s="6" t="n">
        <v>5</v>
      </c>
      <c r="P473" s="6" t="n">
        <v>6806</v>
      </c>
      <c r="Q473" s="6" t="n">
        <v>1.25</v>
      </c>
      <c r="R473">
        <f>M473+IF(N473&gt;1,N(O473)*(N473-1),0)</f>
        <v/>
      </c>
      <c r="S473">
        <f>IFERROR(L473*MAX(N473,1)/R473*Q473*IF(ISBLANK(K472),1,K472),0)</f>
        <v/>
      </c>
      <c r="AB473" s="7" t="inlineStr">
        <is>
          <t>^RailgunWeapon</t>
        </is>
      </c>
    </row>
    <row r="474">
      <c r="A474" t="inlineStr">
        <is>
          <t>tiberiandawn</t>
        </is>
      </c>
      <c r="B474" t="inlineStr">
        <is>
          <t>td_gdi_mlrs</t>
        </is>
      </c>
      <c r="C474" t="inlineStr">
        <is>
          <t>GDI MLRS</t>
        </is>
      </c>
      <c r="D474" s="6" t="inlineStr">
        <is>
          <t>FireSupport</t>
        </is>
      </c>
      <c r="E474" s="6" t="n">
        <v>25000</v>
      </c>
      <c r="F474" s="6" t="n">
        <v>80</v>
      </c>
      <c r="G474" t="inlineStr">
        <is>
          <t>Light</t>
        </is>
      </c>
      <c r="H474" s="6" t="n">
        <v>1</v>
      </c>
      <c r="I474" s="6" t="n">
        <v>1</v>
      </c>
      <c r="J474" s="6" t="n">
        <v>1</v>
      </c>
      <c r="K474" s="6" t="n"/>
      <c r="P474">
        <f>MAX(P475,P476)</f>
        <v/>
      </c>
      <c r="S474">
        <f>S475+S476</f>
        <v/>
      </c>
      <c r="T474">
        <f>(E474/100000+F474/100+(P474/1000)*J474/5+S474/200)*200*I474*H474</f>
        <v/>
      </c>
      <c r="U474">
        <f>((E474*F474/25000)+((P474/1000)*J474*S474/2.5))*I474*H474</f>
        <v/>
      </c>
      <c r="V474">
        <f>(E474*F474*(P474/1000)*J474*S474*I474*H474)/12500000</f>
        <v/>
      </c>
      <c r="W474">
        <f>(T474+U474+V474)/3</f>
        <v/>
      </c>
      <c r="X474" s="6" t="n">
        <v>1000</v>
      </c>
      <c r="Y474">
        <f>IFERROR(W474-X474,"")</f>
        <v/>
      </c>
      <c r="Z474">
        <f>IFERROR(ABS(Y474)/MAX(X474,1),"")</f>
        <v/>
      </c>
      <c r="AA474">
        <f>IFERROR((X474-(((E474/100000+F474/100+S474/200)*200*I474*H474)+((E474*F474/25000)*I474*H474))/3)/(((J474/5)*200*I474*H474)+((J474*S474/2.5)*I474*H474)+((E474*F474*J474*S474*I474*H474)/12500000))/3*1000,"")</f>
        <v/>
      </c>
    </row>
    <row r="475">
      <c r="B475" s="7" t="inlineStr">
        <is>
          <t xml:space="preserve">  ↳ 227mm</t>
        </is>
      </c>
      <c r="C475" s="7" t="inlineStr">
        <is>
          <t>Armament@PRIMARY</t>
        </is>
      </c>
      <c r="L475" s="6" t="n">
        <v>2000</v>
      </c>
      <c r="M475" s="6" t="n">
        <v>111</v>
      </c>
      <c r="N475" s="6" t="n">
        <v>6</v>
      </c>
      <c r="O475" s="6" t="n">
        <v>5</v>
      </c>
      <c r="P475" s="6" t="n">
        <v>9920</v>
      </c>
      <c r="Q475" s="6" t="n">
        <v>1.0625</v>
      </c>
      <c r="R475">
        <f>M475+IF(N475&gt;1,N(O475)*(N475-1),0)</f>
        <v/>
      </c>
      <c r="S475">
        <f>IFERROR(L475*MAX(N475,1)/R475*Q475*IF(ISBLANK(K474),1,K474),0)</f>
        <v/>
      </c>
      <c r="AB475" s="7" t="inlineStr">
        <is>
          <t>^FlakWeapon, ^Grenade, ^HeavyMissile, ^MediumMissile</t>
        </is>
      </c>
    </row>
    <row r="476">
      <c r="B476" s="7" t="inlineStr">
        <is>
          <t xml:space="preserve">  ↳ 227mmAMT</t>
        </is>
      </c>
      <c r="C476" s="7" t="inlineStr">
        <is>
          <t>Armament@AdvancedMissileTargeting</t>
        </is>
      </c>
      <c r="L476" s="6" t="n">
        <v>2000</v>
      </c>
      <c r="M476" s="6" t="n">
        <v>111</v>
      </c>
      <c r="N476" s="6" t="n">
        <v>6</v>
      </c>
      <c r="O476" s="6" t="n">
        <v>5</v>
      </c>
      <c r="P476" s="6" t="n">
        <v>9920</v>
      </c>
      <c r="Q476" s="6" t="n">
        <v>1.0625</v>
      </c>
      <c r="R476">
        <f>M476+IF(N476&gt;1,N(O476)*(N476-1),0)</f>
        <v/>
      </c>
      <c r="S476">
        <f>IFERROR(L476*MAX(N476,1)/R476*Q476*IF(ISBLANK(K474),1,K474),0)</f>
        <v/>
      </c>
      <c r="AB476" s="7" t="inlineStr">
        <is>
          <t>^FlakWeapon, ^Grenade, ^HeavyMissile, ^MediumMissile, ^AMTProjectile</t>
        </is>
      </c>
    </row>
    <row r="477">
      <c r="A477" t="inlineStr">
        <is>
          <t>tiberiandawn</t>
        </is>
      </c>
      <c r="B477" t="inlineStr">
        <is>
          <t>td_nod_ssmlauncher</t>
        </is>
      </c>
      <c r="C477" t="inlineStr">
        <is>
          <t>SSM Launcher</t>
        </is>
      </c>
      <c r="D477" s="6" t="inlineStr">
        <is>
          <t>FireSupport</t>
        </is>
      </c>
      <c r="E477" s="6" t="n">
        <v>20000</v>
      </c>
      <c r="F477" s="6" t="n">
        <v>100</v>
      </c>
      <c r="G477" t="inlineStr">
        <is>
          <t>Light</t>
        </is>
      </c>
      <c r="H477" s="6" t="n">
        <v>0.75</v>
      </c>
      <c r="I477" s="6" t="n">
        <v>1</v>
      </c>
      <c r="J477" s="6" t="n">
        <v>1</v>
      </c>
      <c r="K477" s="6" t="n"/>
      <c r="P477">
        <f>MAX(P478)</f>
        <v/>
      </c>
      <c r="S477">
        <f>S478</f>
        <v/>
      </c>
      <c r="T477">
        <f>(E477/100000+F477/100+(P477/1000)*J477/5+S477/200)*200*I477*H477</f>
        <v/>
      </c>
      <c r="U477">
        <f>((E477*F477/25000)+((P477/1000)*J477*S477/2.5))*I477*H477</f>
        <v/>
      </c>
      <c r="V477">
        <f>(E477*F477*(P477/1000)*J477*S477*I477*H477)/12500000</f>
        <v/>
      </c>
      <c r="W477">
        <f>(T477+U477+V477)/3</f>
        <v/>
      </c>
      <c r="X477" s="6" t="n">
        <v>800</v>
      </c>
      <c r="Y477">
        <f>IFERROR(W477-X477,"")</f>
        <v/>
      </c>
      <c r="Z477">
        <f>IFERROR(ABS(Y477)/MAX(X477,1),"")</f>
        <v/>
      </c>
      <c r="AA477">
        <f>IFERROR((X477-(((E477/100000+F477/100+S477/200)*200*I477*H477)+((E477*F477/25000)*I477*H477))/3)/(((J477/5)*200*I477*H477)+((J477*S477/2.5)*I477*H477)+((E477*F477*J477*S477*I477*H477)/12500000))/3*1000,"")</f>
        <v/>
      </c>
    </row>
    <row r="478">
      <c r="B478" s="7" t="inlineStr">
        <is>
          <t xml:space="preserve">  ↳ HonestJohn</t>
        </is>
      </c>
      <c r="C478" s="7" t="inlineStr">
        <is>
          <t>Armament</t>
        </is>
      </c>
      <c r="L478" s="6" t="n">
        <v>10000</v>
      </c>
      <c r="M478" s="6" t="n">
        <v>225</v>
      </c>
      <c r="N478" s="6" t="n">
        <v>2</v>
      </c>
      <c r="O478" s="6" t="n">
        <v>25</v>
      </c>
      <c r="P478" s="6" t="n">
        <v>8940</v>
      </c>
      <c r="Q478" s="6" t="n">
        <v>1.05</v>
      </c>
      <c r="R478">
        <f>M478+IF(N478&gt;1,N(O478)*(N478-1),0)</f>
        <v/>
      </c>
      <c r="S478">
        <f>IFERROR(L478*MAX(N478,1)/R478*Q478*IF(ISBLANK(K477),1,K477),0)</f>
        <v/>
      </c>
      <c r="AB478" s="7" t="inlineStr">
        <is>
          <t>^LightFlameWeapon, ^MediumFlameWeapon, ^HeavyFlameWeapon, ^MediumMissile, ^HeavyMissile</t>
        </is>
      </c>
    </row>
    <row r="479">
      <c r="A479" t="inlineStr">
        <is>
          <t>tiberiandawn</t>
        </is>
      </c>
      <c r="B479" t="inlineStr">
        <is>
          <t>td_nod_stealthtank</t>
        </is>
      </c>
      <c r="C479" t="inlineStr">
        <is>
          <t>Stealth Tank</t>
        </is>
      </c>
      <c r="D479" s="6" t="inlineStr">
        <is>
          <t>FireSupport</t>
        </is>
      </c>
      <c r="E479" s="6" t="n">
        <v>25000</v>
      </c>
      <c r="F479" s="6" t="n">
        <v>150</v>
      </c>
      <c r="G479" t="inlineStr">
        <is>
          <t>Light</t>
        </is>
      </c>
      <c r="H479" s="6" t="n">
        <v>1</v>
      </c>
      <c r="I479" s="6" t="n">
        <v>1</v>
      </c>
      <c r="J479" s="6" t="n">
        <v>1</v>
      </c>
      <c r="K479" s="6" t="n">
        <v>1.3</v>
      </c>
      <c r="P479">
        <f>MAX(P480,P481)</f>
        <v/>
      </c>
      <c r="S479">
        <f>S480+S481</f>
        <v/>
      </c>
      <c r="T479">
        <f>(E479/100000+F479/100+(P479/1000)*J479/5+S479/200)*200*I479*H479</f>
        <v/>
      </c>
      <c r="U479">
        <f>((E479*F479/25000)+((P479/1000)*J479*S479/2.5))*I479*H479</f>
        <v/>
      </c>
      <c r="V479">
        <f>(E479*F479*(P479/1000)*J479*S479*I479*H479)/12500000</f>
        <v/>
      </c>
      <c r="W479">
        <f>(T479+U479+V479)/3</f>
        <v/>
      </c>
      <c r="X479" s="6" t="n">
        <v>900</v>
      </c>
      <c r="Y479">
        <f>IFERROR(W479-X479,"")</f>
        <v/>
      </c>
      <c r="Z479">
        <f>IFERROR(ABS(Y479)/MAX(X479,1),"")</f>
        <v/>
      </c>
      <c r="AA479">
        <f>IFERROR((X479-(((E479/100000+F479/100+S479/200)*200*I479*H479)+((E479*F479/25000)*I479*H479))/3)/(((J479/5)*200*I479*H479)+((J479*S479/2.5)*I479*H479)+((E479*F479*J479*S479*I479*H479)/12500000))/3*1000,"")</f>
        <v/>
      </c>
    </row>
    <row r="480">
      <c r="B480" s="7" t="inlineStr">
        <is>
          <t xml:space="preserve">  ↳ StealthTankMissiles</t>
        </is>
      </c>
      <c r="C480" s="7" t="inlineStr">
        <is>
          <t>Armament</t>
        </is>
      </c>
      <c r="L480" s="6" t="n">
        <v>12000</v>
      </c>
      <c r="M480" s="6" t="n">
        <v>58</v>
      </c>
      <c r="N480" s="6" t="n">
        <v>2</v>
      </c>
      <c r="O480" s="6" t="n">
        <v>8</v>
      </c>
      <c r="P480" s="6" t="n">
        <v>7432</v>
      </c>
      <c r="Q480" s="6" t="n">
        <v>1</v>
      </c>
      <c r="R480">
        <f>M480+IF(N480&gt;1,N(O480)*(N480-1),0)</f>
        <v/>
      </c>
      <c r="S480">
        <f>IFERROR(L480*MAX(N480,1)/R480*Q480*IF(ISBLANK(K479),1,K479),0)</f>
        <v/>
      </c>
      <c r="AB480" s="7" t="inlineStr">
        <is>
          <t>^MediumMissile</t>
        </is>
      </c>
    </row>
    <row r="481">
      <c r="B481" s="7" t="inlineStr">
        <is>
          <t xml:space="preserve">  ↳ StealthTankMissilesBlackMarket</t>
        </is>
      </c>
      <c r="C481" s="7" t="inlineStr">
        <is>
          <t>Armament@Upgrade</t>
        </is>
      </c>
      <c r="L481" s="6" t="n">
        <v>12000</v>
      </c>
      <c r="M481" s="6" t="n">
        <v>58</v>
      </c>
      <c r="N481" s="6" t="n">
        <v>2</v>
      </c>
      <c r="O481" s="6" t="n">
        <v>8</v>
      </c>
      <c r="P481" s="6" t="n">
        <v>7432</v>
      </c>
      <c r="Q481" s="6" t="n">
        <v>1</v>
      </c>
      <c r="R481">
        <f>M481+IF(N481&gt;1,N(O481)*(N481-1),0)</f>
        <v/>
      </c>
      <c r="S481">
        <f>IFERROR(L481*MAX(N481,1)/R481*Q481*IF(ISBLANK(K479),1,K479),0)</f>
        <v/>
      </c>
      <c r="AB481" s="7" t="inlineStr">
        <is>
          <t>^MediumMissile</t>
        </is>
      </c>
    </row>
    <row r="482">
      <c r="A482" t="inlineStr">
        <is>
          <t>redalert</t>
        </is>
      </c>
      <c r="B482" t="inlineStr">
        <is>
          <t>japan_nanodronebuggy</t>
        </is>
      </c>
      <c r="C482" t="inlineStr">
        <is>
          <t>Nanodrone Buggy</t>
        </is>
      </c>
      <c r="D482" s="6" t="inlineStr">
        <is>
          <t>FireSupport</t>
        </is>
      </c>
      <c r="E482" s="6" t="n">
        <v>37500</v>
      </c>
      <c r="F482" s="6" t="n">
        <v>77</v>
      </c>
      <c r="G482" t="inlineStr">
        <is>
          <t>Light</t>
        </is>
      </c>
      <c r="H482" s="6" t="n">
        <v>1</v>
      </c>
      <c r="I482" s="6" t="n">
        <v>1</v>
      </c>
      <c r="J482" s="6" t="n">
        <v>1.25</v>
      </c>
      <c r="K482" s="6" t="n">
        <v>0.33</v>
      </c>
      <c r="P482">
        <f>MAX(P483)</f>
        <v/>
      </c>
      <c r="S482">
        <f>S483</f>
        <v/>
      </c>
      <c r="T482">
        <f>(E482/100000+F482/100+(P482/1000)*J482/5+S482/200)*200*I482*H482</f>
        <v/>
      </c>
      <c r="U482">
        <f>((E482*F482/25000)+((P482/1000)*J482*S482/2.5))*I482*H482</f>
        <v/>
      </c>
      <c r="V482">
        <f>(E482*F482*(P482/1000)*J482*S482*I482*H482)/12500000</f>
        <v/>
      </c>
      <c r="W482">
        <f>(T482+U482+V482)/3</f>
        <v/>
      </c>
      <c r="X482" s="6" t="n">
        <v>1200</v>
      </c>
      <c r="Y482">
        <f>IFERROR(W482-X482,"")</f>
        <v/>
      </c>
      <c r="Z482">
        <f>IFERROR(ABS(Y482)/MAX(X482,1),"")</f>
        <v/>
      </c>
      <c r="AA482">
        <f>IFERROR((X482-(((E482/100000+F482/100+S482/200)*200*I482*H482)+((E482*F482/25000)*I482*H482))/3)/(((J482/5)*200*I482*H482)+((J482*S482/2.5)*I482*H482)+((E482*F482*J482*S482*I482*H482)/12500000))/3*1000,"")</f>
        <v/>
      </c>
    </row>
    <row r="483">
      <c r="B483" s="7" t="inlineStr">
        <is>
          <t xml:space="preserve">  ↳ NanoArtilleryAG</t>
        </is>
      </c>
      <c r="C483" s="7" t="inlineStr">
        <is>
          <t>Armament</t>
        </is>
      </c>
      <c r="L483" s="6" t="n">
        <v>7777</v>
      </c>
      <c r="M483" s="6" t="n">
        <v>77</v>
      </c>
      <c r="N483" s="6" t="n">
        <v>1</v>
      </c>
      <c r="O483" s="6" t="n"/>
      <c r="P483" s="6" t="n">
        <v>7777</v>
      </c>
      <c r="Q483" s="6" t="n">
        <v>1.083333333333333</v>
      </c>
      <c r="R483">
        <f>M483+IF(N483&gt;1,N(O483)*(N483-1),0)</f>
        <v/>
      </c>
      <c r="S483">
        <f>IFERROR(L483*MAX(N483,1)/R483*Q483*IF(ISBLANK(K482),1,K482),0)</f>
        <v/>
      </c>
      <c r="AB483" s="7" t="inlineStr">
        <is>
          <t>^HeavyCannon, ^ShrapnelWeapon, ^Grenade</t>
        </is>
      </c>
    </row>
    <row r="484">
      <c r="A484" t="inlineStr">
        <is>
          <t>redalert</t>
        </is>
      </c>
      <c r="B484" t="inlineStr">
        <is>
          <t>japan_waveforcetank</t>
        </is>
      </c>
      <c r="C484" t="inlineStr">
        <is>
          <t>Waveforce Tank</t>
        </is>
      </c>
      <c r="D484" s="6" t="inlineStr">
        <is>
          <t>FireSupport</t>
        </is>
      </c>
      <c r="E484" s="6" t="n">
        <v>60000</v>
      </c>
      <c r="F484" s="6" t="n">
        <v>60</v>
      </c>
      <c r="G484" t="inlineStr">
        <is>
          <t>Medium</t>
        </is>
      </c>
      <c r="H484" s="6" t="n">
        <v>1</v>
      </c>
      <c r="I484" s="6" t="n">
        <v>1</v>
      </c>
      <c r="J484" s="6" t="n">
        <v>1</v>
      </c>
      <c r="K484" s="6" t="n"/>
      <c r="P484">
        <f>MAX(P485,P486,P487,P488)</f>
        <v/>
      </c>
      <c r="S484">
        <f>S485+S486+S487+S488</f>
        <v/>
      </c>
      <c r="T484">
        <f>(E484/100000+F484/100+(P484/1000)*J484/5+S484/200)*200*I484*H484</f>
        <v/>
      </c>
      <c r="U484">
        <f>((E484*F484/25000)+((P484/1000)*J484*S484/2.5))*I484*H484</f>
        <v/>
      </c>
      <c r="V484">
        <f>(E484*F484*(P484/1000)*J484*S484*I484*H484)/12500000</f>
        <v/>
      </c>
      <c r="W484">
        <f>(T484+U484+V484)/3</f>
        <v/>
      </c>
      <c r="X484" s="6" t="n">
        <v>1800</v>
      </c>
      <c r="Y484">
        <f>IFERROR(W484-X484,"")</f>
        <v/>
      </c>
      <c r="Z484">
        <f>IFERROR(ABS(Y484)/MAX(X484,1),"")</f>
        <v/>
      </c>
      <c r="AA484">
        <f>IFERROR((X484-(((E484/100000+F484/100+S484/200)*200*I484*H484)+((E484*F484/25000)*I484*H484))/3)/(((J484/5)*200*I484*H484)+((J484*S484/2.5)*I484*H484)+((E484*F484*J484*S484*I484*H484)/12500000))/3*1000,"")</f>
        <v/>
      </c>
    </row>
    <row r="485">
      <c r="B485" s="7" t="inlineStr">
        <is>
          <t xml:space="preserve">  ↳ WaveforceCannon</t>
        </is>
      </c>
      <c r="C485" s="7" t="inlineStr">
        <is>
          <t>Armament</t>
        </is>
      </c>
      <c r="L485" s="6" t="n">
        <v>10000</v>
      </c>
      <c r="M485" s="6" t="n">
        <v>60</v>
      </c>
      <c r="N485" s="6" t="n">
        <v>1</v>
      </c>
      <c r="O485" s="6" t="n"/>
      <c r="P485" s="6" t="n">
        <v>9343</v>
      </c>
      <c r="Q485" s="6" t="n">
        <v>1.25</v>
      </c>
      <c r="R485">
        <f>M485+IF(N485&gt;1,N(O485)*(N485-1),0)</f>
        <v/>
      </c>
      <c r="S485">
        <f>IFERROR(L485*MAX(N485,1)/R485*Q485*IF(ISBLANK(K484),1,K484),0)</f>
        <v/>
      </c>
      <c r="AB485" s="7" t="inlineStr">
        <is>
          <t>^HeavyMissile, ^RailgunWeapon</t>
        </is>
      </c>
    </row>
    <row r="486">
      <c r="B486" s="7" t="inlineStr">
        <is>
          <t xml:space="preserve">  ↳ WaveforceCannonChargedLaser</t>
        </is>
      </c>
      <c r="C486" s="7" t="inlineStr">
        <is>
          <t>Armament@Upgrade1</t>
        </is>
      </c>
      <c r="L486" s="6" t="n">
        <v>10000</v>
      </c>
      <c r="M486" s="6" t="n">
        <v>120</v>
      </c>
      <c r="N486" s="6" t="n">
        <v>1</v>
      </c>
      <c r="O486" s="6" t="n"/>
      <c r="P486" s="6" t="n">
        <v>9343</v>
      </c>
      <c r="Q486" s="6" t="n">
        <v>1.25</v>
      </c>
      <c r="R486">
        <f>M486+IF(N486&gt;1,N(O486)*(N486-1),0)</f>
        <v/>
      </c>
      <c r="S486">
        <f>IFERROR(L486*MAX(N486,1)/R486*Q486*IF(ISBLANK(K484),1,K484),0)</f>
        <v/>
      </c>
      <c r="AB486" s="7" t="inlineStr">
        <is>
          <t>^HeavyMissile, ^RailgunWeapon</t>
        </is>
      </c>
    </row>
    <row r="487">
      <c r="B487" s="7" t="inlineStr">
        <is>
          <t xml:space="preserve">  ↳ WaveforceCannonDistortedBeam1</t>
        </is>
      </c>
      <c r="C487" s="7" t="inlineStr">
        <is>
          <t>Armament@Upgrade2</t>
        </is>
      </c>
      <c r="L487" s="6" t="n">
        <v>10000</v>
      </c>
      <c r="M487" s="6" t="n">
        <v>120</v>
      </c>
      <c r="N487" s="6" t="n">
        <v>1</v>
      </c>
      <c r="O487" s="6" t="n"/>
      <c r="P487" s="6" t="n">
        <v>9343</v>
      </c>
      <c r="Q487" s="6" t="n">
        <v>1.125</v>
      </c>
      <c r="R487">
        <f>M487+IF(N487&gt;1,N(O487)*(N487-1),0)</f>
        <v/>
      </c>
      <c r="S487">
        <f>IFERROR(L487*MAX(N487,1)/R487*Q487*IF(ISBLANK(K484),1,K484),0)</f>
        <v/>
      </c>
      <c r="AB487" s="7" t="inlineStr">
        <is>
          <t>^TeslaWeapon, ^HeavyCannon</t>
        </is>
      </c>
    </row>
    <row r="488">
      <c r="B488" s="7" t="inlineStr">
        <is>
          <t xml:space="preserve">  ↳ WaveforceCannonDistortedBeam2</t>
        </is>
      </c>
      <c r="C488" s="7" t="inlineStr">
        <is>
          <t>Armament@Upgrade3</t>
        </is>
      </c>
      <c r="L488" s="6" t="n">
        <v>10000</v>
      </c>
      <c r="M488" s="6" t="n">
        <v>120</v>
      </c>
      <c r="N488" s="6" t="n">
        <v>1</v>
      </c>
      <c r="O488" s="6" t="n"/>
      <c r="P488" s="6" t="n">
        <v>9343</v>
      </c>
      <c r="Q488" s="6" t="n">
        <v>1.25</v>
      </c>
      <c r="R488">
        <f>M488+IF(N488&gt;1,N(O488)*(N488-1),0)</f>
        <v/>
      </c>
      <c r="S488">
        <f>IFERROR(L488*MAX(N488,1)/R488*Q488*IF(ISBLANK(K484),1,K484),0)</f>
        <v/>
      </c>
      <c r="AB488" s="7" t="inlineStr">
        <is>
          <t>^HeavyChemicalWeapon, ^HeavyFlameWeapon</t>
        </is>
      </c>
    </row>
    <row r="489">
      <c r="A489" t="inlineStr">
        <is>
          <t>redalert</t>
        </is>
      </c>
      <c r="B489" t="inlineStr">
        <is>
          <t>ra1_soviets_heatraytank</t>
        </is>
      </c>
      <c r="C489" t="inlineStr">
        <is>
          <t>Heatray Tank</t>
        </is>
      </c>
      <c r="D489" s="6" t="inlineStr">
        <is>
          <t>FireSupport</t>
        </is>
      </c>
      <c r="E489" s="6" t="n">
        <v>60000</v>
      </c>
      <c r="F489" s="6" t="n">
        <v>60</v>
      </c>
      <c r="G489" t="inlineStr">
        <is>
          <t>Medium</t>
        </is>
      </c>
      <c r="H489" s="6" t="n">
        <v>1</v>
      </c>
      <c r="I489" s="6" t="n">
        <v>1</v>
      </c>
      <c r="J489" s="6" t="n">
        <v>1</v>
      </c>
      <c r="K489" s="6" t="n">
        <v>0.25</v>
      </c>
      <c r="P489">
        <f>MAX(P490,P491,P492,P493)</f>
        <v/>
      </c>
      <c r="S489">
        <f>S490+S491+S492+S493</f>
        <v/>
      </c>
      <c r="T489">
        <f>(E489/100000+F489/100+(P489/1000)*J489/5+S489/200)*200*I489*H489</f>
        <v/>
      </c>
      <c r="U489">
        <f>((E489*F489/25000)+((P489/1000)*J489*S489/2.5))*I489*H489</f>
        <v/>
      </c>
      <c r="V489">
        <f>(E489*F489*(P489/1000)*J489*S489*I489*H489)/12500000</f>
        <v/>
      </c>
      <c r="W489">
        <f>(T489+U489+V489)/3</f>
        <v/>
      </c>
      <c r="X489" s="6" t="n">
        <v>1900</v>
      </c>
      <c r="Y489">
        <f>IFERROR(W489-X489,"")</f>
        <v/>
      </c>
      <c r="Z489">
        <f>IFERROR(ABS(Y489)/MAX(X489,1),"")</f>
        <v/>
      </c>
      <c r="AA489">
        <f>IFERROR((X489-(((E489/100000+F489/100+S489/200)*200*I489*H489)+((E489*F489/25000)*I489*H489))/3)/(((J489/5)*200*I489*H489)+((J489*S489/2.5)*I489*H489)+((E489*F489*J489*S489*I489*H489)/12500000))/3*1000,"")</f>
        <v/>
      </c>
    </row>
    <row r="490">
      <c r="B490" s="7" t="inlineStr">
        <is>
          <t xml:space="preserve">  ↳ HeatRayBeam1</t>
        </is>
      </c>
      <c r="C490" s="7" t="inlineStr">
        <is>
          <t>Armament@1</t>
        </is>
      </c>
      <c r="L490" s="6" t="n">
        <v>2000</v>
      </c>
      <c r="M490" s="6" t="n">
        <v>8</v>
      </c>
      <c r="N490" s="6" t="n">
        <v>1</v>
      </c>
      <c r="O490" s="6" t="n"/>
      <c r="P490" s="6" t="n">
        <v>8212</v>
      </c>
      <c r="Q490" s="6" t="n">
        <v>0.9166666666666666</v>
      </c>
      <c r="R490">
        <f>M490+IF(N490&gt;1,N(O490)*(N490-1),0)</f>
        <v/>
      </c>
      <c r="S490">
        <f>IFERROR(L490*MAX(N490,1)/R490*Q490*IF(ISBLANK(K489),1,K489),0)</f>
        <v/>
      </c>
      <c r="AB490" s="7" t="inlineStr">
        <is>
          <t>^LaserWeapon, ^MediumChemicalWeapon, ^LightFlameWeapon</t>
        </is>
      </c>
    </row>
    <row r="491">
      <c r="B491" s="7" t="inlineStr">
        <is>
          <t xml:space="preserve">  ↳ HeatRayBeam2</t>
        </is>
      </c>
      <c r="C491" s="7" t="inlineStr">
        <is>
          <t>Armament@2</t>
        </is>
      </c>
      <c r="L491" s="6" t="n">
        <v>2000</v>
      </c>
      <c r="M491" s="6" t="n">
        <v>8</v>
      </c>
      <c r="N491" s="6" t="n">
        <v>1</v>
      </c>
      <c r="O491" s="6" t="n"/>
      <c r="P491" s="6" t="n">
        <v>8212</v>
      </c>
      <c r="Q491" s="6" t="n">
        <v>0.9166666666666666</v>
      </c>
      <c r="R491">
        <f>M491+IF(N491&gt;1,N(O491)*(N491-1),0)</f>
        <v/>
      </c>
      <c r="S491">
        <f>IFERROR(L491*MAX(N491,1)/R491*Q491*IF(ISBLANK(K489),1,K489),0)</f>
        <v/>
      </c>
      <c r="AB491" s="7" t="inlineStr">
        <is>
          <t>^LaserWeapon, ^MediumChemicalWeapon, ^LightFlameWeapon</t>
        </is>
      </c>
    </row>
    <row r="492">
      <c r="B492" s="7" t="inlineStr">
        <is>
          <t xml:space="preserve">  ↳ HeatRayBeam3</t>
        </is>
      </c>
      <c r="C492" s="7" t="inlineStr">
        <is>
          <t>Armament@3</t>
        </is>
      </c>
      <c r="L492" s="6" t="n">
        <v>2000</v>
      </c>
      <c r="M492" s="6" t="n">
        <v>8</v>
      </c>
      <c r="N492" s="6" t="n">
        <v>1</v>
      </c>
      <c r="O492" s="6" t="n"/>
      <c r="P492" s="6" t="n">
        <v>8212</v>
      </c>
      <c r="Q492" s="6" t="n">
        <v>0.9166666666666666</v>
      </c>
      <c r="R492">
        <f>M492+IF(N492&gt;1,N(O492)*(N492-1),0)</f>
        <v/>
      </c>
      <c r="S492">
        <f>IFERROR(L492*MAX(N492,1)/R492*Q492*IF(ISBLANK(K489),1,K489),0)</f>
        <v/>
      </c>
      <c r="AB492" s="7" t="inlineStr">
        <is>
          <t>^LaserWeapon, ^MediumChemicalWeapon, ^LightFlameWeapon</t>
        </is>
      </c>
    </row>
    <row r="493">
      <c r="B493" s="7" t="inlineStr">
        <is>
          <t xml:space="preserve">  ↳ HeatRayBeam4</t>
        </is>
      </c>
      <c r="C493" s="7" t="inlineStr">
        <is>
          <t>Armament@4</t>
        </is>
      </c>
      <c r="L493" s="6" t="n">
        <v>2000</v>
      </c>
      <c r="M493" s="6" t="n">
        <v>8</v>
      </c>
      <c r="N493" s="6" t="n">
        <v>1</v>
      </c>
      <c r="O493" s="6" t="n"/>
      <c r="P493" s="6" t="n">
        <v>8212</v>
      </c>
      <c r="Q493" s="6" t="n">
        <v>0.9166666666666666</v>
      </c>
      <c r="R493">
        <f>M493+IF(N493&gt;1,N(O493)*(N493-1),0)</f>
        <v/>
      </c>
      <c r="S493">
        <f>IFERROR(L493*MAX(N493,1)/R493*Q493*IF(ISBLANK(K489),1,K489),0)</f>
        <v/>
      </c>
      <c r="AB493" s="7" t="inlineStr">
        <is>
          <t>^LaserWeapon, ^MediumChemicalWeapon, ^LightFlameWeapon</t>
        </is>
      </c>
    </row>
    <row r="494">
      <c r="A494" t="inlineStr">
        <is>
          <t>redalert</t>
        </is>
      </c>
      <c r="B494" t="inlineStr">
        <is>
          <t>ra1_soviets_teslatank</t>
        </is>
      </c>
      <c r="C494" t="inlineStr">
        <is>
          <t>Tesla Tank</t>
        </is>
      </c>
      <c r="D494" s="6" t="inlineStr">
        <is>
          <t>FireSupport</t>
        </is>
      </c>
      <c r="E494" s="6" t="n">
        <v>40000</v>
      </c>
      <c r="F494" s="6" t="n">
        <v>80</v>
      </c>
      <c r="G494" t="inlineStr">
        <is>
          <t>Light</t>
        </is>
      </c>
      <c r="H494" s="6" t="n">
        <v>1</v>
      </c>
      <c r="I494" s="6" t="n">
        <v>1</v>
      </c>
      <c r="J494" s="6" t="n">
        <v>1</v>
      </c>
      <c r="K494" s="6" t="n"/>
      <c r="P494">
        <f>MAX(P495,P496,P497)</f>
        <v/>
      </c>
      <c r="S494">
        <f>S495+S496+S497</f>
        <v/>
      </c>
      <c r="T494">
        <f>(E494/100000+F494/100+(P494/1000)*J494/5+S494/200)*200*I494*H494</f>
        <v/>
      </c>
      <c r="U494">
        <f>((E494*F494/25000)+((P494/1000)*J494*S494/2.5))*I494*H494</f>
        <v/>
      </c>
      <c r="V494">
        <f>(E494*F494*(P494/1000)*J494*S494*I494*H494)/12500000</f>
        <v/>
      </c>
      <c r="W494">
        <f>(T494+U494+V494)/3</f>
        <v/>
      </c>
      <c r="X494" s="6" t="n">
        <v>1700</v>
      </c>
      <c r="Y494">
        <f>IFERROR(W494-X494,"")</f>
        <v/>
      </c>
      <c r="Z494">
        <f>IFERROR(ABS(Y494)/MAX(X494,1),"")</f>
        <v/>
      </c>
      <c r="AA494">
        <f>IFERROR((X494-(((E494/100000+F494/100+S494/200)*200*I494*H494)+((E494*F494/25000)*I494*H494))/3)/(((J494/5)*200*I494*H494)+((J494*S494/2.5)*I494*H494)+((E494*F494*J494*S494*I494*H494)/12500000))/3*1000,"")</f>
        <v/>
      </c>
    </row>
    <row r="495">
      <c r="B495" s="7" t="inlineStr">
        <is>
          <t xml:space="preserve">  ↳ TTankZap</t>
        </is>
      </c>
      <c r="C495" s="7" t="inlineStr">
        <is>
          <t>Armament</t>
        </is>
      </c>
      <c r="L495" s="6" t="n">
        <v>40000</v>
      </c>
      <c r="M495" s="6" t="n">
        <v>80</v>
      </c>
      <c r="N495" s="6" t="n">
        <v>1</v>
      </c>
      <c r="O495" s="6" t="n"/>
      <c r="P495" s="6" t="n">
        <v>7300</v>
      </c>
      <c r="Q495" s="6" t="n">
        <v>1</v>
      </c>
      <c r="R495">
        <f>M495+IF(N495&gt;1,N(O495)*(N495-1),0)</f>
        <v/>
      </c>
      <c r="S495">
        <f>IFERROR(L495*MAX(N495,1)/R495*Q495*IF(ISBLANK(K494),1,K494),0)</f>
        <v/>
      </c>
      <c r="AB495" s="7" t="inlineStr">
        <is>
          <t>^TeslaWeapon</t>
        </is>
      </c>
    </row>
    <row r="496">
      <c r="B496" s="7" t="inlineStr">
        <is>
          <t xml:space="preserve">  ↳ TTankZapEMP</t>
        </is>
      </c>
      <c r="C496" s="7" t="inlineStr">
        <is>
          <t>Armament@Upgrade1</t>
        </is>
      </c>
      <c r="L496" s="6" t="n">
        <v>40000</v>
      </c>
      <c r="M496" s="6" t="n">
        <v>80</v>
      </c>
      <c r="N496" s="6" t="n">
        <v>1</v>
      </c>
      <c r="O496" s="6" t="n"/>
      <c r="P496" s="6" t="n">
        <v>7300</v>
      </c>
      <c r="Q496" s="6" t="n">
        <v>1</v>
      </c>
      <c r="R496">
        <f>M496+IF(N496&gt;1,N(O496)*(N496-1),0)</f>
        <v/>
      </c>
      <c r="S496">
        <f>IFERROR(L496*MAX(N496,1)/R496*Q496*IF(ISBLANK(K494),1,K494),0)</f>
        <v/>
      </c>
      <c r="AB496" s="7" t="inlineStr">
        <is>
          <t>^TeslaWeapon</t>
        </is>
      </c>
    </row>
    <row r="497">
      <c r="B497" s="7" t="inlineStr">
        <is>
          <t xml:space="preserve">  ↳ TTankZapEMPArc</t>
        </is>
      </c>
      <c r="C497" s="7" t="inlineStr">
        <is>
          <t>Armament@Upgrade2</t>
        </is>
      </c>
      <c r="L497" s="6" t="n">
        <v>40000</v>
      </c>
      <c r="M497" s="6" t="n">
        <v>80</v>
      </c>
      <c r="N497" s="6" t="n">
        <v>1</v>
      </c>
      <c r="O497" s="6" t="n"/>
      <c r="P497" s="6" t="n">
        <v>7300</v>
      </c>
      <c r="Q497" s="6" t="n">
        <v>1</v>
      </c>
      <c r="R497">
        <f>M497+IF(N497&gt;1,N(O497)*(N497-1),0)</f>
        <v/>
      </c>
      <c r="S497">
        <f>IFERROR(L497*MAX(N497,1)/R497*Q497*IF(ISBLANK(K494),1,K494),0)</f>
        <v/>
      </c>
      <c r="AB497" s="7" t="inlineStr">
        <is>
          <t>^TeslaWeapon</t>
        </is>
      </c>
    </row>
    <row r="498">
      <c r="A498" t="inlineStr">
        <is>
          <t>tiberiansun</t>
        </is>
      </c>
      <c r="B498" t="inlineStr">
        <is>
          <t>cabal_laserspider</t>
        </is>
      </c>
      <c r="C498" t="inlineStr">
        <is>
          <t>Laser Spider</t>
        </is>
      </c>
      <c r="D498" s="6" t="inlineStr">
        <is>
          <t>FireSupport</t>
        </is>
      </c>
      <c r="E498" s="6" t="n">
        <v>40000</v>
      </c>
      <c r="F498" s="6" t="n">
        <v>70</v>
      </c>
      <c r="G498" t="inlineStr">
        <is>
          <t>Light</t>
        </is>
      </c>
      <c r="H498" s="6" t="n">
        <v>1</v>
      </c>
      <c r="I498" s="6" t="n">
        <v>1</v>
      </c>
      <c r="J498" s="6" t="n">
        <v>1</v>
      </c>
      <c r="K498" s="6" t="n"/>
      <c r="P498">
        <f>MAX(P499)</f>
        <v/>
      </c>
      <c r="S498">
        <f>S499</f>
        <v/>
      </c>
      <c r="T498">
        <f>(E498/100000+F498/100+(P498/1000)*J498/5+S498/200)*200*I498*H498</f>
        <v/>
      </c>
      <c r="U498">
        <f>((E498*F498/25000)+((P498/1000)*J498*S498/2.5))*I498*H498</f>
        <v/>
      </c>
      <c r="V498">
        <f>(E498*F498*(P498/1000)*J498*S498*I498*H498)/12500000</f>
        <v/>
      </c>
      <c r="W498">
        <f>(T498+U498+V498)/3</f>
        <v/>
      </c>
      <c r="X498" s="6" t="n">
        <v>1200</v>
      </c>
      <c r="Y498">
        <f>IFERROR(W498-X498,"")</f>
        <v/>
      </c>
      <c r="Z498">
        <f>IFERROR(ABS(Y498)/MAX(X498,1),"")</f>
        <v/>
      </c>
      <c r="AA498">
        <f>IFERROR((X498-(((E498/100000+F498/100+S498/200)*200*I498*H498)+((E498*F498/25000)*I498*H498))/3)/(((J498/5)*200*I498*H498)+((J498*S498/2.5)*I498*H498)+((E498*F498*J498*S498*I498*H498)/12500000))/3*1000,"")</f>
        <v/>
      </c>
    </row>
    <row r="499">
      <c r="B499" s="7" t="inlineStr">
        <is>
          <t xml:space="preserve">  ↳ CabalSpiderLaser</t>
        </is>
      </c>
      <c r="C499" s="7" t="inlineStr">
        <is>
          <t>Armament@PRIMARY</t>
        </is>
      </c>
      <c r="L499" s="6" t="n">
        <v>44000</v>
      </c>
      <c r="M499" s="6" t="n">
        <v>90</v>
      </c>
      <c r="N499" s="6" t="n">
        <v>1</v>
      </c>
      <c r="O499" s="6" t="n"/>
      <c r="P499" s="6" t="n">
        <v>6147</v>
      </c>
      <c r="Q499" s="6" t="n">
        <v>1</v>
      </c>
      <c r="R499">
        <f>M499+IF(N499&gt;1,N(O499)*(N499-1),0)</f>
        <v/>
      </c>
      <c r="S499">
        <f>IFERROR(L499*MAX(N499,1)/R499*Q499*IF(ISBLANK(K498),1,K498),0)</f>
        <v/>
      </c>
      <c r="AB499" s="7" t="inlineStr">
        <is>
          <t>^LaserWeapon</t>
        </is>
      </c>
    </row>
    <row r="500">
      <c r="A500" t="inlineStr">
        <is>
          <t>tiberiansun</t>
        </is>
      </c>
      <c r="B500" t="inlineStr">
        <is>
          <t>cabal_mantis</t>
        </is>
      </c>
      <c r="C500" t="inlineStr">
        <is>
          <t>Mantis</t>
        </is>
      </c>
      <c r="D500" s="6" t="inlineStr">
        <is>
          <t>FireSupport</t>
        </is>
      </c>
      <c r="E500" s="6" t="n">
        <v>35000</v>
      </c>
      <c r="F500" s="6" t="n">
        <v>120</v>
      </c>
      <c r="G500" t="inlineStr">
        <is>
          <t>Scout</t>
        </is>
      </c>
      <c r="H500" s="6" t="n">
        <v>1</v>
      </c>
      <c r="I500" s="6" t="n">
        <v>1</v>
      </c>
      <c r="J500" s="6" t="n">
        <v>1</v>
      </c>
      <c r="K500" s="6" t="n"/>
      <c r="P500">
        <f>MAX(P501)</f>
        <v/>
      </c>
      <c r="S500">
        <f>S501</f>
        <v/>
      </c>
      <c r="T500">
        <f>(E500/100000+F500/100+(P500/1000)*J500/5+S500/200)*200*I500*H500</f>
        <v/>
      </c>
      <c r="U500">
        <f>((E500*F500/25000)+((P500/1000)*J500*S500/2.5))*I500*H500</f>
        <v/>
      </c>
      <c r="V500">
        <f>(E500*F500*(P500/1000)*J500*S500*I500*H500)/12500000</f>
        <v/>
      </c>
      <c r="W500">
        <f>(T500+U500+V500)/3</f>
        <v/>
      </c>
      <c r="X500" s="6" t="n">
        <v>500</v>
      </c>
      <c r="Y500">
        <f>IFERROR(W500-X500,"")</f>
        <v/>
      </c>
      <c r="Z500">
        <f>IFERROR(ABS(Y500)/MAX(X500,1),"")</f>
        <v/>
      </c>
      <c r="AA500">
        <f>IFERROR((X500-(((E500/100000+F500/100+S500/200)*200*I500*H500)+((E500*F500/25000)*I500*H500))/3)/(((J500/5)*200*I500*H500)+((J500*S500/2.5)*I500*H500)+((E500*F500*J500*S500*I500*H500)/12500000))/3*1000,"")</f>
        <v/>
      </c>
    </row>
    <row r="501">
      <c r="B501" s="7" t="inlineStr">
        <is>
          <t xml:space="preserve">  ↳ CabalMantisGun</t>
        </is>
      </c>
      <c r="C501" s="7" t="inlineStr">
        <is>
          <t>Armament@PRIMARY</t>
        </is>
      </c>
      <c r="L501" s="6" t="n">
        <v>6000</v>
      </c>
      <c r="M501" s="6" t="n">
        <v>40</v>
      </c>
      <c r="N501" s="6" t="n">
        <v>1</v>
      </c>
      <c r="O501" s="6" t="n"/>
      <c r="P501" s="6" t="n">
        <v>7082</v>
      </c>
      <c r="Q501" s="6" t="n">
        <v>0.875</v>
      </c>
      <c r="R501">
        <f>M501+IF(N501&gt;1,N(O501)*(N501-1),0)</f>
        <v/>
      </c>
      <c r="S501">
        <f>IFERROR(L501*MAX(N501,1)/R501*Q501*IF(ISBLANK(K500),1,K500),0)</f>
        <v/>
      </c>
      <c r="AB501" s="7" t="inlineStr">
        <is>
          <t>^SmallArms, ^LaserWeapon</t>
        </is>
      </c>
    </row>
    <row r="502">
      <c r="A502" t="inlineStr">
        <is>
          <t>tiberiansun</t>
        </is>
      </c>
      <c r="B502" t="inlineStr">
        <is>
          <t>cabal_spidercnc4</t>
        </is>
      </c>
      <c r="C502" t="inlineStr">
        <is>
          <t>Spider CNC4</t>
        </is>
      </c>
      <c r="D502" s="6" t="inlineStr">
        <is>
          <t>FireSupport</t>
        </is>
      </c>
      <c r="E502" s="6" t="n">
        <v>40000</v>
      </c>
      <c r="F502" s="6" t="n">
        <v>70</v>
      </c>
      <c r="G502" t="inlineStr">
        <is>
          <t>Light</t>
        </is>
      </c>
      <c r="H502" s="6" t="n">
        <v>1</v>
      </c>
      <c r="I502" s="6" t="n">
        <v>1</v>
      </c>
      <c r="J502" s="6" t="n">
        <v>1</v>
      </c>
      <c r="K502" s="6" t="n"/>
      <c r="P502">
        <f>MAX(P503)</f>
        <v/>
      </c>
      <c r="S502">
        <f>S503</f>
        <v/>
      </c>
      <c r="T502">
        <f>(E502/100000+F502/100+(P502/1000)*J502/5+S502/200)*200*I502*H502</f>
        <v/>
      </c>
      <c r="U502">
        <f>((E502*F502/25000)+((P502/1000)*J502*S502/2.5))*I502*H502</f>
        <v/>
      </c>
      <c r="V502">
        <f>(E502*F502*(P502/1000)*J502*S502*I502*H502)/12500000</f>
        <v/>
      </c>
      <c r="W502">
        <f>(T502+U502+V502)/3</f>
        <v/>
      </c>
      <c r="X502" s="6" t="n">
        <v>1500</v>
      </c>
      <c r="Y502">
        <f>IFERROR(W502-X502,"")</f>
        <v/>
      </c>
      <c r="Z502">
        <f>IFERROR(ABS(Y502)/MAX(X502,1),"")</f>
        <v/>
      </c>
      <c r="AA502">
        <f>IFERROR((X502-(((E502/100000+F502/100+S502/200)*200*I502*H502)+((E502*F502/25000)*I502*H502))/3)/(((J502/5)*200*I502*H502)+((J502*S502/2.5)*I502*H502)+((E502*F502*J502*S502*I502*H502)/12500000))/3*1000,"")</f>
        <v/>
      </c>
    </row>
    <row r="503">
      <c r="B503" s="7" t="inlineStr">
        <is>
          <t xml:space="preserve">  ↳ CabalSpiderCnc4Laser</t>
        </is>
      </c>
      <c r="C503" s="7" t="inlineStr">
        <is>
          <t>Armament@PRIMARY</t>
        </is>
      </c>
      <c r="L503" s="6" t="n">
        <v>44000</v>
      </c>
      <c r="M503" s="6" t="n">
        <v>80</v>
      </c>
      <c r="N503" s="6" t="n">
        <v>1</v>
      </c>
      <c r="O503" s="6" t="n"/>
      <c r="P503" s="6" t="n">
        <v>7000</v>
      </c>
      <c r="Q503" s="6" t="n">
        <v>1</v>
      </c>
      <c r="R503">
        <f>M503+IF(N503&gt;1,N(O503)*(N503-1),0)</f>
        <v/>
      </c>
      <c r="S503">
        <f>IFERROR(L503*MAX(N503,1)/R503*Q503*IF(ISBLANK(K502),1,K502),0)</f>
        <v/>
      </c>
      <c r="AB503" s="7" t="inlineStr">
        <is>
          <t>^LaserWeapon</t>
        </is>
      </c>
    </row>
    <row r="504">
      <c r="A504" t="inlineStr">
        <is>
          <t>tiberiansun</t>
        </is>
      </c>
      <c r="B504" t="inlineStr">
        <is>
          <t>ts_gdi_hovermlrs</t>
        </is>
      </c>
      <c r="C504" t="inlineStr">
        <is>
          <t>Hover MLRS</t>
        </is>
      </c>
      <c r="D504" s="6" t="inlineStr">
        <is>
          <t>FireSupport</t>
        </is>
      </c>
      <c r="E504" s="6" t="n">
        <v>30000</v>
      </c>
      <c r="F504" s="6" t="n">
        <v>80</v>
      </c>
      <c r="G504" t="inlineStr">
        <is>
          <t>Medium</t>
        </is>
      </c>
      <c r="H504" s="6" t="n">
        <v>1</v>
      </c>
      <c r="I504" s="6" t="n">
        <v>1</v>
      </c>
      <c r="J504" s="6" t="n">
        <v>1</v>
      </c>
      <c r="K504" s="6" t="n"/>
      <c r="P504">
        <f>MAX(P505)</f>
        <v/>
      </c>
      <c r="S504">
        <f>S505</f>
        <v/>
      </c>
      <c r="T504">
        <f>(E504/100000+F504/100+(P504/1000)*J504/5+S504/200)*200*I504*H504</f>
        <v/>
      </c>
      <c r="U504">
        <f>((E504*F504/25000)+((P504/1000)*J504*S504/2.5))*I504*H504</f>
        <v/>
      </c>
      <c r="V504">
        <f>(E504*F504*(P504/1000)*J504*S504*I504*H504)/12500000</f>
        <v/>
      </c>
      <c r="W504">
        <f>(T504+U504+V504)/3</f>
        <v/>
      </c>
      <c r="X504" s="6" t="n">
        <v>900</v>
      </c>
      <c r="Y504">
        <f>IFERROR(W504-X504,"")</f>
        <v/>
      </c>
      <c r="Z504">
        <f>IFERROR(ABS(Y504)/MAX(X504,1),"")</f>
        <v/>
      </c>
      <c r="AA504">
        <f>IFERROR((X504-(((E504/100000+F504/100+S504/200)*200*I504*H504)+((E504*F504/25000)*I504*H504))/3)/(((J504/5)*200*I504*H504)+((J504*S504/2.5)*I504*H504)+((E504*F504*J504*S504*I504*H504)/12500000))/3*1000,"")</f>
        <v/>
      </c>
    </row>
    <row r="505">
      <c r="B505" s="7" t="inlineStr">
        <is>
          <t xml:space="preserve">  ↳ TSHoverMissile</t>
        </is>
      </c>
      <c r="C505" s="7" t="inlineStr">
        <is>
          <t>Armament</t>
        </is>
      </c>
      <c r="L505" s="6" t="n">
        <v>4000</v>
      </c>
      <c r="M505" s="6" t="n">
        <v>60</v>
      </c>
      <c r="N505" s="6" t="n">
        <v>2</v>
      </c>
      <c r="O505" s="6" t="n">
        <v>8</v>
      </c>
      <c r="P505" s="6" t="n">
        <v>8159</v>
      </c>
      <c r="Q505" s="6" t="n">
        <v>1</v>
      </c>
      <c r="R505">
        <f>M505+IF(N505&gt;1,N(O505)*(N505-1),0)</f>
        <v/>
      </c>
      <c r="S505">
        <f>IFERROR(L505*MAX(N505,1)/R505*Q505*IF(ISBLANK(K504),1,K504),0)</f>
        <v/>
      </c>
      <c r="AB505" s="7" t="inlineStr">
        <is>
          <t>^FlakWeapon, ^MediumMissile, ^ShrapnelWeapon</t>
        </is>
      </c>
    </row>
    <row r="506">
      <c r="A506" t="inlineStr">
        <is>
          <t>tiberiansun</t>
        </is>
      </c>
      <c r="B506" t="inlineStr">
        <is>
          <t>ts_gdi_wolverine</t>
        </is>
      </c>
      <c r="C506" t="inlineStr">
        <is>
          <t>Wolverine</t>
        </is>
      </c>
      <c r="D506" s="6" t="inlineStr">
        <is>
          <t>FireSupport</t>
        </is>
      </c>
      <c r="E506" s="6" t="n">
        <v>30000</v>
      </c>
      <c r="F506" s="6" t="n">
        <v>80</v>
      </c>
      <c r="G506" t="inlineStr">
        <is>
          <t>Light</t>
        </is>
      </c>
      <c r="H506" s="6" t="n">
        <v>1</v>
      </c>
      <c r="I506" s="6" t="n">
        <v>1</v>
      </c>
      <c r="J506" s="6" t="n">
        <v>1</v>
      </c>
      <c r="K506" s="6" t="n"/>
      <c r="P506">
        <f>MAX(P507,P508)</f>
        <v/>
      </c>
      <c r="S506">
        <f>S507+S508</f>
        <v/>
      </c>
      <c r="T506">
        <f>(E506/100000+F506/100+(P506/1000)*J506/5+S506/200)*200*I506*H506</f>
        <v/>
      </c>
      <c r="U506">
        <f>((E506*F506/25000)+((P506/1000)*J506*S506/2.5))*I506*H506</f>
        <v/>
      </c>
      <c r="V506">
        <f>(E506*F506*(P506/1000)*J506*S506*I506*H506)/12500000</f>
        <v/>
      </c>
      <c r="W506">
        <f>(T506+U506+V506)/3</f>
        <v/>
      </c>
      <c r="X506" s="6" t="n">
        <v>550</v>
      </c>
      <c r="Y506">
        <f>IFERROR(W506-X506,"")</f>
        <v/>
      </c>
      <c r="Z506">
        <f>IFERROR(ABS(Y506)/MAX(X506,1),"")</f>
        <v/>
      </c>
      <c r="AA506">
        <f>IFERROR((X506-(((E506/100000+F506/100+S506/200)*200*I506*H506)+((E506*F506/25000)*I506*H506))/3)/(((J506/5)*200*I506*H506)+((J506*S506/2.5)*I506*H506)+((E506*F506*J506*S506*I506*H506)/12500000))/3*1000,"")</f>
        <v/>
      </c>
    </row>
    <row r="507">
      <c r="B507" s="7" t="inlineStr">
        <is>
          <t xml:space="preserve">  ↳ TSAssaultCannon</t>
        </is>
      </c>
      <c r="C507" s="7" t="inlineStr">
        <is>
          <t>Armament@PRIMARY</t>
        </is>
      </c>
      <c r="L507" s="6" t="n">
        <v>2000</v>
      </c>
      <c r="M507" s="6" t="n">
        <v>33</v>
      </c>
      <c r="N507" s="6" t="n">
        <v>2</v>
      </c>
      <c r="O507" s="6" t="n">
        <v>2</v>
      </c>
      <c r="P507" s="6" t="n">
        <v>6305</v>
      </c>
      <c r="Q507" s="6" t="n">
        <v>1</v>
      </c>
      <c r="R507">
        <f>M507+IF(N507&gt;1,N(O507)*(N507-1),0)</f>
        <v/>
      </c>
      <c r="S507">
        <f>IFERROR(L507*MAX(N507,1)/R507*Q507*IF(ISBLANK(K506),1,K506),0)</f>
        <v/>
      </c>
      <c r="AB507" s="7" t="inlineStr">
        <is>
          <t>^FlakWeapon, ^Chaingun</t>
        </is>
      </c>
    </row>
    <row r="508">
      <c r="B508" s="7" t="inlineStr">
        <is>
          <t xml:space="preserve">  ↳ TSAssaultCannonSonic</t>
        </is>
      </c>
      <c r="C508" s="7" t="inlineStr">
        <is>
          <t>Armament@Upgrade</t>
        </is>
      </c>
      <c r="L508" s="6" t="n">
        <v>2000</v>
      </c>
      <c r="M508" s="6" t="n">
        <v>45</v>
      </c>
      <c r="N508" s="6" t="n">
        <v>2</v>
      </c>
      <c r="O508" s="6" t="n">
        <v>2</v>
      </c>
      <c r="P508" s="6" t="n">
        <v>6305</v>
      </c>
      <c r="Q508" s="6" t="n">
        <v>1</v>
      </c>
      <c r="R508">
        <f>M508+IF(N508&gt;1,N(O508)*(N508-1),0)</f>
        <v/>
      </c>
      <c r="S508">
        <f>IFERROR(L508*MAX(N508,1)/R508*Q508*IF(ISBLANK(K506),1,K506),0)</f>
        <v/>
      </c>
      <c r="AB508" s="7" t="inlineStr">
        <is>
          <t>^FlakWeapon, ^Chaingun, ^TeslaWeapon, ^MagicWeapon, ^TSSonicGrenade</t>
        </is>
      </c>
    </row>
    <row r="509">
      <c r="A509" t="inlineStr">
        <is>
          <t>tiberiansun</t>
        </is>
      </c>
      <c r="B509" t="inlineStr">
        <is>
          <t>ts_gdi_wolverinemkii</t>
        </is>
      </c>
      <c r="C509" t="inlineStr">
        <is>
          <t>Wolverine MK II</t>
        </is>
      </c>
      <c r="D509" s="6" t="inlineStr">
        <is>
          <t>FireSupport</t>
        </is>
      </c>
      <c r="E509" s="6" t="n">
        <v>50000</v>
      </c>
      <c r="F509" s="6" t="n">
        <v>80</v>
      </c>
      <c r="G509" t="inlineStr">
        <is>
          <t>Medium</t>
        </is>
      </c>
      <c r="H509" s="6" t="n">
        <v>1</v>
      </c>
      <c r="I509" s="6" t="n">
        <v>1</v>
      </c>
      <c r="J509" s="6" t="n">
        <v>1</v>
      </c>
      <c r="K509" s="6" t="n"/>
      <c r="P509">
        <f>MAX(P510,P511)</f>
        <v/>
      </c>
      <c r="S509">
        <f>S510+S511</f>
        <v/>
      </c>
      <c r="T509">
        <f>(E509/100000+F509/100+(P509/1000)*J509/5+S509/200)*200*I509*H509</f>
        <v/>
      </c>
      <c r="U509">
        <f>((E509*F509/25000)+((P509/1000)*J509*S509/2.5))*I509*H509</f>
        <v/>
      </c>
      <c r="V509">
        <f>(E509*F509*(P509/1000)*J509*S509*I509*H509)/12500000</f>
        <v/>
      </c>
      <c r="W509">
        <f>(T509+U509+V509)/3</f>
        <v/>
      </c>
      <c r="X509" s="6" t="n">
        <v>950</v>
      </c>
      <c r="Y509">
        <f>IFERROR(W509-X509,"")</f>
        <v/>
      </c>
      <c r="Z509">
        <f>IFERROR(ABS(Y509)/MAX(X509,1),"")</f>
        <v/>
      </c>
      <c r="AA509">
        <f>IFERROR((X509-(((E509/100000+F509/100+S509/200)*200*I509*H509)+((E509*F509/25000)*I509*H509))/3)/(((J509/5)*200*I509*H509)+((J509*S509/2.5)*I509*H509)+((E509*F509*J509*S509*I509*H509)/12500000))/3*1000,"")</f>
        <v/>
      </c>
    </row>
    <row r="510">
      <c r="B510" s="7" t="inlineStr">
        <is>
          <t xml:space="preserve">  ↳ TSAssaultCannonTal</t>
        </is>
      </c>
      <c r="C510" s="7" t="inlineStr">
        <is>
          <t>Armament@PRIMARY</t>
        </is>
      </c>
      <c r="L510" s="6" t="n">
        <v>8000</v>
      </c>
      <c r="M510" s="6" t="n">
        <v>40</v>
      </c>
      <c r="N510" s="6" t="n">
        <v>2</v>
      </c>
      <c r="O510" s="6" t="n">
        <v>2</v>
      </c>
      <c r="P510" s="6" t="n">
        <v>6520</v>
      </c>
      <c r="Q510" s="6" t="n">
        <v>1</v>
      </c>
      <c r="R510">
        <f>M510+IF(N510&gt;1,N(O510)*(N510-1),0)</f>
        <v/>
      </c>
      <c r="S510">
        <f>IFERROR(L510*MAX(N510,1)/R510*Q510*IF(ISBLANK(K509),1,K509),0)</f>
        <v/>
      </c>
      <c r="AB510" s="7" t="inlineStr">
        <is>
          <t>^Chaingun</t>
        </is>
      </c>
    </row>
    <row r="511">
      <c r="B511" s="7" t="inlineStr">
        <is>
          <t xml:space="preserve">  ↳ TSAssaultCannonTalSonic</t>
        </is>
      </c>
      <c r="C511" s="7" t="inlineStr">
        <is>
          <t>Armament@Upgrade</t>
        </is>
      </c>
      <c r="L511" s="6" t="n">
        <v>8000</v>
      </c>
      <c r="M511" s="6" t="n">
        <v>45</v>
      </c>
      <c r="N511" s="6" t="n">
        <v>2</v>
      </c>
      <c r="O511" s="6" t="n">
        <v>2</v>
      </c>
      <c r="P511" s="6" t="n">
        <v>6520</v>
      </c>
      <c r="Q511" s="6" t="n">
        <v>1</v>
      </c>
      <c r="R511">
        <f>M511+IF(N511&gt;1,N(O511)*(N511-1),0)</f>
        <v/>
      </c>
      <c r="S511">
        <f>IFERROR(L511*MAX(N511,1)/R511*Q511*IF(ISBLANK(K509),1,K509),0)</f>
        <v/>
      </c>
      <c r="AB511" s="7" t="inlineStr">
        <is>
          <t>^Chaingun, ^TeslaWeapon, ^MagicWeapon, ^TSSonicGrenade</t>
        </is>
      </c>
    </row>
    <row r="512">
      <c r="A512" t="inlineStr">
        <is>
          <t>tiberiansun</t>
        </is>
      </c>
      <c r="B512" t="inlineStr">
        <is>
          <t>forgotten_tankkiller</t>
        </is>
      </c>
      <c r="C512" t="inlineStr">
        <is>
          <t>actor_forgotten_tankkiller.name</t>
        </is>
      </c>
      <c r="D512" s="6" t="inlineStr">
        <is>
          <t>FireSupport</t>
        </is>
      </c>
      <c r="E512" s="6" t="n">
        <v>85000</v>
      </c>
      <c r="F512" s="6" t="n">
        <v>65</v>
      </c>
      <c r="G512" t="inlineStr">
        <is>
          <t>Medium</t>
        </is>
      </c>
      <c r="H512" s="6" t="n">
        <v>1</v>
      </c>
      <c r="I512" s="6" t="n">
        <v>1</v>
      </c>
      <c r="J512" s="6" t="n">
        <v>1</v>
      </c>
      <c r="K512" s="6" t="n"/>
      <c r="P512">
        <f>MAX(P513,P514)</f>
        <v/>
      </c>
      <c r="S512">
        <f>S513+S514</f>
        <v/>
      </c>
      <c r="T512">
        <f>(E512/100000+F512/100+(P512/1000)*J512/5+S512/200)*200*I512*H512</f>
        <v/>
      </c>
      <c r="U512">
        <f>((E512*F512/25000)+((P512/1000)*J512*S512/2.5))*I512*H512</f>
        <v/>
      </c>
      <c r="V512">
        <f>(E512*F512*(P512/1000)*J512*S512*I512*H512)/12500000</f>
        <v/>
      </c>
      <c r="W512">
        <f>(T512+U512+V512)/3</f>
        <v/>
      </c>
      <c r="X512" s="6" t="n">
        <v>900</v>
      </c>
      <c r="Y512">
        <f>IFERROR(W512-X512,"")</f>
        <v/>
      </c>
      <c r="Z512">
        <f>IFERROR(ABS(Y512)/MAX(X512,1),"")</f>
        <v/>
      </c>
      <c r="AA512">
        <f>IFERROR((X512-(((E512/100000+F512/100+S512/200)*200*I512*H512)+((E512*F512/25000)*I512*H512))/3)/(((J512/5)*200*I512*H512)+((J512*S512/2.5)*I512*H512)+((E512*F512*J512*S512*I512*H512)/12500000))/3*1000,"")</f>
        <v/>
      </c>
    </row>
    <row r="513">
      <c r="B513" s="7" t="inlineStr">
        <is>
          <t xml:space="preserve">  ↳ TSHighVelocity</t>
        </is>
      </c>
      <c r="C513" s="7" t="inlineStr">
        <is>
          <t>Armament@PRIMARY</t>
        </is>
      </c>
      <c r="L513" s="6" t="n">
        <v>30000</v>
      </c>
      <c r="M513" s="6" t="n">
        <v>90</v>
      </c>
      <c r="N513" s="6" t="n">
        <v>1</v>
      </c>
      <c r="O513" s="6" t="n"/>
      <c r="P513" s="6" t="n">
        <v>7701</v>
      </c>
      <c r="Q513" s="6" t="n">
        <v>1</v>
      </c>
      <c r="R513">
        <f>M513+IF(N513&gt;1,N(O513)*(N513-1),0)</f>
        <v/>
      </c>
      <c r="S513">
        <f>IFERROR(L513*MAX(N513,1)/R513*Q513*IF(ISBLANK(K512),1,K512),0)</f>
        <v/>
      </c>
      <c r="AB513" s="7" t="inlineStr">
        <is>
          <t>^TSCannonEffect, ^TankDestroyerCannon</t>
        </is>
      </c>
    </row>
    <row r="514">
      <c r="B514" s="7" t="inlineStr">
        <is>
          <t xml:space="preserve">  ↳ TSHighVelocityChem</t>
        </is>
      </c>
      <c r="C514" s="7" t="inlineStr">
        <is>
          <t>Armament@UPGRADE</t>
        </is>
      </c>
      <c r="L514" s="6" t="n">
        <v>30000</v>
      </c>
      <c r="M514" s="6" t="n">
        <v>90</v>
      </c>
      <c r="N514" s="6" t="n">
        <v>1</v>
      </c>
      <c r="O514" s="6" t="n"/>
      <c r="P514" s="6" t="n">
        <v>7701</v>
      </c>
      <c r="Q514" s="6" t="n">
        <v>0.75</v>
      </c>
      <c r="R514">
        <f>M514+IF(N514&gt;1,N(O514)*(N514-1),0)</f>
        <v/>
      </c>
      <c r="S514">
        <f>IFERROR(L514*MAX(N514,1)/R514*Q514*IF(ISBLANK(K512),1,K512),0)</f>
        <v/>
      </c>
      <c r="AB514" s="7" t="inlineStr">
        <is>
          <t>^TSCannonEffect, ^LightChemicalWeapon, ^TankDestroyerCannon</t>
        </is>
      </c>
    </row>
    <row r="515">
      <c r="A515" t="inlineStr">
        <is>
          <t>tiberiansun</t>
        </is>
      </c>
      <c r="B515" t="inlineStr">
        <is>
          <t>forgotten_warriortank</t>
        </is>
      </c>
      <c r="C515" t="inlineStr">
        <is>
          <t>actor_forgotten_warriortank.name</t>
        </is>
      </c>
      <c r="D515" s="6" t="inlineStr">
        <is>
          <t>FireSupport</t>
        </is>
      </c>
      <c r="E515" s="6" t="n">
        <v>100000</v>
      </c>
      <c r="F515" s="6" t="n">
        <v>75</v>
      </c>
      <c r="G515" t="inlineStr">
        <is>
          <t>Medium</t>
        </is>
      </c>
      <c r="H515" s="6" t="n">
        <v>1</v>
      </c>
      <c r="I515" s="6" t="n">
        <v>1</v>
      </c>
      <c r="J515" s="6" t="n">
        <v>1</v>
      </c>
      <c r="K515" s="6" t="n"/>
      <c r="P515">
        <f>MAX(P516,P517)</f>
        <v/>
      </c>
      <c r="S515">
        <f>S516+S517</f>
        <v/>
      </c>
      <c r="T515">
        <f>(E515/100000+F515/100+(P515/1000)*J515/5+S515/200)*200*I515*H515</f>
        <v/>
      </c>
      <c r="U515">
        <f>((E515*F515/25000)+((P515/1000)*J515*S515/2.5))*I515*H515</f>
        <v/>
      </c>
      <c r="V515">
        <f>(E515*F515*(P515/1000)*J515*S515*I515*H515)/12500000</f>
        <v/>
      </c>
      <c r="W515">
        <f>(T515+U515+V515)/3</f>
        <v/>
      </c>
      <c r="X515" s="6" t="n">
        <v>2000</v>
      </c>
      <c r="Y515">
        <f>IFERROR(W515-X515,"")</f>
        <v/>
      </c>
      <c r="Z515">
        <f>IFERROR(ABS(Y515)/MAX(X515,1),"")</f>
        <v/>
      </c>
      <c r="AA515">
        <f>IFERROR((X515-(((E515/100000+F515/100+S515/200)*200*I515*H515)+((E515*F515/25000)*I515*H515))/3)/(((J515/5)*200*I515*H515)+((J515*S515/2.5)*I515*H515)+((E515*F515*J515*S515*I515*H515)/12500000))/3*1000,"")</f>
        <v/>
      </c>
    </row>
    <row r="516">
      <c r="B516" s="7" t="inlineStr">
        <is>
          <t xml:space="preserve">  ↳ TSHighVelocity2</t>
        </is>
      </c>
      <c r="C516" s="7" t="inlineStr">
        <is>
          <t>Armament@PRIMARY</t>
        </is>
      </c>
      <c r="L516" s="6" t="n">
        <v>40000</v>
      </c>
      <c r="M516" s="6" t="n">
        <v>55</v>
      </c>
      <c r="N516" s="6" t="n">
        <v>1</v>
      </c>
      <c r="O516" s="6" t="n"/>
      <c r="P516" s="6" t="n">
        <v>8207</v>
      </c>
      <c r="Q516" s="6" t="n">
        <v>1</v>
      </c>
      <c r="R516">
        <f>M516+IF(N516&gt;1,N(O516)*(N516-1),0)</f>
        <v/>
      </c>
      <c r="S516">
        <f>IFERROR(L516*MAX(N516,1)/R516*Q516*IF(ISBLANK(K515),1,K515),0)</f>
        <v/>
      </c>
      <c r="AB516" s="7" t="inlineStr">
        <is>
          <t>^TSCannonEffect, ^TankDestroyerCannon</t>
        </is>
      </c>
    </row>
    <row r="517">
      <c r="B517" s="7" t="inlineStr">
        <is>
          <t xml:space="preserve">  ↳ TSHighVelocity2Chem</t>
        </is>
      </c>
      <c r="C517" s="7" t="inlineStr">
        <is>
          <t>Armament@UPGRADE</t>
        </is>
      </c>
      <c r="L517" s="6" t="n">
        <v>40000</v>
      </c>
      <c r="M517" s="6" t="n">
        <v>55</v>
      </c>
      <c r="N517" s="6" t="n">
        <v>1</v>
      </c>
      <c r="O517" s="6" t="n"/>
      <c r="P517" s="6" t="n">
        <v>8207</v>
      </c>
      <c r="Q517" s="6" t="n">
        <v>0.75</v>
      </c>
      <c r="R517">
        <f>M517+IF(N517&gt;1,N(O517)*(N517-1),0)</f>
        <v/>
      </c>
      <c r="S517">
        <f>IFERROR(L517*MAX(N517,1)/R517*Q517*IF(ISBLANK(K515),1,K515),0)</f>
        <v/>
      </c>
      <c r="AB517" s="7" t="inlineStr">
        <is>
          <t>^TSCannonEffect, ^LightChemicalWeapon, ^TankDestroyerCannon</t>
        </is>
      </c>
    </row>
    <row r="518">
      <c r="A518" t="inlineStr">
        <is>
          <t>redalert2</t>
        </is>
      </c>
      <c r="B518" t="inlineStr">
        <is>
          <t>ra2_allies_prismtank</t>
        </is>
      </c>
      <c r="C518" t="inlineStr">
        <is>
          <t>Prism Tank</t>
        </is>
      </c>
      <c r="D518" s="6" t="inlineStr">
        <is>
          <t>FireSupport</t>
        </is>
      </c>
      <c r="E518" s="6" t="n">
        <v>60000</v>
      </c>
      <c r="F518" s="6" t="n">
        <v>60</v>
      </c>
      <c r="G518" t="inlineStr">
        <is>
          <t>Light</t>
        </is>
      </c>
      <c r="H518" s="6" t="n">
        <v>1</v>
      </c>
      <c r="I518" s="6" t="n">
        <v>1</v>
      </c>
      <c r="J518" s="6" t="n">
        <v>1.25</v>
      </c>
      <c r="K518" s="6" t="n"/>
      <c r="P518">
        <f>MAX(P519,P520,P521,P522)</f>
        <v/>
      </c>
      <c r="S518">
        <f>S519+S520+S521+S522</f>
        <v/>
      </c>
      <c r="T518">
        <f>(E518/100000+F518/100+(P518/1000)*J518/5+S518/200)*200*I518*H518</f>
        <v/>
      </c>
      <c r="U518">
        <f>((E518*F518/25000)+((P518/1000)*J518*S518/2.5))*I518*H518</f>
        <v/>
      </c>
      <c r="V518">
        <f>(E518*F518*(P518/1000)*J518*S518*I518*H518)/12500000</f>
        <v/>
      </c>
      <c r="W518">
        <f>(T518+U518+V518)/3</f>
        <v/>
      </c>
      <c r="X518" s="6" t="n">
        <v>2000</v>
      </c>
      <c r="Y518">
        <f>IFERROR(W518-X518,"")</f>
        <v/>
      </c>
      <c r="Z518">
        <f>IFERROR(ABS(Y518)/MAX(X518,1),"")</f>
        <v/>
      </c>
      <c r="AA518">
        <f>IFERROR((X518-(((E518/100000+F518/100+S518/200)*200*I518*H518)+((E518*F518/25000)*I518*H518))/3)/(((J518/5)*200*I518*H518)+((J518*S518/2.5)*I518*H518)+((E518*F518*J518*S518*I518*H518)/12500000))/3*1000,"")</f>
        <v/>
      </c>
    </row>
    <row r="519">
      <c r="B519" s="7" t="inlineStr">
        <is>
          <t xml:space="preserve">  ↳ PrismTankCharge</t>
        </is>
      </c>
      <c r="C519" s="7" t="inlineStr">
        <is>
          <t>Armament@Charge</t>
        </is>
      </c>
      <c r="L519" s="6" t="n"/>
      <c r="M519" s="6" t="n">
        <v>100</v>
      </c>
      <c r="N519" s="6" t="n">
        <v>1</v>
      </c>
      <c r="O519" s="6" t="n"/>
      <c r="P519" s="6" t="n">
        <v>10000</v>
      </c>
      <c r="Q519" s="6" t="n">
        <v>1</v>
      </c>
      <c r="R519">
        <f>M519+IF(N519&gt;1,N(O519)*(N519-1),0)</f>
        <v/>
      </c>
      <c r="S519">
        <f>IFERROR(L519*MAX(N519,1)/R519*Q519*IF(ISBLANK(K518),1,K518),0)</f>
        <v/>
      </c>
      <c r="AB519" s="7" t="inlineStr">
        <is>
          <t>PrismCharge</t>
        </is>
      </c>
    </row>
    <row r="520">
      <c r="B520" s="7" t="inlineStr">
        <is>
          <t xml:space="preserve">  ↳ PrismTankChargeE</t>
        </is>
      </c>
      <c r="C520" s="7" t="inlineStr">
        <is>
          <t>Armament@EliteCharge</t>
        </is>
      </c>
      <c r="L520" s="6" t="n"/>
      <c r="M520" s="6" t="n">
        <v>100</v>
      </c>
      <c r="N520" s="6" t="n">
        <v>1</v>
      </c>
      <c r="O520" s="6" t="n"/>
      <c r="P520" s="6" t="n">
        <v>11111</v>
      </c>
      <c r="Q520" s="6" t="n">
        <v>1</v>
      </c>
      <c r="R520">
        <f>M520+IF(N520&gt;1,N(O520)*(N520-1),0)</f>
        <v/>
      </c>
      <c r="S520">
        <f>IFERROR(L520*MAX(N520,1)/R520*Q520*IF(ISBLANK(K518),1,K518),0)</f>
        <v/>
      </c>
      <c r="AB520" s="7" t="inlineStr">
        <is>
          <t>PrismTankCharge</t>
        </is>
      </c>
    </row>
    <row r="521">
      <c r="B521" s="7" t="inlineStr">
        <is>
          <t xml:space="preserve">  ↳ RA2Comet</t>
        </is>
      </c>
      <c r="C521" s="7" t="inlineStr">
        <is>
          <t>Armament</t>
        </is>
      </c>
      <c r="L521" s="6" t="n">
        <v>20000</v>
      </c>
      <c r="M521" s="6" t="n">
        <v>125</v>
      </c>
      <c r="N521" s="6" t="n">
        <v>1</v>
      </c>
      <c r="O521" s="6" t="n"/>
      <c r="P521" s="6" t="n">
        <v>11111</v>
      </c>
      <c r="Q521" s="6" t="n">
        <v>1</v>
      </c>
      <c r="R521">
        <f>M521+IF(N521&gt;1,N(O521)*(N521-1),0)</f>
        <v/>
      </c>
      <c r="S521">
        <f>IFERROR(L521*MAX(N521,1)/R521*Q521*IF(ISBLANK(K518),1,K518),0)</f>
        <v/>
      </c>
      <c r="AB521" s="7" t="inlineStr">
        <is>
          <t>^Grenade, ^MediumFlameWeapon, ^RA2LaserWeapon</t>
        </is>
      </c>
    </row>
    <row r="522">
      <c r="B522" s="7" t="inlineStr">
        <is>
          <t xml:space="preserve">  ↳ RA2Comet_elite</t>
        </is>
      </c>
      <c r="C522" s="7" t="inlineStr">
        <is>
          <t>Armament@elite</t>
        </is>
      </c>
      <c r="L522" s="6" t="n">
        <v>20000</v>
      </c>
      <c r="M522" s="6" t="n">
        <v>125</v>
      </c>
      <c r="N522" s="6" t="n">
        <v>1</v>
      </c>
      <c r="O522" s="6" t="n"/>
      <c r="P522" s="6" t="n">
        <v>12345</v>
      </c>
      <c r="Q522" s="6" t="n">
        <v>1</v>
      </c>
      <c r="R522">
        <f>M522+IF(N522&gt;1,N(O522)*(N522-1),0)</f>
        <v/>
      </c>
      <c r="S522">
        <f>IFERROR(L522*MAX(N522,1)/R522*Q522*IF(ISBLANK(K518),1,K518),0)</f>
        <v/>
      </c>
      <c r="AB522" s="7" t="inlineStr">
        <is>
          <t>^Grenade, ^MediumFlameWeapon, ^RA2LaserWeapon</t>
        </is>
      </c>
    </row>
    <row r="523">
      <c r="A523" t="inlineStr">
        <is>
          <t>redalert2</t>
        </is>
      </c>
      <c r="B523" t="inlineStr">
        <is>
          <t>ra2_soviets_teslatank</t>
        </is>
      </c>
      <c r="C523" t="inlineStr">
        <is>
          <t>Tesla Tank</t>
        </is>
      </c>
      <c r="D523" s="6" t="inlineStr">
        <is>
          <t>FireSupport</t>
        </is>
      </c>
      <c r="E523" s="6" t="n">
        <v>75000</v>
      </c>
      <c r="F523" s="6" t="n">
        <v>75</v>
      </c>
      <c r="G523" t="inlineStr">
        <is>
          <t>Medium</t>
        </is>
      </c>
      <c r="H523" s="6" t="n">
        <v>1</v>
      </c>
      <c r="I523" s="6" t="n">
        <v>1</v>
      </c>
      <c r="J523" s="6" t="n">
        <v>1</v>
      </c>
      <c r="K523" s="6" t="n"/>
      <c r="P523">
        <f>MAX(P524,P525,P526)</f>
        <v/>
      </c>
      <c r="S523">
        <f>S524+S525+S526</f>
        <v/>
      </c>
      <c r="T523">
        <f>(E523/100000+F523/100+(P523/1000)*J523/5+S523/200)*200*I523*H523</f>
        <v/>
      </c>
      <c r="U523">
        <f>((E523*F523/25000)+((P523/1000)*J523*S523/2.5))*I523*H523</f>
        <v/>
      </c>
      <c r="V523">
        <f>(E523*F523*(P523/1000)*J523*S523*I523*H523)/12500000</f>
        <v/>
      </c>
      <c r="W523">
        <f>(T523+U523+V523)/3</f>
        <v/>
      </c>
      <c r="X523" s="6" t="n">
        <v>1800</v>
      </c>
      <c r="Y523">
        <f>IFERROR(W523-X523,"")</f>
        <v/>
      </c>
      <c r="Z523">
        <f>IFERROR(ABS(Y523)/MAX(X523,1),"")</f>
        <v/>
      </c>
      <c r="AA523">
        <f>IFERROR((X523-(((E523/100000+F523/100+S523/200)*200*I523*H523)+((E523*F523/25000)*I523*H523))/3)/(((J523/5)*200*I523*H523)+((J523*S523/2.5)*I523*H523)+((E523*F523*J523*S523*I523*H523)/12500000))/3*1000,"")</f>
        <v/>
      </c>
    </row>
    <row r="524">
      <c r="B524" s="7" t="inlineStr">
        <is>
          <t xml:space="preserve">  ↳ RA2TankBolt</t>
        </is>
      </c>
      <c r="C524" s="7" t="inlineStr">
        <is>
          <t>Armament@PRIMARY</t>
        </is>
      </c>
      <c r="L524" s="6" t="n">
        <v>12000</v>
      </c>
      <c r="M524" s="6" t="n">
        <v>55</v>
      </c>
      <c r="N524" s="6" t="n">
        <v>2</v>
      </c>
      <c r="O524" s="6" t="n">
        <v>5</v>
      </c>
      <c r="P524" s="6" t="n">
        <v>7500</v>
      </c>
      <c r="Q524" s="6" t="n">
        <v>1</v>
      </c>
      <c r="R524">
        <f>M524+IF(N524&gt;1,N(O524)*(N524-1),0)</f>
        <v/>
      </c>
      <c r="S524">
        <f>IFERROR(L524*MAX(N524,1)/R524*Q524*IF(ISBLANK(K523),1,K523),0)</f>
        <v/>
      </c>
      <c r="AB524" s="7" t="inlineStr">
        <is>
          <t>^TeslaWeapon</t>
        </is>
      </c>
    </row>
    <row r="525">
      <c r="B525" s="7" t="inlineStr">
        <is>
          <t xml:space="preserve">  ↳ RA2TankBolt2</t>
        </is>
      </c>
      <c r="C525" s="7" t="inlineStr">
        <is>
          <t>Armament@PRIMARY2</t>
        </is>
      </c>
      <c r="L525" s="6" t="n">
        <v>12000</v>
      </c>
      <c r="M525" s="6" t="n">
        <v>55</v>
      </c>
      <c r="N525" s="6" t="n">
        <v>2</v>
      </c>
      <c r="O525" s="6" t="n">
        <v>5</v>
      </c>
      <c r="P525" s="6" t="n">
        <v>8000</v>
      </c>
      <c r="Q525" s="6" t="n">
        <v>1</v>
      </c>
      <c r="R525">
        <f>M525+IF(N525&gt;1,N(O525)*(N525-1),0)</f>
        <v/>
      </c>
      <c r="S525">
        <f>IFERROR(L525*MAX(N525,1)/R525*Q525*IF(ISBLANK(K523),1,K523),0)</f>
        <v/>
      </c>
      <c r="AB525" s="7" t="inlineStr">
        <is>
          <t>^TeslaWeapon</t>
        </is>
      </c>
    </row>
    <row r="526">
      <c r="B526" s="7" t="inlineStr">
        <is>
          <t xml:space="preserve">  ↳ RA2TankBolt3</t>
        </is>
      </c>
      <c r="C526" s="7" t="inlineStr">
        <is>
          <t>Armament@PRIMARY3</t>
        </is>
      </c>
      <c r="L526" s="6" t="n">
        <v>12000</v>
      </c>
      <c r="M526" s="6" t="n">
        <v>55</v>
      </c>
      <c r="N526" s="6" t="n">
        <v>2</v>
      </c>
      <c r="O526" s="6" t="n">
        <v>5</v>
      </c>
      <c r="P526" s="6" t="n">
        <v>8500</v>
      </c>
      <c r="Q526" s="6" t="n">
        <v>1</v>
      </c>
      <c r="R526">
        <f>M526+IF(N526&gt;1,N(O526)*(N526-1),0)</f>
        <v/>
      </c>
      <c r="S526">
        <f>IFERROR(L526*MAX(N526,1)/R526*Q526*IF(ISBLANK(K523),1,K523),0)</f>
        <v/>
      </c>
      <c r="AB526" s="7" t="inlineStr">
        <is>
          <t>^TeslaWeapon</t>
        </is>
      </c>
    </row>
    <row r="527">
      <c r="A527" t="inlineStr">
        <is>
          <t>redalert2</t>
        </is>
      </c>
      <c r="B527" t="inlineStr">
        <is>
          <t>yuri_magnetron</t>
        </is>
      </c>
      <c r="C527" t="inlineStr">
        <is>
          <t>Magnetron</t>
        </is>
      </c>
      <c r="D527" s="6" t="inlineStr">
        <is>
          <t>FireSupport</t>
        </is>
      </c>
      <c r="E527" s="6" t="n">
        <v>65000</v>
      </c>
      <c r="F527" s="6" t="n">
        <v>65</v>
      </c>
      <c r="G527" t="inlineStr">
        <is>
          <t>Light</t>
        </is>
      </c>
      <c r="H527" s="6" t="n">
        <v>1</v>
      </c>
      <c r="I527" s="6" t="n">
        <v>1</v>
      </c>
      <c r="J527" s="6" t="n">
        <v>1.25</v>
      </c>
      <c r="K527" s="6" t="n"/>
      <c r="P527">
        <f>MAX(P528,P529,P530,P531)</f>
        <v/>
      </c>
      <c r="S527">
        <f>S528+S529+S530+S531</f>
        <v/>
      </c>
      <c r="T527">
        <f>(E527/100000+F527/100+(P527/1000)*J527/5+S527/200)*200*I527*H527</f>
        <v/>
      </c>
      <c r="U527">
        <f>((E527*F527/25000)+((P527/1000)*J527*S527/2.5))*I527*H527</f>
        <v/>
      </c>
      <c r="V527">
        <f>(E527*F527*(P527/1000)*J527*S527*I527*H527)/12500000</f>
        <v/>
      </c>
      <c r="W527">
        <f>(T527+U527+V527)/3</f>
        <v/>
      </c>
      <c r="X527" s="6" t="n">
        <v>1300</v>
      </c>
      <c r="Y527">
        <f>IFERROR(W527-X527,"")</f>
        <v/>
      </c>
      <c r="Z527">
        <f>IFERROR(ABS(Y527)/MAX(X527,1),"")</f>
        <v/>
      </c>
      <c r="AA527">
        <f>IFERROR((X527-(((E527/100000+F527/100+S527/200)*200*I527*H527)+((E527*F527/25000)*I527*H527))/3)/(((J527/5)*200*I527*H527)+((J527*S527/2.5)*I527*H527)+((E527*F527*J527*S527*I527*H527)/12500000))/3*1000,"")</f>
        <v/>
      </c>
    </row>
    <row r="528">
      <c r="B528" s="7" t="inlineStr">
        <is>
          <t xml:space="preserve">  ↳ RA2Magnet</t>
        </is>
      </c>
      <c r="C528" s="7" t="inlineStr">
        <is>
          <t>Armament@Normal</t>
        </is>
      </c>
      <c r="L528" s="6" t="n">
        <v>2000</v>
      </c>
      <c r="M528" s="6" t="n">
        <v>200</v>
      </c>
      <c r="N528" s="6" t="n">
        <v>100</v>
      </c>
      <c r="O528" s="6" t="n">
        <v>1</v>
      </c>
      <c r="P528" s="6" t="n">
        <v>7032</v>
      </c>
      <c r="Q528" s="6" t="n">
        <v>1</v>
      </c>
      <c r="R528">
        <f>M528+IF(N528&gt;1,N(O528)*(N528-1),0)</f>
        <v/>
      </c>
      <c r="S528">
        <f>IFERROR(L528*MAX(N528,1)/R528*Q528*IF(ISBLANK(K527),1,K527),0)</f>
        <v/>
      </c>
      <c r="AB528" s="7" t="inlineStr">
        <is>
          <t>^RA2LaserWeapon</t>
        </is>
      </c>
    </row>
    <row r="529">
      <c r="B529" s="7" t="inlineStr">
        <is>
          <t xml:space="preserve">  ↳ RA2MagnetAA</t>
        </is>
      </c>
      <c r="C529" s="7" t="inlineStr">
        <is>
          <t>Armament@Upgraded</t>
        </is>
      </c>
      <c r="L529" s="6" t="n">
        <v>2000</v>
      </c>
      <c r="M529" s="6" t="n">
        <v>200</v>
      </c>
      <c r="N529" s="6" t="n">
        <v>100</v>
      </c>
      <c r="O529" s="6" t="n">
        <v>1</v>
      </c>
      <c r="P529" s="6" t="n">
        <v>7032</v>
      </c>
      <c r="Q529" s="6" t="n">
        <v>1</v>
      </c>
      <c r="R529">
        <f>M529+IF(N529&gt;1,N(O529)*(N529-1),0)</f>
        <v/>
      </c>
      <c r="S529">
        <f>IFERROR(L529*MAX(N529,1)/R529*Q529*IF(ISBLANK(K527),1,K527),0)</f>
        <v/>
      </c>
      <c r="AB529" s="7" t="inlineStr">
        <is>
          <t>^RA2LaserWeapon</t>
        </is>
      </c>
    </row>
    <row r="530">
      <c r="B530" s="7" t="inlineStr">
        <is>
          <t xml:space="preserve">  ↳ RA2Magnet_elite</t>
        </is>
      </c>
      <c r="C530" s="7" t="inlineStr">
        <is>
          <t>Armament@elite</t>
        </is>
      </c>
      <c r="L530" s="6" t="n">
        <v>2000</v>
      </c>
      <c r="M530" s="6" t="n">
        <v>200</v>
      </c>
      <c r="N530" s="6" t="n">
        <v>100</v>
      </c>
      <c r="O530" s="6" t="n">
        <v>1</v>
      </c>
      <c r="P530" s="6" t="n">
        <v>8032</v>
      </c>
      <c r="Q530" s="6" t="n">
        <v>1</v>
      </c>
      <c r="R530">
        <f>M530+IF(N530&gt;1,N(O530)*(N530-1),0)</f>
        <v/>
      </c>
      <c r="S530">
        <f>IFERROR(L530*MAX(N530,1)/R530*Q530*IF(ISBLANK(K527),1,K527),0)</f>
        <v/>
      </c>
      <c r="AB530" s="7" t="inlineStr">
        <is>
          <t>^RA2LaserWeapon</t>
        </is>
      </c>
    </row>
    <row r="531">
      <c r="B531" s="7" t="inlineStr">
        <is>
          <t xml:space="preserve">  ↳ RA2MagnetAA_elite</t>
        </is>
      </c>
      <c r="C531" s="7" t="inlineStr">
        <is>
          <t>Armament@elite_aa</t>
        </is>
      </c>
      <c r="L531" s="6" t="n">
        <v>2000</v>
      </c>
      <c r="M531" s="6" t="n">
        <v>200</v>
      </c>
      <c r="N531" s="6" t="n">
        <v>100</v>
      </c>
      <c r="O531" s="6" t="n">
        <v>1</v>
      </c>
      <c r="P531" s="6" t="n">
        <v>8032</v>
      </c>
      <c r="Q531" s="6" t="n">
        <v>1</v>
      </c>
      <c r="R531">
        <f>M531+IF(N531&gt;1,N(O531)*(N531-1),0)</f>
        <v/>
      </c>
      <c r="S531">
        <f>IFERROR(L531*MAX(N531,1)/R531*Q531*IF(ISBLANK(K527),1,K527),0)</f>
        <v/>
      </c>
      <c r="AB531" s="7" t="inlineStr">
        <is>
          <t>^RA2LaserWeapon</t>
        </is>
      </c>
    </row>
    <row r="532">
      <c r="A532" t="inlineStr">
        <is>
          <t>redalert2mod</t>
        </is>
      </c>
      <c r="B532" t="inlineStr">
        <is>
          <t>asianalliance_heavyrailguntank</t>
        </is>
      </c>
      <c r="C532" t="inlineStr">
        <is>
          <t>Heavy Railgun Tank</t>
        </is>
      </c>
      <c r="D532" s="6" t="inlineStr">
        <is>
          <t>FireSupport</t>
        </is>
      </c>
      <c r="E532" s="6" t="n">
        <v>250000</v>
      </c>
      <c r="F532" s="6" t="n">
        <v>50</v>
      </c>
      <c r="G532" t="inlineStr">
        <is>
          <t>Heavy</t>
        </is>
      </c>
      <c r="H532" s="6" t="n">
        <v>1</v>
      </c>
      <c r="I532" s="6" t="n">
        <v>1</v>
      </c>
      <c r="J532" s="6" t="n">
        <v>1</v>
      </c>
      <c r="K532" s="6" t="n"/>
      <c r="P532">
        <f>MAX(P533,P534)</f>
        <v/>
      </c>
      <c r="S532">
        <f>S533+S534</f>
        <v/>
      </c>
      <c r="T532">
        <f>(E532/100000+F532/100+(P532/1000)*J532/5+S532/200)*200*I532*H532</f>
        <v/>
      </c>
      <c r="U532">
        <f>((E532*F532/25000)+((P532/1000)*J532*S532/2.5))*I532*H532</f>
        <v/>
      </c>
      <c r="V532">
        <f>(E532*F532*(P532/1000)*J532*S532*I532*H532)/12500000</f>
        <v/>
      </c>
      <c r="W532">
        <f>(T532+U532+V532)/3</f>
        <v/>
      </c>
      <c r="X532" s="6" t="n">
        <v>2200</v>
      </c>
      <c r="Y532">
        <f>IFERROR(W532-X532,"")</f>
        <v/>
      </c>
      <c r="Z532">
        <f>IFERROR(ABS(Y532)/MAX(X532,1),"")</f>
        <v/>
      </c>
      <c r="AA532">
        <f>IFERROR((X532-(((E532/100000+F532/100+S532/200)*200*I532*H532)+((E532*F532/25000)*I532*H532))/3)/(((J532/5)*200*I532*H532)+((J532*S532/2.5)*I532*H532)+((E532*F532*J532*S532*I532*H532)/12500000))/3*1000,"")</f>
        <v/>
      </c>
    </row>
    <row r="533">
      <c r="B533" s="7" t="inlineStr">
        <is>
          <t xml:space="preserve">  ↳ AsianRailTank2</t>
        </is>
      </c>
      <c r="C533" s="7" t="inlineStr">
        <is>
          <t>Armament@PRIMARY</t>
        </is>
      </c>
      <c r="L533" s="6" t="n">
        <v>36000</v>
      </c>
      <c r="M533" s="6" t="n">
        <v>75</v>
      </c>
      <c r="N533" s="6" t="n">
        <v>1</v>
      </c>
      <c r="O533" s="6" t="n"/>
      <c r="P533" s="6" t="n">
        <v>10000</v>
      </c>
      <c r="Q533" s="6" t="n">
        <v>1.25</v>
      </c>
      <c r="R533">
        <f>M533+IF(N533&gt;1,N(O533)*(N533-1),0)</f>
        <v/>
      </c>
      <c r="S533">
        <f>IFERROR(L533*MAX(N533,1)/R533*Q533*IF(ISBLANK(K532),1,K532),0)</f>
        <v/>
      </c>
      <c r="AB533" s="7" t="inlineStr">
        <is>
          <t>^RailgunWeapon</t>
        </is>
      </c>
    </row>
    <row r="534">
      <c r="B534" s="7" t="inlineStr">
        <is>
          <t xml:space="preserve">  ↳ AsianRailTank3</t>
        </is>
      </c>
      <c r="C534" s="7" t="inlineStr">
        <is>
          <t>Armament@ELITE</t>
        </is>
      </c>
      <c r="L534" s="6" t="n">
        <v>48000</v>
      </c>
      <c r="M534" s="6" t="n">
        <v>90</v>
      </c>
      <c r="N534" s="6" t="n">
        <v>1</v>
      </c>
      <c r="O534" s="6" t="n"/>
      <c r="P534" s="6" t="n">
        <v>11111</v>
      </c>
      <c r="Q534" s="6" t="n">
        <v>1.25</v>
      </c>
      <c r="R534">
        <f>M534+IF(N534&gt;1,N(O534)*(N534-1),0)</f>
        <v/>
      </c>
      <c r="S534">
        <f>IFERROR(L534*MAX(N534,1)/R534*Q534*IF(ISBLANK(K532),1,K532),0)</f>
        <v/>
      </c>
      <c r="AB534" s="7" t="inlineStr">
        <is>
          <t>^RailgunWeapon</t>
        </is>
      </c>
    </row>
    <row r="535">
      <c r="A535" t="inlineStr">
        <is>
          <t>redalert2mod</t>
        </is>
      </c>
      <c r="B535" t="inlineStr">
        <is>
          <t>asianalliance_pulverizer</t>
        </is>
      </c>
      <c r="C535" t="inlineStr">
        <is>
          <t>Pulverizer</t>
        </is>
      </c>
      <c r="D535" s="6" t="inlineStr">
        <is>
          <t>FireSupport</t>
        </is>
      </c>
      <c r="E535" s="6" t="n">
        <v>85000</v>
      </c>
      <c r="F535" s="6" t="n">
        <v>65</v>
      </c>
      <c r="G535" t="inlineStr">
        <is>
          <t>Medium</t>
        </is>
      </c>
      <c r="H535" s="6" t="n">
        <v>1</v>
      </c>
      <c r="I535" s="6" t="n">
        <v>1</v>
      </c>
      <c r="J535" s="6" t="n">
        <v>1.25</v>
      </c>
      <c r="K535" s="6" t="n"/>
      <c r="P535">
        <f>MAX(P536,P537)</f>
        <v/>
      </c>
      <c r="S535">
        <f>S536+S537</f>
        <v/>
      </c>
      <c r="T535">
        <f>(E535/100000+F535/100+(P535/1000)*J535/5+S535/200)*200*I535*H535</f>
        <v/>
      </c>
      <c r="U535">
        <f>((E535*F535/25000)+((P535/1000)*J535*S535/2.5))*I535*H535</f>
        <v/>
      </c>
      <c r="V535">
        <f>(E535*F535*(P535/1000)*J535*S535*I535*H535)/12500000</f>
        <v/>
      </c>
      <c r="W535">
        <f>(T535+U535+V535)/3</f>
        <v/>
      </c>
      <c r="X535" s="6" t="n">
        <v>1400</v>
      </c>
      <c r="Y535">
        <f>IFERROR(W535-X535,"")</f>
        <v/>
      </c>
      <c r="Z535">
        <f>IFERROR(ABS(Y535)/MAX(X535,1),"")</f>
        <v/>
      </c>
      <c r="AA535">
        <f>IFERROR((X535-(((E535/100000+F535/100+S535/200)*200*I535*H535)+((E535*F535/25000)*I535*H535))/3)/(((J535/5)*200*I535*H535)+((J535*S535/2.5)*I535*H535)+((E535*F535*J535*S535*I535*H535)/12500000))/3*1000,"")</f>
        <v/>
      </c>
    </row>
    <row r="536">
      <c r="B536" s="7" t="inlineStr">
        <is>
          <t xml:space="preserve">  ↳ AsianPulverizerGatling</t>
        </is>
      </c>
      <c r="C536" s="7" t="inlineStr">
        <is>
          <t>Armament@1</t>
        </is>
      </c>
      <c r="L536" s="6" t="n">
        <v>2000</v>
      </c>
      <c r="M536" s="6" t="n">
        <v>12</v>
      </c>
      <c r="N536" s="6" t="n">
        <v>1</v>
      </c>
      <c r="O536" s="6" t="n"/>
      <c r="P536" s="6" t="n">
        <v>5517</v>
      </c>
      <c r="Q536" s="6" t="n">
        <v>1</v>
      </c>
      <c r="R536">
        <f>M536+IF(N536&gt;1,N(O536)*(N536-1),0)</f>
        <v/>
      </c>
      <c r="S536">
        <f>IFERROR(L536*MAX(N536,1)/R536*Q536*IF(ISBLANK(K535),1,K535),0)</f>
        <v/>
      </c>
      <c r="AB536" s="7" t="inlineStr">
        <is>
          <t>^HeavyCannon, ^SmallArms, ^RA2Chaingun</t>
        </is>
      </c>
    </row>
    <row r="537">
      <c r="B537" s="7" t="inlineStr">
        <is>
          <t xml:space="preserve">  ↳ AsianPulverizerGatling</t>
        </is>
      </c>
      <c r="C537" s="7" t="inlineStr">
        <is>
          <t>Armament@2</t>
        </is>
      </c>
      <c r="L537" s="6" t="n">
        <v>2000</v>
      </c>
      <c r="M537" s="6" t="n">
        <v>12</v>
      </c>
      <c r="N537" s="6" t="n">
        <v>1</v>
      </c>
      <c r="O537" s="6" t="n"/>
      <c r="P537" s="6" t="n">
        <v>5517</v>
      </c>
      <c r="Q537" s="6" t="n">
        <v>1</v>
      </c>
      <c r="R537">
        <f>M537+IF(N537&gt;1,N(O537)*(N537-1),0)</f>
        <v/>
      </c>
      <c r="S537">
        <f>IFERROR(L537*MAX(N537,1)/R537*Q537*IF(ISBLANK(K535),1,K535),0)</f>
        <v/>
      </c>
      <c r="AB537" s="7" t="inlineStr">
        <is>
          <t>^HeavyCannon, ^SmallArms, ^RA2Chaingun</t>
        </is>
      </c>
    </row>
    <row r="538">
      <c r="A538" t="inlineStr">
        <is>
          <t>redalert2mod</t>
        </is>
      </c>
      <c r="B538" t="inlineStr">
        <is>
          <t>asianalliance_railguntank</t>
        </is>
      </c>
      <c r="C538" t="inlineStr">
        <is>
          <t>Railgun Tank</t>
        </is>
      </c>
      <c r="D538" s="6" t="inlineStr">
        <is>
          <t>FireSupport</t>
        </is>
      </c>
      <c r="E538" s="6" t="n">
        <v>160000</v>
      </c>
      <c r="F538" s="6" t="n">
        <v>65</v>
      </c>
      <c r="G538" t="inlineStr">
        <is>
          <t>Medium</t>
        </is>
      </c>
      <c r="H538" s="6" t="n">
        <v>1</v>
      </c>
      <c r="I538" s="6" t="n">
        <v>1</v>
      </c>
      <c r="J538" s="6" t="n">
        <v>1</v>
      </c>
      <c r="K538" s="6" t="n"/>
      <c r="P538">
        <f>MAX(P539,P540)</f>
        <v/>
      </c>
      <c r="S538">
        <f>S539+S540</f>
        <v/>
      </c>
      <c r="T538">
        <f>(E538/100000+F538/100+(P538/1000)*J538/5+S538/200)*200*I538*H538</f>
        <v/>
      </c>
      <c r="U538">
        <f>((E538*F538/25000)+((P538/1000)*J538*S538/2.5))*I538*H538</f>
        <v/>
      </c>
      <c r="V538">
        <f>(E538*F538*(P538/1000)*J538*S538*I538*H538)/12500000</f>
        <v/>
      </c>
      <c r="W538">
        <f>(T538+U538+V538)/3</f>
        <v/>
      </c>
      <c r="X538" s="6" t="n">
        <v>1500</v>
      </c>
      <c r="Y538">
        <f>IFERROR(W538-X538,"")</f>
        <v/>
      </c>
      <c r="Z538">
        <f>IFERROR(ABS(Y538)/MAX(X538,1),"")</f>
        <v/>
      </c>
      <c r="AA538">
        <f>IFERROR((X538-(((E538/100000+F538/100+S538/200)*200*I538*H538)+((E538*F538/25000)*I538*H538))/3)/(((J538/5)*200*I538*H538)+((J538*S538/2.5)*I538*H538)+((E538*F538*J538*S538*I538*H538)/12500000))/3*1000,"")</f>
        <v/>
      </c>
    </row>
    <row r="539">
      <c r="B539" s="7" t="inlineStr">
        <is>
          <t xml:space="preserve">  ↳ AsianRailTank</t>
        </is>
      </c>
      <c r="C539" s="7" t="inlineStr">
        <is>
          <t>Armament@PRIMARY</t>
        </is>
      </c>
      <c r="L539" s="6" t="n">
        <v>24000</v>
      </c>
      <c r="M539" s="6" t="n">
        <v>60</v>
      </c>
      <c r="N539" s="6" t="n">
        <v>1</v>
      </c>
      <c r="O539" s="6" t="n"/>
      <c r="P539" s="6" t="n">
        <v>8888</v>
      </c>
      <c r="Q539" s="6" t="n">
        <v>1.25</v>
      </c>
      <c r="R539">
        <f>M539+IF(N539&gt;1,N(O539)*(N539-1),0)</f>
        <v/>
      </c>
      <c r="S539">
        <f>IFERROR(L539*MAX(N539,1)/R539*Q539*IF(ISBLANK(K538),1,K538),0)</f>
        <v/>
      </c>
      <c r="AB539" s="7" t="inlineStr">
        <is>
          <t>^RailgunWeapon</t>
        </is>
      </c>
    </row>
    <row r="540">
      <c r="B540" s="7" t="inlineStr">
        <is>
          <t xml:space="preserve">  ↳ AsianRailTank2</t>
        </is>
      </c>
      <c r="C540" s="7" t="inlineStr">
        <is>
          <t>Armament@ELITE</t>
        </is>
      </c>
      <c r="L540" s="6" t="n">
        <v>36000</v>
      </c>
      <c r="M540" s="6" t="n">
        <v>75</v>
      </c>
      <c r="N540" s="6" t="n">
        <v>1</v>
      </c>
      <c r="O540" s="6" t="n"/>
      <c r="P540" s="6" t="n">
        <v>10000</v>
      </c>
      <c r="Q540" s="6" t="n">
        <v>1.25</v>
      </c>
      <c r="R540">
        <f>M540+IF(N540&gt;1,N(O540)*(N540-1),0)</f>
        <v/>
      </c>
      <c r="S540">
        <f>IFERROR(L540*MAX(N540,1)/R540*Q540*IF(ISBLANK(K538),1,K538),0)</f>
        <v/>
      </c>
      <c r="AB540" s="7" t="inlineStr">
        <is>
          <t>^RailgunWeapon</t>
        </is>
      </c>
    </row>
    <row r="541">
      <c r="A541" t="inlineStr">
        <is>
          <t>redalert2mod</t>
        </is>
      </c>
      <c r="B541" t="inlineStr">
        <is>
          <t>asianalliance_type89mlrs</t>
        </is>
      </c>
      <c r="C541" t="inlineStr">
        <is>
          <t>Type 89 MLRS</t>
        </is>
      </c>
      <c r="D541" s="6" t="inlineStr">
        <is>
          <t>FireSupport</t>
        </is>
      </c>
      <c r="E541" s="6" t="n">
        <v>40000</v>
      </c>
      <c r="F541" s="6" t="n">
        <v>80</v>
      </c>
      <c r="G541" t="inlineStr">
        <is>
          <t>Medium</t>
        </is>
      </c>
      <c r="H541" s="6" t="n">
        <v>0.75</v>
      </c>
      <c r="I541" s="6" t="n">
        <v>1</v>
      </c>
      <c r="J541" s="6" t="n">
        <v>1.25</v>
      </c>
      <c r="K541" s="6" t="n"/>
      <c r="P541">
        <f>MAX(P542)</f>
        <v/>
      </c>
      <c r="S541">
        <f>S542</f>
        <v/>
      </c>
      <c r="T541">
        <f>(E541/100000+F541/100+(P541/1000)*J541/5+S541/200)*200*I541*H541</f>
        <v/>
      </c>
      <c r="U541">
        <f>((E541*F541/25000)+((P541/1000)*J541*S541/2.5))*I541*H541</f>
        <v/>
      </c>
      <c r="V541">
        <f>(E541*F541*(P541/1000)*J541*S541*I541*H541)/12500000</f>
        <v/>
      </c>
      <c r="W541">
        <f>(T541+U541+V541)/3</f>
        <v/>
      </c>
      <c r="X541" s="6" t="n">
        <v>1200</v>
      </c>
      <c r="Y541">
        <f>IFERROR(W541-X541,"")</f>
        <v/>
      </c>
      <c r="Z541">
        <f>IFERROR(ABS(Y541)/MAX(X541,1),"")</f>
        <v/>
      </c>
      <c r="AA541">
        <f>IFERROR((X541-(((E541/100000+F541/100+S541/200)*200*I541*H541)+((E541*F541/25000)*I541*H541))/3)/(((J541/5)*200*I541*H541)+((J541*S541/2.5)*I541*H541)+((E541*F541*J541*S541*I541*H541)/12500000))/3*1000,"")</f>
        <v/>
      </c>
    </row>
    <row r="542">
      <c r="B542" s="7" t="inlineStr">
        <is>
          <t xml:space="preserve">  ↳ AsianMLRS</t>
        </is>
      </c>
      <c r="C542" s="7" t="inlineStr">
        <is>
          <t>Armament@PRIMARY</t>
        </is>
      </c>
      <c r="L542" s="6" t="n">
        <v>2000</v>
      </c>
      <c r="M542" s="6" t="n">
        <v>16</v>
      </c>
      <c r="N542" s="6" t="n">
        <v>1</v>
      </c>
      <c r="O542" s="6" t="n"/>
      <c r="P542" s="6" t="n">
        <v>8500</v>
      </c>
      <c r="Q542" s="6" t="n">
        <v>1.0625</v>
      </c>
      <c r="R542">
        <f>M542+IF(N542&gt;1,N(O542)*(N542-1),0)</f>
        <v/>
      </c>
      <c r="S542">
        <f>IFERROR(L542*MAX(N542,1)/R542*Q542*IF(ISBLANK(K541),1,K541),0)</f>
        <v/>
      </c>
      <c r="AB542" s="7" t="inlineStr">
        <is>
          <t>^HeavyMissile, ^FlakWeapon, ^RA2Grenade, ^RA2MediumMissile</t>
        </is>
      </c>
    </row>
    <row r="543">
      <c r="A543" t="inlineStr">
        <is>
          <t>redalert2mod</t>
        </is>
      </c>
      <c r="B543" t="inlineStr">
        <is>
          <t>steelconsortium_manta</t>
        </is>
      </c>
      <c r="C543" t="inlineStr">
        <is>
          <t>Manta</t>
        </is>
      </c>
      <c r="D543" s="6" t="inlineStr">
        <is>
          <t>FireSupport</t>
        </is>
      </c>
      <c r="E543" s="6" t="n">
        <v>55000</v>
      </c>
      <c r="F543" s="6" t="n">
        <v>115</v>
      </c>
      <c r="G543" t="inlineStr">
        <is>
          <t>Medium</t>
        </is>
      </c>
      <c r="H543" s="6" t="n">
        <v>1</v>
      </c>
      <c r="I543" s="6" t="n">
        <v>1</v>
      </c>
      <c r="J543" s="6" t="n">
        <v>1</v>
      </c>
      <c r="K543" s="6" t="n">
        <v>0.5</v>
      </c>
      <c r="P543">
        <f>MAX(P544,P545,P546,P547,P548,P549,P550,P551)</f>
        <v/>
      </c>
      <c r="S543">
        <f>S544+S545+S546+S547+S548+S549+S550+S551</f>
        <v/>
      </c>
      <c r="T543">
        <f>(E543/100000+F543/100+(P543/1000)*J543/5+S543/200)*200*I543*H543</f>
        <v/>
      </c>
      <c r="U543">
        <f>((E543*F543/25000)+((P543/1000)*J543*S543/2.5))*I543*H543</f>
        <v/>
      </c>
      <c r="V543">
        <f>(E543*F543*(P543/1000)*J543*S543*I543*H543)/12500000</f>
        <v/>
      </c>
      <c r="W543">
        <f>(T543+U543+V543)/3</f>
        <v/>
      </c>
      <c r="X543" s="6" t="n">
        <v>850</v>
      </c>
      <c r="Y543">
        <f>IFERROR(W543-X543,"")</f>
        <v/>
      </c>
      <c r="Z543">
        <f>IFERROR(ABS(Y543)/MAX(X543,1),"")</f>
        <v/>
      </c>
      <c r="AA543">
        <f>IFERROR((X543-(((E543/100000+F543/100+S543/200)*200*I543*H543)+((E543*F543/25000)*I543*H543))/3)/(((J543/5)*200*I543*H543)+((J543*S543/2.5)*I543*H543)+((E543*F543*J543*S543*I543*H543)/12500000))/3*1000,"")</f>
        <v/>
      </c>
    </row>
    <row r="544">
      <c r="B544" s="7" t="inlineStr">
        <is>
          <t xml:space="preserve">  ↳ SteelMantaAG</t>
        </is>
      </c>
      <c r="C544" s="7" t="inlineStr">
        <is>
          <t>Armament@AG1</t>
        </is>
      </c>
      <c r="L544" s="6" t="n">
        <v>2000</v>
      </c>
      <c r="M544" s="6" t="n">
        <v>20</v>
      </c>
      <c r="N544" s="6" t="n">
        <v>1</v>
      </c>
      <c r="O544" s="6" t="n"/>
      <c r="P544" s="6" t="n">
        <v>6666</v>
      </c>
      <c r="Q544" s="6" t="n">
        <v>0.875</v>
      </c>
      <c r="R544">
        <f>M544+IF(N544&gt;1,N(O544)*(N544-1),0)</f>
        <v/>
      </c>
      <c r="S544">
        <f>IFERROR(L544*MAX(N544,1)/R544*Q544*IF(ISBLANK(K543),1,K543),0)</f>
        <v/>
      </c>
      <c r="AB544" s="7" t="inlineStr">
        <is>
          <t>^SteelLightMissile, ^SteelSmallArms, ^RA2FlakWeapon, ^SteelChaingun</t>
        </is>
      </c>
    </row>
    <row r="545">
      <c r="B545" s="7" t="inlineStr">
        <is>
          <t xml:space="preserve">  ↳ SteelMantaAG</t>
        </is>
      </c>
      <c r="C545" s="7" t="inlineStr">
        <is>
          <t>Armament@AG2</t>
        </is>
      </c>
      <c r="L545" s="6" t="n">
        <v>2000</v>
      </c>
      <c r="M545" s="6" t="n">
        <v>20</v>
      </c>
      <c r="N545" s="6" t="n">
        <v>1</v>
      </c>
      <c r="O545" s="6" t="n"/>
      <c r="P545" s="6" t="n">
        <v>6666</v>
      </c>
      <c r="Q545" s="6" t="n">
        <v>0.875</v>
      </c>
      <c r="R545">
        <f>M545+IF(N545&gt;1,N(O545)*(N545-1),0)</f>
        <v/>
      </c>
      <c r="S545">
        <f>IFERROR(L545*MAX(N545,1)/R545*Q545*IF(ISBLANK(K543),1,K543),0)</f>
        <v/>
      </c>
      <c r="AB545" s="7" t="inlineStr">
        <is>
          <t>^SteelLightMissile, ^SteelSmallArms, ^RA2FlakWeapon, ^SteelChaingun</t>
        </is>
      </c>
    </row>
    <row r="546">
      <c r="B546" s="7" t="inlineStr">
        <is>
          <t xml:space="preserve">  ↳ SteelMantaAA</t>
        </is>
      </c>
      <c r="C546" s="7" t="inlineStr">
        <is>
          <t>Armament@AA1</t>
        </is>
      </c>
      <c r="L546" s="6" t="n">
        <v>2000</v>
      </c>
      <c r="M546" s="6" t="n">
        <v>20</v>
      </c>
      <c r="N546" s="6" t="n">
        <v>1</v>
      </c>
      <c r="O546" s="6" t="n"/>
      <c r="P546" s="6" t="n">
        <v>9999</v>
      </c>
      <c r="Q546" s="6" t="n">
        <v>0.875</v>
      </c>
      <c r="R546">
        <f>M546+IF(N546&gt;1,N(O546)*(N546-1),0)</f>
        <v/>
      </c>
      <c r="S546">
        <f>IFERROR(L546*MAX(N546,1)/R546*Q546*IF(ISBLANK(K543),1,K543),0)</f>
        <v/>
      </c>
      <c r="AB546" s="7" t="inlineStr">
        <is>
          <t>^SteelLightMissile, ^SteelSmallArms, ^RA2FlakWeapon, ^SteelChaingun</t>
        </is>
      </c>
    </row>
    <row r="547">
      <c r="B547" s="7" t="inlineStr">
        <is>
          <t xml:space="preserve">  ↳ SteelMantaAA</t>
        </is>
      </c>
      <c r="C547" s="7" t="inlineStr">
        <is>
          <t>Armament@AA2</t>
        </is>
      </c>
      <c r="L547" s="6" t="n">
        <v>2000</v>
      </c>
      <c r="M547" s="6" t="n">
        <v>20</v>
      </c>
      <c r="N547" s="6" t="n">
        <v>1</v>
      </c>
      <c r="O547" s="6" t="n"/>
      <c r="P547" s="6" t="n">
        <v>9999</v>
      </c>
      <c r="Q547" s="6" t="n">
        <v>0.875</v>
      </c>
      <c r="R547">
        <f>M547+IF(N547&gt;1,N(O547)*(N547-1),0)</f>
        <v/>
      </c>
      <c r="S547">
        <f>IFERROR(L547*MAX(N547,1)/R547*Q547*IF(ISBLANK(K543),1,K543),0)</f>
        <v/>
      </c>
      <c r="AB547" s="7" t="inlineStr">
        <is>
          <t>^SteelLightMissile, ^SteelSmallArms, ^RA2FlakWeapon, ^SteelChaingun</t>
        </is>
      </c>
    </row>
    <row r="548">
      <c r="B548" s="7" t="inlineStr">
        <is>
          <t xml:space="preserve">  ↳ SteelMantaAGResonance</t>
        </is>
      </c>
      <c r="C548" s="7" t="inlineStr">
        <is>
          <t>Armament@UpgradeAG1</t>
        </is>
      </c>
      <c r="L548" s="6" t="n">
        <v>2000</v>
      </c>
      <c r="M548" s="6" t="n">
        <v>20</v>
      </c>
      <c r="N548" s="6" t="n">
        <v>1</v>
      </c>
      <c r="O548" s="6" t="n"/>
      <c r="P548" s="6" t="n">
        <v>6666</v>
      </c>
      <c r="Q548" s="6" t="n">
        <v>0.875</v>
      </c>
      <c r="R548">
        <f>M548+IF(N548&gt;1,N(O548)*(N548-1),0)</f>
        <v/>
      </c>
      <c r="S548">
        <f>IFERROR(L548*MAX(N548,1)/R548*Q548*IF(ISBLANK(K543),1,K543),0)</f>
        <v/>
      </c>
      <c r="AB548" s="7" t="inlineStr">
        <is>
          <t>^SteelLightMissile, ^SteelSmallArms, ^RA2FlakWeapon, ^SteelChaingun</t>
        </is>
      </c>
    </row>
    <row r="549">
      <c r="B549" s="7" t="inlineStr">
        <is>
          <t xml:space="preserve">  ↳ SteelMantaAGResonance</t>
        </is>
      </c>
      <c r="C549" s="7" t="inlineStr">
        <is>
          <t>Armament@UpgradeAG2</t>
        </is>
      </c>
      <c r="L549" s="6" t="n">
        <v>2000</v>
      </c>
      <c r="M549" s="6" t="n">
        <v>20</v>
      </c>
      <c r="N549" s="6" t="n">
        <v>1</v>
      </c>
      <c r="O549" s="6" t="n"/>
      <c r="P549" s="6" t="n">
        <v>6666</v>
      </c>
      <c r="Q549" s="6" t="n">
        <v>0.875</v>
      </c>
      <c r="R549">
        <f>M549+IF(N549&gt;1,N(O549)*(N549-1),0)</f>
        <v/>
      </c>
      <c r="S549">
        <f>IFERROR(L549*MAX(N549,1)/R549*Q549*IF(ISBLANK(K543),1,K543),0)</f>
        <v/>
      </c>
      <c r="AB549" s="7" t="inlineStr">
        <is>
          <t>^SteelLightMissile, ^SteelSmallArms, ^RA2FlakWeapon, ^SteelChaingun</t>
        </is>
      </c>
    </row>
    <row r="550">
      <c r="B550" s="7" t="inlineStr">
        <is>
          <t xml:space="preserve">  ↳ SteelMantaAAResonance</t>
        </is>
      </c>
      <c r="C550" s="7" t="inlineStr">
        <is>
          <t>Armament@UpgradeAA1</t>
        </is>
      </c>
      <c r="L550" s="6" t="n">
        <v>2000</v>
      </c>
      <c r="M550" s="6" t="n">
        <v>20</v>
      </c>
      <c r="N550" s="6" t="n">
        <v>1</v>
      </c>
      <c r="O550" s="6" t="n"/>
      <c r="P550" s="6" t="n">
        <v>9999</v>
      </c>
      <c r="Q550" s="6" t="n">
        <v>0.875</v>
      </c>
      <c r="R550">
        <f>M550+IF(N550&gt;1,N(O550)*(N550-1),0)</f>
        <v/>
      </c>
      <c r="S550">
        <f>IFERROR(L550*MAX(N550,1)/R550*Q550*IF(ISBLANK(K543),1,K543),0)</f>
        <v/>
      </c>
      <c r="AB550" s="7" t="inlineStr">
        <is>
          <t>^SteelLightMissile, ^SteelSmallArms, ^RA2FlakWeapon, ^SteelChaingun</t>
        </is>
      </c>
    </row>
    <row r="551">
      <c r="B551" s="7" t="inlineStr">
        <is>
          <t xml:space="preserve">  ↳ SteelMantaAAResonance</t>
        </is>
      </c>
      <c r="C551" s="7" t="inlineStr">
        <is>
          <t>Armament@UpgradeAA2</t>
        </is>
      </c>
      <c r="L551" s="6" t="n">
        <v>2000</v>
      </c>
      <c r="M551" s="6" t="n">
        <v>20</v>
      </c>
      <c r="N551" s="6" t="n">
        <v>1</v>
      </c>
      <c r="O551" s="6" t="n"/>
      <c r="P551" s="6" t="n">
        <v>9999</v>
      </c>
      <c r="Q551" s="6" t="n">
        <v>0.875</v>
      </c>
      <c r="R551">
        <f>M551+IF(N551&gt;1,N(O551)*(N551-1),0)</f>
        <v/>
      </c>
      <c r="S551">
        <f>IFERROR(L551*MAX(N551,1)/R551*Q551*IF(ISBLANK(K543),1,K543),0)</f>
        <v/>
      </c>
      <c r="AB551" s="7" t="inlineStr">
        <is>
          <t>^SteelLightMissile, ^SteelSmallArms, ^RA2FlakWeapon, ^SteelChaingun</t>
        </is>
      </c>
    </row>
    <row r="552">
      <c r="A552" t="inlineStr">
        <is>
          <t>redalert2mod</t>
        </is>
      </c>
      <c r="B552" t="inlineStr">
        <is>
          <t>latinsyndicate_lars</t>
        </is>
      </c>
      <c r="C552" t="inlineStr">
        <is>
          <t>LARS</t>
        </is>
      </c>
      <c r="D552" s="6" t="inlineStr">
        <is>
          <t>FireSupport</t>
        </is>
      </c>
      <c r="E552" s="6" t="n">
        <v>47500</v>
      </c>
      <c r="F552" s="6" t="n">
        <v>70</v>
      </c>
      <c r="G552" t="inlineStr">
        <is>
          <t>Medium</t>
        </is>
      </c>
      <c r="H552" s="6" t="n">
        <v>0.75</v>
      </c>
      <c r="I552" s="6" t="n">
        <v>1</v>
      </c>
      <c r="J552" s="6" t="n">
        <v>1</v>
      </c>
      <c r="K552" s="6" t="n">
        <v>1.25</v>
      </c>
      <c r="P552">
        <f>MAX(P553,P554)</f>
        <v/>
      </c>
      <c r="S552">
        <f>S553+S554</f>
        <v/>
      </c>
      <c r="T552">
        <f>(E552/100000+F552/100+(P552/1000)*J552/5+S552/200)*200*I552*H552</f>
        <v/>
      </c>
      <c r="U552">
        <f>((E552*F552/25000)+((P552/1000)*J552*S552/2.5))*I552*H552</f>
        <v/>
      </c>
      <c r="V552">
        <f>(E552*F552*(P552/1000)*J552*S552*I552*H552)/12500000</f>
        <v/>
      </c>
      <c r="W552">
        <f>(T552+U552+V552)/3</f>
        <v/>
      </c>
      <c r="X552" s="6" t="n">
        <v>1300</v>
      </c>
      <c r="Y552">
        <f>IFERROR(W552-X552,"")</f>
        <v/>
      </c>
      <c r="Z552">
        <f>IFERROR(ABS(Y552)/MAX(X552,1),"")</f>
        <v/>
      </c>
      <c r="AA552">
        <f>IFERROR((X552-(((E552/100000+F552/100+S552/200)*200*I552*H552)+((E552*F552/25000)*I552*H552))/3)/(((J552/5)*200*I552*H552)+((J552*S552/2.5)*I552*H552)+((E552*F552*J552*S552*I552*H552)/12500000))/3*1000,"")</f>
        <v/>
      </c>
    </row>
    <row r="553">
      <c r="B553" s="7" t="inlineStr">
        <is>
          <t xml:space="preserve">  ↳ RA2LarsRocket</t>
        </is>
      </c>
      <c r="C553" s="7" t="inlineStr">
        <is>
          <t>Armament</t>
        </is>
      </c>
      <c r="L553" s="6" t="n">
        <v>2000</v>
      </c>
      <c r="M553" s="6" t="n">
        <v>139</v>
      </c>
      <c r="N553" s="6" t="n">
        <v>10</v>
      </c>
      <c r="O553" s="6" t="n">
        <v>4</v>
      </c>
      <c r="P553" s="6" t="n">
        <v>10130</v>
      </c>
      <c r="Q553" s="6" t="n">
        <v>1</v>
      </c>
      <c r="R553">
        <f>M553+IF(N553&gt;1,N(O553)*(N553-1),0)</f>
        <v/>
      </c>
      <c r="S553">
        <f>IFERROR(L553*MAX(N553,1)/R553*Q553*IF(ISBLANK(K552),1,K552),0)</f>
        <v/>
      </c>
      <c r="AB553" s="7" t="inlineStr">
        <is>
          <t>^D2KRocket, ^HeavyAAWeapon, ^LightMissile, ^TankDestroyerCannon, ^RA2MediumMissile</t>
        </is>
      </c>
    </row>
    <row r="554">
      <c r="B554" s="7" t="inlineStr">
        <is>
          <t xml:space="preserve">  ↳ RA2LarsRocket</t>
        </is>
      </c>
      <c r="C554" s="7" t="inlineStr">
        <is>
          <t>Armament@PRIMARYELITE</t>
        </is>
      </c>
      <c r="L554" s="6" t="n">
        <v>2000</v>
      </c>
      <c r="M554" s="6" t="n">
        <v>139</v>
      </c>
      <c r="N554" s="6" t="n">
        <v>10</v>
      </c>
      <c r="O554" s="6" t="n">
        <v>4</v>
      </c>
      <c r="P554" s="6" t="n">
        <v>10130</v>
      </c>
      <c r="Q554" s="6" t="n">
        <v>1</v>
      </c>
      <c r="R554">
        <f>M554+IF(N554&gt;1,N(O554)*(N554-1),0)</f>
        <v/>
      </c>
      <c r="S554">
        <f>IFERROR(L554*MAX(N554,1)/R554*Q554*IF(ISBLANK(K552),1,K552),0)</f>
        <v/>
      </c>
      <c r="AB554" s="7" t="inlineStr">
        <is>
          <t>^D2KRocket, ^HeavyAAWeapon, ^LightMissile, ^TankDestroyerCannon, ^RA2MediumMissile</t>
        </is>
      </c>
    </row>
    <row r="555">
      <c r="A555" t="inlineStr">
        <is>
          <t>redalert2mod</t>
        </is>
      </c>
      <c r="B555" t="inlineStr">
        <is>
          <t>latinsyndicate_missiletruck</t>
        </is>
      </c>
      <c r="C555" t="inlineStr">
        <is>
          <t>Missile Truck</t>
        </is>
      </c>
      <c r="D555" s="6" t="inlineStr">
        <is>
          <t>FireSupport</t>
        </is>
      </c>
      <c r="E555" s="6" t="n">
        <v>30000</v>
      </c>
      <c r="F555" s="6" t="n">
        <v>75</v>
      </c>
      <c r="G555" t="inlineStr">
        <is>
          <t>Light</t>
        </is>
      </c>
      <c r="H555" s="6" t="n">
        <v>1</v>
      </c>
      <c r="I555" s="6" t="n">
        <v>1</v>
      </c>
      <c r="J555" s="6" t="n">
        <v>1</v>
      </c>
      <c r="K555" s="6" t="n">
        <v>1.25</v>
      </c>
      <c r="P555">
        <f>MAX(P556,P557)</f>
        <v/>
      </c>
      <c r="S555">
        <f>S556+S557</f>
        <v/>
      </c>
      <c r="T555">
        <f>(E555/100000+F555/100+(P555/1000)*J555/5+S555/200)*200*I555*H555</f>
        <v/>
      </c>
      <c r="U555">
        <f>((E555*F555/25000)+((P555/1000)*J555*S555/2.5))*I555*H555</f>
        <v/>
      </c>
      <c r="V555">
        <f>(E555*F555*(P555/1000)*J555*S555*I555*H555)/12500000</f>
        <v/>
      </c>
      <c r="W555">
        <f>(T555+U555+V555)/3</f>
        <v/>
      </c>
      <c r="X555" s="6" t="n">
        <v>1000</v>
      </c>
      <c r="Y555">
        <f>IFERROR(W555-X555,"")</f>
        <v/>
      </c>
      <c r="Z555">
        <f>IFERROR(ABS(Y555)/MAX(X555,1),"")</f>
        <v/>
      </c>
      <c r="AA555">
        <f>IFERROR((X555-(((E555/100000+F555/100+S555/200)*200*I555*H555)+((E555*F555/25000)*I555*H555))/3)/(((J555/5)*200*I555*H555)+((J555*S555/2.5)*I555*H555)+((E555*F555*J555*S555*I555*H555)/12500000))/3*1000,"")</f>
        <v/>
      </c>
    </row>
    <row r="556">
      <c r="B556" s="7" t="inlineStr">
        <is>
          <t xml:space="preserve">  ↳ RA2RTruckRocket</t>
        </is>
      </c>
      <c r="C556" s="7" t="inlineStr">
        <is>
          <t>Armament</t>
        </is>
      </c>
      <c r="L556" s="6" t="n">
        <v>2000</v>
      </c>
      <c r="M556" s="6" t="n">
        <v>108</v>
      </c>
      <c r="N556" s="6" t="n">
        <v>8</v>
      </c>
      <c r="O556" s="6" t="n">
        <v>3</v>
      </c>
      <c r="P556" s="6" t="n">
        <v>7777</v>
      </c>
      <c r="Q556" s="6" t="n">
        <v>0.9375</v>
      </c>
      <c r="R556">
        <f>M556+IF(N556&gt;1,N(O556)*(N556-1),0)</f>
        <v/>
      </c>
      <c r="S556">
        <f>IFERROR(L556*MAX(N556,1)/R556*Q556*IF(ISBLANK(K555),1,K555),0)</f>
        <v/>
      </c>
      <c r="AB556" s="7" t="inlineStr">
        <is>
          <t>^RA2Grenade, ^LightFlameWeapon, ^ShrapnelWeapon, ^RA2MediumMissile</t>
        </is>
      </c>
    </row>
    <row r="557">
      <c r="B557" s="7" t="inlineStr">
        <is>
          <t xml:space="preserve">  ↳ RA2RTruckRocket</t>
        </is>
      </c>
      <c r="C557" s="7" t="inlineStr">
        <is>
          <t>Armament@PRIMARYELITE</t>
        </is>
      </c>
      <c r="L557" s="6" t="n">
        <v>2000</v>
      </c>
      <c r="M557" s="6" t="n">
        <v>108</v>
      </c>
      <c r="N557" s="6" t="n">
        <v>8</v>
      </c>
      <c r="O557" s="6" t="n">
        <v>3</v>
      </c>
      <c r="P557" s="6" t="n">
        <v>7777</v>
      </c>
      <c r="Q557" s="6" t="n">
        <v>0.9375</v>
      </c>
      <c r="R557">
        <f>M557+IF(N557&gt;1,N(O557)*(N557-1),0)</f>
        <v/>
      </c>
      <c r="S557">
        <f>IFERROR(L557*MAX(N557,1)/R557*Q557*IF(ISBLANK(K555),1,K555),0)</f>
        <v/>
      </c>
      <c r="AB557" s="7" t="inlineStr">
        <is>
          <t>^RA2Grenade, ^LightFlameWeapon, ^ShrapnelWeapon, ^RA2MediumMissile</t>
        </is>
      </c>
    </row>
    <row r="558">
      <c r="A558" t="inlineStr">
        <is>
          <t>redalert2mod</t>
        </is>
      </c>
      <c r="B558" t="inlineStr">
        <is>
          <t>naxis_antitankcannon</t>
        </is>
      </c>
      <c r="C558" t="inlineStr">
        <is>
          <t>Anti Tank Cannon</t>
        </is>
      </c>
      <c r="D558" s="6" t="inlineStr">
        <is>
          <t>FireSupport</t>
        </is>
      </c>
      <c r="E558" s="6" t="n">
        <v>17500</v>
      </c>
      <c r="F558" s="6" t="n">
        <v>30</v>
      </c>
      <c r="G558" t="inlineStr">
        <is>
          <t>Light</t>
        </is>
      </c>
      <c r="H558" s="6" t="n">
        <v>1</v>
      </c>
      <c r="I558" s="6" t="n">
        <v>1</v>
      </c>
      <c r="J558" s="6" t="n">
        <v>1</v>
      </c>
      <c r="K558" s="6" t="n"/>
      <c r="P558">
        <f>MAX(P559,P560)</f>
        <v/>
      </c>
      <c r="S558">
        <f>S559+S560</f>
        <v/>
      </c>
      <c r="T558">
        <f>(E558/100000+F558/100+(P558/1000)*J558/5+S558/200)*200*I558*H558</f>
        <v/>
      </c>
      <c r="U558">
        <f>((E558*F558/25000)+((P558/1000)*J558*S558/2.5))*I558*H558</f>
        <v/>
      </c>
      <c r="V558">
        <f>(E558*F558*(P558/1000)*J558*S558*I558*H558)/12500000</f>
        <v/>
      </c>
      <c r="W558">
        <f>(T558+U558+V558)/3</f>
        <v/>
      </c>
      <c r="X558" s="6" t="n">
        <v>600</v>
      </c>
      <c r="Y558">
        <f>IFERROR(W558-X558,"")</f>
        <v/>
      </c>
      <c r="Z558">
        <f>IFERROR(ABS(Y558)/MAX(X558,1),"")</f>
        <v/>
      </c>
      <c r="AA558">
        <f>IFERROR((X558-(((E558/100000+F558/100+S558/200)*200*I558*H558)+((E558*F558/25000)*I558*H558))/3)/(((J558/5)*200*I558*H558)+((J558*S558/2.5)*I558*H558)+((E558*F558*J558*S558*I558*H558)/12500000))/3*1000,"")</f>
        <v/>
      </c>
    </row>
    <row r="559">
      <c r="B559" s="7" t="inlineStr">
        <is>
          <t xml:space="preserve">  ↳ NaxiAntiTankCannon</t>
        </is>
      </c>
      <c r="C559" s="7" t="inlineStr">
        <is>
          <t>Armament@PRIMARY</t>
        </is>
      </c>
      <c r="L559" s="6" t="n">
        <v>14000</v>
      </c>
      <c r="M559" s="6" t="n">
        <v>75</v>
      </c>
      <c r="N559" s="6" t="n">
        <v>1</v>
      </c>
      <c r="O559" s="6" t="n"/>
      <c r="P559" s="6" t="n">
        <v>7361</v>
      </c>
      <c r="Q559" s="6" t="n">
        <v>1</v>
      </c>
      <c r="R559">
        <f>M559+IF(N559&gt;1,N(O559)*(N559-1),0)</f>
        <v/>
      </c>
      <c r="S559">
        <f>IFERROR(L559*MAX(N559,1)/R559*Q559*IF(ISBLANK(K558),1,K558),0)</f>
        <v/>
      </c>
      <c r="AB559" s="7" t="inlineStr">
        <is>
          <t>^MediumCannon, ^RA2TankDestroyerCannon</t>
        </is>
      </c>
    </row>
    <row r="560">
      <c r="B560" s="7" t="inlineStr">
        <is>
          <t xml:space="preserve">  ↳ NaxiAntiTankCannonE</t>
        </is>
      </c>
      <c r="C560" s="7" t="inlineStr">
        <is>
          <t>Armament@ELITE</t>
        </is>
      </c>
      <c r="L560" s="6" t="n">
        <v>14000</v>
      </c>
      <c r="M560" s="6" t="n">
        <v>75</v>
      </c>
      <c r="N560" s="6" t="n">
        <v>2</v>
      </c>
      <c r="O560" s="6" t="n">
        <v>3</v>
      </c>
      <c r="P560" s="6" t="n">
        <v>8361</v>
      </c>
      <c r="Q560" s="6" t="n">
        <v>1</v>
      </c>
      <c r="R560">
        <f>M560+IF(N560&gt;1,N(O560)*(N560-1),0)</f>
        <v/>
      </c>
      <c r="S560">
        <f>IFERROR(L560*MAX(N560,1)/R560*Q560*IF(ISBLANK(K558),1,K558),0)</f>
        <v/>
      </c>
      <c r="AB560" s="7" t="inlineStr">
        <is>
          <t>^MediumCannon, ^RA2TankDestroyerCannon</t>
        </is>
      </c>
    </row>
    <row r="561">
      <c r="A561" t="inlineStr">
        <is>
          <t>redalert2mod</t>
        </is>
      </c>
      <c r="B561" t="inlineStr">
        <is>
          <t>naxis_imperialturbotank</t>
        </is>
      </c>
      <c r="C561" t="inlineStr">
        <is>
          <t>Imperial Turbo Tank</t>
        </is>
      </c>
      <c r="D561" s="6" t="inlineStr">
        <is>
          <t>FireSupport</t>
        </is>
      </c>
      <c r="E561" s="6" t="n">
        <v>82500</v>
      </c>
      <c r="F561" s="6" t="n">
        <v>110</v>
      </c>
      <c r="G561" t="inlineStr">
        <is>
          <t>Medium</t>
        </is>
      </c>
      <c r="H561" s="6" t="n">
        <v>1</v>
      </c>
      <c r="I561" s="6" t="n">
        <v>1</v>
      </c>
      <c r="J561" s="6" t="n">
        <v>1</v>
      </c>
      <c r="K561" s="6" t="n"/>
      <c r="P561">
        <f>MAX(P562,P563,P564)</f>
        <v/>
      </c>
      <c r="S561">
        <f>S562+S563+S564</f>
        <v/>
      </c>
      <c r="T561">
        <f>(E561/100000+F561/100+(P561/1000)*J561/5+S561/200)*200*I561*H561</f>
        <v/>
      </c>
      <c r="U561">
        <f>((E561*F561/25000)+((P561/1000)*J561*S561/2.5))*I561*H561</f>
        <v/>
      </c>
      <c r="V561">
        <f>(E561*F561*(P561/1000)*J561*S561*I561*H561)/12500000</f>
        <v/>
      </c>
      <c r="W561">
        <f>(T561+U561+V561)/3</f>
        <v/>
      </c>
      <c r="X561" s="6" t="n">
        <v>950</v>
      </c>
      <c r="Y561">
        <f>IFERROR(W561-X561,"")</f>
        <v/>
      </c>
      <c r="Z561">
        <f>IFERROR(ABS(Y561)/MAX(X561,1),"")</f>
        <v/>
      </c>
      <c r="AA561">
        <f>IFERROR((X561-(((E561/100000+F561/100+S561/200)*200*I561*H561)+((E561*F561/25000)*I561*H561))/3)/(((J561/5)*200*I561*H561)+((J561*S561/2.5)*I561*H561)+((E561*F561*J561*S561*I561*H561)/12500000))/3*1000,"")</f>
        <v/>
      </c>
    </row>
    <row r="562">
      <c r="B562" s="7" t="inlineStr">
        <is>
          <t xml:space="preserve">  ↳ NaxiJadgDestroyer</t>
        </is>
      </c>
      <c r="C562" s="7" t="inlineStr">
        <is>
          <t>Armament@AG</t>
        </is>
      </c>
      <c r="L562" s="6" t="n">
        <v>20000</v>
      </c>
      <c r="M562" s="6" t="n">
        <v>90</v>
      </c>
      <c r="N562" s="6" t="n">
        <v>1</v>
      </c>
      <c r="O562" s="6" t="n"/>
      <c r="P562" s="6" t="n">
        <v>7396</v>
      </c>
      <c r="Q562" s="6" t="n">
        <v>1.125</v>
      </c>
      <c r="R562">
        <f>M562+IF(N562&gt;1,N(O562)*(N562-1),0)</f>
        <v/>
      </c>
      <c r="S562">
        <f>IFERROR(L562*MAX(N562,1)/R562*Q562*IF(ISBLANK(K561),1,K561),0)</f>
        <v/>
      </c>
      <c r="AB562" s="7" t="inlineStr">
        <is>
          <t>^HeavyCannon, ^ShrapnelWeapon, ^RA2TankDestroyerCannon</t>
        </is>
      </c>
    </row>
    <row r="563">
      <c r="B563" s="7" t="inlineStr">
        <is>
          <t xml:space="preserve">  ↳ Nax120mmAssault</t>
        </is>
      </c>
      <c r="C563" s="7" t="inlineStr">
        <is>
          <t>Armament</t>
        </is>
      </c>
      <c r="L563" s="6" t="n">
        <v>10000</v>
      </c>
      <c r="M563" s="6" t="n">
        <v>28</v>
      </c>
      <c r="N563" s="6" t="n">
        <v>1</v>
      </c>
      <c r="O563" s="6" t="n"/>
      <c r="P563" s="6" t="n">
        <v>5200</v>
      </c>
      <c r="Q563" s="6" t="n">
        <v>1</v>
      </c>
      <c r="R563">
        <f>M563+IF(N563&gt;1,N(O563)*(N563-1),0)</f>
        <v/>
      </c>
      <c r="S563">
        <f>IFERROR(L563*MAX(N563,1)/R563*Q563*IF(ISBLANK(K561),1,K561),0)</f>
        <v/>
      </c>
      <c r="AB563" s="7" t="inlineStr">
        <is>
          <t>^RA2MediumCannon</t>
        </is>
      </c>
    </row>
    <row r="564">
      <c r="B564" s="7" t="inlineStr">
        <is>
          <t xml:space="preserve">  ↳ Nax120mmAssault_elite</t>
        </is>
      </c>
      <c r="C564" s="7" t="inlineStr">
        <is>
          <t>Armament@elite</t>
        </is>
      </c>
      <c r="L564" s="6" t="n">
        <v>10000</v>
      </c>
      <c r="M564" s="6" t="n">
        <v>28</v>
      </c>
      <c r="N564" s="6" t="n">
        <v>2</v>
      </c>
      <c r="O564" s="6" t="n">
        <v>3</v>
      </c>
      <c r="P564" s="6" t="n">
        <v>6200</v>
      </c>
      <c r="Q564" s="6" t="n">
        <v>1</v>
      </c>
      <c r="R564">
        <f>M564+IF(N564&gt;1,N(O564)*(N564-1),0)</f>
        <v/>
      </c>
      <c r="S564">
        <f>IFERROR(L564*MAX(N564,1)/R564*Q564*IF(ISBLANK(K561),1,K561),0)</f>
        <v/>
      </c>
      <c r="AB564" s="7" t="inlineStr">
        <is>
          <t>^RA2MediumCannon, ^RA2EliteEffects</t>
        </is>
      </c>
    </row>
    <row r="565">
      <c r="A565" t="inlineStr">
        <is>
          <t>redalert2mod</t>
        </is>
      </c>
      <c r="B565" t="inlineStr">
        <is>
          <t>naxis_nokana</t>
        </is>
      </c>
      <c r="C565" t="inlineStr">
        <is>
          <t>Nokana</t>
        </is>
      </c>
      <c r="D565" s="6" t="inlineStr">
        <is>
          <t>FireSupport</t>
        </is>
      </c>
      <c r="E565" s="6" t="n">
        <v>450000</v>
      </c>
      <c r="F565" s="6" t="n">
        <v>60</v>
      </c>
      <c r="G565" t="inlineStr">
        <is>
          <t>Heavy</t>
        </is>
      </c>
      <c r="H565" s="6" t="n">
        <v>1</v>
      </c>
      <c r="I565" s="6" t="n">
        <v>1</v>
      </c>
      <c r="J565" s="6" t="n">
        <v>1</v>
      </c>
      <c r="K565" s="6" t="n"/>
      <c r="P565">
        <f>MAX(P566,P567,P568)</f>
        <v/>
      </c>
      <c r="S565">
        <f>S566+S567+S568</f>
        <v/>
      </c>
      <c r="T565">
        <f>(E565/100000+F565/100+(P565/1000)*J565/5+S565/200)*200*I565*H565</f>
        <v/>
      </c>
      <c r="U565">
        <f>((E565*F565/25000)+((P565/1000)*J565*S565/2.5))*I565*H565</f>
        <v/>
      </c>
      <c r="V565">
        <f>(E565*F565*(P565/1000)*J565*S565*I565*H565)/12500000</f>
        <v/>
      </c>
      <c r="W565">
        <f>(T565+U565+V565)/3</f>
        <v/>
      </c>
      <c r="X565" s="6" t="n">
        <v>3000</v>
      </c>
      <c r="Y565">
        <f>IFERROR(W565-X565,"")</f>
        <v/>
      </c>
      <c r="Z565">
        <f>IFERROR(ABS(Y565)/MAX(X565,1),"")</f>
        <v/>
      </c>
      <c r="AA565">
        <f>IFERROR((X565-(((E565/100000+F565/100+S565/200)*200*I565*H565)+((E565*F565/25000)*I565*H565))/3)/(((J565/5)*200*I565*H565)+((J565*S565/2.5)*I565*H565)+((E565*F565*J565*S565*I565*H565)/12500000))/3*1000,"")</f>
        <v/>
      </c>
    </row>
    <row r="566">
      <c r="B566" s="7" t="inlineStr">
        <is>
          <t xml:space="preserve">  ↳ NaxMausCannon</t>
        </is>
      </c>
      <c r="C566" s="7" t="inlineStr">
        <is>
          <t>Armament@AG</t>
        </is>
      </c>
      <c r="L566" s="6" t="n">
        <v>10000</v>
      </c>
      <c r="M566" s="6" t="n">
        <v>99</v>
      </c>
      <c r="N566" s="6" t="n">
        <v>1</v>
      </c>
      <c r="O566" s="6" t="n"/>
      <c r="P566" s="6" t="n">
        <v>6666</v>
      </c>
      <c r="Q566" s="6" t="n">
        <v>1.05</v>
      </c>
      <c r="R566">
        <f>M566+IF(N566&gt;1,N(O566)*(N566-1),0)</f>
        <v/>
      </c>
      <c r="S566">
        <f>IFERROR(L566*MAX(N566,1)/R566*Q566*IF(ISBLANK(K565),1,K565),0)</f>
        <v/>
      </c>
      <c r="AB566" s="7" t="inlineStr">
        <is>
          <t>^LightChemicalWeapon, ^HeavyFlameWeapon, ^ShrapnelWeapon, ^HeavyBomb, ^TankDestroyerCannon, ^RA2MediumCannon</t>
        </is>
      </c>
    </row>
    <row r="567">
      <c r="B567" s="7" t="inlineStr">
        <is>
          <t xml:space="preserve">  ↳ LatinBuggyRocketE</t>
        </is>
      </c>
      <c r="C567" s="7" t="inlineStr">
        <is>
          <t>Armament@RK</t>
        </is>
      </c>
      <c r="L567" s="6" t="n">
        <v>10000</v>
      </c>
      <c r="M567" s="6" t="n">
        <v>55</v>
      </c>
      <c r="N567" s="6" t="n">
        <v>2</v>
      </c>
      <c r="O567" s="6" t="n">
        <v>3</v>
      </c>
      <c r="P567" s="6" t="n">
        <v>7000</v>
      </c>
      <c r="Q567" s="6" t="n">
        <v>0.9375</v>
      </c>
      <c r="R567">
        <f>M567+IF(N567&gt;1,N(O567)*(N567-1),0)</f>
        <v/>
      </c>
      <c r="S567">
        <f>IFERROR(L567*MAX(N567,1)/R567*Q567*IF(ISBLANK(K565),1,K565),0)</f>
        <v/>
      </c>
      <c r="AB567" s="7" t="inlineStr">
        <is>
          <t>^Grenade, ^ShrapnelWeapon, ^SteelLightMissile, ^RA2MediumMissile</t>
        </is>
      </c>
    </row>
    <row r="568">
      <c r="B568" s="7" t="inlineStr">
        <is>
          <t xml:space="preserve">  ↳ SyndicateFireballLauncher</t>
        </is>
      </c>
      <c r="C568" s="7" t="inlineStr">
        <is>
          <t>Armament@Flam</t>
        </is>
      </c>
      <c r="L568" s="6" t="n">
        <v>2000</v>
      </c>
      <c r="M568" s="6" t="n">
        <v>44</v>
      </c>
      <c r="N568" s="6" t="n">
        <v>4</v>
      </c>
      <c r="O568" s="6" t="n">
        <v>4</v>
      </c>
      <c r="P568" s="6" t="n">
        <v>5555</v>
      </c>
      <c r="Q568" s="6" t="n">
        <v>1</v>
      </c>
      <c r="R568">
        <f>M568+IF(N568&gt;1,N(O568)*(N568-1),0)</f>
        <v/>
      </c>
      <c r="S568">
        <f>IFERROR(L568*MAX(N568,1)/R568*Q568*IF(ISBLANK(K565),1,K565),0)</f>
        <v/>
      </c>
      <c r="AB568" s="7" t="inlineStr">
        <is>
          <t>^LightFlameWeapon, ^MediumFlameWeapon, ^HeavyFlameWeapon</t>
        </is>
      </c>
    </row>
    <row r="569">
      <c r="A569" t="inlineStr">
        <is>
          <t>redalert2mod</t>
        </is>
      </c>
      <c r="B569" t="inlineStr">
        <is>
          <t>naxis_nop03sarubia</t>
        </is>
      </c>
      <c r="C569" t="inlineStr">
        <is>
          <t>Nop-03 Sarubia</t>
        </is>
      </c>
      <c r="D569" s="6" t="inlineStr">
        <is>
          <t>FireSupport</t>
        </is>
      </c>
      <c r="E569" s="6" t="n">
        <v>62500</v>
      </c>
      <c r="F569" s="6" t="n">
        <v>65</v>
      </c>
      <c r="G569" t="inlineStr">
        <is>
          <t>Medium</t>
        </is>
      </c>
      <c r="H569" s="6" t="n">
        <v>1</v>
      </c>
      <c r="I569" s="6" t="n">
        <v>1</v>
      </c>
      <c r="J569" s="6" t="n">
        <v>1</v>
      </c>
      <c r="K569" s="6" t="n"/>
      <c r="P569">
        <f>MAX(P570)</f>
        <v/>
      </c>
      <c r="S569">
        <f>S570</f>
        <v/>
      </c>
      <c r="T569">
        <f>(E569/100000+F569/100+(P569/1000)*J569/5+S569/200)*200*I569*H569</f>
        <v/>
      </c>
      <c r="U569">
        <f>((E569*F569/25000)+((P569/1000)*J569*S569/2.5))*I569*H569</f>
        <v/>
      </c>
      <c r="V569">
        <f>(E569*F569*(P569/1000)*J569*S569*I569*H569)/12500000</f>
        <v/>
      </c>
      <c r="W569">
        <f>(T569+U569+V569)/3</f>
        <v/>
      </c>
      <c r="X569" s="6" t="n">
        <v>1400</v>
      </c>
      <c r="Y569">
        <f>IFERROR(W569-X569,"")</f>
        <v/>
      </c>
      <c r="Z569">
        <f>IFERROR(ABS(Y569)/MAX(X569,1),"")</f>
        <v/>
      </c>
      <c r="AA569">
        <f>IFERROR((X569-(((E569/100000+F569/100+S569/200)*200*I569*H569)+((E569*F569/25000)*I569*H569))/3)/(((J569/5)*200*I569*H569)+((J569*S569/2.5)*I569*H569)+((E569*F569*J569*S569*I569*H569)/12500000))/3*1000,"")</f>
        <v/>
      </c>
    </row>
    <row r="570">
      <c r="B570" s="7" t="inlineStr">
        <is>
          <t xml:space="preserve">  ↳ NaxisSarubianTarget</t>
        </is>
      </c>
      <c r="C570" s="7" t="inlineStr">
        <is>
          <t>Armament@AG</t>
        </is>
      </c>
      <c r="L570" s="6" t="n"/>
      <c r="M570" s="6" t="n">
        <v>40</v>
      </c>
      <c r="N570" s="6" t="n">
        <v>1</v>
      </c>
      <c r="O570" s="6" t="n"/>
      <c r="P570" s="6" t="n">
        <v>7800</v>
      </c>
      <c r="Q570" s="6" t="n">
        <v>1</v>
      </c>
      <c r="R570">
        <f>M570+IF(N570&gt;1,N(O570)*(N570-1),0)</f>
        <v/>
      </c>
      <c r="S570">
        <f>IFERROR(L570*MAX(N570,1)/R570*Q570*IF(ISBLANK(K569),1,K569),0)</f>
        <v/>
      </c>
      <c r="AB570" s="7" t="inlineStr"/>
    </row>
    <row r="571">
      <c r="A571" t="inlineStr">
        <is>
          <t>redalert2mod</t>
        </is>
      </c>
      <c r="B571" t="inlineStr">
        <is>
          <t>schwarzermond_crystaltank</t>
        </is>
      </c>
      <c r="C571" t="inlineStr">
        <is>
          <t>Crystal Tank</t>
        </is>
      </c>
      <c r="D571" s="6" t="inlineStr">
        <is>
          <t>FireSupport</t>
        </is>
      </c>
      <c r="E571" s="6" t="n">
        <v>400000</v>
      </c>
      <c r="F571" s="6" t="n">
        <v>60</v>
      </c>
      <c r="G571" t="inlineStr">
        <is>
          <t>Medium</t>
        </is>
      </c>
      <c r="H571" s="6" t="n">
        <v>0.75</v>
      </c>
      <c r="I571" s="6" t="n">
        <v>1</v>
      </c>
      <c r="J571" s="6" t="n">
        <v>1.25</v>
      </c>
      <c r="K571" s="6" t="n"/>
      <c r="P571">
        <f>MAX(P572,P573)</f>
        <v/>
      </c>
      <c r="S571">
        <f>S572+S573</f>
        <v/>
      </c>
      <c r="T571">
        <f>(E571/100000+F571/100+(P571/1000)*J571/5+S571/200)*200*I571*H571</f>
        <v/>
      </c>
      <c r="U571">
        <f>((E571*F571/25000)+((P571/1000)*J571*S571/2.5))*I571*H571</f>
        <v/>
      </c>
      <c r="V571">
        <f>(E571*F571*(P571/1000)*J571*S571*I571*H571)/12500000</f>
        <v/>
      </c>
      <c r="W571">
        <f>(T571+U571+V571)/3</f>
        <v/>
      </c>
      <c r="X571" s="6" t="n">
        <v>1700</v>
      </c>
      <c r="Y571">
        <f>IFERROR(W571-X571,"")</f>
        <v/>
      </c>
      <c r="Z571">
        <f>IFERROR(ABS(Y571)/MAX(X571,1),"")</f>
        <v/>
      </c>
      <c r="AA571">
        <f>IFERROR((X571-(((E571/100000+F571/100+S571/200)*200*I571*H571)+((E571*F571/25000)*I571*H571))/3)/(((J571/5)*200*I571*H571)+((J571*S571/2.5)*I571*H571)+((E571*F571*J571*S571*I571*H571)/12500000))/3*1000,"")</f>
        <v/>
      </c>
    </row>
    <row r="572">
      <c r="B572" s="7" t="inlineStr">
        <is>
          <t xml:space="preserve">  ↳ NaxCrystalLeech</t>
        </is>
      </c>
      <c r="C572" s="7" t="inlineStr">
        <is>
          <t>Armament@AG</t>
        </is>
      </c>
      <c r="L572" s="6" t="n">
        <v>2000</v>
      </c>
      <c r="M572" s="6" t="n">
        <v>90</v>
      </c>
      <c r="N572" s="6" t="n">
        <v>10</v>
      </c>
      <c r="O572" s="6" t="n">
        <v>1</v>
      </c>
      <c r="P572" s="6" t="n">
        <v>7420</v>
      </c>
      <c r="Q572" s="6" t="n">
        <v>1</v>
      </c>
      <c r="R572">
        <f>M572+IF(N572&gt;1,N(O572)*(N572-1),0)</f>
        <v/>
      </c>
      <c r="S572">
        <f>IFERROR(L572*MAX(N572,1)/R572*Q572*IF(ISBLANK(K571),1,K571),0)</f>
        <v/>
      </c>
      <c r="AB572" s="7" t="inlineStr">
        <is>
          <t>^TeslaWeapon</t>
        </is>
      </c>
    </row>
    <row r="573">
      <c r="B573" s="7" t="inlineStr">
        <is>
          <t xml:space="preserve">  ↳ NaxCrystalLeechE</t>
        </is>
      </c>
      <c r="C573" s="7" t="inlineStr">
        <is>
          <t>Armament@ELITE</t>
        </is>
      </c>
      <c r="L573" s="6" t="n">
        <v>2000</v>
      </c>
      <c r="M573" s="6" t="n">
        <v>25</v>
      </c>
      <c r="N573" s="6" t="n">
        <v>20</v>
      </c>
      <c r="O573" s="6" t="n">
        <v>1</v>
      </c>
      <c r="P573" s="6" t="n">
        <v>8420</v>
      </c>
      <c r="Q573" s="6" t="n">
        <v>1</v>
      </c>
      <c r="R573">
        <f>M573+IF(N573&gt;1,N(O573)*(N573-1),0)</f>
        <v/>
      </c>
      <c r="S573">
        <f>IFERROR(L573*MAX(N573,1)/R573*Q573*IF(ISBLANK(K571),1,K571),0)</f>
        <v/>
      </c>
      <c r="AB573" s="7" t="inlineStr">
        <is>
          <t>^TeslaChargedWeapon</t>
        </is>
      </c>
    </row>
    <row r="574">
      <c r="A574" t="inlineStr">
        <is>
          <t>redalert2mod</t>
        </is>
      </c>
      <c r="B574" t="inlineStr">
        <is>
          <t>schwarzermond_korruptesbiest</t>
        </is>
      </c>
      <c r="C574" t="inlineStr">
        <is>
          <t>Korruptes Biest</t>
        </is>
      </c>
      <c r="D574" s="6" t="inlineStr">
        <is>
          <t>FireSupport</t>
        </is>
      </c>
      <c r="E574" s="6" t="n">
        <v>240000</v>
      </c>
      <c r="F574" s="6" t="n">
        <v>40</v>
      </c>
      <c r="G574" t="inlineStr">
        <is>
          <t>Heavy</t>
        </is>
      </c>
      <c r="H574" s="6" t="n">
        <v>0.75</v>
      </c>
      <c r="I574" s="6" t="n">
        <v>1</v>
      </c>
      <c r="J574" s="6" t="n">
        <v>1.25</v>
      </c>
      <c r="K574" s="6" t="n"/>
      <c r="P574">
        <f>MAX(P575,P576)</f>
        <v/>
      </c>
      <c r="S574">
        <f>S575+S576</f>
        <v/>
      </c>
      <c r="T574">
        <f>(E574/100000+F574/100+(P574/1000)*J574/5+S574/200)*200*I574*H574</f>
        <v/>
      </c>
      <c r="U574">
        <f>((E574*F574/25000)+((P574/1000)*J574*S574/2.5))*I574*H574</f>
        <v/>
      </c>
      <c r="V574">
        <f>(E574*F574*(P574/1000)*J574*S574*I574*H574)/12500000</f>
        <v/>
      </c>
      <c r="W574">
        <f>(T574+U574+V574)/3</f>
        <v/>
      </c>
      <c r="X574" s="6" t="n">
        <v>3500</v>
      </c>
      <c r="Y574">
        <f>IFERROR(W574-X574,"")</f>
        <v/>
      </c>
      <c r="Z574">
        <f>IFERROR(ABS(Y574)/MAX(X574,1),"")</f>
        <v/>
      </c>
      <c r="AA574">
        <f>IFERROR((X574-(((E574/100000+F574/100+S574/200)*200*I574*H574)+((E574*F574/25000)*I574*H574))/3)/(((J574/5)*200*I574*H574)+((J574*S574/2.5)*I574*H574)+((E574*F574*J574*S574*I574*H574)/12500000))/3*1000,"")</f>
        <v/>
      </c>
    </row>
    <row r="575">
      <c r="B575" s="7" t="inlineStr">
        <is>
          <t xml:space="preserve">  ↳ NaxCorrosionBeast</t>
        </is>
      </c>
      <c r="C575" s="7" t="inlineStr">
        <is>
          <t>Armament@PRIMARY</t>
        </is>
      </c>
      <c r="L575" s="6" t="n">
        <v>2000</v>
      </c>
      <c r="M575" s="6" t="n">
        <v>34</v>
      </c>
      <c r="N575" s="6" t="n">
        <v>8</v>
      </c>
      <c r="O575" s="6" t="n">
        <v>2</v>
      </c>
      <c r="P575" s="6" t="n">
        <v>7984</v>
      </c>
      <c r="Q575" s="6" t="n">
        <v>1.083333333333333</v>
      </c>
      <c r="R575">
        <f>M575+IF(N575&gt;1,N(O575)*(N575-1),0)</f>
        <v/>
      </c>
      <c r="S575">
        <f>IFERROR(L575*MAX(N575,1)/R575*Q575*IF(ISBLANK(K574),1,K574),0)</f>
        <v/>
      </c>
      <c r="AB575" s="7" t="inlineStr">
        <is>
          <t>^Grenade, ^HeavyMissile, ^RA2MediumMissile</t>
        </is>
      </c>
    </row>
    <row r="576">
      <c r="B576" s="7" t="inlineStr">
        <is>
          <t xml:space="preserve">  ↳ NaxCorrosionBeastE</t>
        </is>
      </c>
      <c r="C576" s="7" t="inlineStr">
        <is>
          <t>Armament@ELITE</t>
        </is>
      </c>
      <c r="L576" s="6" t="n">
        <v>2000</v>
      </c>
      <c r="M576" s="6" t="n">
        <v>34</v>
      </c>
      <c r="N576" s="6" t="n">
        <v>16</v>
      </c>
      <c r="O576" s="6" t="n">
        <v>2</v>
      </c>
      <c r="P576" s="6" t="n">
        <v>8984</v>
      </c>
      <c r="Q576" s="6" t="n">
        <v>1.083333333333333</v>
      </c>
      <c r="R576">
        <f>M576+IF(N576&gt;1,N(O576)*(N576-1),0)</f>
        <v/>
      </c>
      <c r="S576">
        <f>IFERROR(L576*MAX(N576,1)/R576*Q576*IF(ISBLANK(K574),1,K574),0)</f>
        <v/>
      </c>
      <c r="AB576" s="7" t="inlineStr">
        <is>
          <t>^Grenade, ^HeavyMissile, ^RA2MediumMissile</t>
        </is>
      </c>
    </row>
    <row r="577">
      <c r="A577" t="inlineStr">
        <is>
          <t>redalert2mod</t>
        </is>
      </c>
      <c r="B577" t="inlineStr">
        <is>
          <t>futuretech_beehivedronecarrier</t>
        </is>
      </c>
      <c r="C577" t="inlineStr">
        <is>
          <t>Beehive Drone Carrier</t>
        </is>
      </c>
      <c r="D577" s="6" t="inlineStr">
        <is>
          <t>FireSupport</t>
        </is>
      </c>
      <c r="E577" s="6" t="n">
        <v>125000</v>
      </c>
      <c r="F577" s="6" t="n">
        <v>45</v>
      </c>
      <c r="G577" t="inlineStr">
        <is>
          <t>Heavy</t>
        </is>
      </c>
      <c r="H577" s="6" t="n">
        <v>1</v>
      </c>
      <c r="I577" s="6" t="n">
        <v>1</v>
      </c>
      <c r="J577" s="6" t="n">
        <v>1</v>
      </c>
      <c r="K577" s="6" t="n"/>
      <c r="P577">
        <f>MAX(P578)</f>
        <v/>
      </c>
      <c r="S577">
        <f>S578</f>
        <v/>
      </c>
      <c r="T577">
        <f>(E577/100000+F577/100+(P577/1000)*J577/5+S577/200)*200*I577*H577</f>
        <v/>
      </c>
      <c r="U577">
        <f>((E577*F577/25000)+((P577/1000)*J577*S577/2.5))*I577*H577</f>
        <v/>
      </c>
      <c r="V577">
        <f>(E577*F577*(P577/1000)*J577*S577*I577*H577)/12500000</f>
        <v/>
      </c>
      <c r="W577">
        <f>(T577+U577+V577)/3</f>
        <v/>
      </c>
      <c r="X577" s="6" t="n">
        <v>2100</v>
      </c>
      <c r="Y577">
        <f>IFERROR(W577-X577,"")</f>
        <v/>
      </c>
      <c r="Z577">
        <f>IFERROR(ABS(Y577)/MAX(X577,1),"")</f>
        <v/>
      </c>
      <c r="AA577">
        <f>IFERROR((X577-(((E577/100000+F577/100+S577/200)*200*I577*H577)+((E577*F577/25000)*I577*H577))/3)/(((J577/5)*200*I577*H577)+((J577*S577/2.5)*I577*H577)+((E577*F577*J577*S577*I577*H577)/12500000))/3*1000,"")</f>
        <v/>
      </c>
    </row>
    <row r="578">
      <c r="B578" s="7" t="inlineStr">
        <is>
          <t xml:space="preserve">  ↳ BeehiveCarrierTarget</t>
        </is>
      </c>
      <c r="C578" s="7" t="inlineStr">
        <is>
          <t>Armament@PRIMARY</t>
        </is>
      </c>
      <c r="L578" s="6" t="n"/>
      <c r="M578" s="6" t="n">
        <v>150</v>
      </c>
      <c r="N578" s="6" t="n">
        <v>1</v>
      </c>
      <c r="O578" s="6" t="n"/>
      <c r="P578" s="6" t="n">
        <v>17500</v>
      </c>
      <c r="Q578" s="6" t="n">
        <v>1</v>
      </c>
      <c r="R578">
        <f>M578+IF(N578&gt;1,N(O578)*(N578-1),0)</f>
        <v/>
      </c>
      <c r="S578">
        <f>IFERROR(L578*MAX(N578,1)/R578*Q578*IF(ISBLANK(K577),1,K577),0)</f>
        <v/>
      </c>
      <c r="AB578" s="7" t="inlineStr">
        <is>
          <t>RA2CarrierTarget</t>
        </is>
      </c>
    </row>
    <row r="579">
      <c r="A579" t="inlineStr">
        <is>
          <t>redalert2mod</t>
        </is>
      </c>
      <c r="B579" t="inlineStr">
        <is>
          <t>futuretech_energizer</t>
        </is>
      </c>
      <c r="C579" t="inlineStr">
        <is>
          <t>Energizer</t>
        </is>
      </c>
      <c r="D579" s="6" t="inlineStr">
        <is>
          <t>FireSupport</t>
        </is>
      </c>
      <c r="E579" s="6" t="n">
        <v>50000</v>
      </c>
      <c r="F579" s="6" t="n">
        <v>50</v>
      </c>
      <c r="G579" t="inlineStr">
        <is>
          <t>Light</t>
        </is>
      </c>
      <c r="H579" s="6" t="n">
        <v>1</v>
      </c>
      <c r="I579" s="6" t="n">
        <v>1</v>
      </c>
      <c r="J579" s="6" t="n">
        <v>1</v>
      </c>
      <c r="K579" s="6" t="n"/>
      <c r="P579">
        <f>MAX(P580,P581)</f>
        <v/>
      </c>
      <c r="S579">
        <f>S580+S581</f>
        <v/>
      </c>
      <c r="T579">
        <f>(E579/100000+F579/100+(P579/1000)*J579/5+S579/200)*200*I579*H579</f>
        <v/>
      </c>
      <c r="U579">
        <f>((E579*F579/25000)+((P579/1000)*J579*S579/2.5))*I579*H579</f>
        <v/>
      </c>
      <c r="V579">
        <f>(E579*F579*(P579/1000)*J579*S579*I579*H579)/12500000</f>
        <v/>
      </c>
      <c r="W579">
        <f>(T579+U579+V579)/3</f>
        <v/>
      </c>
      <c r="X579" s="6" t="n">
        <v>1000</v>
      </c>
      <c r="Y579">
        <f>IFERROR(W579-X579,"")</f>
        <v/>
      </c>
      <c r="Z579">
        <f>IFERROR(ABS(Y579)/MAX(X579,1),"")</f>
        <v/>
      </c>
      <c r="AA579">
        <f>IFERROR((X579-(((E579/100000+F579/100+S579/200)*200*I579*H579)+((E579*F579/25000)*I579*H579))/3)/(((J579/5)*200*I579*H579)+((J579*S579/2.5)*I579*H579)+((E579*F579*J579*S579*I579*H579)/12500000))/3*1000,"")</f>
        <v/>
      </c>
    </row>
    <row r="580">
      <c r="B580" s="7" t="inlineStr">
        <is>
          <t xml:space="preserve">  ↳ Future_CoilerAgressive</t>
        </is>
      </c>
      <c r="C580" s="7" t="inlineStr">
        <is>
          <t>Armament@Agressive</t>
        </is>
      </c>
      <c r="L580" s="6" t="n">
        <v>50000</v>
      </c>
      <c r="M580" s="6" t="n">
        <v>125</v>
      </c>
      <c r="N580" s="6" t="n">
        <v>1</v>
      </c>
      <c r="O580" s="6" t="n"/>
      <c r="P580" s="6" t="n">
        <v>7500</v>
      </c>
      <c r="Q580" s="6" t="n">
        <v>1</v>
      </c>
      <c r="R580">
        <f>M580+IF(N580&gt;1,N(O580)*(N580-1),0)</f>
        <v/>
      </c>
      <c r="S580">
        <f>IFERROR(L580*MAX(N580,1)/R580*Q580*IF(ISBLANK(K579),1,K579),0)</f>
        <v/>
      </c>
      <c r="AB580" s="7" t="inlineStr">
        <is>
          <t>^TeslaWeapon</t>
        </is>
      </c>
    </row>
    <row r="581">
      <c r="B581" s="7" t="inlineStr">
        <is>
          <t xml:space="preserve">  ↳ Future_CoilerFriendMain</t>
        </is>
      </c>
      <c r="C581" s="7" t="inlineStr">
        <is>
          <t>Armament@Support</t>
        </is>
      </c>
      <c r="L581" s="6" t="n"/>
      <c r="M581" s="6" t="n">
        <v>125</v>
      </c>
      <c r="N581" s="6" t="n">
        <v>1</v>
      </c>
      <c r="O581" s="6" t="n"/>
      <c r="P581" s="6" t="n">
        <v>7500</v>
      </c>
      <c r="Q581" s="6" t="n">
        <v>1</v>
      </c>
      <c r="R581">
        <f>M581+IF(N581&gt;1,N(O581)*(N581-1),0)</f>
        <v/>
      </c>
      <c r="S581">
        <f>IFERROR(L581*MAX(N581,1)/R581*Q581*IF(ISBLANK(K579),1,K579),0)</f>
        <v/>
      </c>
      <c r="AB581" s="7" t="inlineStr">
        <is>
          <t>Future_CoilerFriend</t>
        </is>
      </c>
    </row>
    <row r="582">
      <c r="A582" t="inlineStr">
        <is>
          <t>redalert2mod</t>
        </is>
      </c>
      <c r="B582" t="inlineStr">
        <is>
          <t>futuretech_gunstrider</t>
        </is>
      </c>
      <c r="C582" t="inlineStr">
        <is>
          <t>Gun Strider</t>
        </is>
      </c>
      <c r="D582" s="6" t="inlineStr">
        <is>
          <t>FireSupport</t>
        </is>
      </c>
      <c r="E582" s="6" t="n">
        <v>320000</v>
      </c>
      <c r="F582" s="6" t="n">
        <v>35</v>
      </c>
      <c r="G582" t="inlineStr">
        <is>
          <t>Heavy</t>
        </is>
      </c>
      <c r="H582" s="6" t="n">
        <v>1</v>
      </c>
      <c r="I582" s="6" t="n">
        <v>1</v>
      </c>
      <c r="J582" s="6" t="n">
        <v>1</v>
      </c>
      <c r="K582" s="6" t="n"/>
      <c r="P582">
        <f>MAX(P583)</f>
        <v/>
      </c>
      <c r="S582">
        <f>S583</f>
        <v/>
      </c>
      <c r="T582">
        <f>(E582/100000+F582/100+(P582/1000)*J582/5+S582/200)*200*I582*H582</f>
        <v/>
      </c>
      <c r="U582">
        <f>((E582*F582/25000)+((P582/1000)*J582*S582/2.5))*I582*H582</f>
        <v/>
      </c>
      <c r="V582">
        <f>(E582*F582*(P582/1000)*J582*S582*I582*H582)/12500000</f>
        <v/>
      </c>
      <c r="W582">
        <f>(T582+U582+V582)/3</f>
        <v/>
      </c>
      <c r="X582" s="6" t="n">
        <v>2500</v>
      </c>
      <c r="Y582">
        <f>IFERROR(W582-X582,"")</f>
        <v/>
      </c>
      <c r="Z582">
        <f>IFERROR(ABS(Y582)/MAX(X582,1),"")</f>
        <v/>
      </c>
      <c r="AA582">
        <f>IFERROR((X582-(((E582/100000+F582/100+S582/200)*200*I582*H582)+((E582*F582/25000)*I582*H582))/3)/(((J582/5)*200*I582*H582)+((J582*S582/2.5)*I582*H582)+((E582*F582*J582*S582*I582*H582)/12500000))/3*1000,"")</f>
        <v/>
      </c>
    </row>
    <row r="583">
      <c r="B583" s="7" t="inlineStr">
        <is>
          <t xml:space="preserve">  ↳ FutureMechGatling</t>
        </is>
      </c>
      <c r="C583" s="7" t="inlineStr">
        <is>
          <t>Armament</t>
        </is>
      </c>
      <c r="L583" s="6" t="n">
        <v>2000</v>
      </c>
      <c r="M583" s="6" t="n">
        <v>12</v>
      </c>
      <c r="N583" s="6" t="n">
        <v>1</v>
      </c>
      <c r="O583" s="6" t="n"/>
      <c r="P583" s="6" t="n">
        <v>8300</v>
      </c>
      <c r="Q583" s="6" t="n">
        <v>0.9166666666666666</v>
      </c>
      <c r="R583">
        <f>M583+IF(N583&gt;1,N(O583)*(N583-1),0)</f>
        <v/>
      </c>
      <c r="S583">
        <f>IFERROR(L583*MAX(N583,1)/R583*Q583*IF(ISBLANK(K582),1,K582),0)</f>
        <v/>
      </c>
      <c r="AB583" s="7" t="inlineStr">
        <is>
          <t>^TankDestroyerCannon, ^LightMissile, ^FlakWeapon, ^RA2Chaingun</t>
        </is>
      </c>
    </row>
    <row r="584">
      <c r="A584" t="inlineStr">
        <is>
          <t>redalert2mod</t>
        </is>
      </c>
      <c r="B584" t="inlineStr">
        <is>
          <t>futuretech_missiledroid</t>
        </is>
      </c>
      <c r="C584" t="inlineStr">
        <is>
          <t>Missile Droid</t>
        </is>
      </c>
      <c r="D584" s="6" t="inlineStr">
        <is>
          <t>FireSupport</t>
        </is>
      </c>
      <c r="E584" s="6" t="n">
        <v>67500</v>
      </c>
      <c r="F584" s="6" t="n">
        <v>40</v>
      </c>
      <c r="G584" t="inlineStr">
        <is>
          <t>Flak</t>
        </is>
      </c>
      <c r="H584" s="6" t="n">
        <v>1</v>
      </c>
      <c r="I584" s="6" t="n">
        <v>1</v>
      </c>
      <c r="J584" s="6" t="n">
        <v>1</v>
      </c>
      <c r="K584" s="6" t="n"/>
      <c r="P584">
        <f>MAX(P585,P586)</f>
        <v/>
      </c>
      <c r="S584">
        <f>S585+S586</f>
        <v/>
      </c>
      <c r="T584">
        <f>(E584/100000+F584/100+(P584/1000)*J584/5+S584/200)*200*I584*H584</f>
        <v/>
      </c>
      <c r="U584">
        <f>((E584*F584/25000)+((P584/1000)*J584*S584/2.5))*I584*H584</f>
        <v/>
      </c>
      <c r="V584">
        <f>(E584*F584*(P584/1000)*J584*S584*I584*H584)/12500000</f>
        <v/>
      </c>
      <c r="W584">
        <f>(T584+U584+V584)/3</f>
        <v/>
      </c>
      <c r="X584" s="6" t="n">
        <v>700</v>
      </c>
      <c r="Y584">
        <f>IFERROR(W584-X584,"")</f>
        <v/>
      </c>
      <c r="Z584">
        <f>IFERROR(ABS(Y584)/MAX(X584,1),"")</f>
        <v/>
      </c>
      <c r="AA584">
        <f>IFERROR((X584-(((E584/100000+F584/100+S584/200)*200*I584*H584)+((E584*F584/25000)*I584*H584))/3)/(((J584/5)*200*I584*H584)+((J584*S584/2.5)*I584*H584)+((E584*F584*J584*S584*I584*H584)/12500000))/3*1000,"")</f>
        <v/>
      </c>
    </row>
    <row r="585">
      <c r="B585" s="7" t="inlineStr">
        <is>
          <t xml:space="preserve">  ↳ MissileAttackRobotGun</t>
        </is>
      </c>
      <c r="C585" s="7" t="inlineStr">
        <is>
          <t>Armament@PRIMARY</t>
        </is>
      </c>
      <c r="L585" s="6" t="n">
        <v>12000</v>
      </c>
      <c r="M585" s="6" t="n">
        <v>65</v>
      </c>
      <c r="N585" s="6" t="n">
        <v>2</v>
      </c>
      <c r="O585" s="6" t="n">
        <v>5</v>
      </c>
      <c r="P585" s="6" t="n">
        <v>8000</v>
      </c>
      <c r="Q585" s="6" t="n">
        <v>0.875</v>
      </c>
      <c r="R585">
        <f>M585+IF(N585&gt;1,N(O585)*(N585-1),0)</f>
        <v/>
      </c>
      <c r="S585">
        <f>IFERROR(L585*MAX(N585,1)/R585*Q585*IF(ISBLANK(K584),1,K584),0)</f>
        <v/>
      </c>
      <c r="AB585" s="7" t="inlineStr">
        <is>
          <t>^MediumMissile, ^SteelLightMissile</t>
        </is>
      </c>
    </row>
    <row r="586">
      <c r="B586" s="7" t="inlineStr">
        <is>
          <t xml:space="preserve">  ↳ MissileAttackRobotGunE</t>
        </is>
      </c>
      <c r="C586" s="7" t="inlineStr">
        <is>
          <t>Armament@ELITE</t>
        </is>
      </c>
      <c r="L586" s="6" t="n">
        <v>12000</v>
      </c>
      <c r="M586" s="6" t="n">
        <v>65</v>
      </c>
      <c r="N586" s="6" t="n">
        <v>4</v>
      </c>
      <c r="O586" s="6" t="n">
        <v>5</v>
      </c>
      <c r="P586" s="6" t="n">
        <v>9000</v>
      </c>
      <c r="Q586" s="6" t="n">
        <v>0.875</v>
      </c>
      <c r="R586">
        <f>M586+IF(N586&gt;1,N(O586)*(N586-1),0)</f>
        <v/>
      </c>
      <c r="S586">
        <f>IFERROR(L586*MAX(N586,1)/R586*Q586*IF(ISBLANK(K584),1,K584),0)</f>
        <v/>
      </c>
      <c r="AB586" s="7" t="inlineStr">
        <is>
          <t>^MediumMissile, ^SteelLightMissile</t>
        </is>
      </c>
    </row>
    <row r="587">
      <c r="A587" t="inlineStr">
        <is>
          <t>redalert2mod</t>
        </is>
      </c>
      <c r="B587" t="inlineStr">
        <is>
          <t>tkm_stryker</t>
        </is>
      </c>
      <c r="C587" t="inlineStr">
        <is>
          <t>TKM Stryker</t>
        </is>
      </c>
      <c r="D587" s="6" t="inlineStr">
        <is>
          <t>FireSupport</t>
        </is>
      </c>
      <c r="E587" s="6" t="n">
        <v>80000</v>
      </c>
      <c r="F587" s="6" t="n">
        <v>105</v>
      </c>
      <c r="G587" t="inlineStr">
        <is>
          <t>Light</t>
        </is>
      </c>
      <c r="H587" s="6" t="n">
        <v>1</v>
      </c>
      <c r="I587" s="6" t="n">
        <v>1</v>
      </c>
      <c r="J587" s="6" t="n">
        <v>1</v>
      </c>
      <c r="K587" s="6" t="n"/>
      <c r="P587">
        <f>MAX(P588,P589,P590)</f>
        <v/>
      </c>
      <c r="S587">
        <f>S588+S589+S590</f>
        <v/>
      </c>
      <c r="T587">
        <f>(E587/100000+F587/100+(P587/1000)*J587/5+S587/200)*200*I587*H587</f>
        <v/>
      </c>
      <c r="U587">
        <f>((E587*F587/25000)+((P587/1000)*J587*S587/2.5))*I587*H587</f>
        <v/>
      </c>
      <c r="V587">
        <f>(E587*F587*(P587/1000)*J587*S587*I587*H587)/12500000</f>
        <v/>
      </c>
      <c r="W587">
        <f>(T587+U587+V587)/3</f>
        <v/>
      </c>
      <c r="X587" s="6" t="n">
        <v>1600</v>
      </c>
      <c r="Y587">
        <f>IFERROR(W587-X587,"")</f>
        <v/>
      </c>
      <c r="Z587">
        <f>IFERROR(ABS(Y587)/MAX(X587,1),"")</f>
        <v/>
      </c>
      <c r="AA587">
        <f>IFERROR((X587-(((E587/100000+F587/100+S587/200)*200*I587*H587)+((E587*F587/25000)*I587*H587))/3)/(((J587/5)*200*I587*H587)+((J587*S587/2.5)*I587*H587)+((E587*F587*J587*S587*I587*H587)/12500000))/3*1000,"")</f>
        <v/>
      </c>
    </row>
    <row r="588">
      <c r="B588" s="7" t="inlineStr">
        <is>
          <t xml:space="preserve">  ↳ tkmstrykermg</t>
        </is>
      </c>
      <c r="C588" s="7" t="inlineStr">
        <is>
          <t>Armament</t>
        </is>
      </c>
      <c r="L588" s="6" t="n">
        <v>2000</v>
      </c>
      <c r="M588" s="6" t="n">
        <v>5</v>
      </c>
      <c r="N588" s="6" t="n">
        <v>1</v>
      </c>
      <c r="O588" s="6" t="n"/>
      <c r="P588" s="6" t="n">
        <v>7880</v>
      </c>
      <c r="Q588" s="6" t="n">
        <v>1</v>
      </c>
      <c r="R588">
        <f>M588+IF(N588&gt;1,N(O588)*(N588-1),0)</f>
        <v/>
      </c>
      <c r="S588">
        <f>IFERROR(L588*MAX(N588,1)/R588*Q588*IF(ISBLANK(K587),1,K587),0)</f>
        <v/>
      </c>
      <c r="AB588" s="7" t="inlineStr">
        <is>
          <t>^RA2Chaingun</t>
        </is>
      </c>
    </row>
    <row r="589">
      <c r="B589" s="7" t="inlineStr">
        <is>
          <t xml:space="preserve">  ↳ tkmstrykerrockets</t>
        </is>
      </c>
      <c r="C589" s="7" t="inlineStr">
        <is>
          <t>Armament@missile</t>
        </is>
      </c>
      <c r="L589" s="6" t="n">
        <v>24000</v>
      </c>
      <c r="M589" s="6" t="n">
        <v>60</v>
      </c>
      <c r="N589" s="6" t="n">
        <v>1</v>
      </c>
      <c r="O589" s="6" t="n"/>
      <c r="P589" s="6" t="n">
        <v>7880</v>
      </c>
      <c r="Q589" s="6" t="n">
        <v>1</v>
      </c>
      <c r="R589">
        <f>M589+IF(N589&gt;1,N(O589)*(N589-1),0)</f>
        <v/>
      </c>
      <c r="S589">
        <f>IFERROR(L589*MAX(N589,1)/R589*Q589*IF(ISBLANK(K587),1,K587),0)</f>
        <v/>
      </c>
      <c r="AB589" s="7" t="inlineStr">
        <is>
          <t>^MediumMissile</t>
        </is>
      </c>
    </row>
    <row r="590">
      <c r="B590" s="7" t="inlineStr">
        <is>
          <t xml:space="preserve">  ↳ tkmstrykerfirerockets</t>
        </is>
      </c>
      <c r="C590" s="7" t="inlineStr">
        <is>
          <t>Armament@missilefire</t>
        </is>
      </c>
      <c r="L590" s="6" t="n">
        <v>24000</v>
      </c>
      <c r="M590" s="6" t="n">
        <v>60</v>
      </c>
      <c r="N590" s="6" t="n">
        <v>1</v>
      </c>
      <c r="O590" s="6" t="n"/>
      <c r="P590" s="6" t="n">
        <v>7880</v>
      </c>
      <c r="Q590" s="6" t="n">
        <v>1</v>
      </c>
      <c r="R590">
        <f>M590+IF(N590&gt;1,N(O590)*(N590-1),0)</f>
        <v/>
      </c>
      <c r="S590">
        <f>IFERROR(L590*MAX(N590,1)/R590*Q590*IF(ISBLANK(K587),1,K587),0)</f>
        <v/>
      </c>
      <c r="AB590" s="7" t="inlineStr">
        <is>
          <t>^MediumFlameWeapon, ^MediumMissile</t>
        </is>
      </c>
    </row>
    <row r="591">
      <c r="A591" t="inlineStr">
        <is>
          <t>d2k</t>
        </is>
      </c>
      <c r="B591" t="inlineStr">
        <is>
          <t>ordos_dustdrone</t>
        </is>
      </c>
      <c r="C591" t="inlineStr">
        <is>
          <t>Dust Drone</t>
        </is>
      </c>
      <c r="D591" s="6" t="inlineStr">
        <is>
          <t>FireSupport</t>
        </is>
      </c>
      <c r="E591" s="6" t="n">
        <v>32500</v>
      </c>
      <c r="F591" s="6" t="n">
        <v>145</v>
      </c>
      <c r="G591" t="inlineStr">
        <is>
          <t>Light</t>
        </is>
      </c>
      <c r="H591" s="6" t="n">
        <v>1</v>
      </c>
      <c r="I591" s="6" t="n">
        <v>1</v>
      </c>
      <c r="J591" s="6" t="n">
        <v>1</v>
      </c>
      <c r="K591" s="6" t="n"/>
      <c r="P591">
        <f>MAX(P592)</f>
        <v/>
      </c>
      <c r="S591">
        <f>S592</f>
        <v/>
      </c>
      <c r="T591">
        <f>(E591/100000+F591/100+(P591/1000)*J591/5+S591/200)*200*I591*H591</f>
        <v/>
      </c>
      <c r="U591">
        <f>((E591*F591/25000)+((P591/1000)*J591*S591/2.5))*I591*H591</f>
        <v/>
      </c>
      <c r="V591">
        <f>(E591*F591*(P591/1000)*J591*S591*I591*H591)/12500000</f>
        <v/>
      </c>
      <c r="W591">
        <f>(T591+U591+V591)/3</f>
        <v/>
      </c>
      <c r="X591" s="6" t="n">
        <v>1400</v>
      </c>
      <c r="Y591">
        <f>IFERROR(W591-X591,"")</f>
        <v/>
      </c>
      <c r="Z591">
        <f>IFERROR(ABS(Y591)/MAX(X591,1),"")</f>
        <v/>
      </c>
      <c r="AA591">
        <f>IFERROR((X591-(((E591/100000+F591/100+S591/200)*200*I591*H591)+((E591*F591/25000)*I591*H591))/3)/(((J591/5)*200*I591*H591)+((J591*S591/2.5)*I591*H591)+((E591*F591*J591*S591*I591*H591)/12500000))/3*1000,"")</f>
        <v/>
      </c>
    </row>
    <row r="592">
      <c r="B592" s="7" t="inlineStr">
        <is>
          <t xml:space="preserve">  ↳ D2K_APC_Rocket</t>
        </is>
      </c>
      <c r="C592" s="7" t="inlineStr">
        <is>
          <t>Armament</t>
        </is>
      </c>
      <c r="L592" s="6" t="n">
        <v>8000</v>
      </c>
      <c r="M592" s="6" t="n">
        <v>42</v>
      </c>
      <c r="N592" s="6" t="n">
        <v>1</v>
      </c>
      <c r="O592" s="6" t="n"/>
      <c r="P592" s="6" t="n">
        <v>6500</v>
      </c>
      <c r="Q592" s="6" t="n">
        <v>0.875</v>
      </c>
      <c r="R592">
        <f>M592+IF(N592&gt;1,N(O592)*(N592-1),0)</f>
        <v/>
      </c>
      <c r="S592">
        <f>IFERROR(L592*MAX(N592,1)/R592*Q592*IF(ISBLANK(K591),1,K591),0)</f>
        <v/>
      </c>
      <c r="AB592" s="7" t="inlineStr">
        <is>
          <t>^LightMissile, ^MediumMissile, ^D2KRocket</t>
        </is>
      </c>
    </row>
    <row r="593">
      <c r="A593" t="inlineStr">
        <is>
          <t>d2k</t>
        </is>
      </c>
      <c r="B593" t="inlineStr">
        <is>
          <t>ixian_ixcombatsiege</t>
        </is>
      </c>
      <c r="C593" t="inlineStr">
        <is>
          <t>Ix Combat Siege</t>
        </is>
      </c>
      <c r="D593" s="6" t="inlineStr">
        <is>
          <t>FireSupport</t>
        </is>
      </c>
      <c r="E593" s="6" t="n">
        <v>80000</v>
      </c>
      <c r="F593" s="6" t="n">
        <v>80</v>
      </c>
      <c r="G593" t="inlineStr">
        <is>
          <t>Medium</t>
        </is>
      </c>
      <c r="H593" s="6" t="n">
        <v>1</v>
      </c>
      <c r="I593" s="6" t="n">
        <v>1</v>
      </c>
      <c r="J593" s="6" t="n">
        <v>1</v>
      </c>
      <c r="K593" s="6" t="n"/>
      <c r="P593">
        <f>MAX(P594)</f>
        <v/>
      </c>
      <c r="S593">
        <f>S594</f>
        <v/>
      </c>
      <c r="T593">
        <f>(E593/100000+F593/100+(P593/1000)*J593/5+S593/200)*200*I593*H593</f>
        <v/>
      </c>
      <c r="U593">
        <f>((E593*F593/25000)+((P593/1000)*J593*S593/2.5))*I593*H593</f>
        <v/>
      </c>
      <c r="V593">
        <f>(E593*F593*(P593/1000)*J593*S593*I593*H593)/12500000</f>
        <v/>
      </c>
      <c r="W593">
        <f>(T593+U593+V593)/3</f>
        <v/>
      </c>
      <c r="X593" s="6" t="n">
        <v>1200</v>
      </c>
      <c r="Y593">
        <f>IFERROR(W593-X593,"")</f>
        <v/>
      </c>
      <c r="Z593">
        <f>IFERROR(ABS(Y593)/MAX(X593,1),"")</f>
        <v/>
      </c>
      <c r="AA593">
        <f>IFERROR((X593-(((E593/100000+F593/100+S593/200)*200*I593*H593)+((E593*F593/25000)*I593*H593))/3)/(((J593/5)*200*I593*H593)+((J593*S593/2.5)*I593*H593)+((E593*F593*J593*S593*I593*H593)/12500000))/3*1000,"")</f>
        <v/>
      </c>
    </row>
    <row r="594">
      <c r="B594" s="7" t="inlineStr">
        <is>
          <t xml:space="preserve">  ↳ D2K_155mm3</t>
        </is>
      </c>
      <c r="C594" s="7" t="inlineStr">
        <is>
          <t>Armament</t>
        </is>
      </c>
      <c r="L594" s="6" t="n">
        <v>8000</v>
      </c>
      <c r="M594" s="6" t="n">
        <v>80</v>
      </c>
      <c r="N594" s="6" t="n">
        <v>1</v>
      </c>
      <c r="O594" s="6" t="n"/>
      <c r="P594" s="6" t="n">
        <v>8686</v>
      </c>
      <c r="Q594" s="6" t="n">
        <v>1.083333333333333</v>
      </c>
      <c r="R594">
        <f>M594+IF(N594&gt;1,N(O594)*(N594-1),0)</f>
        <v/>
      </c>
      <c r="S594">
        <f>IFERROR(L594*MAX(N594,1)/R594*Q594*IF(ISBLANK(K593),1,K593),0)</f>
        <v/>
      </c>
      <c r="AB594" s="7" t="inlineStr">
        <is>
          <t>^Grenade, ^ShrapnelWeapon, ^HeavyBomb</t>
        </is>
      </c>
    </row>
    <row r="595">
      <c r="A595" t="inlineStr">
        <is>
          <t>d2k</t>
        </is>
      </c>
      <c r="B595" t="inlineStr">
        <is>
          <t>ixian_ixmissiletank</t>
        </is>
      </c>
      <c r="C595" t="inlineStr">
        <is>
          <t>Ix Missile Tank</t>
        </is>
      </c>
      <c r="D595" s="6" t="inlineStr">
        <is>
          <t>FireSupport</t>
        </is>
      </c>
      <c r="E595" s="6" t="n">
        <v>50000</v>
      </c>
      <c r="F595" s="6" t="n">
        <v>50</v>
      </c>
      <c r="G595" t="inlineStr">
        <is>
          <t>Light</t>
        </is>
      </c>
      <c r="H595" s="6" t="n">
        <v>0.75</v>
      </c>
      <c r="I595" s="6" t="n">
        <v>1</v>
      </c>
      <c r="J595" s="6" t="n">
        <v>1.25</v>
      </c>
      <c r="K595" s="6" t="n"/>
      <c r="P595">
        <f>MAX(P596)</f>
        <v/>
      </c>
      <c r="S595">
        <f>S596</f>
        <v/>
      </c>
      <c r="T595">
        <f>(E595/100000+F595/100+(P595/1000)*J595/5+S595/200)*200*I595*H595</f>
        <v/>
      </c>
      <c r="U595">
        <f>((E595*F595/25000)+((P595/1000)*J595*S595/2.5))*I595*H595</f>
        <v/>
      </c>
      <c r="V595">
        <f>(E595*F595*(P595/1000)*J595*S595*I595*H595)/12500000</f>
        <v/>
      </c>
      <c r="W595">
        <f>(T595+U595+V595)/3</f>
        <v/>
      </c>
      <c r="X595" s="6" t="n">
        <v>2250</v>
      </c>
      <c r="Y595">
        <f>IFERROR(W595-X595,"")</f>
        <v/>
      </c>
      <c r="Z595">
        <f>IFERROR(ABS(Y595)/MAX(X595,1),"")</f>
        <v/>
      </c>
      <c r="AA595">
        <f>IFERROR((X595-(((E595/100000+F595/100+S595/200)*200*I595*H595)+((E595*F595/25000)*I595*H595))/3)/(((J595/5)*200*I595*H595)+((J595*S595/2.5)*I595*H595)+((E595*F595*J595*S595*I595*H595)/12500000))/3*1000,"")</f>
        <v/>
      </c>
    </row>
    <row r="596">
      <c r="B596" s="7" t="inlineStr">
        <is>
          <t xml:space="preserve">  ↳ mtank_pri2</t>
        </is>
      </c>
      <c r="C596" s="7" t="inlineStr">
        <is>
          <t>Armament</t>
        </is>
      </c>
      <c r="L596" s="6" t="n">
        <v>8000</v>
      </c>
      <c r="M596" s="6" t="n">
        <v>5</v>
      </c>
      <c r="N596" s="6" t="n">
        <v>1</v>
      </c>
      <c r="O596" s="6" t="n"/>
      <c r="P596" s="6" t="n">
        <v>10052</v>
      </c>
      <c r="Q596" s="6" t="n">
        <v>1</v>
      </c>
      <c r="R596">
        <f>M596+IF(N596&gt;1,N(O596)*(N596-1),0)</f>
        <v/>
      </c>
      <c r="S596">
        <f>IFERROR(L596*MAX(N596,1)/R596*Q596*IF(ISBLANK(K595),1,K595),0)</f>
        <v/>
      </c>
      <c r="AB596" s="7" t="inlineStr">
        <is>
          <t>^Grenade, ^MediumFlameWeapon, ^D2KMissile</t>
        </is>
      </c>
    </row>
    <row r="597">
      <c r="A597" t="inlineStr">
        <is>
          <t>d2k</t>
        </is>
      </c>
      <c r="B597" t="inlineStr">
        <is>
          <t>ixian_shockraider</t>
        </is>
      </c>
      <c r="C597" t="inlineStr">
        <is>
          <t>Shock Raider</t>
        </is>
      </c>
      <c r="D597" s="6" t="inlineStr">
        <is>
          <t>FireSupport</t>
        </is>
      </c>
      <c r="E597" s="6" t="n">
        <v>40000</v>
      </c>
      <c r="F597" s="6" t="n">
        <v>120</v>
      </c>
      <c r="G597" t="inlineStr">
        <is>
          <t>Medium</t>
        </is>
      </c>
      <c r="H597" s="6" t="n">
        <v>0.75</v>
      </c>
      <c r="I597" s="6" t="n">
        <v>1</v>
      </c>
      <c r="J597" s="6" t="n">
        <v>1.25</v>
      </c>
      <c r="K597" s="6" t="n"/>
      <c r="P597">
        <f>MAX(P598)</f>
        <v/>
      </c>
      <c r="S597">
        <f>S598</f>
        <v/>
      </c>
      <c r="T597">
        <f>(E597/100000+F597/100+(P597/1000)*J597/5+S597/200)*200*I597*H597</f>
        <v/>
      </c>
      <c r="U597">
        <f>((E597*F597/25000)+((P597/1000)*J597*S597/2.5))*I597*H597</f>
        <v/>
      </c>
      <c r="V597">
        <f>(E597*F597*(P597/1000)*J597*S597*I597*H597)/12500000</f>
        <v/>
      </c>
      <c r="W597">
        <f>(T597+U597+V597)/3</f>
        <v/>
      </c>
      <c r="X597" s="6" t="n">
        <v>1300</v>
      </c>
      <c r="Y597">
        <f>IFERROR(W597-X597,"")</f>
        <v/>
      </c>
      <c r="Z597">
        <f>IFERROR(ABS(Y597)/MAX(X597,1),"")</f>
        <v/>
      </c>
      <c r="AA597">
        <f>IFERROR((X597-(((E597/100000+F597/100+S597/200)*200*I597*H597)+((E597*F597/25000)*I597*H597))/3)/(((J597/5)*200*I597*H597)+((J597*S597/2.5)*I597*H597)+((E597*F597*J597*S597*I597*H597)/12500000))/3*1000,"")</f>
        <v/>
      </c>
    </row>
    <row r="598">
      <c r="B598" s="7" t="inlineStr">
        <is>
          <t xml:space="preserve">  ↳ D2K_ShockGun</t>
        </is>
      </c>
      <c r="C598" s="7" t="inlineStr">
        <is>
          <t>Armament@damage</t>
        </is>
      </c>
      <c r="L598" s="6" t="n">
        <v>20000</v>
      </c>
      <c r="M598" s="6" t="n">
        <v>100</v>
      </c>
      <c r="N598" s="6" t="n">
        <v>1</v>
      </c>
      <c r="O598" s="6" t="n"/>
      <c r="P598" s="6" t="n">
        <v>7756</v>
      </c>
      <c r="Q598" s="6" t="n">
        <v>1.125</v>
      </c>
      <c r="R598">
        <f>M598+IF(N598&gt;1,N(O598)*(N598-1),0)</f>
        <v/>
      </c>
      <c r="S598">
        <f>IFERROR(L598*MAX(N598,1)/R598*Q598*IF(ISBLANK(K597),1,K597),0)</f>
        <v/>
      </c>
      <c r="AB598" s="7" t="inlineStr">
        <is>
          <t>^TeslaWeapon, ^RailgunWeapon</t>
        </is>
      </c>
    </row>
    <row r="599">
      <c r="A599" t="inlineStr">
        <is>
          <t>d2k</t>
        </is>
      </c>
      <c r="B599" t="inlineStr">
        <is>
          <t>ixian_stormraider</t>
        </is>
      </c>
      <c r="C599" t="inlineStr">
        <is>
          <t>Storm Raider</t>
        </is>
      </c>
      <c r="D599" s="6" t="inlineStr">
        <is>
          <t>FireSupport</t>
        </is>
      </c>
      <c r="E599" s="6" t="n">
        <v>60000</v>
      </c>
      <c r="F599" s="6" t="n">
        <v>95</v>
      </c>
      <c r="G599" t="inlineStr">
        <is>
          <t>Medium</t>
        </is>
      </c>
      <c r="H599" s="6" t="n">
        <v>0.75</v>
      </c>
      <c r="I599" s="6" t="n">
        <v>1</v>
      </c>
      <c r="J599" s="6" t="n">
        <v>1.5</v>
      </c>
      <c r="K599" s="6" t="n">
        <v>0.5</v>
      </c>
      <c r="P599">
        <f>MAX(P600,P601)</f>
        <v/>
      </c>
      <c r="S599">
        <f>S600+S601</f>
        <v/>
      </c>
      <c r="T599">
        <f>(E599/100000+F599/100+(P599/1000)*J599/5+S599/200)*200*I599*H599</f>
        <v/>
      </c>
      <c r="U599">
        <f>((E599*F599/25000)+((P599/1000)*J599*S599/2.5))*I599*H599</f>
        <v/>
      </c>
      <c r="V599">
        <f>(E599*F599*(P599/1000)*J599*S599*I599*H599)/12500000</f>
        <v/>
      </c>
      <c r="W599">
        <f>(T599+U599+V599)/3</f>
        <v/>
      </c>
      <c r="X599" s="6" t="n">
        <v>2200</v>
      </c>
      <c r="Y599">
        <f>IFERROR(W599-X599,"")</f>
        <v/>
      </c>
      <c r="Z599">
        <f>IFERROR(ABS(Y599)/MAX(X599,1),"")</f>
        <v/>
      </c>
      <c r="AA599">
        <f>IFERROR((X599-(((E599/100000+F599/100+S599/200)*200*I599*H599)+((E599*F599/25000)*I599*H599))/3)/(((J599/5)*200*I599*H599)+((J599*S599/2.5)*I599*H599)+((E599*F599*J599*S599*I599*H599)/12500000))/3*1000,"")</f>
        <v/>
      </c>
    </row>
    <row r="600">
      <c r="B600" s="7" t="inlineStr">
        <is>
          <t xml:space="preserve">  ↳ D2K_ShockGun2</t>
        </is>
      </c>
      <c r="C600" s="7" t="inlineStr">
        <is>
          <t>Armament@damage</t>
        </is>
      </c>
      <c r="L600" s="6" t="n">
        <v>20000</v>
      </c>
      <c r="M600" s="6" t="n">
        <v>100</v>
      </c>
      <c r="N600" s="6" t="n">
        <v>1</v>
      </c>
      <c r="O600" s="6" t="n"/>
      <c r="P600" s="6" t="n">
        <v>7343</v>
      </c>
      <c r="Q600" s="6" t="n">
        <v>1.125</v>
      </c>
      <c r="R600">
        <f>M600+IF(N600&gt;1,N(O600)*(N600-1),0)</f>
        <v/>
      </c>
      <c r="S600">
        <f>IFERROR(L600*MAX(N600,1)/R600*Q600*IF(ISBLANK(K599),1,K599),0)</f>
        <v/>
      </c>
      <c r="AB600" s="7" t="inlineStr">
        <is>
          <t>^TeslaWeapon, ^RailgunWeapon</t>
        </is>
      </c>
    </row>
    <row r="601">
      <c r="B601" s="7" t="inlineStr">
        <is>
          <t xml:space="preserve">  ↳ D2K_StormGun</t>
        </is>
      </c>
      <c r="C601" s="7" t="inlineStr">
        <is>
          <t>Armament@StormEffect</t>
        </is>
      </c>
      <c r="L601" s="6" t="n">
        <v>40000</v>
      </c>
      <c r="M601" s="6" t="n">
        <v>100</v>
      </c>
      <c r="N601" s="6" t="n">
        <v>1</v>
      </c>
      <c r="O601" s="6" t="n"/>
      <c r="P601" s="6" t="n">
        <v>7343</v>
      </c>
      <c r="Q601" s="6" t="n">
        <v>1</v>
      </c>
      <c r="R601">
        <f>M601+IF(N601&gt;1,N(O601)*(N601-1),0)</f>
        <v/>
      </c>
      <c r="S601">
        <f>IFERROR(L601*MAX(N601,1)/R601*Q601*IF(ISBLANK(K599),1,K599),0)</f>
        <v/>
      </c>
      <c r="AB601" s="7" t="inlineStr">
        <is>
          <t>^TeslaWeapon, ^MagicWeapon</t>
        </is>
      </c>
    </row>
    <row r="602">
      <c r="A602" t="inlineStr">
        <is>
          <t>starcraft</t>
        </is>
      </c>
      <c r="B602" t="inlineStr">
        <is>
          <t>protoss_reaver</t>
        </is>
      </c>
      <c r="C602" t="inlineStr">
        <is>
          <t>Reaver</t>
        </is>
      </c>
      <c r="D602" s="6" t="inlineStr">
        <is>
          <t>FireSupport</t>
        </is>
      </c>
      <c r="E602" s="6" t="n">
        <v>275000</v>
      </c>
      <c r="F602" s="6" t="n">
        <v>40</v>
      </c>
      <c r="G602" t="inlineStr">
        <is>
          <t>Heavy</t>
        </is>
      </c>
      <c r="H602" s="6" t="n">
        <v>1</v>
      </c>
      <c r="I602" s="6" t="n">
        <v>1</v>
      </c>
      <c r="J602" s="6" t="n">
        <v>1</v>
      </c>
      <c r="K602" s="6" t="n"/>
      <c r="P602">
        <f>MAX(P603,P604)</f>
        <v/>
      </c>
      <c r="S602">
        <f>S603+S604</f>
        <v/>
      </c>
      <c r="T602">
        <f>(E602/100000+F602/100+(P602/1000)*J602/5+S602/200)*200*I602*H602</f>
        <v/>
      </c>
      <c r="U602">
        <f>((E602*F602/25000)+((P602/1000)*J602*S602/2.5))*I602*H602</f>
        <v/>
      </c>
      <c r="V602">
        <f>(E602*F602*(P602/1000)*J602*S602*I602*H602)/12500000</f>
        <v/>
      </c>
      <c r="W602">
        <f>(T602+U602+V602)/3</f>
        <v/>
      </c>
      <c r="X602" s="6" t="n">
        <v>2700</v>
      </c>
      <c r="Y602">
        <f>IFERROR(W602-X602,"")</f>
        <v/>
      </c>
      <c r="Z602">
        <f>IFERROR(ABS(Y602)/MAX(X602,1),"")</f>
        <v/>
      </c>
      <c r="AA602">
        <f>IFERROR((X602-(((E602/100000+F602/100+S602/200)*200*I602*H602)+((E602*F602/25000)*I602*H602))/3)/(((J602/5)*200*I602*H602)+((J602*S602/2.5)*I602*H602)+((E602*F602*J602*S602*I602*H602)/12500000))/3*1000,"")</f>
        <v/>
      </c>
    </row>
    <row r="603">
      <c r="B603" s="7" t="inlineStr">
        <is>
          <t xml:space="preserve">  ↳ ScarabLaunch</t>
        </is>
      </c>
      <c r="C603" s="7" t="inlineStr">
        <is>
          <t>Armament@primary</t>
        </is>
      </c>
      <c r="L603" s="6" t="n">
        <v>50000</v>
      </c>
      <c r="M603" s="6" t="n">
        <v>90</v>
      </c>
      <c r="N603" s="6" t="n">
        <v>1</v>
      </c>
      <c r="O603" s="6" t="n"/>
      <c r="P603" s="6" t="n">
        <v>7777</v>
      </c>
      <c r="Q603" s="6" t="n">
        <v>1.125</v>
      </c>
      <c r="R603">
        <f>M603+IF(N603&gt;1,N(O603)*(N603-1),0)</f>
        <v/>
      </c>
      <c r="S603">
        <f>IFERROR(L603*MAX(N603,1)/R603*Q603*IF(ISBLANK(K602),1,K602),0)</f>
        <v/>
      </c>
      <c r="AB603" s="7" t="inlineStr">
        <is>
          <t>^HeavyBomb, ^ShrapnelWeapon, ^HeavyCannon, ^MediumMissile</t>
        </is>
      </c>
    </row>
    <row r="604">
      <c r="B604" s="7" t="inlineStr">
        <is>
          <t xml:space="preserve">  ↳ ScarabLaunchDummy</t>
        </is>
      </c>
      <c r="C604" s="7" t="inlineStr">
        <is>
          <t>Armament@secondary</t>
        </is>
      </c>
      <c r="L604" s="6" t="n">
        <v>0</v>
      </c>
      <c r="M604" s="6" t="n">
        <v>90</v>
      </c>
      <c r="N604" s="6" t="n">
        <v>1</v>
      </c>
      <c r="O604" s="6" t="n"/>
      <c r="P604" s="6" t="n">
        <v>7777</v>
      </c>
      <c r="Q604" s="6" t="n">
        <v>1</v>
      </c>
      <c r="R604">
        <f>M604+IF(N604&gt;1,N(O604)*(N604-1),0)</f>
        <v/>
      </c>
      <c r="S604">
        <f>IFERROR(L604*MAX(N604,1)/R604*Q604*IF(ISBLANK(K602),1,K602),0)</f>
        <v/>
      </c>
      <c r="AB604" s="7" t="inlineStr"/>
    </row>
    <row r="605">
      <c r="A605" t="inlineStr">
        <is>
          <t>starcraft</t>
        </is>
      </c>
      <c r="B605" t="inlineStr">
        <is>
          <t>zerg_lurker</t>
        </is>
      </c>
      <c r="C605" t="inlineStr">
        <is>
          <t>Lurker</t>
        </is>
      </c>
      <c r="D605" s="6" t="inlineStr">
        <is>
          <t>FireSupport</t>
        </is>
      </c>
      <c r="E605" s="6" t="n">
        <v>125000</v>
      </c>
      <c r="F605" s="6" t="n">
        <v>90</v>
      </c>
      <c r="G605" t="inlineStr">
        <is>
          <t>Heavy</t>
        </is>
      </c>
      <c r="H605" s="6" t="n">
        <v>1</v>
      </c>
      <c r="I605" s="6" t="n">
        <v>1</v>
      </c>
      <c r="J605" s="6" t="n">
        <v>1.25</v>
      </c>
      <c r="K605" s="6" t="n"/>
      <c r="P605">
        <f>MAX(P606,P607)</f>
        <v/>
      </c>
      <c r="S605">
        <f>S606+S607</f>
        <v/>
      </c>
      <c r="T605">
        <f>(E605/100000+F605/100+(P605/1000)*J605/5+S605/200)*200*I605*H605</f>
        <v/>
      </c>
      <c r="U605">
        <f>((E605*F605/25000)+((P605/1000)*J605*S605/2.5))*I605*H605</f>
        <v/>
      </c>
      <c r="V605">
        <f>(E605*F605*(P605/1000)*J605*S605*I605*H605)/12500000</f>
        <v/>
      </c>
      <c r="W605">
        <f>(T605+U605+V605)/3</f>
        <v/>
      </c>
      <c r="X605" s="6" t="n">
        <v>1300</v>
      </c>
      <c r="Y605">
        <f>IFERROR(W605-X605,"")</f>
        <v/>
      </c>
      <c r="Z605">
        <f>IFERROR(ABS(Y605)/MAX(X605,1),"")</f>
        <v/>
      </c>
      <c r="AA605">
        <f>IFERROR((X605-(((E605/100000+F605/100+S605/200)*200*I605*H605)+((E605*F605/25000)*I605*H605))/3)/(((J605/5)*200*I605*H605)+((J605*S605/2.5)*I605*H605)+((E605*F605*J605*S605*I605*H605)/12500000))/3*1000,"")</f>
        <v/>
      </c>
    </row>
    <row r="606">
      <c r="B606" s="7" t="inlineStr">
        <is>
          <t xml:space="preserve">  ↳ LurkerTargeting</t>
        </is>
      </c>
      <c r="C606" s="7" t="inlineStr">
        <is>
          <t>Armament@Dummy</t>
        </is>
      </c>
      <c r="L606" s="6" t="n"/>
      <c r="M606" s="6" t="n">
        <v>33</v>
      </c>
      <c r="N606" s="6" t="n">
        <v>1</v>
      </c>
      <c r="O606" s="6" t="n"/>
      <c r="P606" s="6" t="n">
        <v>6666</v>
      </c>
      <c r="Q606" s="6" t="n">
        <v>1</v>
      </c>
      <c r="R606">
        <f>M606+IF(N606&gt;1,N(O606)*(N606-1),0)</f>
        <v/>
      </c>
      <c r="S606">
        <f>IFERROR(L606*MAX(N606,1)/R606*Q606*IF(ISBLANK(K605),1,K605),0)</f>
        <v/>
      </c>
      <c r="AB606" s="7" t="inlineStr"/>
    </row>
    <row r="607">
      <c r="B607" s="7" t="inlineStr">
        <is>
          <t xml:space="preserve">  ↳ LurkerSpines</t>
        </is>
      </c>
      <c r="C607" s="7" t="inlineStr">
        <is>
          <t>Armament@Deployed</t>
        </is>
      </c>
      <c r="L607" s="6" t="n"/>
      <c r="M607" s="6" t="n">
        <v>66</v>
      </c>
      <c r="N607" s="6" t="n">
        <v>1</v>
      </c>
      <c r="O607" s="6" t="n"/>
      <c r="P607" s="6" t="n">
        <v>6666</v>
      </c>
      <c r="Q607" s="6" t="n">
        <v>1</v>
      </c>
      <c r="R607">
        <f>M607+IF(N607&gt;1,N(O607)*(N607-1),0)</f>
        <v/>
      </c>
      <c r="S607">
        <f>IFERROR(L607*MAX(N607,1)/R607*Q607*IF(ISBLANK(K605),1,K605),0)</f>
        <v/>
      </c>
      <c r="AB607" s="7" t="inlineStr"/>
    </row>
    <row r="608">
      <c r="A608" t="inlineStr">
        <is>
          <t>starcraft</t>
        </is>
      </c>
      <c r="B608" t="inlineStr">
        <is>
          <t>zerg_sporemaw</t>
        </is>
      </c>
      <c r="C608" t="inlineStr">
        <is>
          <t>Sporemaw</t>
        </is>
      </c>
      <c r="D608" s="6" t="inlineStr">
        <is>
          <t>FireSupport</t>
        </is>
      </c>
      <c r="E608" s="6" t="n">
        <v>25000</v>
      </c>
      <c r="F608" s="6" t="n">
        <v>80</v>
      </c>
      <c r="G608" t="inlineStr">
        <is>
          <t>Light</t>
        </is>
      </c>
      <c r="H608" s="6" t="n">
        <v>1</v>
      </c>
      <c r="I608" s="6" t="n">
        <v>1</v>
      </c>
      <c r="J608" s="6" t="n">
        <v>1</v>
      </c>
      <c r="K608" s="6" t="n"/>
      <c r="P608">
        <f>MAX(P609)</f>
        <v/>
      </c>
      <c r="S608">
        <f>S609</f>
        <v/>
      </c>
      <c r="T608">
        <f>(E608/100000+F608/100+(P608/1000)*J608/5+S608/200)*200*I608*H608</f>
        <v/>
      </c>
      <c r="U608">
        <f>((E608*F608/25000)+((P608/1000)*J608*S608/2.5))*I608*H608</f>
        <v/>
      </c>
      <c r="V608">
        <f>(E608*F608*(P608/1000)*J608*S608*I608*H608)/12500000</f>
        <v/>
      </c>
      <c r="W608">
        <f>(T608+U608+V608)/3</f>
        <v/>
      </c>
      <c r="X608" s="6" t="n">
        <v>1000</v>
      </c>
      <c r="Y608">
        <f>IFERROR(W608-X608,"")</f>
        <v/>
      </c>
      <c r="Z608">
        <f>IFERROR(ABS(Y608)/MAX(X608,1),"")</f>
        <v/>
      </c>
      <c r="AA608">
        <f>IFERROR((X608-(((E608/100000+F608/100+S608/200)*200*I608*H608)+((E608*F608/25000)*I608*H608))/3)/(((J608/5)*200*I608*H608)+((J608*S608/2.5)*I608*H608)+((E608*F608*J608*S608*I608*H608)/12500000))/3*1000,"")</f>
        <v/>
      </c>
    </row>
    <row r="609">
      <c r="B609" s="7" t="inlineStr">
        <is>
          <t xml:space="preserve">  ↳ SporemawShoot</t>
        </is>
      </c>
      <c r="C609" s="7" t="inlineStr">
        <is>
          <t>Armament@PRIMARY</t>
        </is>
      </c>
      <c r="L609" s="6" t="n">
        <v>2000</v>
      </c>
      <c r="M609" s="6" t="n">
        <v>40</v>
      </c>
      <c r="N609" s="6" t="n">
        <v>1</v>
      </c>
      <c r="O609" s="6" t="n"/>
      <c r="P609" s="6" t="n">
        <v>7740</v>
      </c>
      <c r="Q609" s="6" t="n">
        <v>1.0625</v>
      </c>
      <c r="R609">
        <f>M609+IF(N609&gt;1,N(O609)*(N609-1),0)</f>
        <v/>
      </c>
      <c r="S609">
        <f>IFERROR(L609*MAX(N609,1)/R609*Q609*IF(ISBLANK(K608),1,K608),0)</f>
        <v/>
      </c>
      <c r="AB609" s="7" t="inlineStr">
        <is>
          <t>^TankDestroyerCannon, ^MediumCannon, ^HeavyCannon, ^Grenade, ^ShrapnelWeapon, ^HeavyBomb, ^MediumMissile, ^Chaingun, ^FlakWeapon</t>
        </is>
      </c>
    </row>
    <row r="610">
      <c r="B610" s="7" t="inlineStr">
        <is>
          <t xml:space="preserve">  ↳ SporemawShoot</t>
        </is>
      </c>
      <c r="C610" s="7" t="inlineStr">
        <is>
          <t>Armament@GARRISONED</t>
        </is>
      </c>
      <c r="L610" s="6" t="n">
        <v>2000</v>
      </c>
      <c r="M610" s="6" t="n">
        <v>40</v>
      </c>
      <c r="N610" s="6" t="n">
        <v>1</v>
      </c>
      <c r="O610" s="6" t="n"/>
      <c r="P610" s="6" t="n">
        <v>7740</v>
      </c>
      <c r="Q610" s="6" t="n">
        <v>1.0625</v>
      </c>
      <c r="R610">
        <f>M610+IF(N610&gt;1,N(O610)*(N610-1),0)</f>
        <v/>
      </c>
      <c r="S610">
        <f>IFERROR(L610*MAX(N610,1)/R610*Q610*IF(ISBLANK(K608),1,K608),0)</f>
        <v/>
      </c>
      <c r="AB610" s="7" t="inlineStr">
        <is>
          <t>^TankDestroyerCannon, ^MediumCannon, ^HeavyCannon, ^Grenade, ^ShrapnelWeapon, ^HeavyBomb, ^MediumMissile, ^Chaingun, ^FlakWeapon</t>
        </is>
      </c>
    </row>
    <row r="611">
      <c r="A611" t="inlineStr">
        <is>
          <t>starcraft</t>
        </is>
      </c>
      <c r="B611" t="inlineStr">
        <is>
          <t>terran_cyclone</t>
        </is>
      </c>
      <c r="C611" t="inlineStr">
        <is>
          <t>Cyclone</t>
        </is>
      </c>
      <c r="D611" s="6" t="inlineStr">
        <is>
          <t>FireSupport</t>
        </is>
      </c>
      <c r="E611" s="6" t="n">
        <v>90000</v>
      </c>
      <c r="F611" s="6" t="n">
        <v>115</v>
      </c>
      <c r="G611" t="inlineStr">
        <is>
          <t>Light</t>
        </is>
      </c>
      <c r="H611" s="6" t="n">
        <v>1</v>
      </c>
      <c r="I611" s="6" t="n">
        <v>1</v>
      </c>
      <c r="J611" s="6" t="n">
        <v>1.25</v>
      </c>
      <c r="K611" s="6" t="n"/>
      <c r="P611">
        <f>MAX(P612,P613)</f>
        <v/>
      </c>
      <c r="S611">
        <f>S612+S613</f>
        <v/>
      </c>
      <c r="T611">
        <f>(E611/100000+F611/100+(P611/1000)*J611/5+S611/200)*200*I611*H611</f>
        <v/>
      </c>
      <c r="U611">
        <f>((E611*F611/25000)+((P611/1000)*J611*S611/2.5))*I611*H611</f>
        <v/>
      </c>
      <c r="V611">
        <f>(E611*F611*(P611/1000)*J611*S611*I611*H611)/12500000</f>
        <v/>
      </c>
      <c r="W611">
        <f>(T611+U611+V611)/3</f>
        <v/>
      </c>
      <c r="X611" s="6" t="n">
        <v>2300</v>
      </c>
      <c r="Y611">
        <f>IFERROR(W611-X611,"")</f>
        <v/>
      </c>
      <c r="Z611">
        <f>IFERROR(ABS(Y611)/MAX(X611,1),"")</f>
        <v/>
      </c>
      <c r="AA611">
        <f>IFERROR((X611-(((E611/100000+F611/100+S611/200)*200*I611*H611)+((E611*F611/25000)*I611*H611))/3)/(((J611/5)*200*I611*H611)+((J611*S611/2.5)*I611*H611)+((E611*F611*J611*S611*I611*H611)/12500000))/3*1000,"")</f>
        <v/>
      </c>
    </row>
    <row r="612">
      <c r="B612" s="7" t="inlineStr">
        <is>
          <t xml:space="preserve">  ↳ CycloneRockets</t>
        </is>
      </c>
      <c r="C612" s="7" t="inlineStr">
        <is>
          <t>Armament</t>
        </is>
      </c>
      <c r="L612" s="6" t="n">
        <v>2000</v>
      </c>
      <c r="M612" s="6" t="n">
        <v>35</v>
      </c>
      <c r="N612" s="6" t="n">
        <v>6</v>
      </c>
      <c r="O612" s="6" t="n">
        <v>2</v>
      </c>
      <c r="P612" s="6" t="n">
        <v>7320</v>
      </c>
      <c r="Q612" s="6" t="n">
        <v>0.875</v>
      </c>
      <c r="R612">
        <f>M612+IF(N612&gt;1,N(O612)*(N612-1),0)</f>
        <v/>
      </c>
      <c r="S612">
        <f>IFERROR(L612*MAX(N612,1)/R612*Q612*IF(ISBLANK(K611),1,K611),0)</f>
        <v/>
      </c>
      <c r="AB612" s="7" t="inlineStr">
        <is>
          <t>^MediumMissile, ^LightMissile</t>
        </is>
      </c>
    </row>
    <row r="613">
      <c r="B613" s="7" t="inlineStr">
        <is>
          <t xml:space="preserve">  ↳ CycloneRocketsLockOn</t>
        </is>
      </c>
      <c r="C613" s="7" t="inlineStr">
        <is>
          <t>Armament@lockedon</t>
        </is>
      </c>
      <c r="L613" s="6" t="n">
        <v>2000</v>
      </c>
      <c r="M613" s="6" t="n">
        <v>35</v>
      </c>
      <c r="N613" s="6" t="n">
        <v>6</v>
      </c>
      <c r="O613" s="6" t="n">
        <v>2</v>
      </c>
      <c r="P613" s="6" t="n">
        <v>10000</v>
      </c>
      <c r="Q613" s="6" t="n">
        <v>0.875</v>
      </c>
      <c r="R613">
        <f>M613+IF(N613&gt;1,N(O613)*(N613-1),0)</f>
        <v/>
      </c>
      <c r="S613">
        <f>IFERROR(L613*MAX(N613,1)/R613*Q613*IF(ISBLANK(K611),1,K611),0)</f>
        <v/>
      </c>
      <c r="AB613" s="7" t="inlineStr">
        <is>
          <t>^MediumMissile, ^LightMissile</t>
        </is>
      </c>
    </row>
    <row r="614">
      <c r="A614" s="4" t="inlineStr">
        <is>
          <t>SupportVehicle</t>
        </is>
      </c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</row>
    <row r="615">
      <c r="A615" t="inlineStr">
        <is>
          <t>tiberiandawn</t>
        </is>
      </c>
      <c r="B615" t="inlineStr">
        <is>
          <t>td_gdi_apc</t>
        </is>
      </c>
      <c r="C615" t="inlineStr">
        <is>
          <t>GDI APC</t>
        </is>
      </c>
      <c r="D615" s="6" t="inlineStr">
        <is>
          <t>SupportVehicle</t>
        </is>
      </c>
      <c r="E615" s="6" t="n">
        <v>47500</v>
      </c>
      <c r="F615" s="6" t="n">
        <v>100</v>
      </c>
      <c r="G615" t="inlineStr">
        <is>
          <t>Medium</t>
        </is>
      </c>
      <c r="H615" s="6" t="n">
        <v>1</v>
      </c>
      <c r="I615" s="6" t="n">
        <v>1</v>
      </c>
      <c r="J615" s="6" t="n">
        <v>1</v>
      </c>
      <c r="K615" s="6" t="n"/>
      <c r="P615">
        <f>MAX(P616,P617)</f>
        <v/>
      </c>
      <c r="S615">
        <f>S616+S617</f>
        <v/>
      </c>
      <c r="T615">
        <f>(E615/100000+F615/100+(P615/1000)*J615/5+S615/200)*200*I615*H615</f>
        <v/>
      </c>
      <c r="U615">
        <f>((E615*F615/25000)+((P615/1000)*J615*S615/2.5))*I615*H615</f>
        <v/>
      </c>
      <c r="V615">
        <f>(E615*F615*(P615/1000)*J615*S615*I615*H615)/12500000</f>
        <v/>
      </c>
      <c r="W615">
        <f>(T615+U615+V615)/3</f>
        <v/>
      </c>
      <c r="X615" s="6" t="n">
        <v>1200</v>
      </c>
      <c r="Y615">
        <f>IFERROR(W615-X615,"")</f>
        <v/>
      </c>
      <c r="Z615">
        <f>IFERROR(ABS(Y615)/MAX(X615,1),"")</f>
        <v/>
      </c>
      <c r="AA615">
        <f>IFERROR((X615-(((E615/100000+F615/100+S615/200)*200*I615*H615)+((E615*F615/25000)*I615*H615))/3)/(((J615/5)*200*I615*H615)+((J615*S615/2.5)*I615*H615)+((E615*F615*J615*S615*I615*H615)/12500000))/3*1000,"")</f>
        <v/>
      </c>
    </row>
    <row r="616">
      <c r="B616" s="7" t="inlineStr">
        <is>
          <t xml:space="preserve">  ↳ APCGun</t>
        </is>
      </c>
      <c r="C616" s="7" t="inlineStr">
        <is>
          <t>Armament@PRIMARY</t>
        </is>
      </c>
      <c r="L616" s="6" t="n">
        <v>2000</v>
      </c>
      <c r="M616" s="6" t="n">
        <v>10</v>
      </c>
      <c r="N616" s="6" t="n">
        <v>1</v>
      </c>
      <c r="O616" s="6" t="n"/>
      <c r="P616" s="6" t="n">
        <v>5668</v>
      </c>
      <c r="Q616" s="6" t="n">
        <v>1</v>
      </c>
      <c r="R616">
        <f>M616+IF(N616&gt;1,N(O616)*(N616-1),0)</f>
        <v/>
      </c>
      <c r="S616">
        <f>IFERROR(L616*MAX(N616,1)/R616*Q616*IF(ISBLANK(K615),1,K615),0)</f>
        <v/>
      </c>
      <c r="AB616" s="7" t="inlineStr">
        <is>
          <t>^Chaingun, ^FlakWeapon</t>
        </is>
      </c>
    </row>
    <row r="617">
      <c r="B617" s="7" t="inlineStr">
        <is>
          <t xml:space="preserve">  ↳ APCGunAA</t>
        </is>
      </c>
      <c r="C617" s="7" t="inlineStr">
        <is>
          <t>Armament@SECONDARY</t>
        </is>
      </c>
      <c r="L617" s="6" t="n">
        <v>2000</v>
      </c>
      <c r="M617" s="6" t="n">
        <v>10</v>
      </c>
      <c r="N617" s="6" t="n">
        <v>1</v>
      </c>
      <c r="O617" s="6" t="n"/>
      <c r="P617" s="6" t="n">
        <v>8502</v>
      </c>
      <c r="Q617" s="6" t="n">
        <v>1</v>
      </c>
      <c r="R617">
        <f>M617+IF(N617&gt;1,N(O617)*(N617-1),0)</f>
        <v/>
      </c>
      <c r="S617">
        <f>IFERROR(L617*MAX(N617,1)/R617*Q617*IF(ISBLANK(K615),1,K615),0)</f>
        <v/>
      </c>
      <c r="AB617" s="7" t="inlineStr">
        <is>
          <t>^Chaingun, ^FlakWeapon</t>
        </is>
      </c>
    </row>
    <row r="618">
      <c r="A618" t="inlineStr">
        <is>
          <t>tiberiandawn</t>
        </is>
      </c>
      <c r="B618" t="inlineStr">
        <is>
          <t>td_gdi_boxer</t>
        </is>
      </c>
      <c r="C618" t="inlineStr">
        <is>
          <t>Boxer</t>
        </is>
      </c>
      <c r="D618" s="6" t="inlineStr">
        <is>
          <t>SupportVehicle</t>
        </is>
      </c>
      <c r="E618" s="6" t="n">
        <v>110000</v>
      </c>
      <c r="F618" s="6" t="n">
        <v>80</v>
      </c>
      <c r="G618" t="inlineStr">
        <is>
          <t>Medium</t>
        </is>
      </c>
      <c r="H618" s="6" t="n">
        <v>1</v>
      </c>
      <c r="I618" s="6" t="n">
        <v>1</v>
      </c>
      <c r="J618" s="6" t="n">
        <v>1.25</v>
      </c>
      <c r="K618" s="6" t="n">
        <v>0.5</v>
      </c>
      <c r="P618">
        <f>MAX(P619,P620)</f>
        <v/>
      </c>
      <c r="S618">
        <f>S619+S620</f>
        <v/>
      </c>
      <c r="T618">
        <f>(E618/100000+F618/100+(P618/1000)*J618/5+S618/200)*200*I618*H618</f>
        <v/>
      </c>
      <c r="U618">
        <f>((E618*F618/25000)+((P618/1000)*J618*S618/2.5))*I618*H618</f>
        <v/>
      </c>
      <c r="V618">
        <f>(E618*F618*(P618/1000)*J618*S618*I618*H618)/12500000</f>
        <v/>
      </c>
      <c r="W618">
        <f>(T618+U618+V618)/3</f>
        <v/>
      </c>
      <c r="X618" s="6" t="n">
        <v>1550</v>
      </c>
      <c r="Y618">
        <f>IFERROR(W618-X618,"")</f>
        <v/>
      </c>
      <c r="Z618">
        <f>IFERROR(ABS(Y618)/MAX(X618,1),"")</f>
        <v/>
      </c>
      <c r="AA618">
        <f>IFERROR((X618-(((E618/100000+F618/100+S618/200)*200*I618*H618)+((E618*F618/25000)*I618*H618))/3)/(((J618/5)*200*I618*H618)+((J618*S618/2.5)*I618*H618)+((E618*F618*J618*S618*I618*H618)/12500000))/3*1000,"")</f>
        <v/>
      </c>
    </row>
    <row r="619">
      <c r="B619" s="7" t="inlineStr">
        <is>
          <t xml:space="preserve">  ↳ BoxerCannonAG</t>
        </is>
      </c>
      <c r="C619" s="7" t="inlineStr">
        <is>
          <t>Armament@AG</t>
        </is>
      </c>
      <c r="L619" s="6" t="n">
        <v>2000</v>
      </c>
      <c r="M619" s="6" t="n">
        <v>11</v>
      </c>
      <c r="N619" s="6" t="n">
        <v>1</v>
      </c>
      <c r="O619" s="6" t="n"/>
      <c r="P619" s="6" t="n">
        <v>4860</v>
      </c>
      <c r="Q619" s="6" t="n">
        <v>0.9166666666666666</v>
      </c>
      <c r="R619">
        <f>M619+IF(N619&gt;1,N(O619)*(N619-1),0)</f>
        <v/>
      </c>
      <c r="S619">
        <f>IFERROR(L619*MAX(N619,1)/R619*Q619*IF(ISBLANK(K618),1,K618),0)</f>
        <v/>
      </c>
      <c r="AB619" s="7" t="inlineStr">
        <is>
          <t>^SmallArms, ^LightMissile, ^Grenade, ^MediumCannon, ^Chaingun, ^FlakWeapon</t>
        </is>
      </c>
    </row>
    <row r="620">
      <c r="B620" s="7" t="inlineStr">
        <is>
          <t xml:space="preserve">  ↳ BoxerCannonAA</t>
        </is>
      </c>
      <c r="C620" s="7" t="inlineStr">
        <is>
          <t>Armament@AA</t>
        </is>
      </c>
      <c r="L620" s="6" t="n">
        <v>2000</v>
      </c>
      <c r="M620" s="6" t="n">
        <v>11</v>
      </c>
      <c r="N620" s="6" t="n">
        <v>1</v>
      </c>
      <c r="O620" s="6" t="n"/>
      <c r="P620" s="6" t="n">
        <v>7290</v>
      </c>
      <c r="Q620" s="6" t="n">
        <v>0.9166666666666666</v>
      </c>
      <c r="R620">
        <f>M620+IF(N620&gt;1,N(O620)*(N620-1),0)</f>
        <v/>
      </c>
      <c r="S620">
        <f>IFERROR(L620*MAX(N620,1)/R620*Q620*IF(ISBLANK(K618),1,K618),0)</f>
        <v/>
      </c>
      <c r="AB620" s="7" t="inlineStr">
        <is>
          <t>^SmallArms, ^LightMissile, ^Grenade, ^MediumCannon, ^Chaingun, ^FlakWeapon</t>
        </is>
      </c>
    </row>
    <row r="621">
      <c r="A621" t="inlineStr">
        <is>
          <t>tiberiandawn</t>
        </is>
      </c>
      <c r="B621" t="inlineStr">
        <is>
          <t>td_gdi_mobileconstructionvehicle</t>
        </is>
      </c>
      <c r="C621" t="inlineStr">
        <is>
          <t>GDI Mobile Construction Vehicle</t>
        </is>
      </c>
      <c r="D621" s="6" t="inlineStr">
        <is>
          <t>SupportVehicle</t>
        </is>
      </c>
      <c r="E621" s="6" t="n">
        <v>300000</v>
      </c>
      <c r="F621" s="6" t="n">
        <v>75</v>
      </c>
      <c r="G621" t="inlineStr">
        <is>
          <t>Medium</t>
        </is>
      </c>
      <c r="H621" s="6" t="n">
        <v>1</v>
      </c>
      <c r="I621" s="6" t="n">
        <v>1</v>
      </c>
      <c r="J621" s="6" t="n">
        <v>1</v>
      </c>
      <c r="K621" s="6" t="n"/>
      <c r="X621" s="6" t="n">
        <v>5000</v>
      </c>
    </row>
    <row r="622">
      <c r="A622" t="inlineStr">
        <is>
          <t>tiberiandawn</t>
        </is>
      </c>
      <c r="B622" t="inlineStr">
        <is>
          <t>td_nod_mobileconstructionvehicle</t>
        </is>
      </c>
      <c r="C622" t="inlineStr">
        <is>
          <t>Nod Mobile Construction Vehicle</t>
        </is>
      </c>
      <c r="D622" s="6" t="inlineStr">
        <is>
          <t>SupportVehicle</t>
        </is>
      </c>
      <c r="E622" s="6" t="n">
        <v>300000</v>
      </c>
      <c r="F622" s="6" t="n">
        <v>75</v>
      </c>
      <c r="G622" t="inlineStr">
        <is>
          <t>Medium</t>
        </is>
      </c>
      <c r="H622" s="6" t="n">
        <v>1</v>
      </c>
      <c r="I622" s="6" t="n">
        <v>1</v>
      </c>
      <c r="J622" s="6" t="n">
        <v>1</v>
      </c>
      <c r="K622" s="6" t="n"/>
      <c r="X622" s="6" t="n">
        <v>5000</v>
      </c>
    </row>
    <row r="623">
      <c r="A623" t="inlineStr">
        <is>
          <t>shared</t>
        </is>
      </c>
      <c r="B623" t="inlineStr">
        <is>
          <t>ra1_allies_alliedapc</t>
        </is>
      </c>
      <c r="C623" t="inlineStr">
        <is>
          <t>Allied APC</t>
        </is>
      </c>
      <c r="D623" s="6" t="inlineStr">
        <is>
          <t>SupportVehicle</t>
        </is>
      </c>
      <c r="E623" s="6" t="n">
        <v>50000</v>
      </c>
      <c r="F623" s="6" t="n">
        <v>105</v>
      </c>
      <c r="G623" t="inlineStr">
        <is>
          <t>Medium</t>
        </is>
      </c>
      <c r="H623" s="6" t="n">
        <v>1</v>
      </c>
      <c r="I623" s="6" t="n">
        <v>1</v>
      </c>
      <c r="J623" s="6" t="n">
        <v>1</v>
      </c>
      <c r="K623" s="6" t="n"/>
      <c r="P623">
        <f>MAX(P624,P625)</f>
        <v/>
      </c>
      <c r="S623">
        <f>S624+S625</f>
        <v/>
      </c>
      <c r="T623">
        <f>(E623/100000+F623/100+(P623/1000)*J623/5+S623/200)*200*I623*H623</f>
        <v/>
      </c>
      <c r="U623">
        <f>((E623*F623/25000)+((P623/1000)*J623*S623/2.5))*I623*H623</f>
        <v/>
      </c>
      <c r="V623">
        <f>(E623*F623*(P623/1000)*J623*S623*I623*H623)/12500000</f>
        <v/>
      </c>
      <c r="W623">
        <f>(T623+U623+V623)/3</f>
        <v/>
      </c>
      <c r="X623" s="6" t="n">
        <v>1300</v>
      </c>
      <c r="Y623">
        <f>IFERROR(W623-X623,"")</f>
        <v/>
      </c>
      <c r="Z623">
        <f>IFERROR(ABS(Y623)/MAX(X623,1),"")</f>
        <v/>
      </c>
      <c r="AA623">
        <f>IFERROR((X623-(((E623/100000+F623/100+S623/200)*200*I623*H623)+((E623*F623/25000)*I623*H623))/3)/(((J623/5)*200*I623*H623)+((J623*S623/2.5)*I623*H623)+((E623*F623*J623*S623*I623*H623)/12500000))/3*1000,"")</f>
        <v/>
      </c>
    </row>
    <row r="624">
      <c r="B624" s="7" t="inlineStr">
        <is>
          <t xml:space="preserve">  ↳ APCGunAllies</t>
        </is>
      </c>
      <c r="C624" s="7" t="inlineStr">
        <is>
          <t>Armament@PRIMARY</t>
        </is>
      </c>
      <c r="L624" s="6" t="n">
        <v>2000</v>
      </c>
      <c r="M624" s="6" t="n">
        <v>10</v>
      </c>
      <c r="N624" s="6" t="n">
        <v>1</v>
      </c>
      <c r="O624" s="6" t="n"/>
      <c r="P624" s="6" t="n">
        <v>5978</v>
      </c>
      <c r="Q624" s="6" t="n">
        <v>1</v>
      </c>
      <c r="R624">
        <f>M624+IF(N624&gt;1,N(O624)*(N624-1),0)</f>
        <v/>
      </c>
      <c r="S624">
        <f>IFERROR(L624*MAX(N624,1)/R624*Q624*IF(ISBLANK(K623),1,K623),0)</f>
        <v/>
      </c>
      <c r="AB624" s="7" t="inlineStr">
        <is>
          <t>^Chaingun, ^FlakWeapon</t>
        </is>
      </c>
    </row>
    <row r="625">
      <c r="B625" s="7" t="inlineStr">
        <is>
          <t xml:space="preserve">  ↳ APCGunAlliesAA</t>
        </is>
      </c>
      <c r="C625" s="7" t="inlineStr">
        <is>
          <t>Armament@SECONDARY</t>
        </is>
      </c>
      <c r="L625" s="6" t="n">
        <v>2000</v>
      </c>
      <c r="M625" s="6" t="n">
        <v>10</v>
      </c>
      <c r="N625" s="6" t="n">
        <v>1</v>
      </c>
      <c r="O625" s="6" t="n"/>
      <c r="P625" s="6" t="n">
        <v>8967</v>
      </c>
      <c r="Q625" s="6" t="n">
        <v>1</v>
      </c>
      <c r="R625">
        <f>M625+IF(N625&gt;1,N(O625)*(N625-1),0)</f>
        <v/>
      </c>
      <c r="S625">
        <f>IFERROR(L625*MAX(N625,1)/R625*Q625*IF(ISBLANK(K623),1,K623),0)</f>
        <v/>
      </c>
      <c r="AB625" s="7" t="inlineStr">
        <is>
          <t>^Chaingun, ^FlakWeapon</t>
        </is>
      </c>
    </row>
    <row r="626">
      <c r="A626" t="inlineStr">
        <is>
          <t>redalert</t>
        </is>
      </c>
      <c r="B626" t="inlineStr">
        <is>
          <t>japan_hovercrafttransport</t>
        </is>
      </c>
      <c r="C626" t="inlineStr">
        <is>
          <t>Hovercraft Transport</t>
        </is>
      </c>
      <c r="D626" s="6" t="inlineStr">
        <is>
          <t>SupportVehicle</t>
        </is>
      </c>
      <c r="E626" s="6" t="n">
        <v>65000</v>
      </c>
      <c r="F626" s="6" t="n">
        <v>130</v>
      </c>
      <c r="G626" t="inlineStr">
        <is>
          <t>Medium</t>
        </is>
      </c>
      <c r="H626" s="6" t="n">
        <v>1</v>
      </c>
      <c r="I626" s="6" t="n">
        <v>1</v>
      </c>
      <c r="J626" s="6" t="n">
        <v>1</v>
      </c>
      <c r="K626" s="6" t="n">
        <v>0.5</v>
      </c>
      <c r="P626">
        <f>MAX(P627,P628,P629,P630,P631,P632)</f>
        <v/>
      </c>
      <c r="S626">
        <f>S627+S628+S629+S630+S631+S632</f>
        <v/>
      </c>
      <c r="T626">
        <f>(E626/100000+F626/100+(P626/1000)*J626/5+S626/200)*200*I626*H626</f>
        <v/>
      </c>
      <c r="U626">
        <f>((E626*F626/25000)+((P626/1000)*J626*S626/2.5))*I626*H626</f>
        <v/>
      </c>
      <c r="V626">
        <f>(E626*F626*(P626/1000)*J626*S626*I626*H626)/12500000</f>
        <v/>
      </c>
      <c r="W626">
        <f>(T626+U626+V626)/3</f>
        <v/>
      </c>
      <c r="X626" s="6" t="n">
        <v>1500</v>
      </c>
      <c r="Y626">
        <f>IFERROR(W626-X626,"")</f>
        <v/>
      </c>
      <c r="Z626">
        <f>IFERROR(ABS(Y626)/MAX(X626,1),"")</f>
        <v/>
      </c>
      <c r="AA626">
        <f>IFERROR((X626-(((E626/100000+F626/100+S626/200)*200*I626*H626)+((E626*F626/25000)*I626*H626))/3)/(((J626/5)*200*I626*H626)+((J626*S626/2.5)*I626*H626)+((E626*F626*J626*S626*I626*H626)/12500000))/3*1000,"")</f>
        <v/>
      </c>
    </row>
    <row r="627">
      <c r="B627" s="7" t="inlineStr">
        <is>
          <t xml:space="preserve">  ↳ HovercraftCannon</t>
        </is>
      </c>
      <c r="C627" s="7" t="inlineStr">
        <is>
          <t>Armament@cannon</t>
        </is>
      </c>
      <c r="L627" s="6" t="n">
        <v>2000</v>
      </c>
      <c r="M627" s="6" t="n">
        <v>25</v>
      </c>
      <c r="N627" s="6" t="n">
        <v>1</v>
      </c>
      <c r="O627" s="6" t="n"/>
      <c r="P627" s="6" t="n">
        <v>4876</v>
      </c>
      <c r="Q627" s="6" t="n">
        <v>0.95</v>
      </c>
      <c r="R627">
        <f>M627+IF(N627&gt;1,N(O627)*(N627-1),0)</f>
        <v/>
      </c>
      <c r="S627">
        <f>IFERROR(L627*MAX(N627,1)/R627*Q627*IF(ISBLANK(K626),1,K626),0)</f>
        <v/>
      </c>
      <c r="AB627" s="7" t="inlineStr">
        <is>
          <t>^SmallArms, ^Chaingun, ^Grenade, ^ShrapnelWeapon, ^TankDestroyerCannon, ^MediumCannon</t>
        </is>
      </c>
    </row>
    <row r="628">
      <c r="B628" s="7" t="inlineStr">
        <is>
          <t xml:space="preserve">  ↳ HovercraftPlasmaCannon</t>
        </is>
      </c>
      <c r="C628" s="7" t="inlineStr">
        <is>
          <t>Armament@Upgrade</t>
        </is>
      </c>
      <c r="L628" s="6" t="n">
        <v>2000</v>
      </c>
      <c r="M628" s="6" t="n">
        <v>25</v>
      </c>
      <c r="N628" s="6" t="n">
        <v>1</v>
      </c>
      <c r="O628" s="6" t="n"/>
      <c r="P628" s="6" t="n">
        <v>4876</v>
      </c>
      <c r="Q628" s="6" t="n">
        <v>1.03125</v>
      </c>
      <c r="R628">
        <f>M628+IF(N628&gt;1,N(O628)*(N628-1),0)</f>
        <v/>
      </c>
      <c r="S628">
        <f>IFERROR(L628*MAX(N628,1)/R628*Q628*IF(ISBLANK(K626),1,K626),0)</f>
        <v/>
      </c>
      <c r="AB628" s="7" t="inlineStr">
        <is>
          <t>^TeslaWeapon, ^HeavyBomb, ^HeavyCannon, ^SmallArms, ^Chaingun, ^Grenade, ^ShrapnelWeapon, ^TankDestroyerCannon, ^MediumCannon</t>
        </is>
      </c>
    </row>
    <row r="629">
      <c r="B629" s="7" t="inlineStr">
        <is>
          <t xml:space="preserve">  ↳ JapaneseHovercraftFlak</t>
        </is>
      </c>
      <c r="C629" s="7" t="inlineStr">
        <is>
          <t>Armament@flak</t>
        </is>
      </c>
      <c r="L629" s="6" t="n">
        <v>2000</v>
      </c>
      <c r="M629" s="6" t="n">
        <v>8</v>
      </c>
      <c r="N629" s="6" t="n">
        <v>1</v>
      </c>
      <c r="O629" s="6" t="n"/>
      <c r="P629" s="6" t="n">
        <v>4876</v>
      </c>
      <c r="Q629" s="6" t="n">
        <v>0.875</v>
      </c>
      <c r="R629">
        <f>M629+IF(N629&gt;1,N(O629)*(N629-1),0)</f>
        <v/>
      </c>
      <c r="S629">
        <f>IFERROR(L629*MAX(N629,1)/R629*Q629*IF(ISBLANK(K626),1,K626),0)</f>
        <v/>
      </c>
      <c r="AB629" s="7" t="inlineStr">
        <is>
          <t>^SmallArms, ^FlakWeapon</t>
        </is>
      </c>
    </row>
    <row r="630">
      <c r="B630" s="7" t="inlineStr">
        <is>
          <t xml:space="preserve">  ↳ JapaneseHovercraftFlakWaveforce</t>
        </is>
      </c>
      <c r="C630" s="7" t="inlineStr">
        <is>
          <t>Armament@Upgradeflak</t>
        </is>
      </c>
      <c r="L630" s="6" t="n">
        <v>2000</v>
      </c>
      <c r="M630" s="6" t="n">
        <v>8</v>
      </c>
      <c r="N630" s="6" t="n">
        <v>1</v>
      </c>
      <c r="O630" s="6" t="n"/>
      <c r="P630" s="6" t="n">
        <v>4876</v>
      </c>
      <c r="Q630" s="6" t="n">
        <v>0.875</v>
      </c>
      <c r="R630">
        <f>M630+IF(N630&gt;1,N(O630)*(N630-1),0)</f>
        <v/>
      </c>
      <c r="S630">
        <f>IFERROR(L630*MAX(N630,1)/R630*Q630*IF(ISBLANK(K626),1,K626),0)</f>
        <v/>
      </c>
      <c r="AB630" s="7" t="inlineStr">
        <is>
          <t>^WaveforceBulletWarhead, ^SmallArms, ^FlakWeapon, ^WaveforceBulletProjectile</t>
        </is>
      </c>
    </row>
    <row r="631">
      <c r="B631" s="7" t="inlineStr">
        <is>
          <t xml:space="preserve">  ↳ JapaneseHovercraftFlakAA</t>
        </is>
      </c>
      <c r="C631" s="7" t="inlineStr">
        <is>
          <t>Armament@AA</t>
        </is>
      </c>
      <c r="L631" s="6" t="n">
        <v>2000</v>
      </c>
      <c r="M631" s="6" t="n">
        <v>8</v>
      </c>
      <c r="N631" s="6" t="n">
        <v>1</v>
      </c>
      <c r="O631" s="6" t="n"/>
      <c r="P631" s="6" t="n">
        <v>7314</v>
      </c>
      <c r="Q631" s="6" t="n">
        <v>0.875</v>
      </c>
      <c r="R631">
        <f>M631+IF(N631&gt;1,N(O631)*(N631-1),0)</f>
        <v/>
      </c>
      <c r="S631">
        <f>IFERROR(L631*MAX(N631,1)/R631*Q631*IF(ISBLANK(K626),1,K626),0)</f>
        <v/>
      </c>
      <c r="AB631" s="7" t="inlineStr">
        <is>
          <t>^SmallArms, ^FlakWeapon</t>
        </is>
      </c>
    </row>
    <row r="632">
      <c r="B632" s="7" t="inlineStr">
        <is>
          <t xml:space="preserve">  ↳ JapaneseHovercraftFlakAAkWaveforce</t>
        </is>
      </c>
      <c r="C632" s="7" t="inlineStr">
        <is>
          <t>Armament@UpgradeAA</t>
        </is>
      </c>
      <c r="L632" s="6" t="n">
        <v>2000</v>
      </c>
      <c r="M632" s="6" t="n">
        <v>8</v>
      </c>
      <c r="N632" s="6" t="n">
        <v>1</v>
      </c>
      <c r="O632" s="6" t="n"/>
      <c r="P632" s="6" t="n">
        <v>7314</v>
      </c>
      <c r="Q632" s="6" t="n">
        <v>0.875</v>
      </c>
      <c r="R632">
        <f>M632+IF(N632&gt;1,N(O632)*(N632-1),0)</f>
        <v/>
      </c>
      <c r="S632">
        <f>IFERROR(L632*MAX(N632,1)/R632*Q632*IF(ISBLANK(K626),1,K626),0)</f>
        <v/>
      </c>
      <c r="AB632" s="7" t="inlineStr">
        <is>
          <t>^WaveforceBulletWarhead, ^SmallArms, ^FlakWeapon, ^WaveforceBulletProjectile</t>
        </is>
      </c>
    </row>
    <row r="633">
      <c r="A633" t="inlineStr">
        <is>
          <t>redalert</t>
        </is>
      </c>
      <c r="B633" t="inlineStr">
        <is>
          <t>japan_japanesemobileconstructionvehicle</t>
        </is>
      </c>
      <c r="C633" t="inlineStr">
        <is>
          <t>Japanese Mobile Construction Vehicle</t>
        </is>
      </c>
      <c r="D633" s="6" t="inlineStr">
        <is>
          <t>SupportVehicle</t>
        </is>
      </c>
      <c r="E633" s="6" t="n">
        <v>300000</v>
      </c>
      <c r="F633" s="6" t="n">
        <v>75</v>
      </c>
      <c r="G633" t="inlineStr">
        <is>
          <t>Medium</t>
        </is>
      </c>
      <c r="H633" s="6" t="n">
        <v>1</v>
      </c>
      <c r="I633" s="6" t="n">
        <v>1</v>
      </c>
      <c r="J633" s="6" t="n">
        <v>1</v>
      </c>
      <c r="K633" s="6" t="n"/>
      <c r="X633" s="6" t="n">
        <v>5000</v>
      </c>
    </row>
    <row r="634">
      <c r="A634" t="inlineStr">
        <is>
          <t>redalert</t>
        </is>
      </c>
      <c r="B634" t="inlineStr">
        <is>
          <t>ra1_soviets_btr80</t>
        </is>
      </c>
      <c r="C634" t="inlineStr">
        <is>
          <t>BTR-80</t>
        </is>
      </c>
      <c r="D634" s="6" t="inlineStr">
        <is>
          <t>SupportVehicle</t>
        </is>
      </c>
      <c r="E634" s="6" t="n">
        <v>90000</v>
      </c>
      <c r="F634" s="6" t="n">
        <v>90</v>
      </c>
      <c r="G634" t="inlineStr">
        <is>
          <t>Heavy</t>
        </is>
      </c>
      <c r="H634" s="6" t="n">
        <v>1</v>
      </c>
      <c r="I634" s="6" t="n">
        <v>1</v>
      </c>
      <c r="J634" s="6" t="n">
        <v>1</v>
      </c>
      <c r="K634" s="6" t="n"/>
      <c r="P634">
        <f>MAX(P635,P636,P637,P638,P639,P640)</f>
        <v/>
      </c>
      <c r="S634">
        <f>S635+S636+S637+S638+S639+S640</f>
        <v/>
      </c>
      <c r="T634">
        <f>(E634/100000+F634/100+(P634/1000)*J634/5+S634/200)*200*I634*H634</f>
        <v/>
      </c>
      <c r="U634">
        <f>((E634*F634/25000)+((P634/1000)*J634*S634/2.5))*I634*H634</f>
        <v/>
      </c>
      <c r="V634">
        <f>(E634*F634*(P634/1000)*J634*S634*I634*H634)/12500000</f>
        <v/>
      </c>
      <c r="W634">
        <f>(T634+U634+V634)/3</f>
        <v/>
      </c>
      <c r="X634" s="6" t="n">
        <v>1600</v>
      </c>
      <c r="Y634">
        <f>IFERROR(W634-X634,"")</f>
        <v/>
      </c>
      <c r="Z634">
        <f>IFERROR(ABS(Y634)/MAX(X634,1),"")</f>
        <v/>
      </c>
      <c r="AA634">
        <f>IFERROR((X634-(((E634/100000+F634/100+S634/200)*200*I634*H634)+((E634*F634/25000)*I634*H634))/3)/(((J634/5)*200*I634*H634)+((J634*S634/2.5)*I634*H634)+((E634*F634*J634*S634*I634*H634)/12500000))/3*1000,"")</f>
        <v/>
      </c>
    </row>
    <row r="635">
      <c r="B635" s="7" t="inlineStr">
        <is>
          <t xml:space="preserve">  ↳ BTRMachineGun</t>
        </is>
      </c>
      <c r="C635" s="7" t="inlineStr">
        <is>
          <t>Armament</t>
        </is>
      </c>
      <c r="L635" s="6" t="n">
        <v>2000</v>
      </c>
      <c r="M635" s="6" t="n">
        <v>20</v>
      </c>
      <c r="N635" s="6" t="n">
        <v>4</v>
      </c>
      <c r="O635" s="6" t="n">
        <v>4</v>
      </c>
      <c r="P635" s="6" t="n">
        <v>5454</v>
      </c>
      <c r="Q635" s="6" t="n">
        <v>0.875</v>
      </c>
      <c r="R635">
        <f>M635+IF(N635&gt;1,N(O635)*(N635-1),0)</f>
        <v/>
      </c>
      <c r="S635">
        <f>IFERROR(L635*MAX(N635,1)/R635*Q635*IF(ISBLANK(K634),1,K634),0)</f>
        <v/>
      </c>
      <c r="AB635" s="7" t="inlineStr">
        <is>
          <t>^SmallArms, ^Chaingun</t>
        </is>
      </c>
    </row>
    <row r="636">
      <c r="B636" s="7" t="inlineStr">
        <is>
          <t xml:space="preserve">  ↳ BTRMachineGunAA</t>
        </is>
      </c>
      <c r="C636" s="7" t="inlineStr">
        <is>
          <t>Armament@AA</t>
        </is>
      </c>
      <c r="L636" s="6" t="n">
        <v>2000</v>
      </c>
      <c r="M636" s="6" t="n">
        <v>20</v>
      </c>
      <c r="N636" s="6" t="n">
        <v>4</v>
      </c>
      <c r="O636" s="6" t="n">
        <v>4</v>
      </c>
      <c r="P636" s="6" t="n">
        <v>8181</v>
      </c>
      <c r="Q636" s="6" t="n">
        <v>0.875</v>
      </c>
      <c r="R636">
        <f>M636+IF(N636&gt;1,N(O636)*(N636-1),0)</f>
        <v/>
      </c>
      <c r="S636">
        <f>IFERROR(L636*MAX(N636,1)/R636*Q636*IF(ISBLANK(K634),1,K634),0)</f>
        <v/>
      </c>
      <c r="AB636" s="7" t="inlineStr">
        <is>
          <t>^SmallArms, ^Chaingun</t>
        </is>
      </c>
    </row>
    <row r="637">
      <c r="B637" s="7" t="inlineStr">
        <is>
          <t xml:space="preserve">  ↳ BTRTeslaMachineGun</t>
        </is>
      </c>
      <c r="C637" s="7" t="inlineStr">
        <is>
          <t>Armament@TeslaUpgrade1</t>
        </is>
      </c>
      <c r="L637" s="6" t="n">
        <v>2000</v>
      </c>
      <c r="M637" s="6" t="n">
        <v>20</v>
      </c>
      <c r="N637" s="6" t="n">
        <v>4</v>
      </c>
      <c r="O637" s="6" t="n">
        <v>4</v>
      </c>
      <c r="P637" s="6" t="n">
        <v>5454</v>
      </c>
      <c r="Q637" s="6" t="n">
        <v>0.875</v>
      </c>
      <c r="R637">
        <f>M637+IF(N637&gt;1,N(O637)*(N637-1),0)</f>
        <v/>
      </c>
      <c r="S637">
        <f>IFERROR(L637*MAX(N637,1)/R637*Q637*IF(ISBLANK(K634),1,K634),0)</f>
        <v/>
      </c>
      <c r="AB637" s="7" t="inlineStr">
        <is>
          <t>^LightMissile, ^TeslaWeapon</t>
        </is>
      </c>
    </row>
    <row r="638">
      <c r="B638" s="7" t="inlineStr">
        <is>
          <t xml:space="preserve">  ↳ BTRTeslaMachineGunArc</t>
        </is>
      </c>
      <c r="C638" s="7" t="inlineStr">
        <is>
          <t>Armament@TeslaUpgrade2</t>
        </is>
      </c>
      <c r="L638" s="6" t="n">
        <v>2000</v>
      </c>
      <c r="M638" s="6" t="n">
        <v>20</v>
      </c>
      <c r="N638" s="6" t="n">
        <v>4</v>
      </c>
      <c r="O638" s="6" t="n">
        <v>4</v>
      </c>
      <c r="P638" s="6" t="n">
        <v>5454</v>
      </c>
      <c r="Q638" s="6" t="n">
        <v>0.875</v>
      </c>
      <c r="R638">
        <f>M638+IF(N638&gt;1,N(O638)*(N638-1),0)</f>
        <v/>
      </c>
      <c r="S638">
        <f>IFERROR(L638*MAX(N638,1)/R638*Q638*IF(ISBLANK(K634),1,K634),0)</f>
        <v/>
      </c>
      <c r="AB638" s="7" t="inlineStr">
        <is>
          <t>^LightMissile, ^TeslaWeapon</t>
        </is>
      </c>
    </row>
    <row r="639">
      <c r="B639" s="7" t="inlineStr">
        <is>
          <t xml:space="preserve">  ↳ BTRTeslaMachineGunAA</t>
        </is>
      </c>
      <c r="C639" s="7" t="inlineStr">
        <is>
          <t>Armament@TeslaUpgrade1AA</t>
        </is>
      </c>
      <c r="L639" s="6" t="n">
        <v>2000</v>
      </c>
      <c r="M639" s="6" t="n">
        <v>20</v>
      </c>
      <c r="N639" s="6" t="n">
        <v>4</v>
      </c>
      <c r="O639" s="6" t="n">
        <v>4</v>
      </c>
      <c r="P639" s="6" t="n">
        <v>8181</v>
      </c>
      <c r="Q639" s="6" t="n">
        <v>0.875</v>
      </c>
      <c r="R639">
        <f>M639+IF(N639&gt;1,N(O639)*(N639-1),0)</f>
        <v/>
      </c>
      <c r="S639">
        <f>IFERROR(L639*MAX(N639,1)/R639*Q639*IF(ISBLANK(K634),1,K634),0)</f>
        <v/>
      </c>
      <c r="AB639" s="7" t="inlineStr">
        <is>
          <t>^LightMissile, ^TeslaWeapon</t>
        </is>
      </c>
    </row>
    <row r="640">
      <c r="B640" s="7" t="inlineStr">
        <is>
          <t xml:space="preserve">  ↳ BTRTeslaMachineGunArcAA</t>
        </is>
      </c>
      <c r="C640" s="7" t="inlineStr">
        <is>
          <t>Armament@TeslaUpgrade2AA</t>
        </is>
      </c>
      <c r="L640" s="6" t="n">
        <v>2000</v>
      </c>
      <c r="M640" s="6" t="n">
        <v>20</v>
      </c>
      <c r="N640" s="6" t="n">
        <v>4</v>
      </c>
      <c r="O640" s="6" t="n">
        <v>4</v>
      </c>
      <c r="P640" s="6" t="n">
        <v>8181</v>
      </c>
      <c r="Q640" s="6" t="n">
        <v>0.875</v>
      </c>
      <c r="R640">
        <f>M640+IF(N640&gt;1,N(O640)*(N640-1),0)</f>
        <v/>
      </c>
      <c r="S640">
        <f>IFERROR(L640*MAX(N640,1)/R640*Q640*IF(ISBLANK(K634),1,K634),0)</f>
        <v/>
      </c>
      <c r="AB640" s="7" t="inlineStr">
        <is>
          <t>^LightMissile, ^TeslaWeapon</t>
        </is>
      </c>
    </row>
    <row r="641">
      <c r="A641" t="inlineStr">
        <is>
          <t>redalert</t>
        </is>
      </c>
      <c r="B641" t="inlineStr">
        <is>
          <t>ra1_soviets_flaktruck</t>
        </is>
      </c>
      <c r="C641" t="inlineStr">
        <is>
          <t>Flak Truck</t>
        </is>
      </c>
      <c r="D641" s="6" t="inlineStr">
        <is>
          <t>SupportVehicle</t>
        </is>
      </c>
      <c r="E641" s="6" t="n">
        <v>30000</v>
      </c>
      <c r="F641" s="6" t="n">
        <v>120</v>
      </c>
      <c r="G641" t="inlineStr">
        <is>
          <t>Light</t>
        </is>
      </c>
      <c r="H641" s="6" t="n">
        <v>1</v>
      </c>
      <c r="I641" s="6" t="n">
        <v>1.25</v>
      </c>
      <c r="J641" s="6" t="n">
        <v>1</v>
      </c>
      <c r="K641" s="6" t="n"/>
      <c r="P641">
        <f>MAX(P642,P643)</f>
        <v/>
      </c>
      <c r="S641">
        <f>S642+S643</f>
        <v/>
      </c>
      <c r="T641">
        <f>(E641/100000+F641/100+(P641/1000)*J641/5+S641/200)*200*I641*H641</f>
        <v/>
      </c>
      <c r="U641">
        <f>((E641*F641/25000)+((P641/1000)*J641*S641/2.5))*I641*H641</f>
        <v/>
      </c>
      <c r="V641">
        <f>(E641*F641*(P641/1000)*J641*S641*I641*H641)/12500000</f>
        <v/>
      </c>
      <c r="W641">
        <f>(T641+U641+V641)/3</f>
        <v/>
      </c>
      <c r="X641" s="6" t="n">
        <v>800</v>
      </c>
      <c r="Y641">
        <f>IFERROR(W641-X641,"")</f>
        <v/>
      </c>
      <c r="Z641">
        <f>IFERROR(ABS(Y641)/MAX(X641,1),"")</f>
        <v/>
      </c>
      <c r="AA641">
        <f>IFERROR((X641-(((E641/100000+F641/100+S641/200)*200*I641*H641)+((E641*F641/25000)*I641*H641))/3)/(((J641/5)*200*I641*H641)+((J641*S641/2.5)*I641*H641)+((E641*F641*J641*S641*I641*H641)/12500000))/3*1000,"")</f>
        <v/>
      </c>
    </row>
    <row r="642">
      <c r="B642" s="7" t="inlineStr">
        <is>
          <t xml:space="preserve">  ↳ FLAK-23-AA</t>
        </is>
      </c>
      <c r="C642" s="7" t="inlineStr">
        <is>
          <t>Armament@AA</t>
        </is>
      </c>
      <c r="L642" s="6" t="n">
        <v>2000</v>
      </c>
      <c r="M642" s="6" t="n">
        <v>5</v>
      </c>
      <c r="N642" s="6" t="n">
        <v>2</v>
      </c>
      <c r="O642" s="6" t="n"/>
      <c r="P642" s="6" t="n">
        <v>8118</v>
      </c>
      <c r="Q642" s="6" t="n">
        <v>1</v>
      </c>
      <c r="R642">
        <f>M642+IF(N642&gt;1,N(O642)*(N642-1),0)</f>
        <v/>
      </c>
      <c r="S642">
        <f>IFERROR(L642*MAX(N642,1)/R642*Q642*IF(ISBLANK(K641),1,K641),0)</f>
        <v/>
      </c>
      <c r="AB642" s="7" t="inlineStr">
        <is>
          <t>^Chaingun, ^FlakWeapon</t>
        </is>
      </c>
    </row>
    <row r="643">
      <c r="B643" s="7" t="inlineStr">
        <is>
          <t xml:space="preserve">  ↳ FLAK-23-AG</t>
        </is>
      </c>
      <c r="C643" s="7" t="inlineStr">
        <is>
          <t>Armament@AG</t>
        </is>
      </c>
      <c r="L643" s="6" t="n">
        <v>2000</v>
      </c>
      <c r="M643" s="6" t="n">
        <v>5</v>
      </c>
      <c r="N643" s="6" t="n">
        <v>2</v>
      </c>
      <c r="O643" s="6" t="n"/>
      <c r="P643" s="6" t="n">
        <v>5412</v>
      </c>
      <c r="Q643" s="6" t="n">
        <v>1</v>
      </c>
      <c r="R643">
        <f>M643+IF(N643&gt;1,N(O643)*(N643-1),0)</f>
        <v/>
      </c>
      <c r="S643">
        <f>IFERROR(L643*MAX(N643,1)/R643*Q643*IF(ISBLANK(K641),1,K641),0)</f>
        <v/>
      </c>
      <c r="AB643" s="7" t="inlineStr">
        <is>
          <t>^Chaingun, ^FlakWeapon</t>
        </is>
      </c>
    </row>
    <row r="644">
      <c r="A644" t="inlineStr">
        <is>
          <t>redalert</t>
        </is>
      </c>
      <c r="B644" t="inlineStr">
        <is>
          <t>ra1_soviets_gatlingtank</t>
        </is>
      </c>
      <c r="C644" t="inlineStr">
        <is>
          <t>Gatling Tank</t>
        </is>
      </c>
      <c r="D644" s="6" t="inlineStr">
        <is>
          <t>SupportVehicle</t>
        </is>
      </c>
      <c r="E644" s="6" t="n">
        <v>75000</v>
      </c>
      <c r="F644" s="6" t="n">
        <v>75</v>
      </c>
      <c r="G644" t="inlineStr">
        <is>
          <t>Medium</t>
        </is>
      </c>
      <c r="H644" s="6" t="n">
        <v>1</v>
      </c>
      <c r="I644" s="6" t="n">
        <v>1</v>
      </c>
      <c r="J644" s="6" t="n">
        <v>1</v>
      </c>
      <c r="K644" s="6" t="n"/>
      <c r="P644">
        <f>MAX(P645,P646,P647,P648,P649,P650,P651,P652)</f>
        <v/>
      </c>
      <c r="S644">
        <f>S645+S646+S647+S648+S649+S650+S651+S652</f>
        <v/>
      </c>
      <c r="T644">
        <f>(E644/100000+F644/100+(P644/1000)*J644/5+S644/200)*200*I644*H644</f>
        <v/>
      </c>
      <c r="U644">
        <f>((E644*F644/25000)+((P644/1000)*J644*S644/2.5))*I644*H644</f>
        <v/>
      </c>
      <c r="V644">
        <f>(E644*F644*(P644/1000)*J644*S644*I644*H644)/12500000</f>
        <v/>
      </c>
      <c r="W644">
        <f>(T644+U644+V644)/3</f>
        <v/>
      </c>
      <c r="X644" s="6" t="n">
        <v>1100</v>
      </c>
      <c r="Y644">
        <f>IFERROR(W644-X644,"")</f>
        <v/>
      </c>
      <c r="Z644">
        <f>IFERROR(ABS(Y644)/MAX(X644,1),"")</f>
        <v/>
      </c>
      <c r="AA644">
        <f>IFERROR((X644-(((E644/100000+F644/100+S644/200)*200*I644*H644)+((E644*F644/25000)*I644*H644))/3)/(((J644/5)*200*I644*H644)+((J644*S644/2.5)*I644*H644)+((E644*F644*J644*S644*I644*H644)/12500000))/3*1000,"")</f>
        <v/>
      </c>
    </row>
    <row r="645">
      <c r="B645" s="7" t="inlineStr">
        <is>
          <t xml:space="preserve">  ↳ RAGatlingTankCannon</t>
        </is>
      </c>
      <c r="C645" s="7" t="inlineStr">
        <is>
          <t>Armament@AG</t>
        </is>
      </c>
      <c r="L645" s="6" t="n">
        <v>2000</v>
      </c>
      <c r="M645" s="6" t="n">
        <v>10</v>
      </c>
      <c r="N645" s="6" t="n">
        <v>1</v>
      </c>
      <c r="O645" s="6" t="n"/>
      <c r="P645" s="6" t="n">
        <v>5000</v>
      </c>
      <c r="Q645" s="6" t="n">
        <v>1</v>
      </c>
      <c r="R645">
        <f>M645+IF(N645&gt;1,N(O645)*(N645-1),0)</f>
        <v/>
      </c>
      <c r="S645">
        <f>IFERROR(L645*MAX(N645,1)/R645*Q645*IF(ISBLANK(K644),1,K644),0)</f>
        <v/>
      </c>
      <c r="AB645" s="7" t="inlineStr">
        <is>
          <t>^Chaingun</t>
        </is>
      </c>
    </row>
    <row r="646">
      <c r="B646" s="7" t="inlineStr">
        <is>
          <t xml:space="preserve">  ↳ RAGatlingTankCannonAA</t>
        </is>
      </c>
      <c r="C646" s="7" t="inlineStr">
        <is>
          <t>Armament@AA</t>
        </is>
      </c>
      <c r="L646" s="6" t="n">
        <v>2000</v>
      </c>
      <c r="M646" s="6" t="n">
        <v>10</v>
      </c>
      <c r="N646" s="6" t="n">
        <v>1</v>
      </c>
      <c r="O646" s="6" t="n"/>
      <c r="P646" s="6" t="n">
        <v>7500</v>
      </c>
      <c r="Q646" s="6" t="n">
        <v>1</v>
      </c>
      <c r="R646">
        <f>M646+IF(N646&gt;1,N(O646)*(N646-1),0)</f>
        <v/>
      </c>
      <c r="S646">
        <f>IFERROR(L646*MAX(N646,1)/R646*Q646*IF(ISBLANK(K644),1,K644),0)</f>
        <v/>
      </c>
      <c r="AB646" s="7" t="inlineStr">
        <is>
          <t>^Chaingun</t>
        </is>
      </c>
    </row>
    <row r="647">
      <c r="B647" s="7" t="inlineStr">
        <is>
          <t xml:space="preserve">  ↳ IncendiaryRAGatlingTankCannon</t>
        </is>
      </c>
      <c r="C647" s="7" t="inlineStr">
        <is>
          <t>Armament@UpgradeAG</t>
        </is>
      </c>
      <c r="L647" s="6" t="n">
        <v>2000</v>
      </c>
      <c r="M647" s="6" t="n">
        <v>10</v>
      </c>
      <c r="N647" s="6" t="n">
        <v>1</v>
      </c>
      <c r="O647" s="6" t="n"/>
      <c r="P647" s="6" t="n">
        <v>5000</v>
      </c>
      <c r="Q647" s="6" t="n">
        <v>0.875</v>
      </c>
      <c r="R647">
        <f>M647+IF(N647&gt;1,N(O647)*(N647-1),0)</f>
        <v/>
      </c>
      <c r="S647">
        <f>IFERROR(L647*MAX(N647,1)/R647*Q647*IF(ISBLANK(K644),1,K644),0)</f>
        <v/>
      </c>
      <c r="AB647" s="7" t="inlineStr">
        <is>
          <t>^Chaingun, ^LightFlameWeapon, ^IncendiaryBulletProjectile</t>
        </is>
      </c>
    </row>
    <row r="648">
      <c r="B648" s="7" t="inlineStr">
        <is>
          <t xml:space="preserve">  ↳ IncendiaryRAGatlingTankCannonAA</t>
        </is>
      </c>
      <c r="C648" s="7" t="inlineStr">
        <is>
          <t>Armament@UpgradeAA</t>
        </is>
      </c>
      <c r="L648" s="6" t="n">
        <v>2000</v>
      </c>
      <c r="M648" s="6" t="n">
        <v>10</v>
      </c>
      <c r="N648" s="6" t="n">
        <v>1</v>
      </c>
      <c r="O648" s="6" t="n"/>
      <c r="P648" s="6" t="n">
        <v>7500</v>
      </c>
      <c r="Q648" s="6" t="n">
        <v>0.875</v>
      </c>
      <c r="R648">
        <f>M648+IF(N648&gt;1,N(O648)*(N648-1),0)</f>
        <v/>
      </c>
      <c r="S648">
        <f>IFERROR(L648*MAX(N648,1)/R648*Q648*IF(ISBLANK(K644),1,K644),0)</f>
        <v/>
      </c>
      <c r="AB648" s="7" t="inlineStr">
        <is>
          <t>^Chaingun, ^LightFlameWeapon, ^IncendiaryBulletProjectile</t>
        </is>
      </c>
    </row>
    <row r="649">
      <c r="B649" s="7" t="inlineStr">
        <is>
          <t xml:space="preserve">  ↳ TeslaRAGatlingTankCannon</t>
        </is>
      </c>
      <c r="C649" s="7" t="inlineStr">
        <is>
          <t>Armament@TeslaUpgrade1</t>
        </is>
      </c>
      <c r="L649" s="6" t="n">
        <v>2000</v>
      </c>
      <c r="M649" s="6" t="n">
        <v>10</v>
      </c>
      <c r="N649" s="6" t="n">
        <v>1</v>
      </c>
      <c r="O649" s="6" t="n"/>
      <c r="P649" s="6" t="n">
        <v>5000</v>
      </c>
      <c r="Q649" s="6" t="n">
        <v>1</v>
      </c>
      <c r="R649">
        <f>M649+IF(N649&gt;1,N(O649)*(N649-1),0)</f>
        <v/>
      </c>
      <c r="S649">
        <f>IFERROR(L649*MAX(N649,1)/R649*Q649*IF(ISBLANK(K644),1,K644),0)</f>
        <v/>
      </c>
      <c r="AB649" s="7" t="inlineStr">
        <is>
          <t>^TeslaWeapon</t>
        </is>
      </c>
    </row>
    <row r="650">
      <c r="B650" s="7" t="inlineStr">
        <is>
          <t xml:space="preserve">  ↳ TeslaRAGatlingTankCannonArc</t>
        </is>
      </c>
      <c r="C650" s="7" t="inlineStr">
        <is>
          <t>Armament@TeslaUpgrade2</t>
        </is>
      </c>
      <c r="L650" s="6" t="n">
        <v>2000</v>
      </c>
      <c r="M650" s="6" t="n">
        <v>10</v>
      </c>
      <c r="N650" s="6" t="n">
        <v>1</v>
      </c>
      <c r="O650" s="6" t="n"/>
      <c r="P650" s="6" t="n">
        <v>5000</v>
      </c>
      <c r="Q650" s="6" t="n">
        <v>1</v>
      </c>
      <c r="R650">
        <f>M650+IF(N650&gt;1,N(O650)*(N650-1),0)</f>
        <v/>
      </c>
      <c r="S650">
        <f>IFERROR(L650*MAX(N650,1)/R650*Q650*IF(ISBLANK(K644),1,K644),0)</f>
        <v/>
      </c>
      <c r="AB650" s="7" t="inlineStr">
        <is>
          <t>^TeslaWeapon</t>
        </is>
      </c>
    </row>
    <row r="651">
      <c r="B651" s="7" t="inlineStr">
        <is>
          <t xml:space="preserve">  ↳ TeslaRAGatlingTankCannonAA</t>
        </is>
      </c>
      <c r="C651" s="7" t="inlineStr">
        <is>
          <t>Armament@TeslaUpgrade1AA</t>
        </is>
      </c>
      <c r="L651" s="6" t="n">
        <v>2000</v>
      </c>
      <c r="M651" s="6" t="n">
        <v>10</v>
      </c>
      <c r="N651" s="6" t="n">
        <v>1</v>
      </c>
      <c r="O651" s="6" t="n"/>
      <c r="P651" s="6" t="n">
        <v>7500</v>
      </c>
      <c r="Q651" s="6" t="n">
        <v>1</v>
      </c>
      <c r="R651">
        <f>M651+IF(N651&gt;1,N(O651)*(N651-1),0)</f>
        <v/>
      </c>
      <c r="S651">
        <f>IFERROR(L651*MAX(N651,1)/R651*Q651*IF(ISBLANK(K644),1,K644),0)</f>
        <v/>
      </c>
      <c r="AB651" s="7" t="inlineStr">
        <is>
          <t>^TeslaWeapon</t>
        </is>
      </c>
    </row>
    <row r="652">
      <c r="B652" s="7" t="inlineStr">
        <is>
          <t xml:space="preserve">  ↳ TeslaRAGatlingTankCannonArcAA</t>
        </is>
      </c>
      <c r="C652" s="7" t="inlineStr">
        <is>
          <t>Armament@TeslaUpgrade2AA</t>
        </is>
      </c>
      <c r="L652" s="6" t="n">
        <v>2000</v>
      </c>
      <c r="M652" s="6" t="n">
        <v>10</v>
      </c>
      <c r="N652" s="6" t="n">
        <v>1</v>
      </c>
      <c r="O652" s="6" t="n"/>
      <c r="P652" s="6" t="n">
        <v>7500</v>
      </c>
      <c r="Q652" s="6" t="n">
        <v>1</v>
      </c>
      <c r="R652">
        <f>M652+IF(N652&gt;1,N(O652)*(N652-1),0)</f>
        <v/>
      </c>
      <c r="S652">
        <f>IFERROR(L652*MAX(N652,1)/R652*Q652*IF(ISBLANK(K644),1,K644),0)</f>
        <v/>
      </c>
      <c r="AB652" s="7" t="inlineStr">
        <is>
          <t>^TeslaWeapon</t>
        </is>
      </c>
    </row>
    <row r="653">
      <c r="A653" t="inlineStr">
        <is>
          <t>redalert</t>
        </is>
      </c>
      <c r="B653" t="inlineStr">
        <is>
          <t>ra1_soviets_mobileconstructionvehicle</t>
        </is>
      </c>
      <c r="C653" t="inlineStr">
        <is>
          <t>Soviet Mobile Construction Vehicle</t>
        </is>
      </c>
      <c r="D653" s="6" t="inlineStr">
        <is>
          <t>SupportVehicle</t>
        </is>
      </c>
      <c r="E653" s="6" t="n">
        <v>300000</v>
      </c>
      <c r="F653" s="6" t="n">
        <v>75</v>
      </c>
      <c r="G653" t="inlineStr">
        <is>
          <t>Medium</t>
        </is>
      </c>
      <c r="H653" s="6" t="n">
        <v>1</v>
      </c>
      <c r="I653" s="6" t="n">
        <v>1</v>
      </c>
      <c r="J653" s="6" t="n">
        <v>1</v>
      </c>
      <c r="K653" s="6" t="n"/>
      <c r="X653" s="6" t="n">
        <v>5000</v>
      </c>
    </row>
    <row r="654">
      <c r="A654" t="inlineStr">
        <is>
          <t>redalert</t>
        </is>
      </c>
      <c r="B654" t="inlineStr">
        <is>
          <t>ra1_soviets_stalinfist</t>
        </is>
      </c>
      <c r="C654" t="inlineStr">
        <is>
          <t>Stalin Fist</t>
        </is>
      </c>
      <c r="D654" s="6" t="inlineStr">
        <is>
          <t>SupportVehicle</t>
        </is>
      </c>
      <c r="E654" s="6" t="n">
        <v>100000</v>
      </c>
      <c r="F654" s="6" t="n">
        <v>60</v>
      </c>
      <c r="G654" t="inlineStr">
        <is>
          <t>Heavy</t>
        </is>
      </c>
      <c r="H654" s="6" t="n">
        <v>1</v>
      </c>
      <c r="I654" s="6" t="n">
        <v>1</v>
      </c>
      <c r="J654" s="6" t="n">
        <v>1</v>
      </c>
      <c r="K654" s="6" t="n"/>
      <c r="X654" s="6" t="n">
        <v>7000</v>
      </c>
    </row>
    <row r="655">
      <c r="A655" t="inlineStr">
        <is>
          <t>redalert</t>
        </is>
      </c>
      <c r="B655" t="inlineStr">
        <is>
          <t>ra1_allies_alliedheavyaatank</t>
        </is>
      </c>
      <c r="C655" t="inlineStr">
        <is>
          <t>Allied Heavy AA Tank</t>
        </is>
      </c>
      <c r="D655" s="6" t="inlineStr">
        <is>
          <t>SupportVehicle</t>
        </is>
      </c>
      <c r="E655" s="6" t="n">
        <v>125000</v>
      </c>
      <c r="F655" s="6" t="n">
        <v>75</v>
      </c>
      <c r="G655" t="inlineStr">
        <is>
          <t>Heavy</t>
        </is>
      </c>
      <c r="H655" s="6" t="n">
        <v>1</v>
      </c>
      <c r="I655" s="6" t="n">
        <v>1</v>
      </c>
      <c r="J655" s="6" t="n">
        <v>1.25</v>
      </c>
      <c r="K655" s="6" t="n">
        <v>0.25</v>
      </c>
      <c r="P655">
        <f>MAX(P656,P657)</f>
        <v/>
      </c>
      <c r="S655">
        <f>S656+S657</f>
        <v/>
      </c>
      <c r="T655">
        <f>(E655/100000+F655/100+(P655/1000)*J655/5+S655/200)*200*I655*H655</f>
        <v/>
      </c>
      <c r="U655">
        <f>((E655*F655/25000)+((P655/1000)*J655*S655/2.5))*I655*H655</f>
        <v/>
      </c>
      <c r="V655">
        <f>(E655*F655*(P655/1000)*J655*S655*I655*H655)/12500000</f>
        <v/>
      </c>
      <c r="W655">
        <f>(T655+U655+V655)/3</f>
        <v/>
      </c>
      <c r="X655" s="6" t="n">
        <v>1250</v>
      </c>
      <c r="Y655">
        <f>IFERROR(W655-X655,"")</f>
        <v/>
      </c>
      <c r="Z655">
        <f>IFERROR(ABS(Y655)/MAX(X655,1),"")</f>
        <v/>
      </c>
      <c r="AA655">
        <f>IFERROR((X655-(((E655/100000+F655/100+S655/200)*200*I655*H655)+((E655*F655/25000)*I655*H655))/3)/(((J655/5)*200*I655*H655)+((J655*S655/2.5)*I655*H655)+((E655*F655*J655*S655*I655*H655)/12500000))/3*1000,"")</f>
        <v/>
      </c>
    </row>
    <row r="656">
      <c r="B656" s="7" t="inlineStr">
        <is>
          <t xml:space="preserve">  ↳ HeavyAATankCannonAG</t>
        </is>
      </c>
      <c r="C656" s="7" t="inlineStr">
        <is>
          <t>Armament@AG</t>
        </is>
      </c>
      <c r="L656" s="6" t="n">
        <v>2000</v>
      </c>
      <c r="M656" s="6" t="n">
        <v>10</v>
      </c>
      <c r="N656" s="6" t="n">
        <v>1</v>
      </c>
      <c r="O656" s="6" t="n"/>
      <c r="P656" s="6" t="n">
        <v>4746</v>
      </c>
      <c r="Q656" s="6" t="n">
        <v>0.875</v>
      </c>
      <c r="R656">
        <f>M656+IF(N656&gt;1,N(O656)*(N656-1),0)</f>
        <v/>
      </c>
      <c r="S656">
        <f>IFERROR(L656*MAX(N656,1)/R656*Q656*IF(ISBLANK(K655),1,K655),0)</f>
        <v/>
      </c>
      <c r="AB656" s="7" t="inlineStr">
        <is>
          <t>^LightMissile, ^FlakWeapon, ^SmallArms, ^Chaingun</t>
        </is>
      </c>
    </row>
    <row r="657">
      <c r="B657" s="7" t="inlineStr">
        <is>
          <t xml:space="preserve">  ↳ HeavyAATankCannonAA</t>
        </is>
      </c>
      <c r="C657" s="7" t="inlineStr">
        <is>
          <t>Armament@AA</t>
        </is>
      </c>
      <c r="L657" s="6" t="n">
        <v>2000</v>
      </c>
      <c r="M657" s="6" t="n">
        <v>10</v>
      </c>
      <c r="N657" s="6" t="n">
        <v>1</v>
      </c>
      <c r="O657" s="6" t="n"/>
      <c r="P657" s="6" t="n">
        <v>7119</v>
      </c>
      <c r="Q657" s="6" t="n">
        <v>0.875</v>
      </c>
      <c r="R657">
        <f>M657+IF(N657&gt;1,N(O657)*(N657-1),0)</f>
        <v/>
      </c>
      <c r="S657">
        <f>IFERROR(L657*MAX(N657,1)/R657*Q657*IF(ISBLANK(K655),1,K655),0)</f>
        <v/>
      </c>
      <c r="AB657" s="7" t="inlineStr">
        <is>
          <t>^LightMissile, ^FlakWeapon, ^SmallArms, ^Chaingun</t>
        </is>
      </c>
    </row>
    <row r="658">
      <c r="A658" t="inlineStr">
        <is>
          <t>redalert</t>
        </is>
      </c>
      <c r="B658" t="inlineStr">
        <is>
          <t>ra1_allies_alliedmobileconstructionvehicle</t>
        </is>
      </c>
      <c r="C658" t="inlineStr">
        <is>
          <t>Allied Mobile Construction Vehicle</t>
        </is>
      </c>
      <c r="D658" s="6" t="inlineStr">
        <is>
          <t>SupportVehicle</t>
        </is>
      </c>
      <c r="E658" s="6" t="n">
        <v>300000</v>
      </c>
      <c r="F658" s="6" t="n">
        <v>75</v>
      </c>
      <c r="G658" t="inlineStr">
        <is>
          <t>Medium</t>
        </is>
      </c>
      <c r="H658" s="6" t="n">
        <v>1</v>
      </c>
      <c r="I658" s="6" t="n">
        <v>1</v>
      </c>
      <c r="J658" s="6" t="n">
        <v>1</v>
      </c>
      <c r="K658" s="6" t="n"/>
      <c r="X658" s="6" t="n">
        <v>5000</v>
      </c>
    </row>
    <row r="659">
      <c r="A659" t="inlineStr">
        <is>
          <t>redalert</t>
        </is>
      </c>
      <c r="B659" t="inlineStr">
        <is>
          <t>ra1_allies_phasetransport</t>
        </is>
      </c>
      <c r="C659" t="inlineStr">
        <is>
          <t>Phase Transport</t>
        </is>
      </c>
      <c r="D659" s="6" t="inlineStr">
        <is>
          <t>SupportVehicle</t>
        </is>
      </c>
      <c r="E659" s="6" t="n">
        <v>30000</v>
      </c>
      <c r="F659" s="6" t="n">
        <v>125</v>
      </c>
      <c r="G659" t="inlineStr">
        <is>
          <t>Light</t>
        </is>
      </c>
      <c r="H659" s="6" t="n">
        <v>0.75</v>
      </c>
      <c r="I659" s="6" t="n">
        <v>1.25</v>
      </c>
      <c r="J659" s="6" t="n">
        <v>1.25</v>
      </c>
      <c r="K659" s="6" t="n"/>
      <c r="P659">
        <f>MAX(P660,P661)</f>
        <v/>
      </c>
      <c r="S659">
        <f>S660+S661</f>
        <v/>
      </c>
      <c r="T659">
        <f>(E659/100000+F659/100+(P659/1000)*J659/5+S659/200)*200*I659*H659</f>
        <v/>
      </c>
      <c r="U659">
        <f>((E659*F659/25000)+((P659/1000)*J659*S659/2.5))*I659*H659</f>
        <v/>
      </c>
      <c r="V659">
        <f>(E659*F659*(P659/1000)*J659*S659*I659*H659)/12500000</f>
        <v/>
      </c>
      <c r="W659">
        <f>(T659+U659+V659)/3</f>
        <v/>
      </c>
      <c r="X659" s="6" t="n">
        <v>1800</v>
      </c>
      <c r="Y659">
        <f>IFERROR(W659-X659,"")</f>
        <v/>
      </c>
      <c r="Z659">
        <f>IFERROR(ABS(Y659)/MAX(X659,1),"")</f>
        <v/>
      </c>
      <c r="AA659">
        <f>IFERROR((X659-(((E659/100000+F659/100+S659/200)*200*I659*H659)+((E659*F659/25000)*I659*H659))/3)/(((J659/5)*200*I659*H659)+((J659*S659/2.5)*I659*H659)+((E659*F659*J659*S659*I659*H659)/12500000))/3*1000,"")</f>
        <v/>
      </c>
    </row>
    <row r="660">
      <c r="B660" s="7" t="inlineStr">
        <is>
          <t xml:space="preserve">  ↳ APTusk</t>
        </is>
      </c>
      <c r="C660" s="7" t="inlineStr">
        <is>
          <t>Armament</t>
        </is>
      </c>
      <c r="L660" s="6" t="n">
        <v>4000</v>
      </c>
      <c r="M660" s="6" t="n">
        <v>51</v>
      </c>
      <c r="N660" s="6" t="n">
        <v>4</v>
      </c>
      <c r="O660" s="6" t="n"/>
      <c r="P660" s="6" t="n">
        <v>5038</v>
      </c>
      <c r="Q660" s="6" t="n">
        <v>1</v>
      </c>
      <c r="R660">
        <f>M660+IF(N660&gt;1,N(O660)*(N660-1),0)</f>
        <v/>
      </c>
      <c r="S660">
        <f>IFERROR(L660*MAX(N660,1)/R660*Q660*IF(ISBLANK(K659),1,K659),0)</f>
        <v/>
      </c>
      <c r="AB660" s="7" t="inlineStr">
        <is>
          <t>^TankDestroyerCannon, ^Grenade, ^FlakWeapon, ^MediumMissile</t>
        </is>
      </c>
    </row>
    <row r="661">
      <c r="B661" s="7" t="inlineStr">
        <is>
          <t xml:space="preserve">  ↳ APTuskCryo</t>
        </is>
      </c>
      <c r="C661" s="7" t="inlineStr">
        <is>
          <t>Armament@Upgrade</t>
        </is>
      </c>
      <c r="L661" s="6" t="n">
        <v>4000</v>
      </c>
      <c r="M661" s="6" t="n">
        <v>51</v>
      </c>
      <c r="N661" s="6" t="n">
        <v>4</v>
      </c>
      <c r="O661" s="6" t="n"/>
      <c r="P661" s="6" t="n">
        <v>5038</v>
      </c>
      <c r="Q661" s="6" t="n">
        <v>1</v>
      </c>
      <c r="R661">
        <f>M661+IF(N661&gt;1,N(O661)*(N661-1),0)</f>
        <v/>
      </c>
      <c r="S661">
        <f>IFERROR(L661*MAX(N661,1)/R661*Q661*IF(ISBLANK(K659),1,K659),0)</f>
        <v/>
      </c>
      <c r="AB661" s="7" t="inlineStr">
        <is>
          <t>^TankDestroyerCannon, ^Grenade, ^FlakWeapon, ^MediumMissile, ^CryoMissileProjectile</t>
        </is>
      </c>
    </row>
    <row r="662">
      <c r="A662" t="inlineStr">
        <is>
          <t>redalert</t>
        </is>
      </c>
      <c r="B662" t="inlineStr">
        <is>
          <t>ra1_allies_reconranger</t>
        </is>
      </c>
      <c r="C662" t="inlineStr">
        <is>
          <t>Recon Ranger</t>
        </is>
      </c>
      <c r="D662" s="6" t="inlineStr">
        <is>
          <t>SupportVehicle</t>
        </is>
      </c>
      <c r="E662" s="6" t="n">
        <v>25000</v>
      </c>
      <c r="F662" s="6" t="n">
        <v>160</v>
      </c>
      <c r="G662" t="inlineStr">
        <is>
          <t>Light</t>
        </is>
      </c>
      <c r="H662" s="6" t="n">
        <v>1</v>
      </c>
      <c r="I662" s="6" t="n">
        <v>0.5</v>
      </c>
      <c r="J662" s="6" t="n">
        <v>1</v>
      </c>
      <c r="K662" s="6" t="n"/>
      <c r="P662">
        <f>MAX(P663,P664)</f>
        <v/>
      </c>
      <c r="S662">
        <f>S663+S664</f>
        <v/>
      </c>
      <c r="T662">
        <f>(E662/100000+F662/100+(P662/1000)*J662/5+S662/200)*200*I662*H662</f>
        <v/>
      </c>
      <c r="U662">
        <f>((E662*F662/25000)+((P662/1000)*J662*S662/2.5))*I662*H662</f>
        <v/>
      </c>
      <c r="V662">
        <f>(E662*F662*(P662/1000)*J662*S662*I662*H662)/12500000</f>
        <v/>
      </c>
      <c r="W662">
        <f>(T662+U662+V662)/3</f>
        <v/>
      </c>
      <c r="X662" s="6" t="n">
        <v>500</v>
      </c>
      <c r="Y662">
        <f>IFERROR(W662-X662,"")</f>
        <v/>
      </c>
      <c r="Z662">
        <f>IFERROR(ABS(Y662)/MAX(X662,1),"")</f>
        <v/>
      </c>
      <c r="AA662">
        <f>IFERROR((X662-(((E662/100000+F662/100+S662/200)*200*I662*H662)+((E662*F662/25000)*I662*H662))/3)/(((J662/5)*200*I662*H662)+((J662*S662/2.5)*I662*H662)+((E662*F662*J662*S662*I662*H662)/12500000))/3*1000,"")</f>
        <v/>
      </c>
    </row>
    <row r="663">
      <c r="B663" s="7" t="inlineStr">
        <is>
          <t xml:space="preserve">  ↳ ReconRangerRecoillessGun</t>
        </is>
      </c>
      <c r="C663" s="7" t="inlineStr">
        <is>
          <t>Armament</t>
        </is>
      </c>
      <c r="L663" s="6" t="n">
        <v>4000</v>
      </c>
      <c r="M663" s="6" t="n">
        <v>64</v>
      </c>
      <c r="N663" s="6" t="n">
        <v>1</v>
      </c>
      <c r="O663" s="6" t="n"/>
      <c r="P663" s="6" t="n">
        <v>4925</v>
      </c>
      <c r="Q663" s="6" t="n">
        <v>1.041666666666667</v>
      </c>
      <c r="R663">
        <f>M663+IF(N663&gt;1,N(O663)*(N663-1),0)</f>
        <v/>
      </c>
      <c r="S663">
        <f>IFERROR(L663*MAX(N663,1)/R663*Q663*IF(ISBLANK(K662),1,K662),0)</f>
        <v/>
      </c>
      <c r="AB663" s="7" t="inlineStr">
        <is>
          <t>^Grenade, ^ShrapnelWeapon, ^Chaingun, ^FlakWeapon, ^TankDestroyerCannon, ^RailgunWeapon, ^MediumMissile, ^D2KRocket</t>
        </is>
      </c>
    </row>
    <row r="664">
      <c r="B664" s="7" t="inlineStr">
        <is>
          <t xml:space="preserve">  ↳ CryoReconRangerRecoillessGun</t>
        </is>
      </c>
      <c r="C664" s="7" t="inlineStr">
        <is>
          <t>Armament@Upgrade</t>
        </is>
      </c>
      <c r="L664" s="6" t="n">
        <v>4000</v>
      </c>
      <c r="M664" s="6" t="n">
        <v>64</v>
      </c>
      <c r="N664" s="6" t="n">
        <v>1</v>
      </c>
      <c r="O664" s="6" t="n"/>
      <c r="P664" s="6" t="n">
        <v>4925</v>
      </c>
      <c r="Q664" s="6" t="n">
        <v>1.041666666666667</v>
      </c>
      <c r="R664">
        <f>M664+IF(N664&gt;1,N(O664)*(N664-1),0)</f>
        <v/>
      </c>
      <c r="S664">
        <f>IFERROR(L664*MAX(N664,1)/R664*Q664*IF(ISBLANK(K662),1,K662),0)</f>
        <v/>
      </c>
      <c r="AB664" s="7" t="inlineStr">
        <is>
          <t>^Grenade, ^ShrapnelWeapon, ^Chaingun, ^FlakWeapon, ^TankDestroyerCannon, ^RailgunWeapon, ^MediumMissile, ^D2KRocket, ^CryoMissileProjectile</t>
        </is>
      </c>
    </row>
    <row r="665">
      <c r="A665" t="inlineStr">
        <is>
          <t>tiberiansun</t>
        </is>
      </c>
      <c r="B665" t="inlineStr">
        <is>
          <t>cabal_constructionyard</t>
        </is>
      </c>
      <c r="C665" t="inlineStr">
        <is>
          <t>Construction Yard (CABAL)</t>
        </is>
      </c>
      <c r="D665" s="6" t="inlineStr">
        <is>
          <t>SupportVehicle</t>
        </is>
      </c>
      <c r="E665" s="6" t="n">
        <v>1000000</v>
      </c>
      <c r="F665" s="6" t="n"/>
      <c r="G665" t="inlineStr">
        <is>
          <t>Wood</t>
        </is>
      </c>
      <c r="H665" s="6" t="n">
        <v>1</v>
      </c>
      <c r="I665" s="6" t="n">
        <v>1</v>
      </c>
      <c r="J665" s="6" t="n">
        <v>1</v>
      </c>
      <c r="K665" s="6" t="n"/>
      <c r="X665" s="6" t="n">
        <v>2500</v>
      </c>
    </row>
    <row r="666">
      <c r="A666" t="inlineStr">
        <is>
          <t>tiberiansun</t>
        </is>
      </c>
      <c r="B666" t="inlineStr">
        <is>
          <t>cabal_cyborgreaper</t>
        </is>
      </c>
      <c r="C666" t="inlineStr">
        <is>
          <t>Cyborg Reaper</t>
        </is>
      </c>
      <c r="D666" s="6" t="inlineStr">
        <is>
          <t>SupportVehicle</t>
        </is>
      </c>
      <c r="E666" s="6" t="n">
        <v>70000</v>
      </c>
      <c r="F666" s="6" t="n">
        <v>65</v>
      </c>
      <c r="G666" t="inlineStr">
        <is>
          <t>Medium</t>
        </is>
      </c>
      <c r="H666" s="6" t="n">
        <v>1</v>
      </c>
      <c r="I666" s="6" t="n">
        <v>1.25</v>
      </c>
      <c r="J666" s="6" t="n">
        <v>1</v>
      </c>
      <c r="K666" s="6" t="n"/>
      <c r="P666">
        <f>MAX(P667,P668,P669,P670)</f>
        <v/>
      </c>
      <c r="S666">
        <f>S667+S668+S669+S670</f>
        <v/>
      </c>
      <c r="T666">
        <f>(E666/100000+F666/100+(P666/1000)*J666/5+S666/200)*200*I666*H666</f>
        <v/>
      </c>
      <c r="U666">
        <f>((E666*F666/25000)+((P666/1000)*J666*S666/2.5))*I666*H666</f>
        <v/>
      </c>
      <c r="V666">
        <f>(E666*F666*(P666/1000)*J666*S666*I666*H666)/12500000</f>
        <v/>
      </c>
      <c r="W666">
        <f>(T666+U666+V666)/3</f>
        <v/>
      </c>
      <c r="X666" s="6" t="n">
        <v>1100</v>
      </c>
      <c r="Y666">
        <f>IFERROR(W666-X666,"")</f>
        <v/>
      </c>
      <c r="Z666">
        <f>IFERROR(ABS(Y666)/MAX(X666,1),"")</f>
        <v/>
      </c>
      <c r="AA666">
        <f>IFERROR((X666-(((E666/100000+F666/100+S666/200)*200*I666*H666)+((E666*F666/25000)*I666*H666))/3)/(((J666/5)*200*I666*H666)+((J666*S666/2.5)*I666*H666)+((E666*F666*J666*S666*I666*H666)/12500000))/3*1000,"")</f>
        <v/>
      </c>
    </row>
    <row r="667">
      <c r="B667" s="7" t="inlineStr">
        <is>
          <t xml:space="preserve">  ↳ CabalReaperMissiles</t>
        </is>
      </c>
      <c r="C667" s="7" t="inlineStr">
        <is>
          <t>Armament</t>
        </is>
      </c>
      <c r="L667" s="6" t="n">
        <v>8000</v>
      </c>
      <c r="M667" s="6" t="n">
        <v>24</v>
      </c>
      <c r="N667" s="6" t="n">
        <v>2</v>
      </c>
      <c r="O667" s="6" t="n">
        <v>12</v>
      </c>
      <c r="P667" s="6" t="n">
        <v>5785</v>
      </c>
      <c r="Q667" s="6" t="n">
        <v>0.9375</v>
      </c>
      <c r="R667">
        <f>M667+IF(N667&gt;1,N(O667)*(N667-1),0)</f>
        <v/>
      </c>
      <c r="S667">
        <f>IFERROR(L667*MAX(N667,1)/R667*Q667*IF(ISBLANK(K666),1,K666),0)</f>
        <v/>
      </c>
      <c r="AB667" s="7" t="inlineStr">
        <is>
          <t>^Grenade, ^ShrapnelWeapon, ^LightMissile, ^MediumMissile, ^CabalMissile</t>
        </is>
      </c>
    </row>
    <row r="668">
      <c r="B668" s="7" t="inlineStr">
        <is>
          <t xml:space="preserve">  ↳ CabalReaperMissilesAA</t>
        </is>
      </c>
      <c r="C668" s="7" t="inlineStr">
        <is>
          <t>Armament@SECONDARY</t>
        </is>
      </c>
      <c r="L668" s="6" t="n">
        <v>8000</v>
      </c>
      <c r="M668" s="6" t="n">
        <v>24</v>
      </c>
      <c r="N668" s="6" t="n">
        <v>2</v>
      </c>
      <c r="O668" s="6" t="n">
        <v>12</v>
      </c>
      <c r="P668" s="6" t="n">
        <v>8680</v>
      </c>
      <c r="Q668" s="6" t="n">
        <v>0.9375</v>
      </c>
      <c r="R668">
        <f>M668+IF(N668&gt;1,N(O668)*(N668-1),0)</f>
        <v/>
      </c>
      <c r="S668">
        <f>IFERROR(L668*MAX(N668,1)/R668*Q668*IF(ISBLANK(K666),1,K666),0)</f>
        <v/>
      </c>
      <c r="AB668" s="7" t="inlineStr">
        <is>
          <t>^Grenade, ^ShrapnelWeapon, ^LightMissile, ^MediumMissile, ^CabalMissile</t>
        </is>
      </c>
    </row>
    <row r="669">
      <c r="B669" s="7" t="inlineStr">
        <is>
          <t xml:space="preserve">  ↳ CabalReaperTrapGround</t>
        </is>
      </c>
      <c r="C669" s="7" t="inlineStr">
        <is>
          <t>Armament@TRAPGROUND</t>
        </is>
      </c>
      <c r="L669" s="6" t="n"/>
      <c r="M669" s="6" t="n">
        <v>250</v>
      </c>
      <c r="N669" s="6" t="n">
        <v>1</v>
      </c>
      <c r="O669" s="6" t="n"/>
      <c r="P669" s="6" t="n">
        <v>5785</v>
      </c>
      <c r="Q669" s="6" t="n">
        <v>1</v>
      </c>
      <c r="R669">
        <f>M669+IF(N669&gt;1,N(O669)*(N669-1),0)</f>
        <v/>
      </c>
      <c r="S669">
        <f>IFERROR(L669*MAX(N669,1)/R669*Q669*IF(ISBLANK(K666),1,K666),0)</f>
        <v/>
      </c>
      <c r="AB669" s="7" t="inlineStr"/>
    </row>
    <row r="670">
      <c r="B670" s="7" t="inlineStr">
        <is>
          <t xml:space="preserve">  ↳ CabalReaperTrapAir</t>
        </is>
      </c>
      <c r="C670" s="7" t="inlineStr">
        <is>
          <t>Armament@TRAPAIR</t>
        </is>
      </c>
      <c r="L670" s="6" t="n"/>
      <c r="M670" s="6" t="n">
        <v>250</v>
      </c>
      <c r="N670" s="6" t="n">
        <v>1</v>
      </c>
      <c r="O670" s="6" t="n"/>
      <c r="P670" s="6" t="n">
        <v>8680</v>
      </c>
      <c r="Q670" s="6" t="n">
        <v>1</v>
      </c>
      <c r="R670">
        <f>M670+IF(N670&gt;1,N(O670)*(N670-1),0)</f>
        <v/>
      </c>
      <c r="S670">
        <f>IFERROR(L670*MAX(N670,1)/R670*Q670*IF(ISBLANK(K666),1,K666),0)</f>
        <v/>
      </c>
      <c r="AB670" s="7" t="inlineStr"/>
    </row>
    <row r="671">
      <c r="A671" t="inlineStr">
        <is>
          <t>tiberiansun</t>
        </is>
      </c>
      <c r="B671" t="inlineStr">
        <is>
          <t>cabal_heavyreaper</t>
        </is>
      </c>
      <c r="C671" t="inlineStr">
        <is>
          <t>Heavy Reaper</t>
        </is>
      </c>
      <c r="D671" s="6" t="inlineStr">
        <is>
          <t>SupportVehicle</t>
        </is>
      </c>
      <c r="E671" s="6" t="n">
        <v>75000</v>
      </c>
      <c r="F671" s="6" t="n">
        <v>65</v>
      </c>
      <c r="G671" t="inlineStr">
        <is>
          <t>Medium</t>
        </is>
      </c>
      <c r="H671" s="6" t="n">
        <v>1</v>
      </c>
      <c r="I671" s="6" t="n">
        <v>1.25</v>
      </c>
      <c r="J671" s="6" t="n">
        <v>1.5</v>
      </c>
      <c r="K671" s="6" t="n"/>
      <c r="P671">
        <f>MAX(P672,P673,P674)</f>
        <v/>
      </c>
      <c r="S671">
        <f>S672+S673+S674</f>
        <v/>
      </c>
      <c r="T671">
        <f>(E671/100000+F671/100+(P671/1000)*J671/5+S671/200)*200*I671*H671</f>
        <v/>
      </c>
      <c r="U671">
        <f>((E671*F671/25000)+((P671/1000)*J671*S671/2.5))*I671*H671</f>
        <v/>
      </c>
      <c r="V671">
        <f>(E671*F671*(P671/1000)*J671*S671*I671*H671)/12500000</f>
        <v/>
      </c>
      <c r="W671">
        <f>(T671+U671+V671)/3</f>
        <v/>
      </c>
      <c r="X671" s="6" t="n">
        <v>1650</v>
      </c>
      <c r="Y671">
        <f>IFERROR(W671-X671,"")</f>
        <v/>
      </c>
      <c r="Z671">
        <f>IFERROR(ABS(Y671)/MAX(X671,1),"")</f>
        <v/>
      </c>
      <c r="AA671">
        <f>IFERROR((X671-(((E671/100000+F671/100+S671/200)*200*I671*H671)+((E671*F671/25000)*I671*H671))/3)/(((J671/5)*200*I671*H671)+((J671*S671/2.5)*I671*H671)+((E671*F671*J671*S671*I671*H671)/12500000))/3*1000,"")</f>
        <v/>
      </c>
    </row>
    <row r="672">
      <c r="B672" s="7" t="inlineStr">
        <is>
          <t xml:space="preserve">  ↳ CabalHeavyReaperMissiles</t>
        </is>
      </c>
      <c r="C672" s="7" t="inlineStr">
        <is>
          <t>Armament</t>
        </is>
      </c>
      <c r="L672" s="6" t="n">
        <v>12000</v>
      </c>
      <c r="M672" s="6" t="n">
        <v>30</v>
      </c>
      <c r="N672" s="6" t="n">
        <v>2</v>
      </c>
      <c r="O672" s="6" t="n">
        <v>12</v>
      </c>
      <c r="P672" s="6" t="n">
        <v>6085</v>
      </c>
      <c r="Q672" s="6" t="n">
        <v>1.0625</v>
      </c>
      <c r="R672">
        <f>M672+IF(N672&gt;1,N(O672)*(N672-1),0)</f>
        <v/>
      </c>
      <c r="S672">
        <f>IFERROR(L672*MAX(N672,1)/R672*Q672*IF(ISBLANK(K671),1,K671),0)</f>
        <v/>
      </c>
      <c r="AB672" s="7" t="inlineStr">
        <is>
          <t>^Grenade, ^ShrapnelWeapon, ^MediumMissile, ^HeavyMissile, ^CabalMissile</t>
        </is>
      </c>
    </row>
    <row r="673">
      <c r="B673" s="7" t="inlineStr">
        <is>
          <t xml:space="preserve">  ↳ CabalHeavyReaperMissilesAA</t>
        </is>
      </c>
      <c r="C673" s="7" t="inlineStr">
        <is>
          <t>Armament@SECONDARY</t>
        </is>
      </c>
      <c r="L673" s="6" t="n">
        <v>12000</v>
      </c>
      <c r="M673" s="6" t="n">
        <v>30</v>
      </c>
      <c r="N673" s="6" t="n">
        <v>2</v>
      </c>
      <c r="O673" s="6" t="n">
        <v>12</v>
      </c>
      <c r="P673" s="6" t="n">
        <v>9130</v>
      </c>
      <c r="Q673" s="6" t="n">
        <v>1.0625</v>
      </c>
      <c r="R673">
        <f>M673+IF(N673&gt;1,N(O673)*(N673-1),0)</f>
        <v/>
      </c>
      <c r="S673">
        <f>IFERROR(L673*MAX(N673,1)/R673*Q673*IF(ISBLANK(K671),1,K671),0)</f>
        <v/>
      </c>
      <c r="AB673" s="7" t="inlineStr">
        <is>
          <t>^Grenade, ^ShrapnelWeapon, ^MediumMissile, ^HeavyMissile, ^CabalMissile</t>
        </is>
      </c>
    </row>
    <row r="674">
      <c r="B674" s="7" t="inlineStr">
        <is>
          <t xml:space="preserve">  ↳ CabalHeavyReaperTrap</t>
        </is>
      </c>
      <c r="C674" s="7" t="inlineStr">
        <is>
          <t>Armament@TRAP</t>
        </is>
      </c>
      <c r="L674" s="6" t="n"/>
      <c r="M674" s="6" t="n">
        <v>250</v>
      </c>
      <c r="N674" s="6" t="n">
        <v>1</v>
      </c>
      <c r="O674" s="6" t="n"/>
      <c r="P674" s="6" t="n">
        <v>6085</v>
      </c>
      <c r="Q674" s="6" t="n">
        <v>1</v>
      </c>
      <c r="R674">
        <f>M674+IF(N674&gt;1,N(O674)*(N674-1),0)</f>
        <v/>
      </c>
      <c r="S674">
        <f>IFERROR(L674*MAX(N674,1)/R674*Q674*IF(ISBLANK(K671),1,K671),0)</f>
        <v/>
      </c>
      <c r="AB674" s="7" t="inlineStr"/>
    </row>
    <row r="675">
      <c r="A675" t="inlineStr">
        <is>
          <t>tiberiansun</t>
        </is>
      </c>
      <c r="B675" t="inlineStr">
        <is>
          <t>cabal_manticore</t>
        </is>
      </c>
      <c r="C675" t="inlineStr">
        <is>
          <t>Manticore</t>
        </is>
      </c>
      <c r="D675" s="6" t="inlineStr">
        <is>
          <t>SupportVehicle</t>
        </is>
      </c>
      <c r="E675" s="6" t="n">
        <v>100000</v>
      </c>
      <c r="F675" s="6" t="n">
        <v>65</v>
      </c>
      <c r="G675" t="inlineStr">
        <is>
          <t>Light</t>
        </is>
      </c>
      <c r="H675" s="6" t="n">
        <v>0.75</v>
      </c>
      <c r="I675" s="6" t="n">
        <v>1.25</v>
      </c>
      <c r="J675" s="6" t="n">
        <v>1</v>
      </c>
      <c r="K675" s="6" t="n"/>
      <c r="P675">
        <f>MAX(P676,P677)</f>
        <v/>
      </c>
      <c r="S675">
        <f>S676+S677</f>
        <v/>
      </c>
      <c r="T675">
        <f>(E675/100000+F675/100+(P675/1000)*J675/5+S675/200)*200*I675*H675</f>
        <v/>
      </c>
      <c r="U675">
        <f>((E675*F675/25000)+((P675/1000)*J675*S675/2.5))*I675*H675</f>
        <v/>
      </c>
      <c r="V675">
        <f>(E675*F675*(P675/1000)*J675*S675*I675*H675)/12500000</f>
        <v/>
      </c>
      <c r="W675">
        <f>(T675+U675+V675)/3</f>
        <v/>
      </c>
      <c r="X675" s="6" t="n">
        <v>1400</v>
      </c>
      <c r="Y675">
        <f>IFERROR(W675-X675,"")</f>
        <v/>
      </c>
      <c r="Z675">
        <f>IFERROR(ABS(Y675)/MAX(X675,1),"")</f>
        <v/>
      </c>
      <c r="AA675">
        <f>IFERROR((X675-(((E675/100000+F675/100+S675/200)*200*I675*H675)+((E675*F675/25000)*I675*H675))/3)/(((J675/5)*200*I675*H675)+((J675*S675/2.5)*I675*H675)+((E675*F675*J675*S675*I675*H675)/12500000))/3*1000,"")</f>
        <v/>
      </c>
    </row>
    <row r="676">
      <c r="B676" s="7" t="inlineStr">
        <is>
          <t xml:space="preserve">  ↳ CabalManticoreLaser</t>
        </is>
      </c>
      <c r="C676" s="7" t="inlineStr">
        <is>
          <t>Armament@PRIMARY</t>
        </is>
      </c>
      <c r="L676" s="6" t="n">
        <v>10000</v>
      </c>
      <c r="M676" s="6" t="n">
        <v>30</v>
      </c>
      <c r="N676" s="6" t="n">
        <v>2</v>
      </c>
      <c r="O676" s="6" t="n">
        <v>3</v>
      </c>
      <c r="P676" s="6" t="n">
        <v>5358</v>
      </c>
      <c r="Q676" s="6" t="n">
        <v>1</v>
      </c>
      <c r="R676">
        <f>M676+IF(N676&gt;1,N(O676)*(N676-1),0)</f>
        <v/>
      </c>
      <c r="S676">
        <f>IFERROR(L676*MAX(N676,1)/R676*Q676*IF(ISBLANK(K675),1,K675),0)</f>
        <v/>
      </c>
      <c r="AB676" s="7" t="inlineStr">
        <is>
          <t>^LaserWeapon</t>
        </is>
      </c>
    </row>
    <row r="677">
      <c r="B677" s="7" t="inlineStr">
        <is>
          <t xml:space="preserve">  ↳ CabalManticoreMissilesAA</t>
        </is>
      </c>
      <c r="C677" s="7" t="inlineStr">
        <is>
          <t>Armament@SECONDARY</t>
        </is>
      </c>
      <c r="L677" s="6" t="n">
        <v>12000</v>
      </c>
      <c r="M677" s="6" t="n">
        <v>30</v>
      </c>
      <c r="N677" s="6" t="n">
        <v>2</v>
      </c>
      <c r="O677" s="6" t="n">
        <v>3</v>
      </c>
      <c r="P677" s="6" t="n">
        <v>5358</v>
      </c>
      <c r="Q677" s="6" t="n">
        <v>1</v>
      </c>
      <c r="R677">
        <f>M677+IF(N677&gt;1,N(O677)*(N677-1),0)</f>
        <v/>
      </c>
      <c r="S677">
        <f>IFERROR(L677*MAX(N677,1)/R677*Q677*IF(ISBLANK(K675),1,K675),0)</f>
        <v/>
      </c>
      <c r="AB677" s="7" t="inlineStr">
        <is>
          <t>^CabalManticoreMissiles</t>
        </is>
      </c>
    </row>
    <row r="678">
      <c r="A678" t="inlineStr">
        <is>
          <t>tiberiansun</t>
        </is>
      </c>
      <c r="B678" t="inlineStr">
        <is>
          <t>cabal_mobileconstructionvehicle</t>
        </is>
      </c>
      <c r="C678" t="inlineStr">
        <is>
          <t>CABAL Mobile Construction Vehicle</t>
        </is>
      </c>
      <c r="D678" s="6" t="inlineStr">
        <is>
          <t>SupportVehicle</t>
        </is>
      </c>
      <c r="E678" s="6" t="n">
        <v>300000</v>
      </c>
      <c r="F678" s="6" t="n">
        <v>75</v>
      </c>
      <c r="G678" t="inlineStr">
        <is>
          <t>Medium</t>
        </is>
      </c>
      <c r="H678" s="6" t="n">
        <v>1</v>
      </c>
      <c r="I678" s="6" t="n">
        <v>1</v>
      </c>
      <c r="J678" s="6" t="n">
        <v>1</v>
      </c>
      <c r="K678" s="6" t="n"/>
      <c r="X678" s="6" t="n">
        <v>5000</v>
      </c>
    </row>
    <row r="679">
      <c r="A679" t="inlineStr">
        <is>
          <t>tiberiansun</t>
        </is>
      </c>
      <c r="B679" t="inlineStr">
        <is>
          <t>cabal_scarabapc</t>
        </is>
      </c>
      <c r="C679" t="inlineStr">
        <is>
          <t>Scarab APC</t>
        </is>
      </c>
      <c r="D679" s="6" t="inlineStr">
        <is>
          <t>SupportVehicle</t>
        </is>
      </c>
      <c r="E679" s="6" t="n">
        <v>30000</v>
      </c>
      <c r="F679" s="6" t="n">
        <v>75</v>
      </c>
      <c r="G679" t="inlineStr">
        <is>
          <t>Heavy</t>
        </is>
      </c>
      <c r="H679" s="6" t="n">
        <v>1</v>
      </c>
      <c r="I679" s="6" t="n">
        <v>1</v>
      </c>
      <c r="J679" s="6" t="n">
        <v>1</v>
      </c>
      <c r="K679" s="6" t="n"/>
      <c r="X679" s="6" t="n">
        <v>4775</v>
      </c>
    </row>
    <row r="680">
      <c r="A680" t="inlineStr">
        <is>
          <t>tiberiansun</t>
        </is>
      </c>
      <c r="B680" t="inlineStr">
        <is>
          <t>ts_nod_mobileconstructionvehicle</t>
        </is>
      </c>
      <c r="C680" t="inlineStr">
        <is>
          <t>Nod Mobile Construction Vehicle</t>
        </is>
      </c>
      <c r="D680" s="6" t="inlineStr">
        <is>
          <t>SupportVehicle</t>
        </is>
      </c>
      <c r="E680" s="6" t="n">
        <v>300000</v>
      </c>
      <c r="F680" s="6" t="n">
        <v>75</v>
      </c>
      <c r="G680" t="inlineStr">
        <is>
          <t>Medium</t>
        </is>
      </c>
      <c r="H680" s="6" t="n">
        <v>1</v>
      </c>
      <c r="I680" s="6" t="n">
        <v>1</v>
      </c>
      <c r="J680" s="6" t="n">
        <v>1</v>
      </c>
      <c r="K680" s="6" t="n"/>
      <c r="X680" s="6" t="n">
        <v>5000</v>
      </c>
    </row>
    <row r="681">
      <c r="A681" t="inlineStr">
        <is>
          <t>tiberiansun</t>
        </is>
      </c>
      <c r="B681" t="inlineStr">
        <is>
          <t>ts_nod_subterraneanapc</t>
        </is>
      </c>
      <c r="C681" t="inlineStr">
        <is>
          <t>Subterranean APC</t>
        </is>
      </c>
      <c r="D681" s="6" t="inlineStr">
        <is>
          <t>SupportVehicle</t>
        </is>
      </c>
      <c r="E681" s="6" t="n">
        <v>17500</v>
      </c>
      <c r="F681" s="6" t="n">
        <v>60</v>
      </c>
      <c r="G681" t="inlineStr">
        <is>
          <t>Medium</t>
        </is>
      </c>
      <c r="H681" s="6" t="n">
        <v>1</v>
      </c>
      <c r="I681" s="6" t="n">
        <v>1</v>
      </c>
      <c r="J681" s="6" t="n">
        <v>1</v>
      </c>
      <c r="K681" s="6" t="n"/>
      <c r="P681">
        <f>MAX(P682,P683)</f>
        <v/>
      </c>
      <c r="S681">
        <f>S682+S683</f>
        <v/>
      </c>
      <c r="T681">
        <f>(E681/100000+F681/100+(P681/1000)*J681/5+S681/200)*200*I681*H681</f>
        <v/>
      </c>
      <c r="U681">
        <f>((E681*F681/25000)+((P681/1000)*J681*S681/2.5))*I681*H681</f>
        <v/>
      </c>
      <c r="V681">
        <f>(E681*F681*(P681/1000)*J681*S681*I681*H681)/12500000</f>
        <v/>
      </c>
      <c r="W681">
        <f>(T681+U681+V681)/3</f>
        <v/>
      </c>
      <c r="X681" s="6" t="n">
        <v>1410</v>
      </c>
      <c r="Y681">
        <f>IFERROR(W681-X681,"")</f>
        <v/>
      </c>
      <c r="Z681">
        <f>IFERROR(ABS(Y681)/MAX(X681,1),"")</f>
        <v/>
      </c>
      <c r="AA681">
        <f>IFERROR((X681-(((E681/100000+F681/100+S681/200)*200*I681*H681)+((E681*F681/25000)*I681*H681))/3)/(((J681/5)*200*I681*H681)+((J681*S681/2.5)*I681*H681)+((E681*F681*J681*S681*I681*H681)/12500000))/3*1000,"")</f>
        <v/>
      </c>
    </row>
    <row r="682">
      <c r="B682" s="7" t="inlineStr">
        <is>
          <t xml:space="preserve">  ↳ TSSAPCMissiles</t>
        </is>
      </c>
      <c r="C682" s="7" t="inlineStr">
        <is>
          <t>Armament@PRIMARY</t>
        </is>
      </c>
      <c r="L682" s="6" t="n">
        <v>8000</v>
      </c>
      <c r="M682" s="6" t="n">
        <v>18</v>
      </c>
      <c r="N682" s="6" t="n">
        <v>2</v>
      </c>
      <c r="O682" s="6" t="n">
        <v>2</v>
      </c>
      <c r="P682" s="6" t="n">
        <v>5300</v>
      </c>
      <c r="Q682" s="6" t="n">
        <v>0.875</v>
      </c>
      <c r="R682">
        <f>M682+IF(N682&gt;1,N(O682)*(N682-1),0)</f>
        <v/>
      </c>
      <c r="S682">
        <f>IFERROR(L682*MAX(N682,1)/R682*Q682*IF(ISBLANK(K681),1,K681),0)</f>
        <v/>
      </c>
      <c r="AB682" s="7" t="inlineStr">
        <is>
          <t>^Grenade, ^LightMissile</t>
        </is>
      </c>
    </row>
    <row r="683">
      <c r="B683" s="7" t="inlineStr">
        <is>
          <t xml:space="preserve">  ↳ TSSAPCCoreMissiles</t>
        </is>
      </c>
      <c r="C683" s="7" t="inlineStr">
        <is>
          <t>Armament@UPGRADE</t>
        </is>
      </c>
      <c r="L683" s="6" t="n">
        <v>8000</v>
      </c>
      <c r="M683" s="6" t="n">
        <v>18</v>
      </c>
      <c r="N683" s="6" t="n">
        <v>2</v>
      </c>
      <c r="O683" s="6" t="n">
        <v>2</v>
      </c>
      <c r="P683" s="6" t="n">
        <v>5300</v>
      </c>
      <c r="Q683" s="6" t="n">
        <v>0.8333333333333334</v>
      </c>
      <c r="R683">
        <f>M683+IF(N683&gt;1,N(O683)*(N683-1),0)</f>
        <v/>
      </c>
      <c r="S683">
        <f>IFERROR(L683*MAX(N683,1)/R683*Q683*IF(ISBLANK(K681),1,K681),0)</f>
        <v/>
      </c>
      <c r="AB683" s="7" t="inlineStr">
        <is>
          <t>^LightChemicalWeapon, ^Grenade, ^LightMissile</t>
        </is>
      </c>
    </row>
    <row r="684">
      <c r="A684" t="inlineStr">
        <is>
          <t>tiberiansun</t>
        </is>
      </c>
      <c r="B684" t="inlineStr">
        <is>
          <t>ts_gdi_amphibiousapc</t>
        </is>
      </c>
      <c r="C684" t="inlineStr">
        <is>
          <t>Amphibious APC</t>
        </is>
      </c>
      <c r="D684" s="6" t="inlineStr">
        <is>
          <t>SupportVehicle</t>
        </is>
      </c>
      <c r="E684" s="6" t="n">
        <v>80000</v>
      </c>
      <c r="F684" s="6" t="n">
        <v>100</v>
      </c>
      <c r="G684" t="inlineStr">
        <is>
          <t>Heavy</t>
        </is>
      </c>
      <c r="H684" s="6" t="n">
        <v>1</v>
      </c>
      <c r="I684" s="6" t="n">
        <v>1</v>
      </c>
      <c r="J684" s="6" t="n">
        <v>1</v>
      </c>
      <c r="K684" s="6" t="n"/>
      <c r="P684">
        <f>MAX(P685)</f>
        <v/>
      </c>
      <c r="S684">
        <f>S685</f>
        <v/>
      </c>
      <c r="T684">
        <f>(E684/100000+F684/100+(P684/1000)*J684/5+S684/200)*200*I684*H684</f>
        <v/>
      </c>
      <c r="U684">
        <f>((E684*F684/25000)+((P684/1000)*J684*S684/2.5))*I684*H684</f>
        <v/>
      </c>
      <c r="V684">
        <f>(E684*F684*(P684/1000)*J684*S684*I684*H684)/12500000</f>
        <v/>
      </c>
      <c r="W684">
        <f>(T684+U684+V684)/3</f>
        <v/>
      </c>
      <c r="X684" s="6" t="n">
        <v>1640</v>
      </c>
      <c r="Y684">
        <f>IFERROR(W684-X684,"")</f>
        <v/>
      </c>
      <c r="Z684">
        <f>IFERROR(ABS(Y684)/MAX(X684,1),"")</f>
        <v/>
      </c>
      <c r="AA684">
        <f>IFERROR((X684-(((E684/100000+F684/100+S684/200)*200*I684*H684)+((E684*F684/25000)*I684*H684))/3)/(((J684/5)*200*I684*H684)+((J684*S684/2.5)*I684*H684)+((E684*F684*J684*S684*I684*H684)/12500000))/3*1000,"")</f>
        <v/>
      </c>
    </row>
    <row r="685">
      <c r="B685" s="7" t="inlineStr">
        <is>
          <t xml:space="preserve">  ↳ TSAAPCCannon</t>
        </is>
      </c>
      <c r="C685" s="7" t="inlineStr">
        <is>
          <t>Armament</t>
        </is>
      </c>
      <c r="L685" s="6" t="n">
        <v>2000</v>
      </c>
      <c r="M685" s="6" t="n">
        <v>10</v>
      </c>
      <c r="N685" s="6" t="n">
        <v>1</v>
      </c>
      <c r="O685" s="6" t="n"/>
      <c r="P685" s="6" t="n">
        <v>6263</v>
      </c>
      <c r="Q685" s="6" t="n">
        <v>1</v>
      </c>
      <c r="R685">
        <f>M685+IF(N685&gt;1,N(O685)*(N685-1),0)</f>
        <v/>
      </c>
      <c r="S685">
        <f>IFERROR(L685*MAX(N685,1)/R685*Q685*IF(ISBLANK(K684),1,K684),0)</f>
        <v/>
      </c>
      <c r="AB685" s="7" t="inlineStr">
        <is>
          <t>^Chaingun, ^FlakWeapon</t>
        </is>
      </c>
    </row>
    <row r="686">
      <c r="A686" t="inlineStr">
        <is>
          <t>tiberiansun</t>
        </is>
      </c>
      <c r="B686" t="inlineStr">
        <is>
          <t>ts_gdi_mobileconstructionvehicle</t>
        </is>
      </c>
      <c r="C686" t="inlineStr">
        <is>
          <t>Mobile Construction Vehicle</t>
        </is>
      </c>
      <c r="D686" s="6" t="inlineStr">
        <is>
          <t>SupportVehicle</t>
        </is>
      </c>
      <c r="E686" s="6" t="n">
        <v>300000</v>
      </c>
      <c r="F686" s="6" t="n">
        <v>75</v>
      </c>
      <c r="G686" t="inlineStr">
        <is>
          <t>Medium</t>
        </is>
      </c>
      <c r="H686" s="6" t="n">
        <v>1</v>
      </c>
      <c r="I686" s="6" t="n">
        <v>1</v>
      </c>
      <c r="J686" s="6" t="n">
        <v>1</v>
      </c>
      <c r="K686" s="6" t="n"/>
      <c r="X686" s="6" t="n">
        <v>5000</v>
      </c>
    </row>
    <row r="687">
      <c r="A687" t="inlineStr">
        <is>
          <t>tiberiansun</t>
        </is>
      </c>
      <c r="B687" t="inlineStr">
        <is>
          <t>forgotten_apctruck</t>
        </is>
      </c>
      <c r="C687" t="inlineStr">
        <is>
          <t>actor_forgotten_apctruck.name</t>
        </is>
      </c>
      <c r="D687" s="6" t="inlineStr">
        <is>
          <t>SupportVehicle</t>
        </is>
      </c>
      <c r="E687" s="6" t="n">
        <v>80000</v>
      </c>
      <c r="F687" s="6" t="n">
        <v>80</v>
      </c>
      <c r="G687" t="inlineStr">
        <is>
          <t>Light</t>
        </is>
      </c>
      <c r="H687" s="6" t="n">
        <v>1</v>
      </c>
      <c r="I687" s="6" t="n">
        <v>1</v>
      </c>
      <c r="J687" s="6" t="n">
        <v>1</v>
      </c>
      <c r="K687" s="6" t="n"/>
      <c r="P687">
        <f>MAX(P688)</f>
        <v/>
      </c>
      <c r="S687">
        <f>S688</f>
        <v/>
      </c>
      <c r="T687">
        <f>(E687/100000+F687/100+(P687/1000)*J687/5+S687/200)*200*I687*H687</f>
        <v/>
      </c>
      <c r="U687">
        <f>((E687*F687/25000)+((P687/1000)*J687*S687/2.5))*I687*H687</f>
        <v/>
      </c>
      <c r="V687">
        <f>(E687*F687*(P687/1000)*J687*S687*I687*H687)/12500000</f>
        <v/>
      </c>
      <c r="W687">
        <f>(T687+U687+V687)/3</f>
        <v/>
      </c>
      <c r="X687" s="6" t="n">
        <v>1260</v>
      </c>
      <c r="Y687">
        <f>IFERROR(W687-X687,"")</f>
        <v/>
      </c>
      <c r="Z687">
        <f>IFERROR(ABS(Y687)/MAX(X687,1),"")</f>
        <v/>
      </c>
      <c r="AA687">
        <f>IFERROR((X687-(((E687/100000+F687/100+S687/200)*200*I687*H687)+((E687*F687/25000)*I687*H687))/3)/(((J687/5)*200*I687*H687)+((J687*S687/2.5)*I687*H687)+((E687*F687*J687*S687*I687*H687)/12500000))/3*1000,"")</f>
        <v/>
      </c>
    </row>
    <row r="688">
      <c r="B688" s="7" t="inlineStr">
        <is>
          <t xml:space="preserve">  ↳ TSMutApcCannon</t>
        </is>
      </c>
      <c r="C688" s="7" t="inlineStr">
        <is>
          <t>Armament</t>
        </is>
      </c>
      <c r="L688" s="6" t="n">
        <v>2000</v>
      </c>
      <c r="M688" s="6" t="n">
        <v>12</v>
      </c>
      <c r="N688" s="6" t="n">
        <v>1</v>
      </c>
      <c r="O688" s="6" t="n"/>
      <c r="P688" s="6" t="n">
        <v>6147</v>
      </c>
      <c r="Q688" s="6" t="n">
        <v>1</v>
      </c>
      <c r="R688">
        <f>M688+IF(N688&gt;1,N(O688)*(N688-1),0)</f>
        <v/>
      </c>
      <c r="S688">
        <f>IFERROR(L688*MAX(N688,1)/R688*Q688*IF(ISBLANK(K687),1,K687),0)</f>
        <v/>
      </c>
      <c r="AB688" s="7" t="inlineStr">
        <is>
          <t>^Chaingun, ^FlakWeapon</t>
        </is>
      </c>
    </row>
    <row r="689">
      <c r="A689" t="inlineStr">
        <is>
          <t>tiberiansun</t>
        </is>
      </c>
      <c r="B689" t="inlineStr">
        <is>
          <t>forgotten_m113adats</t>
        </is>
      </c>
      <c r="C689" t="inlineStr">
        <is>
          <t>actor_forgotten_m113adats.name</t>
        </is>
      </c>
      <c r="D689" s="6" t="inlineStr">
        <is>
          <t>SupportVehicle</t>
        </is>
      </c>
      <c r="E689" s="6" t="n">
        <v>50000</v>
      </c>
      <c r="F689" s="6" t="n">
        <v>70</v>
      </c>
      <c r="G689" t="inlineStr">
        <is>
          <t>Light</t>
        </is>
      </c>
      <c r="H689" s="6" t="n">
        <v>1</v>
      </c>
      <c r="I689" s="6" t="n">
        <v>1</v>
      </c>
      <c r="J689" s="6" t="n">
        <v>1</v>
      </c>
      <c r="K689" s="6" t="n"/>
      <c r="P689">
        <f>MAX(P690,P691,P692,P693)</f>
        <v/>
      </c>
      <c r="S689">
        <f>S690+S691+S692+S693</f>
        <v/>
      </c>
      <c r="T689">
        <f>(E689/100000+F689/100+(P689/1000)*J689/5+S689/200)*200*I689*H689</f>
        <v/>
      </c>
      <c r="U689">
        <f>((E689*F689/25000)+((P689/1000)*J689*S689/2.5))*I689*H689</f>
        <v/>
      </c>
      <c r="V689">
        <f>(E689*F689*(P689/1000)*J689*S689*I689*H689)/12500000</f>
        <v/>
      </c>
      <c r="W689">
        <f>(T689+U689+V689)/3</f>
        <v/>
      </c>
      <c r="X689" s="6" t="n">
        <v>950</v>
      </c>
      <c r="Y689">
        <f>IFERROR(W689-X689,"")</f>
        <v/>
      </c>
      <c r="Z689">
        <f>IFERROR(ABS(Y689)/MAX(X689,1),"")</f>
        <v/>
      </c>
      <c r="AA689">
        <f>IFERROR((X689-(((E689/100000+F689/100+S689/200)*200*I689*H689)+((E689*F689/25000)*I689*H689))/3)/(((J689/5)*200*I689*H689)+((J689*S689/2.5)*I689*H689)+((E689*F689*J689*S689*I689*H689)/12500000))/3*1000,"")</f>
        <v/>
      </c>
    </row>
    <row r="690">
      <c r="B690" s="7" t="inlineStr">
        <is>
          <t xml:space="preserve">  ↳ TSAdatsMissile</t>
        </is>
      </c>
      <c r="C690" s="7" t="inlineStr">
        <is>
          <t>Armament@PRIMARY</t>
        </is>
      </c>
      <c r="L690" s="6" t="n">
        <v>4000</v>
      </c>
      <c r="M690" s="6" t="n">
        <v>54</v>
      </c>
      <c r="N690" s="6" t="n">
        <v>4</v>
      </c>
      <c r="O690" s="6" t="n">
        <v>2</v>
      </c>
      <c r="P690" s="6" t="n">
        <v>5606</v>
      </c>
      <c r="Q690" s="6" t="n">
        <v>0.875</v>
      </c>
      <c r="R690">
        <f>M690+IF(N690&gt;1,N(O690)*(N690-1),0)</f>
        <v/>
      </c>
      <c r="S690">
        <f>IFERROR(L690*MAX(N690,1)/R690*Q690*IF(ISBLANK(K689),1,K689),0)</f>
        <v/>
      </c>
      <c r="AB690" s="7" t="inlineStr">
        <is>
          <t>^FlakWeapon, ^LightMissile</t>
        </is>
      </c>
    </row>
    <row r="691">
      <c r="B691" s="7" t="inlineStr">
        <is>
          <t xml:space="preserve">  ↳ TSAdatsMissileAA</t>
        </is>
      </c>
      <c r="C691" s="7" t="inlineStr">
        <is>
          <t>Armament@SECONDARY</t>
        </is>
      </c>
      <c r="L691" s="6" t="n">
        <v>4000</v>
      </c>
      <c r="M691" s="6" t="n">
        <v>54</v>
      </c>
      <c r="N691" s="6" t="n">
        <v>4</v>
      </c>
      <c r="O691" s="6" t="n">
        <v>2</v>
      </c>
      <c r="P691" s="6" t="n">
        <v>8409</v>
      </c>
      <c r="Q691" s="6" t="n">
        <v>0.875</v>
      </c>
      <c r="R691">
        <f>M691+IF(N691&gt;1,N(O691)*(N691-1),0)</f>
        <v/>
      </c>
      <c r="S691">
        <f>IFERROR(L691*MAX(N691,1)/R691*Q691*IF(ISBLANK(K689),1,K689),0)</f>
        <v/>
      </c>
      <c r="AB691" s="7" t="inlineStr">
        <is>
          <t>^FlakWeapon, ^LightMissile</t>
        </is>
      </c>
    </row>
    <row r="692">
      <c r="B692" s="7" t="inlineStr">
        <is>
          <t xml:space="preserve">  ↳ TSAdatsMissile</t>
        </is>
      </c>
      <c r="C692" s="7" t="inlineStr">
        <is>
          <t>Armament@UPGRADE</t>
        </is>
      </c>
      <c r="L692" s="6" t="n">
        <v>4000</v>
      </c>
      <c r="M692" s="6" t="n">
        <v>54</v>
      </c>
      <c r="N692" s="6" t="n">
        <v>4</v>
      </c>
      <c r="O692" s="6" t="n">
        <v>2</v>
      </c>
      <c r="P692" s="6" t="n">
        <v>5606</v>
      </c>
      <c r="Q692" s="6" t="n">
        <v>0.875</v>
      </c>
      <c r="R692">
        <f>M692+IF(N692&gt;1,N(O692)*(N692-1),0)</f>
        <v/>
      </c>
      <c r="S692">
        <f>IFERROR(L692*MAX(N692,1)/R692*Q692*IF(ISBLANK(K689),1,K689),0)</f>
        <v/>
      </c>
      <c r="AB692" s="7" t="inlineStr">
        <is>
          <t>^FlakWeapon, ^LightMissile</t>
        </is>
      </c>
    </row>
    <row r="693">
      <c r="B693" s="7" t="inlineStr">
        <is>
          <t xml:space="preserve">  ↳ TSAdatsMissileAA</t>
        </is>
      </c>
      <c r="C693" s="7" t="inlineStr">
        <is>
          <t>Armament@UPGRADEAA</t>
        </is>
      </c>
      <c r="L693" s="6" t="n">
        <v>4000</v>
      </c>
      <c r="M693" s="6" t="n">
        <v>54</v>
      </c>
      <c r="N693" s="6" t="n">
        <v>4</v>
      </c>
      <c r="O693" s="6" t="n">
        <v>2</v>
      </c>
      <c r="P693" s="6" t="n">
        <v>8409</v>
      </c>
      <c r="Q693" s="6" t="n">
        <v>0.875</v>
      </c>
      <c r="R693">
        <f>M693+IF(N693&gt;1,N(O693)*(N693-1),0)</f>
        <v/>
      </c>
      <c r="S693">
        <f>IFERROR(L693*MAX(N693,1)/R693*Q693*IF(ISBLANK(K689),1,K689),0)</f>
        <v/>
      </c>
      <c r="AB693" s="7" t="inlineStr">
        <is>
          <t>^FlakWeapon, ^LightMissile</t>
        </is>
      </c>
    </row>
    <row r="694">
      <c r="A694" t="inlineStr">
        <is>
          <t>tiberiansun</t>
        </is>
      </c>
      <c r="B694" t="inlineStr">
        <is>
          <t>forgotten_mobileconstructionvehicle</t>
        </is>
      </c>
      <c r="C694" t="inlineStr">
        <is>
          <t>actor_forgotten_mobileconstructionvehicle.name</t>
        </is>
      </c>
      <c r="D694" s="6" t="inlineStr">
        <is>
          <t>SupportVehicle</t>
        </is>
      </c>
      <c r="E694" s="6" t="n">
        <v>300000</v>
      </c>
      <c r="F694" s="6" t="n">
        <v>75</v>
      </c>
      <c r="G694" t="inlineStr">
        <is>
          <t>Medium</t>
        </is>
      </c>
      <c r="H694" s="6" t="n">
        <v>1</v>
      </c>
      <c r="I694" s="6" t="n">
        <v>1</v>
      </c>
      <c r="J694" s="6" t="n">
        <v>1</v>
      </c>
      <c r="K694" s="6" t="n"/>
      <c r="X694" s="6" t="n">
        <v>5000</v>
      </c>
    </row>
    <row r="695">
      <c r="A695" t="inlineStr">
        <is>
          <t>tiberiansun</t>
        </is>
      </c>
      <c r="B695" t="inlineStr">
        <is>
          <t>forgotten_scarabapc</t>
        </is>
      </c>
      <c r="C695" t="inlineStr">
        <is>
          <t>Subterranean APC</t>
        </is>
      </c>
      <c r="D695" s="6" t="inlineStr">
        <is>
          <t>SupportVehicle</t>
        </is>
      </c>
      <c r="E695" s="6" t="n">
        <v>17500</v>
      </c>
      <c r="F695" s="6" t="n">
        <v>60</v>
      </c>
      <c r="G695" t="inlineStr">
        <is>
          <t>Medium</t>
        </is>
      </c>
      <c r="H695" s="6" t="n">
        <v>1</v>
      </c>
      <c r="I695" s="6" t="n">
        <v>1</v>
      </c>
      <c r="J695" s="6" t="n">
        <v>1</v>
      </c>
      <c r="K695" s="6" t="n"/>
      <c r="P695">
        <f>MAX(P696,P697)</f>
        <v/>
      </c>
      <c r="S695">
        <f>S696+S697</f>
        <v/>
      </c>
      <c r="T695">
        <f>(E695/100000+F695/100+(P695/1000)*J695/5+S695/200)*200*I695*H695</f>
        <v/>
      </c>
      <c r="U695">
        <f>((E695*F695/25000)+((P695/1000)*J695*S695/2.5))*I695*H695</f>
        <v/>
      </c>
      <c r="V695">
        <f>(E695*F695*(P695/1000)*J695*S695*I695*H695)/12500000</f>
        <v/>
      </c>
      <c r="W695">
        <f>(T695+U695+V695)/3</f>
        <v/>
      </c>
      <c r="X695" s="6" t="n">
        <v>1410</v>
      </c>
      <c r="Y695">
        <f>IFERROR(W695-X695,"")</f>
        <v/>
      </c>
      <c r="Z695">
        <f>IFERROR(ABS(Y695)/MAX(X695,1),"")</f>
        <v/>
      </c>
      <c r="AA695">
        <f>IFERROR((X695-(((E695/100000+F695/100+S695/200)*200*I695*H695)+((E695*F695/25000)*I695*H695))/3)/(((J695/5)*200*I695*H695)+((J695*S695/2.5)*I695*H695)+((E695*F695*J695*S695*I695*H695)/12500000))/3*1000,"")</f>
        <v/>
      </c>
    </row>
    <row r="696">
      <c r="B696" s="7" t="inlineStr">
        <is>
          <t xml:space="preserve">  ↳ TSSAPCMissiles</t>
        </is>
      </c>
      <c r="C696" s="7" t="inlineStr">
        <is>
          <t>Armament@PRIMARY</t>
        </is>
      </c>
      <c r="L696" s="6" t="n">
        <v>8000</v>
      </c>
      <c r="M696" s="6" t="n">
        <v>18</v>
      </c>
      <c r="N696" s="6" t="n">
        <v>2</v>
      </c>
      <c r="O696" s="6" t="n">
        <v>2</v>
      </c>
      <c r="P696" s="6" t="n">
        <v>5300</v>
      </c>
      <c r="Q696" s="6" t="n">
        <v>0.875</v>
      </c>
      <c r="R696">
        <f>M696+IF(N696&gt;1,N(O696)*(N696-1),0)</f>
        <v/>
      </c>
      <c r="S696">
        <f>IFERROR(L696*MAX(N696,1)/R696*Q696*IF(ISBLANK(K695),1,K695),0)</f>
        <v/>
      </c>
      <c r="AB696" s="7" t="inlineStr">
        <is>
          <t>^Grenade, ^LightMissile</t>
        </is>
      </c>
    </row>
    <row r="697">
      <c r="B697" s="7" t="inlineStr">
        <is>
          <t xml:space="preserve">  ↳ TSSAPCCoreMissiles</t>
        </is>
      </c>
      <c r="C697" s="7" t="inlineStr">
        <is>
          <t>Armament@UPGRADE</t>
        </is>
      </c>
      <c r="L697" s="6" t="n">
        <v>8000</v>
      </c>
      <c r="M697" s="6" t="n">
        <v>18</v>
      </c>
      <c r="N697" s="6" t="n">
        <v>2</v>
      </c>
      <c r="O697" s="6" t="n">
        <v>2</v>
      </c>
      <c r="P697" s="6" t="n">
        <v>5300</v>
      </c>
      <c r="Q697" s="6" t="n">
        <v>0.8333333333333334</v>
      </c>
      <c r="R697">
        <f>M697+IF(N697&gt;1,N(O697)*(N697-1),0)</f>
        <v/>
      </c>
      <c r="S697">
        <f>IFERROR(L697*MAX(N697,1)/R697*Q697*IF(ISBLANK(K695),1,K695),0)</f>
        <v/>
      </c>
      <c r="AB697" s="7" t="inlineStr">
        <is>
          <t>^LightChemicalWeapon, ^Grenade, ^LightMissile</t>
        </is>
      </c>
    </row>
    <row r="698">
      <c r="A698" t="inlineStr">
        <is>
          <t>shared</t>
        </is>
      </c>
      <c r="B698" t="inlineStr">
        <is>
          <t>yrsmin.empy</t>
        </is>
      </c>
      <c r="C698" t="inlineStr">
        <is>
          <t>Slave Miner</t>
        </is>
      </c>
      <c r="D698" s="6" t="inlineStr">
        <is>
          <t>SupportVehicle</t>
        </is>
      </c>
      <c r="E698" s="6" t="n">
        <v>200000</v>
      </c>
      <c r="F698" s="6" t="n">
        <v>50</v>
      </c>
      <c r="G698" t="inlineStr">
        <is>
          <t>Heavy</t>
        </is>
      </c>
      <c r="H698" s="6" t="n">
        <v>1</v>
      </c>
      <c r="I698" s="6" t="n">
        <v>1</v>
      </c>
      <c r="J698" s="6" t="n">
        <v>1</v>
      </c>
      <c r="K698" s="6" t="n"/>
      <c r="P698">
        <f>MAX(P699)</f>
        <v/>
      </c>
      <c r="S698">
        <f>S699</f>
        <v/>
      </c>
      <c r="T698">
        <f>(E698/100000+F698/100+(P698/1000)*J698/5+S698/200)*200*I698*H698</f>
        <v/>
      </c>
      <c r="U698">
        <f>((E698*F698/25000)+((P698/1000)*J698*S698/2.5))*I698*H698</f>
        <v/>
      </c>
      <c r="V698">
        <f>(E698*F698*(P698/1000)*J698*S698*I698*H698)/12500000</f>
        <v/>
      </c>
      <c r="W698">
        <f>(T698+U698+V698)/3</f>
        <v/>
      </c>
      <c r="X698" s="6" t="n">
        <v>2000</v>
      </c>
      <c r="Y698">
        <f>IFERROR(W698-X698,"")</f>
        <v/>
      </c>
      <c r="Z698">
        <f>IFERROR(ABS(Y698)/MAX(X698,1),"")</f>
        <v/>
      </c>
      <c r="AA698">
        <f>IFERROR((X698-(((E698/100000+F698/100+S698/200)*200*I698*H698)+((E698*F698/25000)*I698*H698))/3)/(((J698/5)*200*I698*H698)+((J698*S698/2.5)*I698*H698)+((E698*F698*J698*S698*I698*H698)/12500000))/3*1000,"")</f>
        <v/>
      </c>
    </row>
    <row r="699">
      <c r="B699" s="7" t="inlineStr">
        <is>
          <t xml:space="preserve">  ↳ RA220mmrapid</t>
        </is>
      </c>
      <c r="C699" s="7" t="inlineStr">
        <is>
          <t>Armament@primary</t>
        </is>
      </c>
      <c r="L699" s="6" t="n">
        <v>4000</v>
      </c>
      <c r="M699" s="6" t="n">
        <v>15</v>
      </c>
      <c r="N699" s="6" t="n">
        <v>1</v>
      </c>
      <c r="O699" s="6" t="n"/>
      <c r="P699" s="6" t="n">
        <v>5000</v>
      </c>
      <c r="Q699" s="6" t="n">
        <v>0.875</v>
      </c>
      <c r="R699">
        <f>M699+IF(N699&gt;1,N(O699)*(N699-1),0)</f>
        <v/>
      </c>
      <c r="S699">
        <f>IFERROR(L699*MAX(N699,1)/R699*Q699*IF(ISBLANK(K698),1,K698),0)</f>
        <v/>
      </c>
      <c r="AB699" s="7" t="inlineStr">
        <is>
          <t>^RA2SmallArms, ^RA2Chaingun</t>
        </is>
      </c>
    </row>
    <row r="700">
      <c r="A700" t="inlineStr">
        <is>
          <t>redalert2</t>
        </is>
      </c>
      <c r="B700" t="inlineStr">
        <is>
          <t>ra2_allies_alliedmobileconstructionvehicle</t>
        </is>
      </c>
      <c r="C700" t="inlineStr">
        <is>
          <t>Allied Mobile Construction Vehicle</t>
        </is>
      </c>
      <c r="D700" s="6" t="inlineStr">
        <is>
          <t>SupportVehicle</t>
        </is>
      </c>
      <c r="E700" s="6" t="n">
        <v>300000</v>
      </c>
      <c r="F700" s="6" t="n">
        <v>75</v>
      </c>
      <c r="G700" t="inlineStr">
        <is>
          <t>Medium</t>
        </is>
      </c>
      <c r="H700" s="6" t="n">
        <v>1</v>
      </c>
      <c r="I700" s="6" t="n">
        <v>1</v>
      </c>
      <c r="J700" s="6" t="n">
        <v>1</v>
      </c>
      <c r="K700" s="6" t="n"/>
      <c r="X700" s="6" t="n">
        <v>5000</v>
      </c>
    </row>
    <row r="701">
      <c r="A701" t="inlineStr">
        <is>
          <t>redalert2</t>
        </is>
      </c>
      <c r="B701" t="inlineStr">
        <is>
          <t>ra2_soviets_flaktrack</t>
        </is>
      </c>
      <c r="C701" t="inlineStr">
        <is>
          <t>Flak Track</t>
        </is>
      </c>
      <c r="D701" s="6" t="inlineStr">
        <is>
          <t>SupportVehicle</t>
        </is>
      </c>
      <c r="E701" s="6" t="n">
        <v>45000</v>
      </c>
      <c r="F701" s="6" t="n">
        <v>95</v>
      </c>
      <c r="G701" t="inlineStr">
        <is>
          <t>Light</t>
        </is>
      </c>
      <c r="H701" s="6" t="n">
        <v>1</v>
      </c>
      <c r="I701" s="6" t="n">
        <v>1.25</v>
      </c>
      <c r="J701" s="6" t="n">
        <v>1</v>
      </c>
      <c r="K701" s="6" t="n">
        <v>0.75</v>
      </c>
      <c r="P701">
        <f>MAX(P702,P703,P704,P705)</f>
        <v/>
      </c>
      <c r="S701">
        <f>S702+S703+S704+S705</f>
        <v/>
      </c>
      <c r="T701">
        <f>(E701/100000+F701/100+(P701/1000)*J701/5+S701/200)*200*I701*H701</f>
        <v/>
      </c>
      <c r="U701">
        <f>((E701*F701/25000)+((P701/1000)*J701*S701/2.5))*I701*H701</f>
        <v/>
      </c>
      <c r="V701">
        <f>(E701*F701*(P701/1000)*J701*S701*I701*H701)/12500000</f>
        <v/>
      </c>
      <c r="W701">
        <f>(T701+U701+V701)/3</f>
        <v/>
      </c>
      <c r="X701" s="6" t="n">
        <v>900</v>
      </c>
      <c r="Y701">
        <f>IFERROR(W701-X701,"")</f>
        <v/>
      </c>
      <c r="Z701">
        <f>IFERROR(ABS(Y701)/MAX(X701,1),"")</f>
        <v/>
      </c>
      <c r="AA701">
        <f>IFERROR((X701-(((E701/100000+F701/100+S701/200)*200*I701*H701)+((E701*F701/25000)*I701*H701))/3)/(((J701/5)*200*I701*H701)+((J701*S701/2.5)*I701*H701)+((E701*F701*J701*S701*I701*H701)/12500000))/3*1000,"")</f>
        <v/>
      </c>
    </row>
    <row r="702">
      <c r="B702" s="7" t="inlineStr">
        <is>
          <t xml:space="preserve">  ↳ RA2FlakTrackAAGun</t>
        </is>
      </c>
      <c r="C702" s="7" t="inlineStr">
        <is>
          <t>Armament@AA</t>
        </is>
      </c>
      <c r="L702" s="6" t="n">
        <v>2000</v>
      </c>
      <c r="M702" s="6" t="n">
        <v>25</v>
      </c>
      <c r="N702" s="6" t="n">
        <v>1</v>
      </c>
      <c r="O702" s="6" t="n"/>
      <c r="P702" s="6" t="n">
        <v>8292</v>
      </c>
      <c r="Q702" s="6" t="n">
        <v>0.9375</v>
      </c>
      <c r="R702">
        <f>M702+IF(N702&gt;1,N(O702)*(N702-1),0)</f>
        <v/>
      </c>
      <c r="S702">
        <f>IFERROR(L702*MAX(N702,1)/R702*Q702*IF(ISBLANK(K701),1,K701),0)</f>
        <v/>
      </c>
      <c r="AB702" s="7" t="inlineStr">
        <is>
          <t>^SmallArms, ^Grenade, ^Chaingun, ^RA2FlakWeapon</t>
        </is>
      </c>
    </row>
    <row r="703">
      <c r="B703" s="7" t="inlineStr">
        <is>
          <t xml:space="preserve">  ↳ RA2FlakTrackGun</t>
        </is>
      </c>
      <c r="C703" s="7" t="inlineStr">
        <is>
          <t>Armament@AG</t>
        </is>
      </c>
      <c r="L703" s="6" t="n">
        <v>2000</v>
      </c>
      <c r="M703" s="6" t="n">
        <v>18</v>
      </c>
      <c r="N703" s="6" t="n">
        <v>1</v>
      </c>
      <c r="O703" s="6" t="n"/>
      <c r="P703" s="6" t="n">
        <v>5528</v>
      </c>
      <c r="Q703" s="6" t="n">
        <v>0.9375</v>
      </c>
      <c r="R703">
        <f>M703+IF(N703&gt;1,N(O703)*(N703-1),0)</f>
        <v/>
      </c>
      <c r="S703">
        <f>IFERROR(L703*MAX(N703,1)/R703*Q703*IF(ISBLANK(K701),1,K701),0)</f>
        <v/>
      </c>
      <c r="AB703" s="7" t="inlineStr">
        <is>
          <t>^SmallArms, ^Grenade, ^Chaingun, ^RA2FlakWeapon</t>
        </is>
      </c>
    </row>
    <row r="704">
      <c r="B704" s="7" t="inlineStr">
        <is>
          <t xml:space="preserve">  ↳ RA2FlakTrackAAGunE</t>
        </is>
      </c>
      <c r="C704" s="7" t="inlineStr">
        <is>
          <t>Armament@AAE</t>
        </is>
      </c>
      <c r="L704" s="6" t="n">
        <v>2000</v>
      </c>
      <c r="M704" s="6" t="n">
        <v>25</v>
      </c>
      <c r="N704" s="6" t="n">
        <v>2</v>
      </c>
      <c r="O704" s="6" t="n">
        <v>3</v>
      </c>
      <c r="P704" s="6" t="n">
        <v>9292</v>
      </c>
      <c r="Q704" s="6" t="n">
        <v>0.9375</v>
      </c>
      <c r="R704">
        <f>M704+IF(N704&gt;1,N(O704)*(N704-1),0)</f>
        <v/>
      </c>
      <c r="S704">
        <f>IFERROR(L704*MAX(N704,1)/R704*Q704*IF(ISBLANK(K701),1,K701),0)</f>
        <v/>
      </c>
      <c r="AB704" s="7" t="inlineStr">
        <is>
          <t>^SmallArms, ^Grenade, ^Chaingun, ^RA2FlakWeapon</t>
        </is>
      </c>
    </row>
    <row r="705">
      <c r="B705" s="7" t="inlineStr">
        <is>
          <t xml:space="preserve">  ↳ RA2FlakTrackGunE</t>
        </is>
      </c>
      <c r="C705" s="7" t="inlineStr">
        <is>
          <t>Armament@AGE</t>
        </is>
      </c>
      <c r="L705" s="6" t="n">
        <v>2000</v>
      </c>
      <c r="M705" s="6" t="n">
        <v>18</v>
      </c>
      <c r="N705" s="6" t="n">
        <v>2</v>
      </c>
      <c r="O705" s="6" t="n">
        <v>3</v>
      </c>
      <c r="P705" s="6" t="n">
        <v>6528</v>
      </c>
      <c r="Q705" s="6" t="n">
        <v>0.9375</v>
      </c>
      <c r="R705">
        <f>M705+IF(N705&gt;1,N(O705)*(N705-1),0)</f>
        <v/>
      </c>
      <c r="S705">
        <f>IFERROR(L705*MAX(N705,1)/R705*Q705*IF(ISBLANK(K701),1,K701),0)</f>
        <v/>
      </c>
      <c r="AB705" s="7" t="inlineStr">
        <is>
          <t>^SmallArms, ^Grenade, ^Chaingun, ^RA2FlakWeapon</t>
        </is>
      </c>
    </row>
    <row r="706">
      <c r="A706" t="inlineStr">
        <is>
          <t>redalert2</t>
        </is>
      </c>
      <c r="B706" t="inlineStr">
        <is>
          <t>ra2_soviets_mobileconstructionvehicle</t>
        </is>
      </c>
      <c r="C706" t="inlineStr">
        <is>
          <t>Soviet Mobile Construction Vehicle</t>
        </is>
      </c>
      <c r="D706" s="6" t="inlineStr">
        <is>
          <t>SupportVehicle</t>
        </is>
      </c>
      <c r="E706" s="6" t="n">
        <v>300000</v>
      </c>
      <c r="F706" s="6" t="n">
        <v>75</v>
      </c>
      <c r="G706" t="inlineStr">
        <is>
          <t>Medium</t>
        </is>
      </c>
      <c r="H706" s="6" t="n">
        <v>1</v>
      </c>
      <c r="I706" s="6" t="n">
        <v>1</v>
      </c>
      <c r="J706" s="6" t="n">
        <v>1</v>
      </c>
      <c r="K706" s="6" t="n"/>
      <c r="X706" s="6" t="n">
        <v>5000</v>
      </c>
    </row>
    <row r="707">
      <c r="A707" t="inlineStr">
        <is>
          <t>redalert2</t>
        </is>
      </c>
      <c r="B707" t="inlineStr">
        <is>
          <t>yuri_chaosdrone</t>
        </is>
      </c>
      <c r="C707" t="inlineStr">
        <is>
          <t>Chaos Drone</t>
        </is>
      </c>
      <c r="D707" s="6" t="inlineStr">
        <is>
          <t>SupportVehicle</t>
        </is>
      </c>
      <c r="E707" s="6" t="n">
        <v>12500</v>
      </c>
      <c r="F707" s="6" t="n">
        <v>140</v>
      </c>
      <c r="G707" t="inlineStr">
        <is>
          <t>Scout</t>
        </is>
      </c>
      <c r="H707" s="6" t="n">
        <v>1</v>
      </c>
      <c r="I707" s="6" t="n">
        <v>1</v>
      </c>
      <c r="J707" s="6" t="n">
        <v>1</v>
      </c>
      <c r="K707" s="6" t="n"/>
      <c r="P707">
        <f>MAX(P708)</f>
        <v/>
      </c>
      <c r="S707">
        <f>S708</f>
        <v/>
      </c>
      <c r="T707">
        <f>(E707/100000+F707/100+(P707/1000)*J707/5+S707/200)*200*I707*H707</f>
        <v/>
      </c>
      <c r="U707">
        <f>((E707*F707/25000)+((P707/1000)*J707*S707/2.5))*I707*H707</f>
        <v/>
      </c>
      <c r="V707">
        <f>(E707*F707*(P707/1000)*J707*S707*I707*H707)/12500000</f>
        <v/>
      </c>
      <c r="W707">
        <f>(T707+U707+V707)/3</f>
        <v/>
      </c>
      <c r="X707" s="6" t="n">
        <v>600</v>
      </c>
      <c r="Y707">
        <f>IFERROR(W707-X707,"")</f>
        <v/>
      </c>
      <c r="Z707">
        <f>IFERROR(ABS(Y707)/MAX(X707,1),"")</f>
        <v/>
      </c>
      <c r="AA707">
        <f>IFERROR((X707-(((E707/100000+F707/100+S707/200)*200*I707*H707)+((E707*F707/25000)*I707*H707))/3)/(((J707/5)*200*I707*H707)+((J707*S707/2.5)*I707*H707)+((E707*F707*J707*S707*I707*H707)/12500000))/3*1000,"")</f>
        <v/>
      </c>
    </row>
    <row r="708">
      <c r="B708" s="7" t="inlineStr">
        <is>
          <t xml:space="preserve">  ↳ RA2Dronegas</t>
        </is>
      </c>
      <c r="C708" s="7" t="inlineStr">
        <is>
          <t>Armament</t>
        </is>
      </c>
      <c r="L708" s="6" t="n"/>
      <c r="M708" s="6" t="n">
        <v>125</v>
      </c>
      <c r="N708" s="6" t="n">
        <v>1</v>
      </c>
      <c r="O708" s="6" t="n"/>
      <c r="P708" s="6" t="n">
        <v>5000</v>
      </c>
      <c r="Q708" s="6" t="n">
        <v>1</v>
      </c>
      <c r="R708">
        <f>M708+IF(N708&gt;1,N(O708)*(N708-1),0)</f>
        <v/>
      </c>
      <c r="S708">
        <f>IFERROR(L708*MAX(N708,1)/R708*Q708*IF(ISBLANK(K707),1,K707),0)</f>
        <v/>
      </c>
      <c r="AB708" s="7" t="inlineStr"/>
    </row>
    <row r="709">
      <c r="B709" s="7" t="inlineStr">
        <is>
          <t xml:space="preserve">  ↳ RA2Dronegas</t>
        </is>
      </c>
      <c r="C709" s="7" t="inlineStr">
        <is>
          <t>Armament@GARRISONED</t>
        </is>
      </c>
      <c r="L709" s="6" t="n"/>
      <c r="M709" s="6" t="n">
        <v>125</v>
      </c>
      <c r="N709" s="6" t="n">
        <v>1</v>
      </c>
      <c r="O709" s="6" t="n"/>
      <c r="P709" s="6" t="n">
        <v>5000</v>
      </c>
      <c r="Q709" s="6" t="n">
        <v>1</v>
      </c>
      <c r="R709">
        <f>M709+IF(N709&gt;1,N(O709)*(N709-1),0)</f>
        <v/>
      </c>
      <c r="S709">
        <f>IFERROR(L709*MAX(N709,1)/R709*Q709*IF(ISBLANK(K707),1,K707),0)</f>
        <v/>
      </c>
      <c r="AB709" s="7" t="inlineStr"/>
    </row>
    <row r="710">
      <c r="A710" t="inlineStr">
        <is>
          <t>redalert2</t>
        </is>
      </c>
      <c r="B710" t="inlineStr">
        <is>
          <t>yuri_gatlingtank</t>
        </is>
      </c>
      <c r="C710" t="inlineStr">
        <is>
          <t>Yuri Gatling Tank</t>
        </is>
      </c>
      <c r="D710" s="6" t="inlineStr">
        <is>
          <t>SupportVehicle</t>
        </is>
      </c>
      <c r="E710" s="6" t="n">
        <v>45000</v>
      </c>
      <c r="F710" s="6" t="n">
        <v>90</v>
      </c>
      <c r="G710" t="inlineStr">
        <is>
          <t>Light</t>
        </is>
      </c>
      <c r="H710" s="6" t="n">
        <v>1</v>
      </c>
      <c r="I710" s="6" t="n">
        <v>1</v>
      </c>
      <c r="J710" s="6" t="n">
        <v>1.25</v>
      </c>
      <c r="K710" s="6" t="n">
        <v>0.75</v>
      </c>
      <c r="P710">
        <f>MAX(P711,P712,P713,P714,P715,P716)</f>
        <v/>
      </c>
      <c r="S710">
        <f>S711+S712+S713+S714+S715+S716</f>
        <v/>
      </c>
      <c r="T710">
        <f>(E710/100000+F710/100+(P710/1000)*J710/5+S710/200)*200*I710*H710</f>
        <v/>
      </c>
      <c r="U710">
        <f>((E710*F710/25000)+((P710/1000)*J710*S710/2.5))*I710*H710</f>
        <v/>
      </c>
      <c r="V710">
        <f>(E710*F710*(P710/1000)*J710*S710*I710*H710)/12500000</f>
        <v/>
      </c>
      <c r="W710">
        <f>(T710+U710+V710)/3</f>
        <v/>
      </c>
      <c r="X710" s="6" t="n">
        <v>1100</v>
      </c>
      <c r="Y710">
        <f>IFERROR(W710-X710,"")</f>
        <v/>
      </c>
      <c r="Z710">
        <f>IFERROR(ABS(Y710)/MAX(X710,1),"")</f>
        <v/>
      </c>
      <c r="AA710">
        <f>IFERROR((X710-(((E710/100000+F710/100+S710/200)*200*I710*H710)+((E710*F710/25000)*I710*H710))/3)/(((J710/5)*200*I710*H710)+((J710*S710/2.5)*I710*H710)+((E710*F710*J710*S710*I710*H710)/12500000))/3*1000,"")</f>
        <v/>
      </c>
    </row>
    <row r="711">
      <c r="B711" s="7" t="inlineStr">
        <is>
          <t xml:space="preserve">  ↳ RA2GattlingMG1</t>
        </is>
      </c>
      <c r="C711" s="7" t="inlineStr">
        <is>
          <t>Armament@1</t>
        </is>
      </c>
      <c r="L711" s="6" t="n">
        <v>2000</v>
      </c>
      <c r="M711" s="6" t="n">
        <v>6</v>
      </c>
      <c r="N711" s="6" t="n">
        <v>1</v>
      </c>
      <c r="O711" s="6" t="n"/>
      <c r="P711" s="6" t="n">
        <v>5000</v>
      </c>
      <c r="Q711" s="6" t="n">
        <v>0.875</v>
      </c>
      <c r="R711">
        <f>M711+IF(N711&gt;1,N(O711)*(N711-1),0)</f>
        <v/>
      </c>
      <c r="S711">
        <f>IFERROR(L711*MAX(N711,1)/R711*Q711*IF(ISBLANK(K710),1,K710),0)</f>
        <v/>
      </c>
      <c r="AB711" s="7" t="inlineStr">
        <is>
          <t>^SmallArms, ^RA2Chaingun</t>
        </is>
      </c>
    </row>
    <row r="712">
      <c r="B712" s="7" t="inlineStr">
        <is>
          <t xml:space="preserve">  ↳ RA2GattlingMG2</t>
        </is>
      </c>
      <c r="C712" s="7" t="inlineStr">
        <is>
          <t>Armament@2</t>
        </is>
      </c>
      <c r="L712" s="6" t="n">
        <v>2000</v>
      </c>
      <c r="M712" s="6" t="n">
        <v>4</v>
      </c>
      <c r="N712" s="6" t="n">
        <v>1</v>
      </c>
      <c r="O712" s="6" t="n"/>
      <c r="P712" s="6" t="n">
        <v>5250</v>
      </c>
      <c r="Q712" s="6" t="n">
        <v>0.875</v>
      </c>
      <c r="R712">
        <f>M712+IF(N712&gt;1,N(O712)*(N712-1),0)</f>
        <v/>
      </c>
      <c r="S712">
        <f>IFERROR(L712*MAX(N712,1)/R712*Q712*IF(ISBLANK(K710),1,K710),0)</f>
        <v/>
      </c>
      <c r="AB712" s="7" t="inlineStr">
        <is>
          <t>^SmallArms, ^RA2Chaingun</t>
        </is>
      </c>
    </row>
    <row r="713">
      <c r="B713" s="7" t="inlineStr">
        <is>
          <t xml:space="preserve">  ↳ RA2GattlingMG3</t>
        </is>
      </c>
      <c r="C713" s="7" t="inlineStr">
        <is>
          <t>Armament@3</t>
        </is>
      </c>
      <c r="L713" s="6" t="n">
        <v>2000</v>
      </c>
      <c r="M713" s="6" t="n">
        <v>2</v>
      </c>
      <c r="N713" s="6" t="n">
        <v>1</v>
      </c>
      <c r="O713" s="6" t="n"/>
      <c r="P713" s="6" t="n">
        <v>5500</v>
      </c>
      <c r="Q713" s="6" t="n">
        <v>0.875</v>
      </c>
      <c r="R713">
        <f>M713+IF(N713&gt;1,N(O713)*(N713-1),0)</f>
        <v/>
      </c>
      <c r="S713">
        <f>IFERROR(L713*MAX(N713,1)/R713*Q713*IF(ISBLANK(K710),1,K710),0)</f>
        <v/>
      </c>
      <c r="AB713" s="7" t="inlineStr">
        <is>
          <t>^SmallArms, ^RA2Chaingun</t>
        </is>
      </c>
    </row>
    <row r="714">
      <c r="B714" s="7" t="inlineStr">
        <is>
          <t xml:space="preserve">  ↳ RA2GattlingMG1AA</t>
        </is>
      </c>
      <c r="C714" s="7" t="inlineStr">
        <is>
          <t>Armament@1AA</t>
        </is>
      </c>
      <c r="L714" s="6" t="n">
        <v>4000</v>
      </c>
      <c r="M714" s="6" t="n">
        <v>6</v>
      </c>
      <c r="N714" s="6" t="n">
        <v>1</v>
      </c>
      <c r="O714" s="6" t="n"/>
      <c r="P714" s="6" t="n">
        <v>6750</v>
      </c>
      <c r="Q714" s="6" t="n">
        <v>0.875</v>
      </c>
      <c r="R714">
        <f>M714+IF(N714&gt;1,N(O714)*(N714-1),0)</f>
        <v/>
      </c>
      <c r="S714">
        <f>IFERROR(L714*MAX(N714,1)/R714*Q714*IF(ISBLANK(K710),1,K710),0)</f>
        <v/>
      </c>
      <c r="AB714" s="7" t="inlineStr">
        <is>
          <t>^SmallArms, ^RA2Chaingun</t>
        </is>
      </c>
    </row>
    <row r="715">
      <c r="B715" s="7" t="inlineStr">
        <is>
          <t xml:space="preserve">  ↳ RA2GattlingMG2AA</t>
        </is>
      </c>
      <c r="C715" s="7" t="inlineStr">
        <is>
          <t>Armament@2AA</t>
        </is>
      </c>
      <c r="L715" s="6" t="n">
        <v>4000</v>
      </c>
      <c r="M715" s="6" t="n">
        <v>4</v>
      </c>
      <c r="N715" s="6" t="n">
        <v>1</v>
      </c>
      <c r="O715" s="6" t="n"/>
      <c r="P715" s="6" t="n">
        <v>7500</v>
      </c>
      <c r="Q715" s="6" t="n">
        <v>0.875</v>
      </c>
      <c r="R715">
        <f>M715+IF(N715&gt;1,N(O715)*(N715-1),0)</f>
        <v/>
      </c>
      <c r="S715">
        <f>IFERROR(L715*MAX(N715,1)/R715*Q715*IF(ISBLANK(K710),1,K710),0)</f>
        <v/>
      </c>
      <c r="AB715" s="7" t="inlineStr">
        <is>
          <t>^SmallArms, ^RA2Chaingun</t>
        </is>
      </c>
    </row>
    <row r="716">
      <c r="B716" s="7" t="inlineStr">
        <is>
          <t xml:space="preserve">  ↳ RA2GattlingMG3AA</t>
        </is>
      </c>
      <c r="C716" s="7" t="inlineStr">
        <is>
          <t>Armament@3AA</t>
        </is>
      </c>
      <c r="L716" s="6" t="n">
        <v>4000</v>
      </c>
      <c r="M716" s="6" t="n">
        <v>2</v>
      </c>
      <c r="N716" s="6" t="n">
        <v>1</v>
      </c>
      <c r="O716" s="6" t="n"/>
      <c r="P716" s="6" t="n">
        <v>8250</v>
      </c>
      <c r="Q716" s="6" t="n">
        <v>0.875</v>
      </c>
      <c r="R716">
        <f>M716+IF(N716&gt;1,N(O716)*(N716-1),0)</f>
        <v/>
      </c>
      <c r="S716">
        <f>IFERROR(L716*MAX(N716,1)/R716*Q716*IF(ISBLANK(K710),1,K710),0)</f>
        <v/>
      </c>
      <c r="AB716" s="7" t="inlineStr">
        <is>
          <t>^SmallArms, ^RA2Chaingun</t>
        </is>
      </c>
    </row>
    <row r="717">
      <c r="A717" t="inlineStr">
        <is>
          <t>redalert2</t>
        </is>
      </c>
      <c r="B717" t="inlineStr">
        <is>
          <t>yuri_mobileconstructionvehicle</t>
        </is>
      </c>
      <c r="C717" t="inlineStr">
        <is>
          <t>Yuri Mobile Construction Vehicle</t>
        </is>
      </c>
      <c r="D717" s="6" t="inlineStr">
        <is>
          <t>SupportVehicle</t>
        </is>
      </c>
      <c r="E717" s="6" t="n">
        <v>300000</v>
      </c>
      <c r="F717" s="6" t="n">
        <v>75</v>
      </c>
      <c r="G717" t="inlineStr">
        <is>
          <t>Medium</t>
        </is>
      </c>
      <c r="H717" s="6" t="n">
        <v>1</v>
      </c>
      <c r="I717" s="6" t="n">
        <v>1</v>
      </c>
      <c r="J717" s="6" t="n">
        <v>1</v>
      </c>
      <c r="K717" s="6" t="n"/>
      <c r="X717" s="6" t="n">
        <v>5000</v>
      </c>
    </row>
    <row r="718">
      <c r="A718" t="inlineStr">
        <is>
          <t>redalert2</t>
        </is>
      </c>
      <c r="B718" t="inlineStr">
        <is>
          <t>yuri_slaveminer</t>
        </is>
      </c>
      <c r="C718" t="inlineStr">
        <is>
          <t>Slave Miner</t>
        </is>
      </c>
      <c r="D718" s="6" t="inlineStr">
        <is>
          <t>SupportVehicle</t>
        </is>
      </c>
      <c r="E718" s="6" t="n">
        <v>200000</v>
      </c>
      <c r="F718" s="6" t="n">
        <v>50</v>
      </c>
      <c r="G718" t="inlineStr">
        <is>
          <t>Heavy</t>
        </is>
      </c>
      <c r="H718" s="6" t="n">
        <v>1</v>
      </c>
      <c r="I718" s="6" t="n">
        <v>1</v>
      </c>
      <c r="J718" s="6" t="n">
        <v>1</v>
      </c>
      <c r="K718" s="6" t="n"/>
      <c r="P718">
        <f>MAX(P719)</f>
        <v/>
      </c>
      <c r="S718">
        <f>S719</f>
        <v/>
      </c>
      <c r="T718">
        <f>(E718/100000+F718/100+(P718/1000)*J718/5+S718/200)*200*I718*H718</f>
        <v/>
      </c>
      <c r="U718">
        <f>((E718*F718/25000)+((P718/1000)*J718*S718/2.5))*I718*H718</f>
        <v/>
      </c>
      <c r="V718">
        <f>(E718*F718*(P718/1000)*J718*S718*I718*H718)/12500000</f>
        <v/>
      </c>
      <c r="W718">
        <f>(T718+U718+V718)/3</f>
        <v/>
      </c>
      <c r="X718" s="6" t="n">
        <v>2000</v>
      </c>
      <c r="Y718">
        <f>IFERROR(W718-X718,"")</f>
        <v/>
      </c>
      <c r="Z718">
        <f>IFERROR(ABS(Y718)/MAX(X718,1),"")</f>
        <v/>
      </c>
      <c r="AA718">
        <f>IFERROR((X718-(((E718/100000+F718/100+S718/200)*200*I718*H718)+((E718*F718/25000)*I718*H718))/3)/(((J718/5)*200*I718*H718)+((J718*S718/2.5)*I718*H718)+((E718*F718*J718*S718*I718*H718)/12500000))/3*1000,"")</f>
        <v/>
      </c>
    </row>
    <row r="719">
      <c r="B719" s="7" t="inlineStr">
        <is>
          <t xml:space="preserve">  ↳ RA220mmrapid</t>
        </is>
      </c>
      <c r="C719" s="7" t="inlineStr">
        <is>
          <t>Armament@primary</t>
        </is>
      </c>
      <c r="L719" s="6" t="n">
        <v>4000</v>
      </c>
      <c r="M719" s="6" t="n">
        <v>15</v>
      </c>
      <c r="N719" s="6" t="n">
        <v>1</v>
      </c>
      <c r="O719" s="6" t="n"/>
      <c r="P719" s="6" t="n">
        <v>5000</v>
      </c>
      <c r="Q719" s="6" t="n">
        <v>0.875</v>
      </c>
      <c r="R719">
        <f>M719+IF(N719&gt;1,N(O719)*(N719-1),0)</f>
        <v/>
      </c>
      <c r="S719">
        <f>IFERROR(L719*MAX(N719,1)/R719*Q719*IF(ISBLANK(K718),1,K718),0)</f>
        <v/>
      </c>
      <c r="AB719" s="7" t="inlineStr">
        <is>
          <t>^RA2SmallArms, ^RA2Chaingun</t>
        </is>
      </c>
    </row>
    <row r="720">
      <c r="A720" t="inlineStr">
        <is>
          <t>redalert2mod</t>
        </is>
      </c>
      <c r="B720" t="inlineStr">
        <is>
          <t>asianalliance_asianmobileconstructionvehicle</t>
        </is>
      </c>
      <c r="C720" t="inlineStr">
        <is>
          <t>Asian Mobile Construction Vehicle</t>
        </is>
      </c>
      <c r="D720" s="6" t="inlineStr">
        <is>
          <t>SupportVehicle</t>
        </is>
      </c>
      <c r="E720" s="6" t="n">
        <v>300000</v>
      </c>
      <c r="F720" s="6" t="n">
        <v>75</v>
      </c>
      <c r="G720" t="inlineStr">
        <is>
          <t>Medium</t>
        </is>
      </c>
      <c r="H720" s="6" t="n">
        <v>1</v>
      </c>
      <c r="I720" s="6" t="n">
        <v>1</v>
      </c>
      <c r="J720" s="6" t="n">
        <v>1</v>
      </c>
      <c r="K720" s="6" t="n"/>
      <c r="X720" s="6" t="n">
        <v>5000</v>
      </c>
    </row>
    <row r="721">
      <c r="A721" t="inlineStr">
        <is>
          <t>redalert2mod</t>
        </is>
      </c>
      <c r="B721" t="inlineStr">
        <is>
          <t>asianalliance_dragonfly</t>
        </is>
      </c>
      <c r="C721" t="inlineStr">
        <is>
          <t>Dragonfly</t>
        </is>
      </c>
      <c r="D721" s="6" t="inlineStr">
        <is>
          <t>SupportVehicle</t>
        </is>
      </c>
      <c r="E721" s="6" t="n">
        <v>32500</v>
      </c>
      <c r="F721" s="6" t="n">
        <v>100</v>
      </c>
      <c r="G721" t="inlineStr">
        <is>
          <t>Light</t>
        </is>
      </c>
      <c r="H721" s="6" t="n">
        <v>1</v>
      </c>
      <c r="I721" s="6" t="n">
        <v>1.25</v>
      </c>
      <c r="J721" s="6" t="n">
        <v>1.25</v>
      </c>
      <c r="K721" s="6" t="n"/>
      <c r="X721" s="6" t="n">
        <v>1200</v>
      </c>
    </row>
    <row r="722">
      <c r="A722" t="inlineStr">
        <is>
          <t>redalert2mod</t>
        </is>
      </c>
      <c r="B722" t="inlineStr">
        <is>
          <t>asianalliance_quasar</t>
        </is>
      </c>
      <c r="C722" t="inlineStr">
        <is>
          <t>Quasar</t>
        </is>
      </c>
      <c r="D722" s="6" t="inlineStr">
        <is>
          <t>SupportVehicle</t>
        </is>
      </c>
      <c r="E722" s="6" t="n">
        <v>55000</v>
      </c>
      <c r="F722" s="6" t="n">
        <v>125</v>
      </c>
      <c r="G722" t="inlineStr">
        <is>
          <t>Light</t>
        </is>
      </c>
      <c r="H722" s="6" t="n">
        <v>1</v>
      </c>
      <c r="I722" s="6" t="n">
        <v>1</v>
      </c>
      <c r="J722" s="6" t="n">
        <v>1</v>
      </c>
      <c r="K722" s="6" t="n"/>
      <c r="P722">
        <f>MAX(P723,P724,P725,P726)</f>
        <v/>
      </c>
      <c r="S722">
        <f>S723+S724+S725+S726</f>
        <v/>
      </c>
      <c r="T722">
        <f>(E722/100000+F722/100+(P722/1000)*J722/5+S722/200)*200*I722*H722</f>
        <v/>
      </c>
      <c r="U722">
        <f>((E722*F722/25000)+((P722/1000)*J722*S722/2.5))*I722*H722</f>
        <v/>
      </c>
      <c r="V722">
        <f>(E722*F722*(P722/1000)*J722*S722*I722*H722)/12500000</f>
        <v/>
      </c>
      <c r="W722">
        <f>(T722+U722+V722)/3</f>
        <v/>
      </c>
      <c r="X722" s="6" t="n">
        <v>900</v>
      </c>
      <c r="Y722">
        <f>IFERROR(W722-X722,"")</f>
        <v/>
      </c>
      <c r="Z722">
        <f>IFERROR(ABS(Y722)/MAX(X722,1),"")</f>
        <v/>
      </c>
      <c r="AA722">
        <f>IFERROR((X722-(((E722/100000+F722/100+S722/200)*200*I722*H722)+((E722*F722/25000)*I722*H722))/3)/(((J722/5)*200*I722*H722)+((J722*S722/2.5)*I722*H722)+((E722*F722*J722*S722*I722*H722)/12500000))/3*1000,"")</f>
        <v/>
      </c>
    </row>
    <row r="723">
      <c r="B723" s="7" t="inlineStr">
        <is>
          <t xml:space="preserve">  ↳ AsianQuasarAG</t>
        </is>
      </c>
      <c r="C723" s="7" t="inlineStr">
        <is>
          <t>Armament@AG</t>
        </is>
      </c>
      <c r="L723" s="6" t="n">
        <v>2000</v>
      </c>
      <c r="M723" s="6" t="n">
        <v>33</v>
      </c>
      <c r="N723" s="6" t="n">
        <v>1</v>
      </c>
      <c r="O723" s="6" t="n"/>
      <c r="P723" s="6" t="n">
        <v>6000</v>
      </c>
      <c r="Q723" s="6" t="n">
        <v>1</v>
      </c>
      <c r="R723">
        <f>M723+IF(N723&gt;1,N(O723)*(N723-1),0)</f>
        <v/>
      </c>
      <c r="S723">
        <f>IFERROR(L723*MAX(N723,1)/R723*Q723*IF(ISBLANK(K722),1,K722),0)</f>
        <v/>
      </c>
      <c r="AB723" s="7" t="inlineStr">
        <is>
          <t>^MediumMissile, ^FlakWeapon, ^TeslaWeapon, ^MagicWeapon</t>
        </is>
      </c>
    </row>
    <row r="724">
      <c r="B724" s="7" t="inlineStr">
        <is>
          <t xml:space="preserve">  ↳ AsianQuasarAGEMP</t>
        </is>
      </c>
      <c r="C724" s="7" t="inlineStr">
        <is>
          <t>Armament@UpgradeAG</t>
        </is>
      </c>
      <c r="L724" s="6" t="n">
        <v>2000</v>
      </c>
      <c r="M724" s="6" t="n">
        <v>33</v>
      </c>
      <c r="N724" s="6" t="n">
        <v>1</v>
      </c>
      <c r="O724" s="6" t="n"/>
      <c r="P724" s="6" t="n">
        <v>6000</v>
      </c>
      <c r="Q724" s="6" t="n">
        <v>1</v>
      </c>
      <c r="R724">
        <f>M724+IF(N724&gt;1,N(O724)*(N724-1),0)</f>
        <v/>
      </c>
      <c r="S724">
        <f>IFERROR(L724*MAX(N724,1)/R724*Q724*IF(ISBLANK(K722),1,K722),0)</f>
        <v/>
      </c>
      <c r="AB724" s="7" t="inlineStr">
        <is>
          <t>^MediumMissile, ^FlakWeapon, ^TeslaWeapon, ^MagicWeapon</t>
        </is>
      </c>
    </row>
    <row r="725">
      <c r="B725" s="7" t="inlineStr">
        <is>
          <t xml:space="preserve">  ↳ AsianQuasarAA</t>
        </is>
      </c>
      <c r="C725" s="7" t="inlineStr">
        <is>
          <t>Armament@AA</t>
        </is>
      </c>
      <c r="L725" s="6" t="n">
        <v>2000</v>
      </c>
      <c r="M725" s="6" t="n">
        <v>33</v>
      </c>
      <c r="N725" s="6" t="n">
        <v>1</v>
      </c>
      <c r="O725" s="6" t="n"/>
      <c r="P725" s="6" t="n">
        <v>9000</v>
      </c>
      <c r="Q725" s="6" t="n">
        <v>1</v>
      </c>
      <c r="R725">
        <f>M725+IF(N725&gt;1,N(O725)*(N725-1),0)</f>
        <v/>
      </c>
      <c r="S725">
        <f>IFERROR(L725*MAX(N725,1)/R725*Q725*IF(ISBLANK(K722),1,K722),0)</f>
        <v/>
      </c>
      <c r="AB725" s="7" t="inlineStr">
        <is>
          <t>^MediumMissile, ^FlakWeapon, ^TeslaWeapon, ^MagicWeapon</t>
        </is>
      </c>
    </row>
    <row r="726">
      <c r="B726" s="7" t="inlineStr">
        <is>
          <t xml:space="preserve">  ↳ AsianQuasarAAEMP</t>
        </is>
      </c>
      <c r="C726" s="7" t="inlineStr">
        <is>
          <t>Armament@UpgradeAA</t>
        </is>
      </c>
      <c r="L726" s="6" t="n">
        <v>2000</v>
      </c>
      <c r="M726" s="6" t="n">
        <v>33</v>
      </c>
      <c r="N726" s="6" t="n">
        <v>1</v>
      </c>
      <c r="O726" s="6" t="n"/>
      <c r="P726" s="6" t="n">
        <v>9000</v>
      </c>
      <c r="Q726" s="6" t="n">
        <v>1</v>
      </c>
      <c r="R726">
        <f>M726+IF(N726&gt;1,N(O726)*(N726-1),0)</f>
        <v/>
      </c>
      <c r="S726">
        <f>IFERROR(L726*MAX(N726,1)/R726*Q726*IF(ISBLANK(K722),1,K722),0)</f>
        <v/>
      </c>
      <c r="AB726" s="7" t="inlineStr">
        <is>
          <t>^MediumMissile, ^FlakWeapon, ^TeslaWeapon, ^MagicWeapon</t>
        </is>
      </c>
    </row>
    <row r="727">
      <c r="A727" t="inlineStr">
        <is>
          <t>redalert2mod</t>
        </is>
      </c>
      <c r="B727" t="inlineStr">
        <is>
          <t>hummer.steel</t>
        </is>
      </c>
      <c r="C727" t="inlineStr">
        <is>
          <t>Federation Hummer</t>
        </is>
      </c>
      <c r="D727" s="6" t="inlineStr">
        <is>
          <t>SupportVehicle</t>
        </is>
      </c>
      <c r="E727" s="6" t="n">
        <v>45000</v>
      </c>
      <c r="F727" s="6" t="n">
        <v>110</v>
      </c>
      <c r="G727" t="inlineStr">
        <is>
          <t>Medium</t>
        </is>
      </c>
      <c r="H727" s="6" t="n">
        <v>1</v>
      </c>
      <c r="I727" s="6" t="n">
        <v>1</v>
      </c>
      <c r="J727" s="6" t="n">
        <v>1</v>
      </c>
      <c r="K727" s="6" t="n"/>
      <c r="P727">
        <f>MAX(P728,P729)</f>
        <v/>
      </c>
      <c r="S727">
        <f>S728+S729</f>
        <v/>
      </c>
      <c r="T727">
        <f>(E727/100000+F727/100+(P727/1000)*J727/5+S727/200)*200*I727*H727</f>
        <v/>
      </c>
      <c r="U727">
        <f>((E727*F727/25000)+((P727/1000)*J727*S727/2.5))*I727*H727</f>
        <v/>
      </c>
      <c r="V727">
        <f>(E727*F727*(P727/1000)*J727*S727*I727*H727)/12500000</f>
        <v/>
      </c>
      <c r="W727">
        <f>(T727+U727+V727)/3</f>
        <v/>
      </c>
      <c r="X727" s="6" t="n">
        <v>2000</v>
      </c>
      <c r="Y727">
        <f>IFERROR(W727-X727,"")</f>
        <v/>
      </c>
      <c r="Z727">
        <f>IFERROR(ABS(Y727)/MAX(X727,1),"")</f>
        <v/>
      </c>
      <c r="AA727">
        <f>IFERROR((X727-(((E727/100000+F727/100+S727/200)*200*I727*H727)+((E727*F727/25000)*I727*H727))/3)/(((J727/5)*200*I727*H727)+((J727*S727/2.5)*I727*H727)+((E727*F727*J727*S727*I727*H727)/12500000))/3*1000,"")</f>
        <v/>
      </c>
    </row>
    <row r="728">
      <c r="B728" s="7" t="inlineStr">
        <is>
          <t xml:space="preserve">  ↳ SteelHoverMissile</t>
        </is>
      </c>
      <c r="C728" s="7" t="inlineStr">
        <is>
          <t>Armament@AG</t>
        </is>
      </c>
      <c r="L728" s="6" t="n">
        <v>4000</v>
      </c>
      <c r="M728" s="6" t="n">
        <v>25</v>
      </c>
      <c r="N728" s="6" t="n">
        <v>4</v>
      </c>
      <c r="O728" s="6" t="n">
        <v>4</v>
      </c>
      <c r="P728" s="6" t="n">
        <v>6666</v>
      </c>
      <c r="Q728" s="6" t="n">
        <v>0.75</v>
      </c>
      <c r="R728">
        <f>M728+IF(N728&gt;1,N(O728)*(N728-1),0)</f>
        <v/>
      </c>
      <c r="S728">
        <f>IFERROR(L728*MAX(N728,1)/R728*Q728*IF(ISBLANK(K727),1,K727),0)</f>
        <v/>
      </c>
      <c r="AB728" s="7" t="inlineStr">
        <is>
          <t>^ArrowWeapon, ^SteelLightMissile</t>
        </is>
      </c>
    </row>
    <row r="729">
      <c r="B729" s="7" t="inlineStr">
        <is>
          <t xml:space="preserve">  ↳ SteelHoverMissile_elite</t>
        </is>
      </c>
      <c r="C729" s="7" t="inlineStr">
        <is>
          <t>Armament@AGELITE</t>
        </is>
      </c>
      <c r="L729" s="6" t="n">
        <v>8000</v>
      </c>
      <c r="M729" s="6" t="n">
        <v>25</v>
      </c>
      <c r="N729" s="6" t="n">
        <v>4</v>
      </c>
      <c r="O729" s="6" t="n">
        <v>4</v>
      </c>
      <c r="P729" s="6" t="n">
        <v>7000</v>
      </c>
      <c r="Q729" s="6" t="n">
        <v>0.75</v>
      </c>
      <c r="R729">
        <f>M729+IF(N729&gt;1,N(O729)*(N729-1),0)</f>
        <v/>
      </c>
      <c r="S729">
        <f>IFERROR(L729*MAX(N729,1)/R729*Q729*IF(ISBLANK(K727),1,K727),0)</f>
        <v/>
      </c>
      <c r="AB729" s="7" t="inlineStr">
        <is>
          <t>^ArrowWeapon, ^SteelLightMissile</t>
        </is>
      </c>
    </row>
    <row r="730">
      <c r="A730" t="inlineStr">
        <is>
          <t>redalert2mod</t>
        </is>
      </c>
      <c r="B730" t="inlineStr">
        <is>
          <t>steelconsortium_barracuda</t>
        </is>
      </c>
      <c r="C730" t="inlineStr">
        <is>
          <t>Barracuda</t>
        </is>
      </c>
      <c r="D730" s="6" t="inlineStr">
        <is>
          <t>SupportVehicle</t>
        </is>
      </c>
      <c r="E730" s="6" t="n">
        <v>40000</v>
      </c>
      <c r="F730" s="6" t="n">
        <v>80</v>
      </c>
      <c r="G730" t="inlineStr">
        <is>
          <t>Medium</t>
        </is>
      </c>
      <c r="H730" s="6" t="n">
        <v>1</v>
      </c>
      <c r="I730" s="6" t="n">
        <v>1</v>
      </c>
      <c r="J730" s="6" t="n">
        <v>1</v>
      </c>
      <c r="K730" s="6" t="n">
        <v>0.5</v>
      </c>
      <c r="P730">
        <f>MAX(P731,P732,P733,P734,P735,P736,P737,P738)</f>
        <v/>
      </c>
      <c r="S730">
        <f>S731+S732+S733+S734+S735+S736+S737+S738</f>
        <v/>
      </c>
      <c r="T730">
        <f>(E730/100000+F730/100+(P730/1000)*J730/5+S730/200)*200*I730*H730</f>
        <v/>
      </c>
      <c r="U730">
        <f>((E730*F730/25000)+((P730/1000)*J730*S730/2.5))*I730*H730</f>
        <v/>
      </c>
      <c r="V730">
        <f>(E730*F730*(P730/1000)*J730*S730*I730*H730)/12500000</f>
        <v/>
      </c>
      <c r="W730">
        <f>(T730+U730+V730)/3</f>
        <v/>
      </c>
      <c r="X730" s="6" t="n">
        <v>1100</v>
      </c>
      <c r="Y730">
        <f>IFERROR(W730-X730,"")</f>
        <v/>
      </c>
      <c r="Z730">
        <f>IFERROR(ABS(Y730)/MAX(X730,1),"")</f>
        <v/>
      </c>
      <c r="AA730">
        <f>IFERROR((X730-(((E730/100000+F730/100+S730/200)*200*I730*H730)+((E730*F730/25000)*I730*H730))/3)/(((J730/5)*200*I730*H730)+((J730*S730/2.5)*I730*H730)+((E730*F730*J730*S730*I730*H730)/12500000))/3*1000,"")</f>
        <v/>
      </c>
    </row>
    <row r="731">
      <c r="B731" s="7" t="inlineStr">
        <is>
          <t xml:space="preserve">  ↳ SteelMantaHunterCannons</t>
        </is>
      </c>
      <c r="C731" s="7" t="inlineStr">
        <is>
          <t>Armament@AG1</t>
        </is>
      </c>
      <c r="L731" s="6" t="n">
        <v>2000</v>
      </c>
      <c r="M731" s="6" t="n">
        <v>8</v>
      </c>
      <c r="N731" s="6" t="n">
        <v>1</v>
      </c>
      <c r="O731" s="6" t="n"/>
      <c r="P731" s="6" t="n">
        <v>8000</v>
      </c>
      <c r="Q731" s="6" t="n">
        <v>1</v>
      </c>
      <c r="R731">
        <f>M731+IF(N731&gt;1,N(O731)*(N731-1),0)</f>
        <v/>
      </c>
      <c r="S731">
        <f>IFERROR(L731*MAX(N731,1)/R731*Q731*IF(ISBLANK(K730),1,K730),0)</f>
        <v/>
      </c>
      <c r="AB731" s="7" t="inlineStr">
        <is>
          <t>^RA2FlakWeapon, ^SteelChaingun</t>
        </is>
      </c>
    </row>
    <row r="732">
      <c r="B732" s="7" t="inlineStr">
        <is>
          <t xml:space="preserve">  ↳ SteelMantaHunterCannons</t>
        </is>
      </c>
      <c r="C732" s="7" t="inlineStr">
        <is>
          <t>Armament@AG2</t>
        </is>
      </c>
      <c r="L732" s="6" t="n">
        <v>2000</v>
      </c>
      <c r="M732" s="6" t="n">
        <v>8</v>
      </c>
      <c r="N732" s="6" t="n">
        <v>1</v>
      </c>
      <c r="O732" s="6" t="n"/>
      <c r="P732" s="6" t="n">
        <v>8000</v>
      </c>
      <c r="Q732" s="6" t="n">
        <v>1</v>
      </c>
      <c r="R732">
        <f>M732+IF(N732&gt;1,N(O732)*(N732-1),0)</f>
        <v/>
      </c>
      <c r="S732">
        <f>IFERROR(L732*MAX(N732,1)/R732*Q732*IF(ISBLANK(K730),1,K730),0)</f>
        <v/>
      </c>
      <c r="AB732" s="7" t="inlineStr">
        <is>
          <t>^RA2FlakWeapon, ^SteelChaingun</t>
        </is>
      </c>
    </row>
    <row r="733">
      <c r="B733" s="7" t="inlineStr">
        <is>
          <t xml:space="preserve">  ↳ SteelMantaHunterCannonsAA</t>
        </is>
      </c>
      <c r="C733" s="7" t="inlineStr">
        <is>
          <t>Armament@AA1</t>
        </is>
      </c>
      <c r="L733" s="6" t="n">
        <v>2000</v>
      </c>
      <c r="M733" s="6" t="n">
        <v>12</v>
      </c>
      <c r="N733" s="6" t="n">
        <v>1</v>
      </c>
      <c r="O733" s="6" t="n"/>
      <c r="P733" s="6" t="n">
        <v>12000</v>
      </c>
      <c r="Q733" s="6" t="n">
        <v>1</v>
      </c>
      <c r="R733">
        <f>M733+IF(N733&gt;1,N(O733)*(N733-1),0)</f>
        <v/>
      </c>
      <c r="S733">
        <f>IFERROR(L733*MAX(N733,1)/R733*Q733*IF(ISBLANK(K730),1,K730),0)</f>
        <v/>
      </c>
      <c r="AB733" s="7" t="inlineStr">
        <is>
          <t>^SteelMediumMissile, ^RA2FlakWeapon, ^SteelChaingun</t>
        </is>
      </c>
    </row>
    <row r="734">
      <c r="B734" s="7" t="inlineStr">
        <is>
          <t xml:space="preserve">  ↳ SteelMantaHunterCannonsAA</t>
        </is>
      </c>
      <c r="C734" s="7" t="inlineStr">
        <is>
          <t>Armament@AA2</t>
        </is>
      </c>
      <c r="L734" s="6" t="n">
        <v>2000</v>
      </c>
      <c r="M734" s="6" t="n">
        <v>12</v>
      </c>
      <c r="N734" s="6" t="n">
        <v>1</v>
      </c>
      <c r="O734" s="6" t="n"/>
      <c r="P734" s="6" t="n">
        <v>12000</v>
      </c>
      <c r="Q734" s="6" t="n">
        <v>1</v>
      </c>
      <c r="R734">
        <f>M734+IF(N734&gt;1,N(O734)*(N734-1),0)</f>
        <v/>
      </c>
      <c r="S734">
        <f>IFERROR(L734*MAX(N734,1)/R734*Q734*IF(ISBLANK(K730),1,K730),0)</f>
        <v/>
      </c>
      <c r="AB734" s="7" t="inlineStr">
        <is>
          <t>^SteelMediumMissile, ^RA2FlakWeapon, ^SteelChaingun</t>
        </is>
      </c>
    </row>
    <row r="735">
      <c r="B735" s="7" t="inlineStr">
        <is>
          <t xml:space="preserve">  ↳ SteelMantaHunterCannonsResonance</t>
        </is>
      </c>
      <c r="C735" s="7" t="inlineStr">
        <is>
          <t>Armament@UpgradeAG1</t>
        </is>
      </c>
      <c r="L735" s="6" t="n">
        <v>2000</v>
      </c>
      <c r="M735" s="6" t="n">
        <v>8</v>
      </c>
      <c r="N735" s="6" t="n">
        <v>1</v>
      </c>
      <c r="O735" s="6" t="n"/>
      <c r="P735" s="6" t="n">
        <v>8000</v>
      </c>
      <c r="Q735" s="6" t="n">
        <v>1</v>
      </c>
      <c r="R735">
        <f>M735+IF(N735&gt;1,N(O735)*(N735-1),0)</f>
        <v/>
      </c>
      <c r="S735">
        <f>IFERROR(L735*MAX(N735,1)/R735*Q735*IF(ISBLANK(K730),1,K730),0)</f>
        <v/>
      </c>
      <c r="AB735" s="7" t="inlineStr">
        <is>
          <t>^RA2FlakWeapon, ^SteelChaingun</t>
        </is>
      </c>
    </row>
    <row r="736">
      <c r="B736" s="7" t="inlineStr">
        <is>
          <t xml:space="preserve">  ↳ SteelMantaHunterCannonsResonance</t>
        </is>
      </c>
      <c r="C736" s="7" t="inlineStr">
        <is>
          <t>Armament@UpgradeAG2</t>
        </is>
      </c>
      <c r="L736" s="6" t="n">
        <v>2000</v>
      </c>
      <c r="M736" s="6" t="n">
        <v>8</v>
      </c>
      <c r="N736" s="6" t="n">
        <v>1</v>
      </c>
      <c r="O736" s="6" t="n"/>
      <c r="P736" s="6" t="n">
        <v>8000</v>
      </c>
      <c r="Q736" s="6" t="n">
        <v>1</v>
      </c>
      <c r="R736">
        <f>M736+IF(N736&gt;1,N(O736)*(N736-1),0)</f>
        <v/>
      </c>
      <c r="S736">
        <f>IFERROR(L736*MAX(N736,1)/R736*Q736*IF(ISBLANK(K730),1,K730),0)</f>
        <v/>
      </c>
      <c r="AB736" s="7" t="inlineStr">
        <is>
          <t>^RA2FlakWeapon, ^SteelChaingun</t>
        </is>
      </c>
    </row>
    <row r="737">
      <c r="B737" s="7" t="inlineStr">
        <is>
          <t xml:space="preserve">  ↳ SteelMantaHunterCannonsAAResonance</t>
        </is>
      </c>
      <c r="C737" s="7" t="inlineStr">
        <is>
          <t>Armament@UpgradeAA1</t>
        </is>
      </c>
      <c r="L737" s="6" t="n">
        <v>2000</v>
      </c>
      <c r="M737" s="6" t="n">
        <v>12</v>
      </c>
      <c r="N737" s="6" t="n">
        <v>1</v>
      </c>
      <c r="O737" s="6" t="n"/>
      <c r="P737" s="6" t="n">
        <v>12000</v>
      </c>
      <c r="Q737" s="6" t="n">
        <v>1</v>
      </c>
      <c r="R737">
        <f>M737+IF(N737&gt;1,N(O737)*(N737-1),0)</f>
        <v/>
      </c>
      <c r="S737">
        <f>IFERROR(L737*MAX(N737,1)/R737*Q737*IF(ISBLANK(K730),1,K730),0)</f>
        <v/>
      </c>
      <c r="AB737" s="7" t="inlineStr">
        <is>
          <t>^SteelMediumMissile, ^RA2FlakWeapon, ^SteelChaingun</t>
        </is>
      </c>
    </row>
    <row r="738">
      <c r="B738" s="7" t="inlineStr">
        <is>
          <t xml:space="preserve">  ↳ SteelMantaHunterCannonsAAResonance</t>
        </is>
      </c>
      <c r="C738" s="7" t="inlineStr">
        <is>
          <t>Armament@UpgradeAA2</t>
        </is>
      </c>
      <c r="L738" s="6" t="n">
        <v>2000</v>
      </c>
      <c r="M738" s="6" t="n">
        <v>12</v>
      </c>
      <c r="N738" s="6" t="n">
        <v>1</v>
      </c>
      <c r="O738" s="6" t="n"/>
      <c r="P738" s="6" t="n">
        <v>12000</v>
      </c>
      <c r="Q738" s="6" t="n">
        <v>1</v>
      </c>
      <c r="R738">
        <f>M738+IF(N738&gt;1,N(O738)*(N738-1),0)</f>
        <v/>
      </c>
      <c r="S738">
        <f>IFERROR(L738*MAX(N738,1)/R738*Q738*IF(ISBLANK(K730),1,K730),0)</f>
        <v/>
      </c>
      <c r="AB738" s="7" t="inlineStr">
        <is>
          <t>^SteelMediumMissile, ^RA2FlakWeapon, ^SteelChaingun</t>
        </is>
      </c>
    </row>
    <row r="739">
      <c r="A739" t="inlineStr">
        <is>
          <t>redalert2mod</t>
        </is>
      </c>
      <c r="B739" t="inlineStr">
        <is>
          <t>steelconsortium_consortiummobileconstructionvehicle</t>
        </is>
      </c>
      <c r="C739" t="inlineStr">
        <is>
          <t>Consortium Mobile Construction Vehicle</t>
        </is>
      </c>
      <c r="D739" s="6" t="inlineStr">
        <is>
          <t>SupportVehicle</t>
        </is>
      </c>
      <c r="E739" s="6" t="n">
        <v>150000</v>
      </c>
      <c r="F739" s="6" t="n">
        <v>60</v>
      </c>
      <c r="G739" t="inlineStr">
        <is>
          <t>Light</t>
        </is>
      </c>
      <c r="H739" s="6" t="n">
        <v>1</v>
      </c>
      <c r="I739" s="6" t="n">
        <v>1</v>
      </c>
      <c r="J739" s="6" t="n">
        <v>1</v>
      </c>
      <c r="K739" s="6" t="n"/>
      <c r="X739" s="6" t="n">
        <v>5000</v>
      </c>
    </row>
    <row r="740">
      <c r="A740" t="inlineStr">
        <is>
          <t>redalert2mod</t>
        </is>
      </c>
      <c r="B740" t="inlineStr">
        <is>
          <t>steelconsortium_defenderbot</t>
        </is>
      </c>
      <c r="C740" t="inlineStr">
        <is>
          <t>Defender Bot</t>
        </is>
      </c>
      <c r="D740" s="6" t="inlineStr">
        <is>
          <t>SupportVehicle</t>
        </is>
      </c>
      <c r="E740" s="6" t="n">
        <v>210000</v>
      </c>
      <c r="F740" s="6" t="n">
        <v>70</v>
      </c>
      <c r="G740" t="inlineStr">
        <is>
          <t>Medium</t>
        </is>
      </c>
      <c r="H740" s="6" t="n">
        <v>0.75</v>
      </c>
      <c r="I740" s="6" t="n">
        <v>1</v>
      </c>
      <c r="J740" s="6" t="n">
        <v>1.25</v>
      </c>
      <c r="K740" s="6" t="n"/>
      <c r="P740">
        <f>MAX(P741,P742,P743,P744)</f>
        <v/>
      </c>
      <c r="S740">
        <f>S741+S742+S743+S744</f>
        <v/>
      </c>
      <c r="T740">
        <f>(E740/100000+F740/100+(P740/1000)*J740/5+S740/200)*200*I740*H740</f>
        <v/>
      </c>
      <c r="U740">
        <f>((E740*F740/25000)+((P740/1000)*J740*S740/2.5))*I740*H740</f>
        <v/>
      </c>
      <c r="V740">
        <f>(E740*F740*(P740/1000)*J740*S740*I740*H740)/12500000</f>
        <v/>
      </c>
      <c r="W740">
        <f>(T740+U740+V740)/3</f>
        <v/>
      </c>
      <c r="X740" s="6" t="n">
        <v>3200</v>
      </c>
      <c r="Y740">
        <f>IFERROR(W740-X740,"")</f>
        <v/>
      </c>
      <c r="Z740">
        <f>IFERROR(ABS(Y740)/MAX(X740,1),"")</f>
        <v/>
      </c>
      <c r="AA740">
        <f>IFERROR((X740-(((E740/100000+F740/100+S740/200)*200*I740*H740)+((E740*F740/25000)*I740*H740))/3)/(((J740/5)*200*I740*H740)+((J740*S740/2.5)*I740*H740)+((E740*F740*J740*S740*I740*H740)/12500000))/3*1000,"")</f>
        <v/>
      </c>
    </row>
    <row r="741">
      <c r="B741" s="7" t="inlineStr">
        <is>
          <t xml:space="preserve">  ↳ SteelInfRailgun</t>
        </is>
      </c>
      <c r="C741" s="7" t="inlineStr">
        <is>
          <t>Armament@PRIMARY</t>
        </is>
      </c>
      <c r="L741" s="6" t="n">
        <v>4000</v>
      </c>
      <c r="M741" s="6" t="n">
        <v>48</v>
      </c>
      <c r="N741" s="6" t="n">
        <v>2</v>
      </c>
      <c r="O741" s="6" t="n">
        <v>0</v>
      </c>
      <c r="P741" s="6" t="n">
        <v>8000</v>
      </c>
      <c r="Q741" s="6" t="n">
        <v>1</v>
      </c>
      <c r="R741">
        <f>M741+IF(N741&gt;1,N(O741)*(N741-1),0)</f>
        <v/>
      </c>
      <c r="S741">
        <f>IFERROR(L741*MAX(N741,1)/R741*Q741*IF(ISBLANK(K740),1,K740),0)</f>
        <v/>
      </c>
      <c r="AB741" s="7" t="inlineStr">
        <is>
          <t>^RA2RailgunWeapon, ^RA2FlakWeapon, ^SteelChaingun, ^SteelLightMissile</t>
        </is>
      </c>
    </row>
    <row r="742">
      <c r="B742" s="7" t="inlineStr">
        <is>
          <t xml:space="preserve">  ↳ SteelInfRailgunE</t>
        </is>
      </c>
      <c r="C742" s="7" t="inlineStr">
        <is>
          <t>Armament@PRIMARYELITE</t>
        </is>
      </c>
      <c r="L742" s="6" t="n">
        <v>4000</v>
      </c>
      <c r="M742" s="6" t="n">
        <v>48</v>
      </c>
      <c r="N742" s="6" t="n">
        <v>4</v>
      </c>
      <c r="O742" s="6" t="n">
        <v>0</v>
      </c>
      <c r="P742" s="6" t="n">
        <v>9000</v>
      </c>
      <c r="Q742" s="6" t="n">
        <v>1</v>
      </c>
      <c r="R742">
        <f>M742+IF(N742&gt;1,N(O742)*(N742-1),0)</f>
        <v/>
      </c>
      <c r="S742">
        <f>IFERROR(L742*MAX(N742,1)/R742*Q742*IF(ISBLANK(K740),1,K740),0)</f>
        <v/>
      </c>
      <c r="AB742" s="7" t="inlineStr">
        <is>
          <t>^RA2RailgunWeapon, ^RA2FlakWeapon, ^SteelChaingun, ^SteelLightMissile</t>
        </is>
      </c>
    </row>
    <row r="743">
      <c r="B743" s="7" t="inlineStr">
        <is>
          <t xml:space="preserve">  ↳ SteelInfRailgunEMP</t>
        </is>
      </c>
      <c r="C743" s="7" t="inlineStr">
        <is>
          <t>Armament@UpgradePRIMARY</t>
        </is>
      </c>
      <c r="L743" s="6" t="n">
        <v>2000</v>
      </c>
      <c r="M743" s="6" t="n">
        <v>50</v>
      </c>
      <c r="N743" s="6" t="n">
        <v>2</v>
      </c>
      <c r="O743" s="6" t="n">
        <v>0</v>
      </c>
      <c r="P743" s="6" t="n">
        <v>8000</v>
      </c>
      <c r="Q743" s="6" t="n">
        <v>1</v>
      </c>
      <c r="R743">
        <f>M743+IF(N743&gt;1,N(O743)*(N743-1),0)</f>
        <v/>
      </c>
      <c r="S743">
        <f>IFERROR(L743*MAX(N743,1)/R743*Q743*IF(ISBLANK(K740),1,K740),0)</f>
        <v/>
      </c>
      <c r="AB743" s="7" t="inlineStr">
        <is>
          <t>^Grenade, ^MediumFlameWeapon, ^MediumChemicalWeapon, ^ShrapnelWeapon, ^MediumCannon, ^TeslaWeapon, ^RA2RailgunWeapon, ^RA2FlakWeapon, ^SteelChaingun, ^SteelLightMissile</t>
        </is>
      </c>
    </row>
    <row r="744">
      <c r="B744" s="7" t="inlineStr">
        <is>
          <t xml:space="preserve">  ↳ SteelInfRailgunEMPE</t>
        </is>
      </c>
      <c r="C744" s="7" t="inlineStr">
        <is>
          <t>Armament@UpgradePRIMARYELITE</t>
        </is>
      </c>
      <c r="L744" s="6" t="n">
        <v>2000</v>
      </c>
      <c r="M744" s="6" t="n">
        <v>50</v>
      </c>
      <c r="N744" s="6" t="n">
        <v>4</v>
      </c>
      <c r="O744" s="6" t="n">
        <v>0</v>
      </c>
      <c r="P744" s="6" t="n">
        <v>9000</v>
      </c>
      <c r="Q744" s="6" t="n">
        <v>1</v>
      </c>
      <c r="R744">
        <f>M744+IF(N744&gt;1,N(O744)*(N744-1),0)</f>
        <v/>
      </c>
      <c r="S744">
        <f>IFERROR(L744*MAX(N744,1)/R744*Q744*IF(ISBLANK(K740),1,K740),0)</f>
        <v/>
      </c>
      <c r="AB744" s="7" t="inlineStr">
        <is>
          <t>^Grenade, ^MediumFlameWeapon, ^MediumChemicalWeapon, ^ShrapnelWeapon, ^MediumCannon, ^TeslaWeapon, ^RA2RailgunWeapon, ^RA2FlakWeapon, ^SteelChaingun, ^SteelLightMissile</t>
        </is>
      </c>
    </row>
    <row r="745">
      <c r="A745" t="inlineStr">
        <is>
          <t>redalert2mod</t>
        </is>
      </c>
      <c r="B745" t="inlineStr">
        <is>
          <t>steelconsortium_supportshieldgenerator</t>
        </is>
      </c>
      <c r="C745" t="inlineStr">
        <is>
          <t>Support Shield Generator</t>
        </is>
      </c>
      <c r="D745" s="6" t="inlineStr">
        <is>
          <t>SupportVehicle</t>
        </is>
      </c>
      <c r="E745" s="6" t="n">
        <v>100000</v>
      </c>
      <c r="F745" s="6" t="n">
        <v>75</v>
      </c>
      <c r="G745" t="inlineStr">
        <is>
          <t>Medium</t>
        </is>
      </c>
      <c r="H745" s="6" t="n">
        <v>1</v>
      </c>
      <c r="I745" s="6" t="n">
        <v>1</v>
      </c>
      <c r="J745" s="6" t="n">
        <v>1</v>
      </c>
      <c r="K745" s="6" t="n"/>
      <c r="P745">
        <f>MAX(P746)</f>
        <v/>
      </c>
      <c r="S745">
        <f>S746</f>
        <v/>
      </c>
      <c r="T745">
        <f>(E745/100000+F745/100+(P745/1000)*J745/5+S745/200)*200*I745*H745</f>
        <v/>
      </c>
      <c r="U745">
        <f>((E745*F745/25000)+((P745/1000)*J745*S745/2.5))*I745*H745</f>
        <v/>
      </c>
      <c r="V745">
        <f>(E745*F745*(P745/1000)*J745*S745*I745*H745)/12500000</f>
        <v/>
      </c>
      <c r="W745">
        <f>(T745+U745+V745)/3</f>
        <v/>
      </c>
      <c r="X745" s="6" t="n">
        <v>3000</v>
      </c>
      <c r="Y745">
        <f>IFERROR(W745-X745,"")</f>
        <v/>
      </c>
      <c r="Z745">
        <f>IFERROR(ABS(Y745)/MAX(X745,1),"")</f>
        <v/>
      </c>
      <c r="AA745">
        <f>IFERROR((X745-(((E745/100000+F745/100+S745/200)*200*I745*H745)+((E745*F745/25000)*I745*H745))/3)/(((J745/5)*200*I745*H745)+((J745*S745/2.5)*I745*H745)+((E745*F745*J745*S745*I745*H745)/12500000))/3*1000,"")</f>
        <v/>
      </c>
    </row>
    <row r="746">
      <c r="B746" s="7" t="inlineStr">
        <is>
          <t xml:space="preserve">  ↳ GLStingerTargeting</t>
        </is>
      </c>
      <c r="C746" s="7" t="inlineStr">
        <is>
          <t>Armament</t>
        </is>
      </c>
      <c r="L746" s="6" t="n"/>
      <c r="M746" s="6" t="n">
        <v>25</v>
      </c>
      <c r="N746" s="6" t="n">
        <v>1</v>
      </c>
      <c r="O746" s="6" t="n"/>
      <c r="P746" s="6" t="n">
        <v>15000</v>
      </c>
      <c r="Q746" s="6" t="n">
        <v>1</v>
      </c>
      <c r="R746">
        <f>M746+IF(N746&gt;1,N(O746)*(N746-1),0)</f>
        <v/>
      </c>
      <c r="S746">
        <f>IFERROR(L746*MAX(N746,1)/R746*Q746*IF(ISBLANK(K745),1,K745),0)</f>
        <v/>
      </c>
      <c r="AB746" s="7" t="inlineStr"/>
    </row>
    <row r="747">
      <c r="A747" t="inlineStr">
        <is>
          <t>redalert2mod</t>
        </is>
      </c>
      <c r="B747" t="inlineStr">
        <is>
          <t>latinsyndicate_diablo</t>
        </is>
      </c>
      <c r="C747" t="inlineStr">
        <is>
          <t>Diablo</t>
        </is>
      </c>
      <c r="D747" s="6" t="inlineStr">
        <is>
          <t>SupportVehicle</t>
        </is>
      </c>
      <c r="E747" s="6" t="n">
        <v>45000</v>
      </c>
      <c r="F747" s="6" t="n">
        <v>125</v>
      </c>
      <c r="G747" t="inlineStr">
        <is>
          <t>Light</t>
        </is>
      </c>
      <c r="H747" s="6" t="n">
        <v>1</v>
      </c>
      <c r="I747" s="6" t="n">
        <v>1</v>
      </c>
      <c r="J747" s="6" t="n">
        <v>1</v>
      </c>
      <c r="K747" s="6" t="n"/>
      <c r="P747">
        <f>MAX(P748,P749,P750,P751)</f>
        <v/>
      </c>
      <c r="S747">
        <f>S748+S749+S750+S751</f>
        <v/>
      </c>
      <c r="T747">
        <f>(E747/100000+F747/100+(P747/1000)*J747/5+S747/200)*200*I747*H747</f>
        <v/>
      </c>
      <c r="U747">
        <f>((E747*F747/25000)+((P747/1000)*J747*S747/2.5))*I747*H747</f>
        <v/>
      </c>
      <c r="V747">
        <f>(E747*F747*(P747/1000)*J747*S747*I747*H747)/12500000</f>
        <v/>
      </c>
      <c r="W747">
        <f>(T747+U747+V747)/3</f>
        <v/>
      </c>
      <c r="X747" s="6" t="n">
        <v>1200</v>
      </c>
      <c r="Y747">
        <f>IFERROR(W747-X747,"")</f>
        <v/>
      </c>
      <c r="Z747">
        <f>IFERROR(ABS(Y747)/MAX(X747,1),"")</f>
        <v/>
      </c>
      <c r="AA747">
        <f>IFERROR((X747-(((E747/100000+F747/100+S747/200)*200*I747*H747)+((E747*F747/25000)*I747*H747))/3)/(((J747/5)*200*I747*H747)+((J747*S747/2.5)*I747*H747)+((E747*F747*J747*S747*I747*H747)/12500000))/3*1000,"")</f>
        <v/>
      </c>
    </row>
    <row r="748">
      <c r="B748" s="7" t="inlineStr">
        <is>
          <t xml:space="preserve">  ↳ DiabloCannon</t>
        </is>
      </c>
      <c r="C748" s="7" t="inlineStr">
        <is>
          <t>Armament</t>
        </is>
      </c>
      <c r="L748" s="6" t="n">
        <v>2000</v>
      </c>
      <c r="M748" s="6" t="n">
        <v>16</v>
      </c>
      <c r="N748" s="6" t="n">
        <v>1</v>
      </c>
      <c r="O748" s="6" t="n"/>
      <c r="P748" s="6" t="n">
        <v>6300</v>
      </c>
      <c r="Q748" s="6" t="n">
        <v>0.9166666666666666</v>
      </c>
      <c r="R748">
        <f>M748+IF(N748&gt;1,N(O748)*(N748-1),0)</f>
        <v/>
      </c>
      <c r="S748">
        <f>IFERROR(L748*MAX(N748,1)/R748*Q748*IF(ISBLANK(K747),1,K747),0)</f>
        <v/>
      </c>
      <c r="AB748" s="7" t="inlineStr">
        <is>
          <t>^LightMissile, ^TankDestroyerCannon, ^Chaingun, ^RA2FlakWeapon</t>
        </is>
      </c>
    </row>
    <row r="749">
      <c r="B749" s="7" t="inlineStr">
        <is>
          <t xml:space="preserve">  ↳ DiabloCannonE</t>
        </is>
      </c>
      <c r="C749" s="7" t="inlineStr">
        <is>
          <t>Armament@Elite</t>
        </is>
      </c>
      <c r="L749" s="6" t="n">
        <v>2000</v>
      </c>
      <c r="M749" s="6" t="n">
        <v>16</v>
      </c>
      <c r="N749" s="6" t="n">
        <v>2</v>
      </c>
      <c r="O749" s="6" t="n">
        <v>3</v>
      </c>
      <c r="P749" s="6" t="n">
        <v>7300</v>
      </c>
      <c r="Q749" s="6" t="n">
        <v>0.9166666666666666</v>
      </c>
      <c r="R749">
        <f>M749+IF(N749&gt;1,N(O749)*(N749-1),0)</f>
        <v/>
      </c>
      <c r="S749">
        <f>IFERROR(L749*MAX(N749,1)/R749*Q749*IF(ISBLANK(K747),1,K747),0)</f>
        <v/>
      </c>
      <c r="AB749" s="7" t="inlineStr">
        <is>
          <t>^LightMissile, ^TankDestroyerCannon, ^Chaingun, ^RA2FlakWeapon</t>
        </is>
      </c>
    </row>
    <row r="750">
      <c r="B750" s="7" t="inlineStr">
        <is>
          <t xml:space="preserve">  ↳ DiabloCannonAA</t>
        </is>
      </c>
      <c r="C750" s="7" t="inlineStr">
        <is>
          <t>Armament@AA</t>
        </is>
      </c>
      <c r="L750" s="6" t="n">
        <v>2000</v>
      </c>
      <c r="M750" s="6" t="n">
        <v>16</v>
      </c>
      <c r="N750" s="6" t="n">
        <v>1</v>
      </c>
      <c r="O750" s="6" t="n"/>
      <c r="P750" s="6" t="n">
        <v>9450</v>
      </c>
      <c r="Q750" s="6" t="n">
        <v>0.9166666666666666</v>
      </c>
      <c r="R750">
        <f>M750+IF(N750&gt;1,N(O750)*(N750-1),0)</f>
        <v/>
      </c>
      <c r="S750">
        <f>IFERROR(L750*MAX(N750,1)/R750*Q750*IF(ISBLANK(K747),1,K747),0)</f>
        <v/>
      </c>
      <c r="AB750" s="7" t="inlineStr">
        <is>
          <t>^LightMissile, ^TankDestroyerCannon, ^Chaingun, ^RA2FlakWeapon</t>
        </is>
      </c>
    </row>
    <row r="751">
      <c r="B751" s="7" t="inlineStr">
        <is>
          <t xml:space="preserve">  ↳ DiabloCannonAAE</t>
        </is>
      </c>
      <c r="C751" s="7" t="inlineStr">
        <is>
          <t>Armament@AAE</t>
        </is>
      </c>
      <c r="L751" s="6" t="n">
        <v>2000</v>
      </c>
      <c r="M751" s="6" t="n">
        <v>16</v>
      </c>
      <c r="N751" s="6" t="n">
        <v>2</v>
      </c>
      <c r="O751" s="6" t="n">
        <v>3</v>
      </c>
      <c r="P751" s="6" t="n">
        <v>10450</v>
      </c>
      <c r="Q751" s="6" t="n">
        <v>0.9166666666666666</v>
      </c>
      <c r="R751">
        <f>M751+IF(N751&gt;1,N(O751)*(N751-1),0)</f>
        <v/>
      </c>
      <c r="S751">
        <f>IFERROR(L751*MAX(N751,1)/R751*Q751*IF(ISBLANK(K747),1,K747),0)</f>
        <v/>
      </c>
      <c r="AB751" s="7" t="inlineStr">
        <is>
          <t>^LightMissile, ^TankDestroyerCannon, ^Chaingun, ^RA2FlakWeapon</t>
        </is>
      </c>
    </row>
    <row r="752">
      <c r="A752" t="inlineStr">
        <is>
          <t>redalert2mod</t>
        </is>
      </c>
      <c r="B752" t="inlineStr">
        <is>
          <t>latinsyndicate_latinapc</t>
        </is>
      </c>
      <c r="C752" t="inlineStr">
        <is>
          <t>Latin APC</t>
        </is>
      </c>
      <c r="D752" s="6" t="inlineStr">
        <is>
          <t>SupportVehicle</t>
        </is>
      </c>
      <c r="E752" s="6" t="n">
        <v>180000</v>
      </c>
      <c r="F752" s="6" t="n">
        <v>90</v>
      </c>
      <c r="G752" t="inlineStr">
        <is>
          <t>Medium</t>
        </is>
      </c>
      <c r="H752" s="6" t="n">
        <v>1</v>
      </c>
      <c r="I752" s="6" t="n">
        <v>1</v>
      </c>
      <c r="J752" s="6" t="n">
        <v>1</v>
      </c>
      <c r="K752" s="6" t="n"/>
      <c r="P752">
        <f>MAX(P753,P754,P755,P756,P757,P758,P759,P760,P761,P762,P763,P764)</f>
        <v/>
      </c>
      <c r="S752">
        <f>S753+S754+S755+S756+S757+S758+S759+S760+S761+S762+S763+S764</f>
        <v/>
      </c>
      <c r="T752">
        <f>(E752/100000+F752/100+(P752/1000)*J752/5+S752/200)*200*I752*H752</f>
        <v/>
      </c>
      <c r="U752">
        <f>((E752*F752/25000)+((P752/1000)*J752*S752/2.5))*I752*H752</f>
        <v/>
      </c>
      <c r="V752">
        <f>(E752*F752*(P752/1000)*J752*S752*I752*H752)/12500000</f>
        <v/>
      </c>
      <c r="W752">
        <f>(T752+U752+V752)/3</f>
        <v/>
      </c>
      <c r="X752" s="6" t="n">
        <v>2400</v>
      </c>
      <c r="Y752">
        <f>IFERROR(W752-X752,"")</f>
        <v/>
      </c>
      <c r="Z752">
        <f>IFERROR(ABS(Y752)/MAX(X752,1),"")</f>
        <v/>
      </c>
      <c r="AA752">
        <f>IFERROR((X752-(((E752/100000+F752/100+S752/200)*200*I752*H752)+((E752*F752/25000)*I752*H752))/3)/(((J752/5)*200*I752*H752)+((J752*S752/2.5)*I752*H752)+((E752*F752*J752*S752*I752*H752)/12500000))/3*1000,"")</f>
        <v/>
      </c>
    </row>
    <row r="753">
      <c r="B753" s="7" t="inlineStr">
        <is>
          <t xml:space="preserve">  ↳ RA2APCFlakCannon</t>
        </is>
      </c>
      <c r="C753" s="7" t="inlineStr">
        <is>
          <t>Armament@Flak</t>
        </is>
      </c>
      <c r="L753" s="6" t="n">
        <v>2000</v>
      </c>
      <c r="M753" s="6" t="n">
        <v>12</v>
      </c>
      <c r="N753" s="6" t="n">
        <v>1</v>
      </c>
      <c r="O753" s="6" t="n"/>
      <c r="P753" s="6" t="n">
        <v>5740</v>
      </c>
      <c r="Q753" s="6" t="n">
        <v>0.9166666666666666</v>
      </c>
      <c r="R753">
        <f>M753+IF(N753&gt;1,N(O753)*(N753-1),0)</f>
        <v/>
      </c>
      <c r="S753">
        <f>IFERROR(L753*MAX(N753,1)/R753*Q753*IF(ISBLANK(K752),1,K752),0)</f>
        <v/>
      </c>
      <c r="AB753" s="7" t="inlineStr">
        <is>
          <t>^LightMissile, ^TankDestroyerCannon, ^Chaingun, ^RA2FlakWeapon</t>
        </is>
      </c>
    </row>
    <row r="754">
      <c r="B754" s="7" t="inlineStr">
        <is>
          <t xml:space="preserve">  ↳ RA2APCFlakCannonE</t>
        </is>
      </c>
      <c r="C754" s="7" t="inlineStr">
        <is>
          <t>Armament@FlakELITE</t>
        </is>
      </c>
      <c r="L754" s="6" t="n">
        <v>2000</v>
      </c>
      <c r="M754" s="6" t="n">
        <v>12</v>
      </c>
      <c r="N754" s="6" t="n">
        <v>2</v>
      </c>
      <c r="O754" s="6" t="n">
        <v>3</v>
      </c>
      <c r="P754" s="6" t="n">
        <v>6740</v>
      </c>
      <c r="Q754" s="6" t="n">
        <v>0.9166666666666666</v>
      </c>
      <c r="R754">
        <f>M754+IF(N754&gt;1,N(O754)*(N754-1),0)</f>
        <v/>
      </c>
      <c r="S754">
        <f>IFERROR(L754*MAX(N754,1)/R754*Q754*IF(ISBLANK(K752),1,K752),0)</f>
        <v/>
      </c>
      <c r="AB754" s="7" t="inlineStr">
        <is>
          <t>^LightMissile, ^TankDestroyerCannon, ^Chaingun, ^RA2FlakWeapon</t>
        </is>
      </c>
    </row>
    <row r="755">
      <c r="B755" s="7" t="inlineStr">
        <is>
          <t xml:space="preserve">  ↳ RA2APCFlakCannonAA</t>
        </is>
      </c>
      <c r="C755" s="7" t="inlineStr">
        <is>
          <t>Armament@FlakAA</t>
        </is>
      </c>
      <c r="L755" s="6" t="n">
        <v>2000</v>
      </c>
      <c r="M755" s="6" t="n">
        <v>12</v>
      </c>
      <c r="N755" s="6" t="n">
        <v>1</v>
      </c>
      <c r="O755" s="6" t="n"/>
      <c r="P755" s="6" t="n">
        <v>8610</v>
      </c>
      <c r="Q755" s="6" t="n">
        <v>0.9166666666666666</v>
      </c>
      <c r="R755">
        <f>M755+IF(N755&gt;1,N(O755)*(N755-1),0)</f>
        <v/>
      </c>
      <c r="S755">
        <f>IFERROR(L755*MAX(N755,1)/R755*Q755*IF(ISBLANK(K752),1,K752),0)</f>
        <v/>
      </c>
      <c r="AB755" s="7" t="inlineStr">
        <is>
          <t>^LightMissile, ^TankDestroyerCannon, ^Chaingun, ^RA2FlakWeapon</t>
        </is>
      </c>
    </row>
    <row r="756">
      <c r="B756" s="7" t="inlineStr">
        <is>
          <t xml:space="preserve">  ↳ RA2APCFlakCannonAAE</t>
        </is>
      </c>
      <c r="C756" s="7" t="inlineStr">
        <is>
          <t>Armament@FlakAAELITE</t>
        </is>
      </c>
      <c r="L756" s="6" t="n">
        <v>2000</v>
      </c>
      <c r="M756" s="6" t="n">
        <v>12</v>
      </c>
      <c r="N756" s="6" t="n">
        <v>2</v>
      </c>
      <c r="O756" s="6" t="n">
        <v>3</v>
      </c>
      <c r="P756" s="6" t="n">
        <v>9610</v>
      </c>
      <c r="Q756" s="6" t="n">
        <v>0.9166666666666666</v>
      </c>
      <c r="R756">
        <f>M756+IF(N756&gt;1,N(O756)*(N756-1),0)</f>
        <v/>
      </c>
      <c r="S756">
        <f>IFERROR(L756*MAX(N756,1)/R756*Q756*IF(ISBLANK(K752),1,K752),0)</f>
        <v/>
      </c>
      <c r="AB756" s="7" t="inlineStr">
        <is>
          <t>^LightMissile, ^TankDestroyerCannon, ^Chaingun, ^RA2FlakWeapon</t>
        </is>
      </c>
    </row>
    <row r="757">
      <c r="B757" s="7" t="inlineStr">
        <is>
          <t xml:space="preserve">  ↳ RA2APCMachineGun</t>
        </is>
      </c>
      <c r="C757" s="7" t="inlineStr">
        <is>
          <t>Armament@Machinegun</t>
        </is>
      </c>
      <c r="L757" s="6" t="n">
        <v>2000</v>
      </c>
      <c r="M757" s="6" t="n">
        <v>12</v>
      </c>
      <c r="N757" s="6" t="n">
        <v>4</v>
      </c>
      <c r="O757" s="6" t="n">
        <v>4</v>
      </c>
      <c r="P757" s="6" t="n">
        <v>5740</v>
      </c>
      <c r="Q757" s="6" t="n">
        <v>0.875</v>
      </c>
      <c r="R757">
        <f>M757+IF(N757&gt;1,N(O757)*(N757-1),0)</f>
        <v/>
      </c>
      <c r="S757">
        <f>IFERROR(L757*MAX(N757,1)/R757*Q757*IF(ISBLANK(K752),1,K752),0)</f>
        <v/>
      </c>
      <c r="AB757" s="7" t="inlineStr">
        <is>
          <t>^RA2SmallArms, ^RA2Chaingun</t>
        </is>
      </c>
    </row>
    <row r="758">
      <c r="B758" s="7" t="inlineStr">
        <is>
          <t xml:space="preserve">  ↳ RA2APCMachineGunE</t>
        </is>
      </c>
      <c r="C758" s="7" t="inlineStr">
        <is>
          <t>Armament@MachinegunELITE</t>
        </is>
      </c>
      <c r="L758" s="6" t="n">
        <v>2000</v>
      </c>
      <c r="M758" s="6" t="n">
        <v>12</v>
      </c>
      <c r="N758" s="6" t="n">
        <v>8</v>
      </c>
      <c r="O758" s="6" t="n">
        <v>2</v>
      </c>
      <c r="P758" s="6" t="n">
        <v>6740</v>
      </c>
      <c r="Q758" s="6" t="n">
        <v>0.875</v>
      </c>
      <c r="R758">
        <f>M758+IF(N758&gt;1,N(O758)*(N758-1),0)</f>
        <v/>
      </c>
      <c r="S758">
        <f>IFERROR(L758*MAX(N758,1)/R758*Q758*IF(ISBLANK(K752),1,K752),0)</f>
        <v/>
      </c>
      <c r="AB758" s="7" t="inlineStr">
        <is>
          <t>^RA2SmallArms, ^RA2Chaingun</t>
        </is>
      </c>
    </row>
    <row r="759">
      <c r="B759" s="7" t="inlineStr">
        <is>
          <t xml:space="preserve">  ↳ RA2APCMachineGunAA</t>
        </is>
      </c>
      <c r="C759" s="7" t="inlineStr">
        <is>
          <t>Armament@MachinegunAA</t>
        </is>
      </c>
      <c r="L759" s="6" t="n">
        <v>2000</v>
      </c>
      <c r="M759" s="6" t="n">
        <v>12</v>
      </c>
      <c r="N759" s="6" t="n">
        <v>4</v>
      </c>
      <c r="O759" s="6" t="n">
        <v>4</v>
      </c>
      <c r="P759" s="6" t="n">
        <v>8610</v>
      </c>
      <c r="Q759" s="6" t="n">
        <v>0.875</v>
      </c>
      <c r="R759">
        <f>M759+IF(N759&gt;1,N(O759)*(N759-1),0)</f>
        <v/>
      </c>
      <c r="S759">
        <f>IFERROR(L759*MAX(N759,1)/R759*Q759*IF(ISBLANK(K752),1,K752),0)</f>
        <v/>
      </c>
      <c r="AB759" s="7" t="inlineStr">
        <is>
          <t>^RA2SmallArms, ^RA2Chaingun</t>
        </is>
      </c>
    </row>
    <row r="760">
      <c r="B760" s="7" t="inlineStr">
        <is>
          <t xml:space="preserve">  ↳ RA2APCMachineGunAAE</t>
        </is>
      </c>
      <c r="C760" s="7" t="inlineStr">
        <is>
          <t>Armament@MachinegunAAELITE</t>
        </is>
      </c>
      <c r="L760" s="6" t="n">
        <v>2000</v>
      </c>
      <c r="M760" s="6" t="n">
        <v>12</v>
      </c>
      <c r="N760" s="6" t="n">
        <v>8</v>
      </c>
      <c r="O760" s="6" t="n">
        <v>2</v>
      </c>
      <c r="P760" s="6" t="n">
        <v>9610</v>
      </c>
      <c r="Q760" s="6" t="n">
        <v>0.875</v>
      </c>
      <c r="R760">
        <f>M760+IF(N760&gt;1,N(O760)*(N760-1),0)</f>
        <v/>
      </c>
      <c r="S760">
        <f>IFERROR(L760*MAX(N760,1)/R760*Q760*IF(ISBLANK(K752),1,K752),0)</f>
        <v/>
      </c>
      <c r="AB760" s="7" t="inlineStr">
        <is>
          <t>^RA2SmallArms, ^RA2Chaingun</t>
        </is>
      </c>
    </row>
    <row r="761">
      <c r="B761" s="7" t="inlineStr">
        <is>
          <t xml:space="preserve">  ↳ RA2APCRocket</t>
        </is>
      </c>
      <c r="C761" s="7" t="inlineStr">
        <is>
          <t>Armament@Rockets</t>
        </is>
      </c>
      <c r="L761" s="6" t="n">
        <v>2000</v>
      </c>
      <c r="M761" s="6" t="n">
        <v>53</v>
      </c>
      <c r="N761" s="6" t="n">
        <v>4</v>
      </c>
      <c r="O761" s="6" t="n">
        <v>3</v>
      </c>
      <c r="P761" s="6" t="n">
        <v>5740</v>
      </c>
      <c r="Q761" s="6" t="n">
        <v>1.125</v>
      </c>
      <c r="R761">
        <f>M761+IF(N761&gt;1,N(O761)*(N761-1),0)</f>
        <v/>
      </c>
      <c r="S761">
        <f>IFERROR(L761*MAX(N761,1)/R761*Q761*IF(ISBLANK(K752),1,K752),0)</f>
        <v/>
      </c>
      <c r="AB761" s="7" t="inlineStr">
        <is>
          <t>^HeavyBomb, ^HeavyAAWeapon, ^FlakWeapon, ^RA2MediumMissile</t>
        </is>
      </c>
    </row>
    <row r="762">
      <c r="B762" s="7" t="inlineStr">
        <is>
          <t xml:space="preserve">  ↳ RA2APCRocketE</t>
        </is>
      </c>
      <c r="C762" s="7" t="inlineStr">
        <is>
          <t>Armament@RocketsELITE</t>
        </is>
      </c>
      <c r="L762" s="6" t="n">
        <v>2000</v>
      </c>
      <c r="M762" s="6" t="n">
        <v>53</v>
      </c>
      <c r="N762" s="6" t="n">
        <v>8</v>
      </c>
      <c r="O762" s="6" t="n">
        <v>3</v>
      </c>
      <c r="P762" s="6" t="n">
        <v>6740</v>
      </c>
      <c r="Q762" s="6" t="n">
        <v>1.125</v>
      </c>
      <c r="R762">
        <f>M762+IF(N762&gt;1,N(O762)*(N762-1),0)</f>
        <v/>
      </c>
      <c r="S762">
        <f>IFERROR(L762*MAX(N762,1)/R762*Q762*IF(ISBLANK(K752),1,K752),0)</f>
        <v/>
      </c>
      <c r="AB762" s="7" t="inlineStr">
        <is>
          <t>^HeavyBomb, ^HeavyAAWeapon, ^FlakWeapon, ^RA2MediumMissile</t>
        </is>
      </c>
    </row>
    <row r="763">
      <c r="B763" s="7" t="inlineStr">
        <is>
          <t xml:space="preserve">  ↳ RA2APCRocketAA</t>
        </is>
      </c>
      <c r="C763" s="7" t="inlineStr">
        <is>
          <t>Armament@RocketsAA</t>
        </is>
      </c>
      <c r="L763" s="6" t="n">
        <v>2000</v>
      </c>
      <c r="M763" s="6" t="n">
        <v>53</v>
      </c>
      <c r="N763" s="6" t="n">
        <v>4</v>
      </c>
      <c r="O763" s="6" t="n">
        <v>3</v>
      </c>
      <c r="P763" s="6" t="n">
        <v>8610</v>
      </c>
      <c r="Q763" s="6" t="n">
        <v>1.125</v>
      </c>
      <c r="R763">
        <f>M763+IF(N763&gt;1,N(O763)*(N763-1),0)</f>
        <v/>
      </c>
      <c r="S763">
        <f>IFERROR(L763*MAX(N763,1)/R763*Q763*IF(ISBLANK(K752),1,K752),0)</f>
        <v/>
      </c>
      <c r="AB763" s="7" t="inlineStr">
        <is>
          <t>^HeavyBomb, ^HeavyAAWeapon, ^FlakWeapon, ^RA2MediumMissile</t>
        </is>
      </c>
    </row>
    <row r="764">
      <c r="B764" s="7" t="inlineStr">
        <is>
          <t xml:space="preserve">  ↳ RA2APCRocketAAE</t>
        </is>
      </c>
      <c r="C764" s="7" t="inlineStr">
        <is>
          <t>Armament@RocketsAAELITE</t>
        </is>
      </c>
      <c r="L764" s="6" t="n">
        <v>2000</v>
      </c>
      <c r="M764" s="6" t="n">
        <v>53</v>
      </c>
      <c r="N764" s="6" t="n">
        <v>8</v>
      </c>
      <c r="O764" s="6" t="n">
        <v>3</v>
      </c>
      <c r="P764" s="6" t="n">
        <v>9610</v>
      </c>
      <c r="Q764" s="6" t="n">
        <v>1.125</v>
      </c>
      <c r="R764">
        <f>M764+IF(N764&gt;1,N(O764)*(N764-1),0)</f>
        <v/>
      </c>
      <c r="S764">
        <f>IFERROR(L764*MAX(N764,1)/R764*Q764*IF(ISBLANK(K752),1,K752),0)</f>
        <v/>
      </c>
      <c r="AB764" s="7" t="inlineStr">
        <is>
          <t>^HeavyBomb, ^HeavyAAWeapon, ^FlakWeapon, ^RA2MediumMissile</t>
        </is>
      </c>
    </row>
    <row r="765">
      <c r="A765" t="inlineStr">
        <is>
          <t>redalert2mod</t>
        </is>
      </c>
      <c r="B765" t="inlineStr">
        <is>
          <t>latinsyndicate_narcohummer</t>
        </is>
      </c>
      <c r="C765" t="inlineStr">
        <is>
          <t>Narco Hummer</t>
        </is>
      </c>
      <c r="D765" s="6" t="inlineStr">
        <is>
          <t>SupportVehicle</t>
        </is>
      </c>
      <c r="E765" s="6" t="n">
        <v>97500</v>
      </c>
      <c r="F765" s="6" t="n">
        <v>110</v>
      </c>
      <c r="G765" t="inlineStr">
        <is>
          <t>Medium</t>
        </is>
      </c>
      <c r="H765" s="6" t="n">
        <v>0.75</v>
      </c>
      <c r="I765" s="6" t="n">
        <v>1.25</v>
      </c>
      <c r="J765" s="6" t="n">
        <v>1</v>
      </c>
      <c r="K765" s="6" t="n"/>
      <c r="P765">
        <f>MAX(P766,P767)</f>
        <v/>
      </c>
      <c r="S765">
        <f>S766+S767</f>
        <v/>
      </c>
      <c r="T765">
        <f>(E765/100000+F765/100+(P765/1000)*J765/5+S765/200)*200*I765*H765</f>
        <v/>
      </c>
      <c r="U765">
        <f>((E765*F765/25000)+((P765/1000)*J765*S765/2.5))*I765*H765</f>
        <v/>
      </c>
      <c r="V765">
        <f>(E765*F765*(P765/1000)*J765*S765*I765*H765)/12500000</f>
        <v/>
      </c>
      <c r="W765">
        <f>(T765+U765+V765)/3</f>
        <v/>
      </c>
      <c r="X765" s="6" t="n">
        <v>3000</v>
      </c>
      <c r="Y765">
        <f>IFERROR(W765-X765,"")</f>
        <v/>
      </c>
      <c r="Z765">
        <f>IFERROR(ABS(Y765)/MAX(X765,1),"")</f>
        <v/>
      </c>
      <c r="AA765">
        <f>IFERROR((X765-(((E765/100000+F765/100+S765/200)*200*I765*H765)+((E765*F765/25000)*I765*H765))/3)/(((J765/5)*200*I765*H765)+((J765*S765/2.5)*I765*H765)+((E765*F765*J765*S765*I765*H765)/12500000))/3*1000,"")</f>
        <v/>
      </c>
    </row>
    <row r="766">
      <c r="B766" s="7" t="inlineStr">
        <is>
          <t xml:space="preserve">  ↳ RA2NarcoAKM</t>
        </is>
      </c>
      <c r="C766" s="7" t="inlineStr">
        <is>
          <t>Armament@AG</t>
        </is>
      </c>
      <c r="L766" s="6" t="n">
        <v>2000</v>
      </c>
      <c r="M766" s="6" t="n">
        <v>10</v>
      </c>
      <c r="N766" s="6" t="n">
        <v>1</v>
      </c>
      <c r="O766" s="6" t="n"/>
      <c r="P766" s="6" t="n">
        <v>5800</v>
      </c>
      <c r="Q766" s="6" t="n">
        <v>0.875</v>
      </c>
      <c r="R766">
        <f>M766+IF(N766&gt;1,N(O766)*(N766-1),0)</f>
        <v/>
      </c>
      <c r="S766">
        <f>IFERROR(L766*MAX(N766,1)/R766*Q766*IF(ISBLANK(K765),1,K765),0)</f>
        <v/>
      </c>
      <c r="AB766" s="7" t="inlineStr">
        <is>
          <t>^RA2SmallArms, ^RA2Chaingun</t>
        </is>
      </c>
    </row>
    <row r="767">
      <c r="B767" s="7" t="inlineStr">
        <is>
          <t xml:space="preserve">  ↳ RA2NarcoAKME</t>
        </is>
      </c>
      <c r="C767" s="7" t="inlineStr">
        <is>
          <t>Armament@AGE</t>
        </is>
      </c>
      <c r="L767" s="6" t="n">
        <v>2000</v>
      </c>
      <c r="M767" s="6" t="n">
        <v>10</v>
      </c>
      <c r="N767" s="6" t="n">
        <v>2</v>
      </c>
      <c r="O767" s="6" t="n">
        <v>3</v>
      </c>
      <c r="P767" s="6" t="n">
        <v>6800</v>
      </c>
      <c r="Q767" s="6" t="n">
        <v>0.875</v>
      </c>
      <c r="R767">
        <f>M767+IF(N767&gt;1,N(O767)*(N767-1),0)</f>
        <v/>
      </c>
      <c r="S767">
        <f>IFERROR(L767*MAX(N767,1)/R767*Q767*IF(ISBLANK(K765),1,K765),0)</f>
        <v/>
      </c>
      <c r="AB767" s="7" t="inlineStr">
        <is>
          <t>^RA2SmallArms, ^RA2Chaingun</t>
        </is>
      </c>
    </row>
    <row r="768">
      <c r="A768" t="inlineStr">
        <is>
          <t>redalert2mod</t>
        </is>
      </c>
      <c r="B768" t="inlineStr">
        <is>
          <t>latinsyndicate_raiderbuggy</t>
        </is>
      </c>
      <c r="C768" t="inlineStr">
        <is>
          <t>Raider Buggy</t>
        </is>
      </c>
      <c r="D768" s="6" t="inlineStr">
        <is>
          <t>SupportVehicle</t>
        </is>
      </c>
      <c r="E768" s="6" t="n">
        <v>37500</v>
      </c>
      <c r="F768" s="6" t="n">
        <v>115</v>
      </c>
      <c r="G768" t="inlineStr">
        <is>
          <t>Light</t>
        </is>
      </c>
      <c r="H768" s="6" t="n">
        <v>1</v>
      </c>
      <c r="I768" s="6" t="n">
        <v>1</v>
      </c>
      <c r="J768" s="6" t="n">
        <v>1</v>
      </c>
      <c r="K768" s="6" t="n">
        <v>0.5</v>
      </c>
      <c r="P768">
        <f>MAX(P769,P770,P771,P772,P773,P774)</f>
        <v/>
      </c>
      <c r="S768">
        <f>S769+S770+S771+S772+S773+S774</f>
        <v/>
      </c>
      <c r="T768">
        <f>(E768/100000+F768/100+(P768/1000)*J768/5+S768/200)*200*I768*H768</f>
        <v/>
      </c>
      <c r="U768">
        <f>((E768*F768/25000)+((P768/1000)*J768*S768/2.5))*I768*H768</f>
        <v/>
      </c>
      <c r="V768">
        <f>(E768*F768*(P768/1000)*J768*S768*I768*H768)/12500000</f>
        <v/>
      </c>
      <c r="W768">
        <f>(T768+U768+V768)/3</f>
        <v/>
      </c>
      <c r="X768" s="6" t="n">
        <v>700</v>
      </c>
      <c r="Y768">
        <f>IFERROR(W768-X768,"")</f>
        <v/>
      </c>
      <c r="Z768">
        <f>IFERROR(ABS(Y768)/MAX(X768,1),"")</f>
        <v/>
      </c>
      <c r="AA768">
        <f>IFERROR((X768-(((E768/100000+F768/100+S768/200)*200*I768*H768)+((E768*F768/25000)*I768*H768))/3)/(((J768/5)*200*I768*H768)+((J768*S768/2.5)*I768*H768)+((E768*F768*J768*S768*I768*H768)/12500000))/3*1000,"")</f>
        <v/>
      </c>
    </row>
    <row r="769">
      <c r="B769" s="7" t="inlineStr">
        <is>
          <t xml:space="preserve">  ↳ LatinBuggyMG</t>
        </is>
      </c>
      <c r="C769" s="7" t="inlineStr">
        <is>
          <t>Armament</t>
        </is>
      </c>
      <c r="L769" s="6" t="n">
        <v>4000</v>
      </c>
      <c r="M769" s="6" t="n">
        <v>35</v>
      </c>
      <c r="N769" s="6" t="n">
        <v>5</v>
      </c>
      <c r="O769" s="6" t="n">
        <v>5</v>
      </c>
      <c r="P769" s="6" t="n">
        <v>6000</v>
      </c>
      <c r="Q769" s="6" t="n">
        <v>0.875</v>
      </c>
      <c r="R769">
        <f>M769+IF(N769&gt;1,N(O769)*(N769-1),0)</f>
        <v/>
      </c>
      <c r="S769">
        <f>IFERROR(L769*MAX(N769,1)/R769*Q769*IF(ISBLANK(K768),1,K768),0)</f>
        <v/>
      </c>
      <c r="AB769" s="7" t="inlineStr">
        <is>
          <t>^RA2SmallArms, ^RA2Chaingun</t>
        </is>
      </c>
    </row>
    <row r="770">
      <c r="B770" s="7" t="inlineStr">
        <is>
          <t xml:space="preserve">  ↳ LatinBuggyMGE</t>
        </is>
      </c>
      <c r="C770" s="7" t="inlineStr">
        <is>
          <t>Armament@Elite</t>
        </is>
      </c>
      <c r="L770" s="6" t="n">
        <v>4000</v>
      </c>
      <c r="M770" s="6" t="n">
        <v>35</v>
      </c>
      <c r="N770" s="6" t="n">
        <v>10</v>
      </c>
      <c r="O770" s="6" t="n">
        <v>3</v>
      </c>
      <c r="P770" s="6" t="n">
        <v>7000</v>
      </c>
      <c r="Q770" s="6" t="n">
        <v>0.875</v>
      </c>
      <c r="R770">
        <f>M770+IF(N770&gt;1,N(O770)*(N770-1),0)</f>
        <v/>
      </c>
      <c r="S770">
        <f>IFERROR(L770*MAX(N770,1)/R770*Q770*IF(ISBLANK(K768),1,K768),0)</f>
        <v/>
      </c>
      <c r="AB770" s="7" t="inlineStr">
        <is>
          <t>^RA2SmallArms, ^RA2Chaingun</t>
        </is>
      </c>
    </row>
    <row r="771">
      <c r="B771" s="7" t="inlineStr">
        <is>
          <t xml:space="preserve">  ↳ LatinBuggyChaingun</t>
        </is>
      </c>
      <c r="C771" s="7" t="inlineStr">
        <is>
          <t>Armament@Gatling</t>
        </is>
      </c>
      <c r="L771" s="6" t="n">
        <v>2000</v>
      </c>
      <c r="M771" s="6" t="n">
        <v>11</v>
      </c>
      <c r="N771" s="6" t="n">
        <v>1</v>
      </c>
      <c r="O771" s="6" t="n"/>
      <c r="P771" s="6" t="n">
        <v>6000</v>
      </c>
      <c r="Q771" s="6" t="n">
        <v>0.9166666666666666</v>
      </c>
      <c r="R771">
        <f>M771+IF(N771&gt;1,N(O771)*(N771-1),0)</f>
        <v/>
      </c>
      <c r="S771">
        <f>IFERROR(L771*MAX(N771,1)/R771*Q771*IF(ISBLANK(K768),1,K768),0)</f>
        <v/>
      </c>
      <c r="AB771" s="7" t="inlineStr">
        <is>
          <t>^TankDestroyerCannon, ^FlakWeapon, ^RA2SmallArms, ^RA2Chaingun</t>
        </is>
      </c>
    </row>
    <row r="772">
      <c r="B772" s="7" t="inlineStr">
        <is>
          <t xml:space="preserve">  ↳ LatinBuggyChaingunE</t>
        </is>
      </c>
      <c r="C772" s="7" t="inlineStr">
        <is>
          <t>Armament@GatlingElite</t>
        </is>
      </c>
      <c r="L772" s="6" t="n">
        <v>2000</v>
      </c>
      <c r="M772" s="6" t="n">
        <v>11</v>
      </c>
      <c r="N772" s="6" t="n">
        <v>1</v>
      </c>
      <c r="O772" s="6" t="n"/>
      <c r="P772" s="6" t="n">
        <v>7000</v>
      </c>
      <c r="Q772" s="6" t="n">
        <v>0.9166666666666666</v>
      </c>
      <c r="R772">
        <f>M772+IF(N772&gt;1,N(O772)*(N772-1),0)</f>
        <v/>
      </c>
      <c r="S772">
        <f>IFERROR(L772*MAX(N772,1)/R772*Q772*IF(ISBLANK(K768),1,K768),0)</f>
        <v/>
      </c>
      <c r="AB772" s="7" t="inlineStr">
        <is>
          <t>^TankDestroyerCannon, ^FlakWeapon, ^RA2SmallArms, ^RA2Chaingun</t>
        </is>
      </c>
    </row>
    <row r="773">
      <c r="B773" s="7" t="inlineStr">
        <is>
          <t xml:space="preserve">  ↳ LatinBuggyRocket</t>
        </is>
      </c>
      <c r="C773" s="7" t="inlineStr">
        <is>
          <t>Armament@Rocket</t>
        </is>
      </c>
      <c r="L773" s="6" t="n">
        <v>10000</v>
      </c>
      <c r="M773" s="6" t="n">
        <v>55</v>
      </c>
      <c r="N773" s="6" t="n">
        <v>1</v>
      </c>
      <c r="O773" s="6" t="n"/>
      <c r="P773" s="6" t="n">
        <v>6000</v>
      </c>
      <c r="Q773" s="6" t="n">
        <v>0.9375</v>
      </c>
      <c r="R773">
        <f>M773+IF(N773&gt;1,N(O773)*(N773-1),0)</f>
        <v/>
      </c>
      <c r="S773">
        <f>IFERROR(L773*MAX(N773,1)/R773*Q773*IF(ISBLANK(K768),1,K768),0)</f>
        <v/>
      </c>
      <c r="AB773" s="7" t="inlineStr">
        <is>
          <t>^Grenade, ^ShrapnelWeapon, ^SteelLightMissile, ^RA2MediumMissile</t>
        </is>
      </c>
    </row>
    <row r="774">
      <c r="B774" s="7" t="inlineStr">
        <is>
          <t xml:space="preserve">  ↳ LatinBuggyRocketE</t>
        </is>
      </c>
      <c r="C774" s="7" t="inlineStr">
        <is>
          <t>Armament@RocketElite</t>
        </is>
      </c>
      <c r="L774" s="6" t="n">
        <v>10000</v>
      </c>
      <c r="M774" s="6" t="n">
        <v>55</v>
      </c>
      <c r="N774" s="6" t="n">
        <v>2</v>
      </c>
      <c r="O774" s="6" t="n">
        <v>3</v>
      </c>
      <c r="P774" s="6" t="n">
        <v>7000</v>
      </c>
      <c r="Q774" s="6" t="n">
        <v>0.9375</v>
      </c>
      <c r="R774">
        <f>M774+IF(N774&gt;1,N(O774)*(N774-1),0)</f>
        <v/>
      </c>
      <c r="S774">
        <f>IFERROR(L774*MAX(N774,1)/R774*Q774*IF(ISBLANK(K768),1,K768),0)</f>
        <v/>
      </c>
      <c r="AB774" s="7" t="inlineStr">
        <is>
          <t>^Grenade, ^ShrapnelWeapon, ^SteelLightMissile, ^RA2MediumMissile</t>
        </is>
      </c>
    </row>
    <row r="775">
      <c r="A775" t="inlineStr">
        <is>
          <t>redalert2mod</t>
        </is>
      </c>
      <c r="B775" t="inlineStr">
        <is>
          <t>latinsyndicate_syndicatemobileconstructionvehicle</t>
        </is>
      </c>
      <c r="C775" t="inlineStr">
        <is>
          <t>Syndicate Mobile Construction Vehicle</t>
        </is>
      </c>
      <c r="D775" s="6" t="inlineStr">
        <is>
          <t>SupportVehicle</t>
        </is>
      </c>
      <c r="E775" s="6" t="n">
        <v>300000</v>
      </c>
      <c r="F775" s="6" t="n">
        <v>75</v>
      </c>
      <c r="G775" t="inlineStr">
        <is>
          <t>Medium</t>
        </is>
      </c>
      <c r="H775" s="6" t="n">
        <v>1</v>
      </c>
      <c r="I775" s="6" t="n">
        <v>1</v>
      </c>
      <c r="J775" s="6" t="n">
        <v>1</v>
      </c>
      <c r="K775" s="6" t="n"/>
      <c r="X775" s="6" t="n">
        <v>5000</v>
      </c>
    </row>
    <row r="776">
      <c r="A776" t="inlineStr">
        <is>
          <t>redalert2mod</t>
        </is>
      </c>
      <c r="B776" t="inlineStr">
        <is>
          <t>car.nax</t>
        </is>
      </c>
      <c r="C776" t="inlineStr">
        <is>
          <t>Combat Car</t>
        </is>
      </c>
      <c r="D776" s="6" t="inlineStr">
        <is>
          <t>SupportVehicle</t>
        </is>
      </c>
      <c r="E776" s="6" t="n">
        <v>47500</v>
      </c>
      <c r="F776" s="6" t="n">
        <v>85</v>
      </c>
      <c r="G776" t="inlineStr">
        <is>
          <t>Medium</t>
        </is>
      </c>
      <c r="H776" s="6" t="n">
        <v>1</v>
      </c>
      <c r="I776" s="6" t="n">
        <v>1</v>
      </c>
      <c r="J776" s="6" t="n">
        <v>1</v>
      </c>
      <c r="K776" s="6" t="n"/>
      <c r="P776">
        <f>MAX(P777,P778)</f>
        <v/>
      </c>
      <c r="S776">
        <f>S777+S778</f>
        <v/>
      </c>
      <c r="T776">
        <f>(E776/100000+F776/100+(P776/1000)*J776/5+S776/200)*200*I776*H776</f>
        <v/>
      </c>
      <c r="U776">
        <f>((E776*F776/25000)+((P776/1000)*J776*S776/2.5))*I776*H776</f>
        <v/>
      </c>
      <c r="V776">
        <f>(E776*F776*(P776/1000)*J776*S776*I776*H776)/12500000</f>
        <v/>
      </c>
      <c r="W776">
        <f>(T776+U776+V776)/3</f>
        <v/>
      </c>
      <c r="X776" s="6" t="n">
        <v>800</v>
      </c>
      <c r="Y776">
        <f>IFERROR(W776-X776,"")</f>
        <v/>
      </c>
      <c r="Z776">
        <f>IFERROR(ABS(Y776)/MAX(X776,1),"")</f>
        <v/>
      </c>
      <c r="AA776">
        <f>IFERROR((X776-(((E776/100000+F776/100+S776/200)*200*I776*H776)+((E776*F776/25000)*I776*H776))/3)/(((J776/5)*200*I776*H776)+((J776*S776/2.5)*I776*H776)+((E776*F776*J776*S776*I776*H776)/12500000))/3*1000,"")</f>
        <v/>
      </c>
    </row>
    <row r="777">
      <c r="B777" s="7" t="inlineStr">
        <is>
          <t xml:space="preserve">  ↳ NaxiWW2MachinegunTop</t>
        </is>
      </c>
      <c r="C777" s="7" t="inlineStr">
        <is>
          <t>Armament</t>
        </is>
      </c>
      <c r="L777" s="6" t="n">
        <v>4000</v>
      </c>
      <c r="M777" s="6" t="n">
        <v>60</v>
      </c>
      <c r="N777" s="6" t="n">
        <v>6</v>
      </c>
      <c r="O777" s="6" t="n">
        <v>4</v>
      </c>
      <c r="P777" s="6" t="n">
        <v>7555</v>
      </c>
      <c r="Q777" s="6" t="n">
        <v>0.875</v>
      </c>
      <c r="R777">
        <f>M777+IF(N777&gt;1,N(O777)*(N777-1),0)</f>
        <v/>
      </c>
      <c r="S777">
        <f>IFERROR(L777*MAX(N777,1)/R777*Q777*IF(ISBLANK(K776),1,K776),0)</f>
        <v/>
      </c>
      <c r="AB777" s="7" t="inlineStr">
        <is>
          <t>^RA2SmallArms, ^RA2Chaingun</t>
        </is>
      </c>
    </row>
    <row r="778">
      <c r="B778" s="7" t="inlineStr">
        <is>
          <t xml:space="preserve">  ↳ NaxiWW2MachinegunTopAA</t>
        </is>
      </c>
      <c r="C778" s="7" t="inlineStr">
        <is>
          <t>Armament@AA</t>
        </is>
      </c>
      <c r="L778" s="6" t="n">
        <v>4000</v>
      </c>
      <c r="M778" s="6" t="n">
        <v>60</v>
      </c>
      <c r="N778" s="6" t="n">
        <v>6</v>
      </c>
      <c r="O778" s="6" t="n">
        <v>4</v>
      </c>
      <c r="P778" s="6" t="n">
        <v>7555</v>
      </c>
      <c r="Q778" s="6" t="n">
        <v>0.875</v>
      </c>
      <c r="R778">
        <f>M778+IF(N778&gt;1,N(O778)*(N778-1),0)</f>
        <v/>
      </c>
      <c r="S778">
        <f>IFERROR(L778*MAX(N778,1)/R778*Q778*IF(ISBLANK(K776),1,K776),0)</f>
        <v/>
      </c>
      <c r="AB778" s="7" t="inlineStr">
        <is>
          <t>^RA2SmallArms, ^RA2Chaingun</t>
        </is>
      </c>
    </row>
    <row r="779">
      <c r="A779" t="inlineStr">
        <is>
          <t>redalert2mod</t>
        </is>
      </c>
      <c r="B779" t="inlineStr">
        <is>
          <t>naxis_engineeringtruck</t>
        </is>
      </c>
      <c r="C779" t="inlineStr">
        <is>
          <t>Engineering Truck</t>
        </is>
      </c>
      <c r="D779" s="6" t="inlineStr">
        <is>
          <t>SupportVehicle</t>
        </is>
      </c>
      <c r="E779" s="6" t="n">
        <v>50000</v>
      </c>
      <c r="F779" s="6" t="n">
        <v>75</v>
      </c>
      <c r="G779" t="inlineStr">
        <is>
          <t>Light</t>
        </is>
      </c>
      <c r="H779" s="6" t="n">
        <v>1</v>
      </c>
      <c r="I779" s="6" t="n">
        <v>0.5</v>
      </c>
      <c r="J779" s="6" t="n">
        <v>2</v>
      </c>
      <c r="K779" s="6" t="n"/>
      <c r="P779">
        <f>MAX(P780)</f>
        <v/>
      </c>
      <c r="S779">
        <f>S780</f>
        <v/>
      </c>
      <c r="T779">
        <f>(E779/100000+F779/100+(P779/1000)*J779/5+S779/200)*200*I779*H779</f>
        <v/>
      </c>
      <c r="U779">
        <f>((E779*F779/25000)+((P779/1000)*J779*S779/2.5))*I779*H779</f>
        <v/>
      </c>
      <c r="V779">
        <f>(E779*F779*(P779/1000)*J779*S779*I779*H779)/12500000</f>
        <v/>
      </c>
      <c r="W779">
        <f>(T779+U779+V779)/3</f>
        <v/>
      </c>
      <c r="X779" s="6" t="n">
        <v>1000</v>
      </c>
      <c r="Y779">
        <f>IFERROR(W779-X779,"")</f>
        <v/>
      </c>
      <c r="Z779">
        <f>IFERROR(ABS(Y779)/MAX(X779,1),"")</f>
        <v/>
      </c>
      <c r="AA779">
        <f>IFERROR((X779-(((E779/100000+F779/100+S779/200)*200*I779*H779)+((E779*F779/25000)*I779*H779))/3)/(((J779/5)*200*I779*H779)+((J779*S779/2.5)*I779*H779)+((E779*F779*J779*S779*I779*H779)/12500000))/3*1000,"")</f>
        <v/>
      </c>
    </row>
    <row r="780">
      <c r="B780" s="7" t="inlineStr">
        <is>
          <t xml:space="preserve">  ↳ RA2IFVRepair</t>
        </is>
      </c>
      <c r="C780" s="7" t="inlineStr">
        <is>
          <t>Armament</t>
        </is>
      </c>
      <c r="L780" s="6" t="n">
        <v>-1</v>
      </c>
      <c r="M780" s="6" t="n">
        <v>50</v>
      </c>
      <c r="N780" s="6" t="n">
        <v>10</v>
      </c>
      <c r="O780" s="6" t="n">
        <v>1</v>
      </c>
      <c r="P780" s="6" t="n">
        <v>5000</v>
      </c>
      <c r="Q780" s="6" t="n">
        <v>1.5</v>
      </c>
      <c r="R780">
        <f>M780+IF(N780&gt;1,N(O780)*(N780-1),0)</f>
        <v/>
      </c>
      <c r="S780">
        <f>IFERROR(L780*MAX(N780,1)/R780*Q780*IF(ISBLANK(K779),1,K779),0)</f>
        <v/>
      </c>
      <c r="AB780" s="7" t="inlineStr">
        <is>
          <t>^RepairWeapon</t>
        </is>
      </c>
    </row>
    <row r="781">
      <c r="A781" t="inlineStr">
        <is>
          <t>redalert2mod</t>
        </is>
      </c>
      <c r="B781" t="inlineStr">
        <is>
          <t>naxis_halftrack</t>
        </is>
      </c>
      <c r="C781" t="inlineStr">
        <is>
          <t>Halftrack</t>
        </is>
      </c>
      <c r="D781" s="6" t="inlineStr">
        <is>
          <t>SupportVehicle</t>
        </is>
      </c>
      <c r="E781" s="6" t="n">
        <v>115000</v>
      </c>
      <c r="F781" s="6" t="n">
        <v>115</v>
      </c>
      <c r="G781" t="inlineStr">
        <is>
          <t>Medium</t>
        </is>
      </c>
      <c r="H781" s="6" t="n">
        <v>1</v>
      </c>
      <c r="I781" s="6" t="n">
        <v>1</v>
      </c>
      <c r="J781" s="6" t="n">
        <v>1</v>
      </c>
      <c r="K781" s="6" t="n"/>
      <c r="P781">
        <f>MAX(P782,P783)</f>
        <v/>
      </c>
      <c r="S781">
        <f>S782+S783</f>
        <v/>
      </c>
      <c r="T781">
        <f>(E781/100000+F781/100+(P781/1000)*J781/5+S781/200)*200*I781*H781</f>
        <v/>
      </c>
      <c r="U781">
        <f>((E781*F781/25000)+((P781/1000)*J781*S781/2.5))*I781*H781</f>
        <v/>
      </c>
      <c r="V781">
        <f>(E781*F781*(P781/1000)*J781*S781*I781*H781)/12500000</f>
        <v/>
      </c>
      <c r="W781">
        <f>(T781+U781+V781)/3</f>
        <v/>
      </c>
      <c r="X781" s="6" t="n">
        <v>2500</v>
      </c>
      <c r="Y781">
        <f>IFERROR(W781-X781,"")</f>
        <v/>
      </c>
      <c r="Z781">
        <f>IFERROR(ABS(Y781)/MAX(X781,1),"")</f>
        <v/>
      </c>
      <c r="AA781">
        <f>IFERROR((X781-(((E781/100000+F781/100+S781/200)*200*I781*H781)+((E781*F781/25000)*I781*H781))/3)/(((J781/5)*200*I781*H781)+((J781*S781/2.5)*I781*H781)+((E781*F781*J781*S781*I781*H781)/12500000))/3*1000,"")</f>
        <v/>
      </c>
    </row>
    <row r="782">
      <c r="B782" s="7" t="inlineStr">
        <is>
          <t xml:space="preserve">  ↳ NaxiWW2Machinegun</t>
        </is>
      </c>
      <c r="C782" s="7" t="inlineStr">
        <is>
          <t>Armament@AG</t>
        </is>
      </c>
      <c r="L782" s="6" t="n">
        <v>4000</v>
      </c>
      <c r="M782" s="6" t="n">
        <v>60</v>
      </c>
      <c r="N782" s="6" t="n">
        <v>6</v>
      </c>
      <c r="O782" s="6" t="n">
        <v>4</v>
      </c>
      <c r="P782" s="6" t="n">
        <v>5570</v>
      </c>
      <c r="Q782" s="6" t="n">
        <v>0.875</v>
      </c>
      <c r="R782">
        <f>M782+IF(N782&gt;1,N(O782)*(N782-1),0)</f>
        <v/>
      </c>
      <c r="S782">
        <f>IFERROR(L782*MAX(N782,1)/R782*Q782*IF(ISBLANK(K781),1,K781),0)</f>
        <v/>
      </c>
      <c r="AB782" s="7" t="inlineStr">
        <is>
          <t>^RA2SmallArms, ^RA2Chaingun</t>
        </is>
      </c>
    </row>
    <row r="783">
      <c r="B783" s="7" t="inlineStr">
        <is>
          <t xml:space="preserve">  ↳ NaxiWW2MachinegunAA</t>
        </is>
      </c>
      <c r="C783" s="7" t="inlineStr">
        <is>
          <t>Armament@AA</t>
        </is>
      </c>
      <c r="L783" s="6" t="n">
        <v>4000</v>
      </c>
      <c r="M783" s="6" t="n">
        <v>60</v>
      </c>
      <c r="N783" s="6" t="n">
        <v>6</v>
      </c>
      <c r="O783" s="6" t="n">
        <v>4</v>
      </c>
      <c r="P783" s="6" t="n">
        <v>8355</v>
      </c>
      <c r="Q783" s="6" t="n">
        <v>0.875</v>
      </c>
      <c r="R783">
        <f>M783+IF(N783&gt;1,N(O783)*(N783-1),0)</f>
        <v/>
      </c>
      <c r="S783">
        <f>IFERROR(L783*MAX(N783,1)/R783*Q783*IF(ISBLANK(K781),1,K781),0)</f>
        <v/>
      </c>
      <c r="AB783" s="7" t="inlineStr">
        <is>
          <t>^RA2SmallArms, ^RA2Chaingun</t>
        </is>
      </c>
    </row>
    <row r="784">
      <c r="A784" t="inlineStr">
        <is>
          <t>redalert2mod</t>
        </is>
      </c>
      <c r="B784" t="inlineStr">
        <is>
          <t>naxis_kbelwagen</t>
        </is>
      </c>
      <c r="C784" t="inlineStr">
        <is>
          <t>Kübelwagen</t>
        </is>
      </c>
      <c r="D784" s="6" t="inlineStr">
        <is>
          <t>SupportVehicle</t>
        </is>
      </c>
      <c r="E784" s="6" t="n">
        <v>50000</v>
      </c>
      <c r="F784" s="6" t="n">
        <v>115</v>
      </c>
      <c r="G784" t="inlineStr">
        <is>
          <t>Light</t>
        </is>
      </c>
      <c r="H784" s="6" t="n">
        <v>1</v>
      </c>
      <c r="I784" s="6" t="n">
        <v>1.25</v>
      </c>
      <c r="J784" s="6" t="n">
        <v>1</v>
      </c>
      <c r="K784" s="6" t="n"/>
      <c r="P784">
        <f>MAX(P785)</f>
        <v/>
      </c>
      <c r="S784">
        <f>S785</f>
        <v/>
      </c>
      <c r="T784">
        <f>(E784/100000+F784/100+(P784/1000)*J784/5+S784/200)*200*I784*H784</f>
        <v/>
      </c>
      <c r="U784">
        <f>((E784*F784/25000)+((P784/1000)*J784*S784/2.5))*I784*H784</f>
        <v/>
      </c>
      <c r="V784">
        <f>(E784*F784*(P784/1000)*J784*S784*I784*H784)/12500000</f>
        <v/>
      </c>
      <c r="W784">
        <f>(T784+U784+V784)/3</f>
        <v/>
      </c>
      <c r="X784" s="6" t="n">
        <v>850</v>
      </c>
      <c r="Y784">
        <f>IFERROR(W784-X784,"")</f>
        <v/>
      </c>
      <c r="Z784">
        <f>IFERROR(ABS(Y784)/MAX(X784,1),"")</f>
        <v/>
      </c>
      <c r="AA784">
        <f>IFERROR((X784-(((E784/100000+F784/100+S784/200)*200*I784*H784)+((E784*F784/25000)*I784*H784))/3)/(((J784/5)*200*I784*H784)+((J784*S784/2.5)*I784*H784)+((E784*F784*J784*S784*I784*H784)/12500000))/3*1000,"")</f>
        <v/>
      </c>
    </row>
    <row r="785">
      <c r="B785" s="7" t="inlineStr">
        <is>
          <t xml:space="preserve">  ↳ NaxiWW2KübelwagenMachinegun</t>
        </is>
      </c>
      <c r="C785" s="7" t="inlineStr">
        <is>
          <t>Armament@AG</t>
        </is>
      </c>
      <c r="L785" s="6" t="n">
        <v>2000</v>
      </c>
      <c r="M785" s="6" t="n">
        <v>80</v>
      </c>
      <c r="N785" s="6" t="n">
        <v>6</v>
      </c>
      <c r="O785" s="6" t="n">
        <v>4</v>
      </c>
      <c r="P785" s="6" t="n">
        <v>5757</v>
      </c>
      <c r="Q785" s="6" t="n">
        <v>0.875</v>
      </c>
      <c r="R785">
        <f>M785+IF(N785&gt;1,N(O785)*(N785-1),0)</f>
        <v/>
      </c>
      <c r="S785">
        <f>IFERROR(L785*MAX(N785,1)/R785*Q785*IF(ISBLANK(K784),1,K784),0)</f>
        <v/>
      </c>
      <c r="AB785" s="7" t="inlineStr">
        <is>
          <t>^RA2SmallArms, ^RA2Chaingun</t>
        </is>
      </c>
    </row>
    <row r="786">
      <c r="A786" t="inlineStr">
        <is>
          <t>redalert2mod</t>
        </is>
      </c>
      <c r="B786" t="inlineStr">
        <is>
          <t>naxis_naximobileconstructionvehicle</t>
        </is>
      </c>
      <c r="C786" t="inlineStr">
        <is>
          <t>Naxi Mobile Construction Vehicle</t>
        </is>
      </c>
      <c r="D786" s="6" t="inlineStr">
        <is>
          <t>SupportVehicle</t>
        </is>
      </c>
      <c r="E786" s="6" t="n">
        <v>300000</v>
      </c>
      <c r="F786" s="6" t="n">
        <v>75</v>
      </c>
      <c r="G786" t="inlineStr">
        <is>
          <t>Medium</t>
        </is>
      </c>
      <c r="H786" s="6" t="n">
        <v>1</v>
      </c>
      <c r="I786" s="6" t="n">
        <v>1</v>
      </c>
      <c r="J786" s="6" t="n">
        <v>1</v>
      </c>
      <c r="K786" s="6" t="n"/>
      <c r="X786" s="6" t="n">
        <v>5000</v>
      </c>
    </row>
    <row r="787">
      <c r="A787" t="inlineStr">
        <is>
          <t>redalert2mod</t>
        </is>
      </c>
      <c r="B787" t="inlineStr">
        <is>
          <t>wirbelwind.nax</t>
        </is>
      </c>
      <c r="C787" t="inlineStr">
        <is>
          <t>Wirbelwind</t>
        </is>
      </c>
      <c r="D787" s="6" t="inlineStr">
        <is>
          <t>SupportVehicle</t>
        </is>
      </c>
      <c r="E787" s="6" t="n">
        <v>87500</v>
      </c>
      <c r="F787" s="6" t="n">
        <v>85</v>
      </c>
      <c r="G787" t="inlineStr">
        <is>
          <t>Medium</t>
        </is>
      </c>
      <c r="H787" s="6" t="n">
        <v>1</v>
      </c>
      <c r="I787" s="6" t="n">
        <v>1</v>
      </c>
      <c r="J787" s="6" t="n">
        <v>1</v>
      </c>
      <c r="K787" s="6" t="n"/>
      <c r="P787">
        <f>MAX(P788,P789,P790,P791)</f>
        <v/>
      </c>
      <c r="S787">
        <f>S788+S789+S790+S791</f>
        <v/>
      </c>
      <c r="T787">
        <f>(E787/100000+F787/100+(P787/1000)*J787/5+S787/200)*200*I787*H787</f>
        <v/>
      </c>
      <c r="U787">
        <f>((E787*F787/25000)+((P787/1000)*J787*S787/2.5))*I787*H787</f>
        <v/>
      </c>
      <c r="V787">
        <f>(E787*F787*(P787/1000)*J787*S787*I787*H787)/12500000</f>
        <v/>
      </c>
      <c r="W787">
        <f>(T787+U787+V787)/3</f>
        <v/>
      </c>
      <c r="X787" s="6" t="n">
        <v>1800</v>
      </c>
      <c r="Y787">
        <f>IFERROR(W787-X787,"")</f>
        <v/>
      </c>
      <c r="Z787">
        <f>IFERROR(ABS(Y787)/MAX(X787,1),"")</f>
        <v/>
      </c>
      <c r="AA787">
        <f>IFERROR((X787-(((E787/100000+F787/100+S787/200)*200*I787*H787)+((E787*F787/25000)*I787*H787))/3)/(((J787/5)*200*I787*H787)+((J787*S787/2.5)*I787*H787)+((E787*F787*J787*S787*I787*H787)/12500000))/3*1000,"")</f>
        <v/>
      </c>
    </row>
    <row r="788">
      <c r="B788" s="7" t="inlineStr">
        <is>
          <t xml:space="preserve">  ↳ NaxQuadCannon</t>
        </is>
      </c>
      <c r="C788" s="7" t="inlineStr">
        <is>
          <t>Armament</t>
        </is>
      </c>
      <c r="L788" s="6" t="n">
        <v>2000</v>
      </c>
      <c r="M788" s="6" t="n">
        <v>47</v>
      </c>
      <c r="N788" s="6" t="n">
        <v>6</v>
      </c>
      <c r="O788" s="6" t="n">
        <v>4</v>
      </c>
      <c r="P788" s="6" t="n">
        <v>5368</v>
      </c>
      <c r="Q788" s="6" t="n">
        <v>1.0625</v>
      </c>
      <c r="R788">
        <f>M788+IF(N788&gt;1,N(O788)*(N788-1),0)</f>
        <v/>
      </c>
      <c r="S788">
        <f>IFERROR(L788*MAX(N788,1)/R788*Q788*IF(ISBLANK(K787),1,K787),0)</f>
        <v/>
      </c>
      <c r="AB788" s="7" t="inlineStr">
        <is>
          <t>^Grenade, ^HeavyMissile, ^Chaingun, ^RA2FlakWeapon</t>
        </is>
      </c>
    </row>
    <row r="789">
      <c r="B789" s="7" t="inlineStr">
        <is>
          <t xml:space="preserve">  ↳ NaxQuadCannonE</t>
        </is>
      </c>
      <c r="C789" s="7" t="inlineStr">
        <is>
          <t>Armament@elite</t>
        </is>
      </c>
      <c r="L789" s="6" t="n">
        <v>2000</v>
      </c>
      <c r="M789" s="6" t="n">
        <v>47</v>
      </c>
      <c r="N789" s="6" t="n">
        <v>8</v>
      </c>
      <c r="O789" s="6" t="n">
        <v>3</v>
      </c>
      <c r="P789" s="6" t="n">
        <v>6368</v>
      </c>
      <c r="Q789" s="6" t="n">
        <v>1.0625</v>
      </c>
      <c r="R789">
        <f>M789+IF(N789&gt;1,N(O789)*(N789-1),0)</f>
        <v/>
      </c>
      <c r="S789">
        <f>IFERROR(L789*MAX(N789,1)/R789*Q789*IF(ISBLANK(K787),1,K787),0)</f>
        <v/>
      </c>
      <c r="AB789" s="7" t="inlineStr">
        <is>
          <t>^Grenade, ^HeavyMissile, ^Chaingun, ^RA2FlakWeapon</t>
        </is>
      </c>
    </row>
    <row r="790">
      <c r="B790" s="7" t="inlineStr">
        <is>
          <t xml:space="preserve">  ↳ NaxQuadCannonAA</t>
        </is>
      </c>
      <c r="C790" s="7" t="inlineStr">
        <is>
          <t>Armament@AA</t>
        </is>
      </c>
      <c r="L790" s="6" t="n">
        <v>2000</v>
      </c>
      <c r="M790" s="6" t="n">
        <v>47</v>
      </c>
      <c r="N790" s="6" t="n">
        <v>6</v>
      </c>
      <c r="O790" s="6" t="n">
        <v>4</v>
      </c>
      <c r="P790" s="6" t="n">
        <v>8052</v>
      </c>
      <c r="Q790" s="6" t="n">
        <v>1.0625</v>
      </c>
      <c r="R790">
        <f>M790+IF(N790&gt;1,N(O790)*(N790-1),0)</f>
        <v/>
      </c>
      <c r="S790">
        <f>IFERROR(L790*MAX(N790,1)/R790*Q790*IF(ISBLANK(K787),1,K787),0)</f>
        <v/>
      </c>
      <c r="AB790" s="7" t="inlineStr">
        <is>
          <t>^Grenade, ^HeavyMissile, ^Chaingun, ^RA2FlakWeapon</t>
        </is>
      </c>
    </row>
    <row r="791">
      <c r="B791" s="7" t="inlineStr">
        <is>
          <t xml:space="preserve">  ↳ NaxQuadCannonAAE</t>
        </is>
      </c>
      <c r="C791" s="7" t="inlineStr">
        <is>
          <t>Armament@eliteAA</t>
        </is>
      </c>
      <c r="L791" s="6" t="n">
        <v>2000</v>
      </c>
      <c r="M791" s="6" t="n">
        <v>47</v>
      </c>
      <c r="N791" s="6" t="n">
        <v>8</v>
      </c>
      <c r="O791" s="6" t="n">
        <v>3</v>
      </c>
      <c r="P791" s="6" t="n">
        <v>9052</v>
      </c>
      <c r="Q791" s="6" t="n">
        <v>1.0625</v>
      </c>
      <c r="R791">
        <f>M791+IF(N791&gt;1,N(O791)*(N791-1),0)</f>
        <v/>
      </c>
      <c r="S791">
        <f>IFERROR(L791*MAX(N791,1)/R791*Q791*IF(ISBLANK(K787),1,K787),0)</f>
        <v/>
      </c>
      <c r="AB791" s="7" t="inlineStr">
        <is>
          <t>^Grenade, ^HeavyMissile, ^Chaingun, ^RA2FlakWeapon</t>
        </is>
      </c>
    </row>
    <row r="792">
      <c r="A792" t="inlineStr">
        <is>
          <t>redalert2mod</t>
        </is>
      </c>
      <c r="B792" t="inlineStr">
        <is>
          <t>schwarzermond_engineeringarmor</t>
        </is>
      </c>
      <c r="C792" t="inlineStr">
        <is>
          <t>Engineering Armor</t>
        </is>
      </c>
      <c r="D792" s="6" t="inlineStr">
        <is>
          <t>SupportVehicle</t>
        </is>
      </c>
      <c r="E792" s="6" t="n">
        <v>50000</v>
      </c>
      <c r="F792" s="6" t="n">
        <v>40</v>
      </c>
      <c r="G792" t="inlineStr">
        <is>
          <t>Plate</t>
        </is>
      </c>
      <c r="H792" s="6" t="n">
        <v>1</v>
      </c>
      <c r="I792" s="6" t="n">
        <v>0.5</v>
      </c>
      <c r="J792" s="6" t="n">
        <v>2</v>
      </c>
      <c r="K792" s="6" t="n"/>
      <c r="P792">
        <f>MAX(P793)</f>
        <v/>
      </c>
      <c r="S792">
        <f>S793</f>
        <v/>
      </c>
      <c r="T792">
        <f>(E792/100000+F792/100+(P792/1000)*J792/5+S792/200)*200*I792*H792</f>
        <v/>
      </c>
      <c r="U792">
        <f>((E792*F792/25000)+((P792/1000)*J792*S792/2.5))*I792*H792</f>
        <v/>
      </c>
      <c r="V792">
        <f>(E792*F792*(P792/1000)*J792*S792*I792*H792)/12500000</f>
        <v/>
      </c>
      <c r="W792">
        <f>(T792+U792+V792)/3</f>
        <v/>
      </c>
      <c r="X792" s="6" t="n">
        <v>800</v>
      </c>
      <c r="Y792">
        <f>IFERROR(W792-X792,"")</f>
        <v/>
      </c>
      <c r="Z792">
        <f>IFERROR(ABS(Y792)/MAX(X792,1),"")</f>
        <v/>
      </c>
      <c r="AA792">
        <f>IFERROR((X792-(((E792/100000+F792/100+S792/200)*200*I792*H792)+((E792*F792/25000)*I792*H792))/3)/(((J792/5)*200*I792*H792)+((J792*S792/2.5)*I792*H792)+((E792*F792*J792*S792*I792*H792)/12500000))/3*1000,"")</f>
        <v/>
      </c>
    </row>
    <row r="793">
      <c r="B793" s="7" t="inlineStr">
        <is>
          <t xml:space="preserve">  ↳ RA2IFVRepair</t>
        </is>
      </c>
      <c r="C793" s="7" t="inlineStr">
        <is>
          <t>Armament</t>
        </is>
      </c>
      <c r="L793" s="6" t="n">
        <v>-1</v>
      </c>
      <c r="M793" s="6" t="n">
        <v>50</v>
      </c>
      <c r="N793" s="6" t="n">
        <v>10</v>
      </c>
      <c r="O793" s="6" t="n">
        <v>1</v>
      </c>
      <c r="P793" s="6" t="n">
        <v>5000</v>
      </c>
      <c r="Q793" s="6" t="n">
        <v>1.5</v>
      </c>
      <c r="R793">
        <f>M793+IF(N793&gt;1,N(O793)*(N793-1),0)</f>
        <v/>
      </c>
      <c r="S793">
        <f>IFERROR(L793*MAX(N793,1)/R793*Q793*IF(ISBLANK(K792),1,K792),0)</f>
        <v/>
      </c>
      <c r="AB793" s="7" t="inlineStr">
        <is>
          <t>^RepairWeapon</t>
        </is>
      </c>
    </row>
    <row r="794">
      <c r="A794" t="inlineStr">
        <is>
          <t>redalert2mod</t>
        </is>
      </c>
      <c r="B794" t="inlineStr">
        <is>
          <t>schwarzermond_gravitycoretank</t>
        </is>
      </c>
      <c r="C794" t="inlineStr">
        <is>
          <t>Gravity Core Tank</t>
        </is>
      </c>
      <c r="D794" s="6" t="inlineStr">
        <is>
          <t>SupportVehicle</t>
        </is>
      </c>
      <c r="E794" s="6" t="n">
        <v>300000</v>
      </c>
      <c r="F794" s="6" t="n">
        <v>40</v>
      </c>
      <c r="G794" t="inlineStr">
        <is>
          <t>Medium</t>
        </is>
      </c>
      <c r="H794" s="6" t="n">
        <v>1</v>
      </c>
      <c r="I794" s="6" t="n">
        <v>1</v>
      </c>
      <c r="J794" s="6" t="n">
        <v>1</v>
      </c>
      <c r="K794" s="6" t="n"/>
      <c r="P794">
        <f>MAX(P795)</f>
        <v/>
      </c>
      <c r="S794">
        <f>S795</f>
        <v/>
      </c>
      <c r="T794">
        <f>(E794/100000+F794/100+(P794/1000)*J794/5+S794/200)*200*I794*H794</f>
        <v/>
      </c>
      <c r="U794">
        <f>((E794*F794/25000)+((P794/1000)*J794*S794/2.5))*I794*H794</f>
        <v/>
      </c>
      <c r="V794">
        <f>(E794*F794*(P794/1000)*J794*S794*I794*H794)/12500000</f>
        <v/>
      </c>
      <c r="W794">
        <f>(T794+U794+V794)/3</f>
        <v/>
      </c>
      <c r="X794" s="6" t="n">
        <v>1500</v>
      </c>
      <c r="Y794">
        <f>IFERROR(W794-X794,"")</f>
        <v/>
      </c>
      <c r="Z794">
        <f>IFERROR(ABS(Y794)/MAX(X794,1),"")</f>
        <v/>
      </c>
      <c r="AA794">
        <f>IFERROR((X794-(((E794/100000+F794/100+S794/200)*200*I794*H794)+((E794*F794/25000)*I794*H794))/3)/(((J794/5)*200*I794*H794)+((J794*S794/2.5)*I794*H794)+((E794*F794*J794*S794*I794*H794)/12500000))/3*1000,"")</f>
        <v/>
      </c>
    </row>
    <row r="795">
      <c r="B795" s="7" t="inlineStr">
        <is>
          <t xml:space="preserve">  ↳ GLStingerTargeting</t>
        </is>
      </c>
      <c r="C795" s="7" t="inlineStr">
        <is>
          <t>Armament@AG</t>
        </is>
      </c>
      <c r="L795" s="6" t="n"/>
      <c r="M795" s="6" t="n">
        <v>25</v>
      </c>
      <c r="N795" s="6" t="n">
        <v>1</v>
      </c>
      <c r="O795" s="6" t="n"/>
      <c r="P795" s="6" t="n">
        <v>15000</v>
      </c>
      <c r="Q795" s="6" t="n">
        <v>1</v>
      </c>
      <c r="R795">
        <f>M795+IF(N795&gt;1,N(O795)*(N795-1),0)</f>
        <v/>
      </c>
      <c r="S795">
        <f>IFERROR(L795*MAX(N795,1)/R795*Q795*IF(ISBLANK(K794),1,K794),0)</f>
        <v/>
      </c>
      <c r="AB795" s="7" t="inlineStr"/>
    </row>
    <row r="796">
      <c r="A796" t="inlineStr">
        <is>
          <t>redalert2mod</t>
        </is>
      </c>
      <c r="B796" t="inlineStr">
        <is>
          <t>schwarzermond_laserbeetle</t>
        </is>
      </c>
      <c r="C796" t="inlineStr">
        <is>
          <t>Laser Beetle</t>
        </is>
      </c>
      <c r="D796" s="6" t="inlineStr">
        <is>
          <t>SupportVehicle</t>
        </is>
      </c>
      <c r="E796" s="6" t="n">
        <v>47500</v>
      </c>
      <c r="F796" s="6" t="n">
        <v>85</v>
      </c>
      <c r="G796" t="inlineStr">
        <is>
          <t>Medium</t>
        </is>
      </c>
      <c r="H796" s="6" t="n">
        <v>1</v>
      </c>
      <c r="I796" s="6" t="n">
        <v>1</v>
      </c>
      <c r="J796" s="6" t="n">
        <v>1</v>
      </c>
      <c r="K796" s="6" t="n"/>
      <c r="P796">
        <f>MAX(P797,P798,P799,P800,P801,P802)</f>
        <v/>
      </c>
      <c r="S796">
        <f>S797+S798+S799+S800+S801+S802</f>
        <v/>
      </c>
      <c r="T796">
        <f>(E796/100000+F796/100+(P796/1000)*J796/5+S796/200)*200*I796*H796</f>
        <v/>
      </c>
      <c r="U796">
        <f>((E796*F796/25000)+((P796/1000)*J796*S796/2.5))*I796*H796</f>
        <v/>
      </c>
      <c r="V796">
        <f>(E796*F796*(P796/1000)*J796*S796*I796*H796)/12500000</f>
        <v/>
      </c>
      <c r="W796">
        <f>(T796+U796+V796)/3</f>
        <v/>
      </c>
      <c r="X796" s="6" t="n">
        <v>700</v>
      </c>
      <c r="Y796">
        <f>IFERROR(W796-X796,"")</f>
        <v/>
      </c>
      <c r="Z796">
        <f>IFERROR(ABS(Y796)/MAX(X796,1),"")</f>
        <v/>
      </c>
      <c r="AA796">
        <f>IFERROR((X796-(((E796/100000+F796/100+S796/200)*200*I796*H796)+((E796*F796/25000)*I796*H796))/3)/(((J796/5)*200*I796*H796)+((J796*S796/2.5)*I796*H796)+((E796*F796*J796*S796*I796*H796)/12500000))/3*1000,"")</f>
        <v/>
      </c>
    </row>
    <row r="797">
      <c r="B797" s="7" t="inlineStr">
        <is>
          <t xml:space="preserve">  ↳ NaxiBeetleLaserE</t>
        </is>
      </c>
      <c r="C797" s="7" t="inlineStr">
        <is>
          <t>Armament</t>
        </is>
      </c>
      <c r="L797" s="6" t="n">
        <v>2000</v>
      </c>
      <c r="M797" s="6" t="n">
        <v>60</v>
      </c>
      <c r="N797" s="6" t="n">
        <v>2</v>
      </c>
      <c r="O797" s="6" t="n">
        <v>4</v>
      </c>
      <c r="P797" s="6" t="n">
        <v>6448</v>
      </c>
      <c r="Q797" s="6" t="n">
        <v>0.9375</v>
      </c>
      <c r="R797">
        <f>M797+IF(N797&gt;1,N(O797)*(N797-1),0)</f>
        <v/>
      </c>
      <c r="S797">
        <f>IFERROR(L797*MAX(N797,1)/R797*Q797*IF(ISBLANK(K796),1,K796),0)</f>
        <v/>
      </c>
      <c r="AB797" s="7" t="inlineStr">
        <is>
          <t>^SmallArms, ^Chaingun, ^MediumMissile, ^LaserWeapon</t>
        </is>
      </c>
    </row>
    <row r="798">
      <c r="B798" s="7" t="inlineStr">
        <is>
          <t xml:space="preserve">  ↳ NaxiBeetleLaserAAE</t>
        </is>
      </c>
      <c r="C798" s="7" t="inlineStr">
        <is>
          <t>Armament@AA</t>
        </is>
      </c>
      <c r="L798" s="6" t="n">
        <v>2000</v>
      </c>
      <c r="M798" s="6" t="n">
        <v>60</v>
      </c>
      <c r="N798" s="6" t="n">
        <v>2</v>
      </c>
      <c r="O798" s="6" t="n">
        <v>4</v>
      </c>
      <c r="P798" s="6" t="n">
        <v>9672</v>
      </c>
      <c r="Q798" s="6" t="n">
        <v>0.9375</v>
      </c>
      <c r="R798">
        <f>M798+IF(N798&gt;1,N(O798)*(N798-1),0)</f>
        <v/>
      </c>
      <c r="S798">
        <f>IFERROR(L798*MAX(N798,1)/R798*Q798*IF(ISBLANK(K796),1,K796),0)</f>
        <v/>
      </c>
      <c r="AB798" s="7" t="inlineStr">
        <is>
          <t>^SmallArms, ^Chaingun, ^MediumMissile, ^LaserWeapon</t>
        </is>
      </c>
    </row>
    <row r="799">
      <c r="B799" s="7" t="inlineStr">
        <is>
          <t xml:space="preserve">  ↳ Lunar_YellowBeetleLaser</t>
        </is>
      </c>
      <c r="C799" s="7" t="inlineStr">
        <is>
          <t>Armament@UP</t>
        </is>
      </c>
      <c r="L799" s="6" t="n">
        <v>2000</v>
      </c>
      <c r="M799" s="6" t="n">
        <v>60</v>
      </c>
      <c r="N799" s="6" t="n">
        <v>3</v>
      </c>
      <c r="O799" s="6" t="n">
        <v>4</v>
      </c>
      <c r="P799" s="6" t="n">
        <v>6448</v>
      </c>
      <c r="Q799" s="6" t="n">
        <v>0.9375</v>
      </c>
      <c r="R799">
        <f>M799+IF(N799&gt;1,N(O799)*(N799-1),0)</f>
        <v/>
      </c>
      <c r="S799">
        <f>IFERROR(L799*MAX(N799,1)/R799*Q799*IF(ISBLANK(K796),1,K796),0)</f>
        <v/>
      </c>
      <c r="AB799" s="7" t="inlineStr">
        <is>
          <t>^SmallArms, ^Chaingun, ^MediumMissile, ^LaserWeapon</t>
        </is>
      </c>
    </row>
    <row r="800">
      <c r="B800" s="7" t="inlineStr">
        <is>
          <t xml:space="preserve">  ↳ Lunar_YellowBeetleLaserAA</t>
        </is>
      </c>
      <c r="C800" s="7" t="inlineStr">
        <is>
          <t>Armament@AA_UP</t>
        </is>
      </c>
      <c r="L800" s="6" t="n">
        <v>2000</v>
      </c>
      <c r="M800" s="6" t="n">
        <v>60</v>
      </c>
      <c r="N800" s="6" t="n">
        <v>3</v>
      </c>
      <c r="O800" s="6" t="n">
        <v>4</v>
      </c>
      <c r="P800" s="6" t="n">
        <v>9672</v>
      </c>
      <c r="Q800" s="6" t="n">
        <v>0.9375</v>
      </c>
      <c r="R800">
        <f>M800+IF(N800&gt;1,N(O800)*(N800-1),0)</f>
        <v/>
      </c>
      <c r="S800">
        <f>IFERROR(L800*MAX(N800,1)/R800*Q800*IF(ISBLANK(K796),1,K796),0)</f>
        <v/>
      </c>
      <c r="AB800" s="7" t="inlineStr">
        <is>
          <t>^SmallArms, ^Chaingun, ^MediumMissile, ^LaserWeapon</t>
        </is>
      </c>
    </row>
    <row r="801">
      <c r="B801" s="7" t="inlineStr">
        <is>
          <t xml:space="preserve">  ↳ Lunar_AmplifiedBeetleLaser</t>
        </is>
      </c>
      <c r="C801" s="7" t="inlineStr">
        <is>
          <t>Armament@AMP</t>
        </is>
      </c>
      <c r="L801" s="6" t="n">
        <v>2000</v>
      </c>
      <c r="M801" s="6" t="n">
        <v>60</v>
      </c>
      <c r="N801" s="6" t="n">
        <v>4</v>
      </c>
      <c r="O801" s="6" t="n">
        <v>4</v>
      </c>
      <c r="P801" s="6" t="n">
        <v>6448</v>
      </c>
      <c r="Q801" s="6" t="n">
        <v>0.9375</v>
      </c>
      <c r="R801">
        <f>M801+IF(N801&gt;1,N(O801)*(N801-1),0)</f>
        <v/>
      </c>
      <c r="S801">
        <f>IFERROR(L801*MAX(N801,1)/R801*Q801*IF(ISBLANK(K796),1,K796),0)</f>
        <v/>
      </c>
      <c r="AB801" s="7" t="inlineStr">
        <is>
          <t>^SmallArms, ^Chaingun, ^MediumMissile, ^LaserWeapon</t>
        </is>
      </c>
    </row>
    <row r="802">
      <c r="B802" s="7" t="inlineStr">
        <is>
          <t xml:space="preserve">  ↳ Lunar_AmplifiedBeetleLaserAA</t>
        </is>
      </c>
      <c r="C802" s="7" t="inlineStr">
        <is>
          <t>Armament@AA_AMP</t>
        </is>
      </c>
      <c r="L802" s="6" t="n">
        <v>2000</v>
      </c>
      <c r="M802" s="6" t="n">
        <v>60</v>
      </c>
      <c r="N802" s="6" t="n">
        <v>4</v>
      </c>
      <c r="O802" s="6" t="n">
        <v>4</v>
      </c>
      <c r="P802" s="6" t="n">
        <v>9672</v>
      </c>
      <c r="Q802" s="6" t="n">
        <v>0.9375</v>
      </c>
      <c r="R802">
        <f>M802+IF(N802&gt;1,N(O802)*(N802-1),0)</f>
        <v/>
      </c>
      <c r="S802">
        <f>IFERROR(L802*MAX(N802,1)/R802*Q802*IF(ISBLANK(K796),1,K796),0)</f>
        <v/>
      </c>
      <c r="AB802" s="7" t="inlineStr">
        <is>
          <t>^SmallArms, ^Chaingun, ^MediumMissile, ^LaserWeapon</t>
        </is>
      </c>
    </row>
    <row r="803">
      <c r="A803" t="inlineStr">
        <is>
          <t>redalert2mod</t>
        </is>
      </c>
      <c r="B803" t="inlineStr">
        <is>
          <t>schwarzermond_lasertank</t>
        </is>
      </c>
      <c r="C803" t="inlineStr">
        <is>
          <t>Laser Tank</t>
        </is>
      </c>
      <c r="D803" s="6" t="inlineStr">
        <is>
          <t>SupportVehicle</t>
        </is>
      </c>
      <c r="E803" s="6" t="n">
        <v>100000</v>
      </c>
      <c r="F803" s="6" t="n">
        <v>70</v>
      </c>
      <c r="G803" t="inlineStr">
        <is>
          <t>Medium</t>
        </is>
      </c>
      <c r="H803" s="6" t="n">
        <v>1</v>
      </c>
      <c r="I803" s="6" t="n">
        <v>1</v>
      </c>
      <c r="J803" s="6" t="n">
        <v>1</v>
      </c>
      <c r="K803" s="6" t="n"/>
      <c r="P803">
        <f>MAX(P804,P805,P806,P807,P808,P809)</f>
        <v/>
      </c>
      <c r="S803">
        <f>S804+S805+S806+S807+S808+S809</f>
        <v/>
      </c>
      <c r="T803">
        <f>(E803/100000+F803/100+(P803/1000)*J803/5+S803/200)*200*I803*H803</f>
        <v/>
      </c>
      <c r="U803">
        <f>((E803*F803/25000)+((P803/1000)*J803*S803/2.5))*I803*H803</f>
        <v/>
      </c>
      <c r="V803">
        <f>(E803*F803*(P803/1000)*J803*S803*I803*H803)/12500000</f>
        <v/>
      </c>
      <c r="W803">
        <f>(T803+U803+V803)/3</f>
        <v/>
      </c>
      <c r="X803" s="6" t="n">
        <v>1500</v>
      </c>
      <c r="Y803">
        <f>IFERROR(W803-X803,"")</f>
        <v/>
      </c>
      <c r="Z803">
        <f>IFERROR(ABS(Y803)/MAX(X803,1),"")</f>
        <v/>
      </c>
      <c r="AA803">
        <f>IFERROR((X803-(((E803/100000+F803/100+S803/200)*200*I803*H803)+((E803*F803/25000)*I803*H803))/3)/(((J803/5)*200*I803*H803)+((J803*S803/2.5)*I803*H803)+((E803*F803*J803*S803*I803*H803)/12500000))/3*1000,"")</f>
        <v/>
      </c>
    </row>
    <row r="804">
      <c r="B804" s="7" t="inlineStr">
        <is>
          <t xml:space="preserve">  ↳ NaxiTank2Laser</t>
        </is>
      </c>
      <c r="C804" s="7" t="inlineStr">
        <is>
          <t>Armament</t>
        </is>
      </c>
      <c r="L804" s="6" t="n">
        <v>2000</v>
      </c>
      <c r="M804" s="6" t="n">
        <v>52</v>
      </c>
      <c r="N804" s="6" t="n">
        <v>4</v>
      </c>
      <c r="O804" s="6" t="n">
        <v>4</v>
      </c>
      <c r="P804" s="6" t="n">
        <v>6500</v>
      </c>
      <c r="Q804" s="6" t="n">
        <v>0.9375</v>
      </c>
      <c r="R804">
        <f>M804+IF(N804&gt;1,N(O804)*(N804-1),0)</f>
        <v/>
      </c>
      <c r="S804">
        <f>IFERROR(L804*MAX(N804,1)/R804*Q804*IF(ISBLANK(K803),1,K803),0)</f>
        <v/>
      </c>
      <c r="AB804" s="7" t="inlineStr">
        <is>
          <t>^SmallArms, ^Chaingun, ^MediumMissile, ^LaserWeapon</t>
        </is>
      </c>
    </row>
    <row r="805">
      <c r="B805" s="7" t="inlineStr">
        <is>
          <t xml:space="preserve">  ↳ NaxiTank2LaserAA</t>
        </is>
      </c>
      <c r="C805" s="7" t="inlineStr">
        <is>
          <t>Armament@AA</t>
        </is>
      </c>
      <c r="L805" s="6" t="n">
        <v>2000</v>
      </c>
      <c r="M805" s="6" t="n">
        <v>52</v>
      </c>
      <c r="N805" s="6" t="n">
        <v>4</v>
      </c>
      <c r="O805" s="6" t="n">
        <v>4</v>
      </c>
      <c r="P805" s="6" t="n">
        <v>9750</v>
      </c>
      <c r="Q805" s="6" t="n">
        <v>0.9375</v>
      </c>
      <c r="R805">
        <f>M805+IF(N805&gt;1,N(O805)*(N805-1),0)</f>
        <v/>
      </c>
      <c r="S805">
        <f>IFERROR(L805*MAX(N805,1)/R805*Q805*IF(ISBLANK(K803),1,K803),0)</f>
        <v/>
      </c>
      <c r="AB805" s="7" t="inlineStr">
        <is>
          <t>^SmallArms, ^Chaingun, ^MediumMissile, ^LaserWeapon</t>
        </is>
      </c>
    </row>
    <row r="806">
      <c r="B806" s="7" t="inlineStr">
        <is>
          <t xml:space="preserve">  ↳ Lunar_YellowTank2Laser</t>
        </is>
      </c>
      <c r="C806" s="7" t="inlineStr">
        <is>
          <t>Armament@UP</t>
        </is>
      </c>
      <c r="L806" s="6" t="n">
        <v>2000</v>
      </c>
      <c r="M806" s="6" t="n">
        <v>52</v>
      </c>
      <c r="N806" s="6" t="n">
        <v>5</v>
      </c>
      <c r="O806" s="6" t="n">
        <v>4</v>
      </c>
      <c r="P806" s="6" t="n">
        <v>6500</v>
      </c>
      <c r="Q806" s="6" t="n">
        <v>0.9375</v>
      </c>
      <c r="R806">
        <f>M806+IF(N806&gt;1,N(O806)*(N806-1),0)</f>
        <v/>
      </c>
      <c r="S806">
        <f>IFERROR(L806*MAX(N806,1)/R806*Q806*IF(ISBLANK(K803),1,K803),0)</f>
        <v/>
      </c>
      <c r="AB806" s="7" t="inlineStr">
        <is>
          <t>^SmallArms, ^Chaingun, ^MediumMissile, ^LaserWeapon</t>
        </is>
      </c>
    </row>
    <row r="807">
      <c r="B807" s="7" t="inlineStr">
        <is>
          <t xml:space="preserve">  ↳ Lunar_YellowTank2LaserAA</t>
        </is>
      </c>
      <c r="C807" s="7" t="inlineStr">
        <is>
          <t>Armament@AA_UP</t>
        </is>
      </c>
      <c r="L807" s="6" t="n">
        <v>2000</v>
      </c>
      <c r="M807" s="6" t="n">
        <v>52</v>
      </c>
      <c r="N807" s="6" t="n">
        <v>5</v>
      </c>
      <c r="O807" s="6" t="n">
        <v>4</v>
      </c>
      <c r="P807" s="6" t="n">
        <v>9750</v>
      </c>
      <c r="Q807" s="6" t="n">
        <v>0.9375</v>
      </c>
      <c r="R807">
        <f>M807+IF(N807&gt;1,N(O807)*(N807-1),0)</f>
        <v/>
      </c>
      <c r="S807">
        <f>IFERROR(L807*MAX(N807,1)/R807*Q807*IF(ISBLANK(K803),1,K803),0)</f>
        <v/>
      </c>
      <c r="AB807" s="7" t="inlineStr">
        <is>
          <t>^SmallArms, ^Chaingun, ^MediumMissile, ^LaserWeapon</t>
        </is>
      </c>
    </row>
    <row r="808">
      <c r="B808" s="7" t="inlineStr">
        <is>
          <t xml:space="preserve">  ↳ Lunar_AmplifiedTank2Laser</t>
        </is>
      </c>
      <c r="C808" s="7" t="inlineStr">
        <is>
          <t>Armament@AMP</t>
        </is>
      </c>
      <c r="L808" s="6" t="n">
        <v>2000</v>
      </c>
      <c r="M808" s="6" t="n">
        <v>52</v>
      </c>
      <c r="N808" s="6" t="n">
        <v>6</v>
      </c>
      <c r="O808" s="6" t="n">
        <v>4</v>
      </c>
      <c r="P808" s="6" t="n">
        <v>6500</v>
      </c>
      <c r="Q808" s="6" t="n">
        <v>0.9375</v>
      </c>
      <c r="R808">
        <f>M808+IF(N808&gt;1,N(O808)*(N808-1),0)</f>
        <v/>
      </c>
      <c r="S808">
        <f>IFERROR(L808*MAX(N808,1)/R808*Q808*IF(ISBLANK(K803),1,K803),0)</f>
        <v/>
      </c>
      <c r="AB808" s="7" t="inlineStr">
        <is>
          <t>^SmallArms, ^Chaingun, ^MediumMissile, ^LaserWeapon</t>
        </is>
      </c>
    </row>
    <row r="809">
      <c r="B809" s="7" t="inlineStr">
        <is>
          <t xml:space="preserve">  ↳ Lunar_AmplifiedTank2LaserAA</t>
        </is>
      </c>
      <c r="C809" s="7" t="inlineStr">
        <is>
          <t>Armament@AA_AMP</t>
        </is>
      </c>
      <c r="L809" s="6" t="n">
        <v>2000</v>
      </c>
      <c r="M809" s="6" t="n">
        <v>52</v>
      </c>
      <c r="N809" s="6" t="n">
        <v>6</v>
      </c>
      <c r="O809" s="6" t="n">
        <v>4</v>
      </c>
      <c r="P809" s="6" t="n">
        <v>9750</v>
      </c>
      <c r="Q809" s="6" t="n">
        <v>0.9375</v>
      </c>
      <c r="R809">
        <f>M809+IF(N809&gt;1,N(O809)*(N809-1),0)</f>
        <v/>
      </c>
      <c r="S809">
        <f>IFERROR(L809*MAX(N809,1)/R809*Q809*IF(ISBLANK(K803),1,K803),0)</f>
        <v/>
      </c>
      <c r="AB809" s="7" t="inlineStr">
        <is>
          <t>^SmallArms, ^Chaingun, ^MediumMissile, ^LaserWeapon</t>
        </is>
      </c>
    </row>
    <row r="810">
      <c r="A810" t="inlineStr">
        <is>
          <t>redalert2mod</t>
        </is>
      </c>
      <c r="B810" t="inlineStr">
        <is>
          <t>schwarzermond_m200bjagerline</t>
        </is>
      </c>
      <c r="C810" t="inlineStr">
        <is>
          <t>M-200B Jagerline</t>
        </is>
      </c>
      <c r="D810" s="6" t="inlineStr">
        <is>
          <t>SupportVehicle</t>
        </is>
      </c>
      <c r="E810" s="6" t="n">
        <v>70000</v>
      </c>
      <c r="F810" s="6" t="n">
        <v>60</v>
      </c>
      <c r="G810" t="inlineStr">
        <is>
          <t>Medium</t>
        </is>
      </c>
      <c r="H810" s="6" t="n">
        <v>1</v>
      </c>
      <c r="I810" s="6" t="n">
        <v>1</v>
      </c>
      <c r="J810" s="6" t="n">
        <v>1</v>
      </c>
      <c r="K810" s="6" t="n">
        <v>1.25</v>
      </c>
      <c r="P810">
        <f>MAX(P811,P812)</f>
        <v/>
      </c>
      <c r="S810">
        <f>S811+S812</f>
        <v/>
      </c>
      <c r="T810">
        <f>(E810/100000+F810/100+(P810/1000)*J810/5+S810/200)*200*I810*H810</f>
        <v/>
      </c>
      <c r="U810">
        <f>((E810*F810/25000)+((P810/1000)*J810*S810/2.5))*I810*H810</f>
        <v/>
      </c>
      <c r="V810">
        <f>(E810*F810*(P810/1000)*J810*S810*I810*H810)/12500000</f>
        <v/>
      </c>
      <c r="W810">
        <f>(T810+U810+V810)/3</f>
        <v/>
      </c>
      <c r="X810" s="6" t="n">
        <v>2500</v>
      </c>
      <c r="Y810">
        <f>IFERROR(W810-X810,"")</f>
        <v/>
      </c>
      <c r="Z810">
        <f>IFERROR(ABS(Y810)/MAX(X810,1),"")</f>
        <v/>
      </c>
      <c r="AA810">
        <f>IFERROR((X810-(((E810/100000+F810/100+S810/200)*200*I810*H810)+((E810*F810/25000)*I810*H810))/3)/(((J810/5)*200*I810*H810)+((J810*S810/2.5)*I810*H810)+((E810*F810*J810*S810*I810*H810)/12500000))/3*1000,"")</f>
        <v/>
      </c>
    </row>
    <row r="811">
      <c r="B811" s="7" t="inlineStr">
        <is>
          <t xml:space="preserve">  ↳ Naxis_Jagerline</t>
        </is>
      </c>
      <c r="C811" s="7" t="inlineStr">
        <is>
          <t>Armament</t>
        </is>
      </c>
      <c r="L811" s="6" t="n">
        <v>8000</v>
      </c>
      <c r="M811" s="6" t="n">
        <v>60</v>
      </c>
      <c r="N811" s="6" t="n">
        <v>2</v>
      </c>
      <c r="O811" s="6" t="n">
        <v>4</v>
      </c>
      <c r="P811" s="6" t="n">
        <v>7825</v>
      </c>
      <c r="Q811" s="6" t="n">
        <v>1.0625</v>
      </c>
      <c r="R811">
        <f>M811+IF(N811&gt;1,N(O811)*(N811-1),0)</f>
        <v/>
      </c>
      <c r="S811">
        <f>IFERROR(L811*MAX(N811,1)/R811*Q811*IF(ISBLANK(K810),1,K810),0)</f>
        <v/>
      </c>
      <c r="AB811" s="7" t="inlineStr">
        <is>
          <t>^FlakWeapon, ^Grenade, ^HeavyAAWeapon, ^MediumMissile</t>
        </is>
      </c>
    </row>
    <row r="812">
      <c r="B812" s="7" t="inlineStr">
        <is>
          <t xml:space="preserve">  ↳ Naxis_Jagerline_AA</t>
        </is>
      </c>
      <c r="C812" s="7" t="inlineStr">
        <is>
          <t>Armament@AA</t>
        </is>
      </c>
      <c r="L812" s="6" t="n">
        <v>8000</v>
      </c>
      <c r="M812" s="6" t="n">
        <v>60</v>
      </c>
      <c r="N812" s="6" t="n">
        <v>2</v>
      </c>
      <c r="O812" s="6" t="n">
        <v>4</v>
      </c>
      <c r="P812" s="6" t="n">
        <v>11740</v>
      </c>
      <c r="Q812" s="6" t="n">
        <v>1.0625</v>
      </c>
      <c r="R812">
        <f>M812+IF(N812&gt;1,N(O812)*(N812-1),0)</f>
        <v/>
      </c>
      <c r="S812">
        <f>IFERROR(L812*MAX(N812,1)/R812*Q812*IF(ISBLANK(K810),1,K810),0)</f>
        <v/>
      </c>
      <c r="AB812" s="7" t="inlineStr">
        <is>
          <t>^FlakWeapon, ^Grenade, ^HeavyAAWeapon, ^MediumMissile</t>
        </is>
      </c>
    </row>
    <row r="813">
      <c r="A813" t="inlineStr">
        <is>
          <t>redalert2mod</t>
        </is>
      </c>
      <c r="B813" t="inlineStr">
        <is>
          <t>schwarzermond_naxismobileconstructionvehicle</t>
        </is>
      </c>
      <c r="C813" t="inlineStr">
        <is>
          <t>Naxis Mobile Construction Vehicle</t>
        </is>
      </c>
      <c r="D813" s="6" t="inlineStr">
        <is>
          <t>SupportVehicle</t>
        </is>
      </c>
      <c r="E813" s="6" t="n">
        <v>300000</v>
      </c>
      <c r="F813" s="6" t="n">
        <v>75</v>
      </c>
      <c r="G813" t="inlineStr">
        <is>
          <t>Medium</t>
        </is>
      </c>
      <c r="H813" s="6" t="n">
        <v>1</v>
      </c>
      <c r="I813" s="6" t="n">
        <v>1</v>
      </c>
      <c r="J813" s="6" t="n">
        <v>1</v>
      </c>
      <c r="K813" s="6" t="n"/>
      <c r="X813" s="6" t="n">
        <v>5000</v>
      </c>
    </row>
    <row r="814">
      <c r="A814" t="inlineStr">
        <is>
          <t>redalert2mod</t>
        </is>
      </c>
      <c r="B814" t="inlineStr">
        <is>
          <t>futuretech_mobileconstructionvehicle</t>
        </is>
      </c>
      <c r="C814" t="inlineStr">
        <is>
          <t>FutureTech Mobile Construction Vehicle</t>
        </is>
      </c>
      <c r="D814" s="6" t="inlineStr">
        <is>
          <t>SupportVehicle</t>
        </is>
      </c>
      <c r="E814" s="6" t="n">
        <v>300000</v>
      </c>
      <c r="F814" s="6" t="n">
        <v>75</v>
      </c>
      <c r="G814" t="inlineStr">
        <is>
          <t>Medium</t>
        </is>
      </c>
      <c r="H814" s="6" t="n">
        <v>1</v>
      </c>
      <c r="I814" s="6" t="n">
        <v>1</v>
      </c>
      <c r="J814" s="6" t="n">
        <v>1</v>
      </c>
      <c r="K814" s="6" t="n"/>
      <c r="X814" s="6" t="n">
        <v>5000</v>
      </c>
    </row>
    <row r="815">
      <c r="A815" t="inlineStr">
        <is>
          <t>redalert2mod</t>
        </is>
      </c>
      <c r="B815" t="inlineStr">
        <is>
          <t>futuretech_phalanxwip</t>
        </is>
      </c>
      <c r="C815" t="inlineStr">
        <is>
          <t>Phalanx (WIP)</t>
        </is>
      </c>
      <c r="D815" s="6" t="inlineStr">
        <is>
          <t>SupportVehicle</t>
        </is>
      </c>
      <c r="E815" s="6" t="n">
        <v>75000</v>
      </c>
      <c r="F815" s="6" t="n">
        <v>90</v>
      </c>
      <c r="G815" t="inlineStr">
        <is>
          <t>Medium</t>
        </is>
      </c>
      <c r="H815" s="6" t="n">
        <v>1</v>
      </c>
      <c r="I815" s="6" t="n">
        <v>1</v>
      </c>
      <c r="J815" s="6" t="n">
        <v>1</v>
      </c>
      <c r="K815" s="6" t="n"/>
      <c r="P815">
        <f>MAX(P816,P817,P818)</f>
        <v/>
      </c>
      <c r="S815">
        <f>S816+S817+S818</f>
        <v/>
      </c>
      <c r="T815">
        <f>(E815/100000+F815/100+(P815/1000)*J815/5+S815/200)*200*I815*H815</f>
        <v/>
      </c>
      <c r="U815">
        <f>((E815*F815/25000)+((P815/1000)*J815*S815/2.5))*I815*H815</f>
        <v/>
      </c>
      <c r="V815">
        <f>(E815*F815*(P815/1000)*J815*S815*I815*H815)/12500000</f>
        <v/>
      </c>
      <c r="W815">
        <f>(T815+U815+V815)/3</f>
        <v/>
      </c>
      <c r="X815" s="6" t="n">
        <v>2500</v>
      </c>
      <c r="Y815">
        <f>IFERROR(W815-X815,"")</f>
        <v/>
      </c>
      <c r="Z815">
        <f>IFERROR(ABS(Y815)/MAX(X815,1),"")</f>
        <v/>
      </c>
      <c r="AA815">
        <f>IFERROR((X815-(((E815/100000+F815/100+S815/200)*200*I815*H815)+((E815*F815/25000)*I815*H815))/3)/(((J815/5)*200*I815*H815)+((J815*S815/2.5)*I815*H815)+((E815*F815*J815*S815*I815*H815)/12500000))/3*1000,"")</f>
        <v/>
      </c>
    </row>
    <row r="816">
      <c r="B816" s="7" t="inlineStr">
        <is>
          <t xml:space="preserve">  ↳ RA2RTruckRocket</t>
        </is>
      </c>
      <c r="C816" s="7" t="inlineStr">
        <is>
          <t>Armament</t>
        </is>
      </c>
      <c r="L816" s="6" t="n">
        <v>2000</v>
      </c>
      <c r="M816" s="6" t="n">
        <v>108</v>
      </c>
      <c r="N816" s="6" t="n">
        <v>8</v>
      </c>
      <c r="O816" s="6" t="n">
        <v>3</v>
      </c>
      <c r="P816" s="6" t="n">
        <v>7777</v>
      </c>
      <c r="Q816" s="6" t="n">
        <v>0.9375</v>
      </c>
      <c r="R816">
        <f>M816+IF(N816&gt;1,N(O816)*(N816-1),0)</f>
        <v/>
      </c>
      <c r="S816">
        <f>IFERROR(L816*MAX(N816,1)/R816*Q816*IF(ISBLANK(K815),1,K815),0)</f>
        <v/>
      </c>
      <c r="AB816" s="7" t="inlineStr">
        <is>
          <t>^RA2Grenade, ^LightFlameWeapon, ^ShrapnelWeapon, ^RA2MediumMissile</t>
        </is>
      </c>
    </row>
    <row r="817">
      <c r="B817" s="7" t="inlineStr">
        <is>
          <t xml:space="preserve">  ↳ RA2RTruckRocket</t>
        </is>
      </c>
      <c r="C817" s="7" t="inlineStr">
        <is>
          <t>Armament@PRIMARYELITE</t>
        </is>
      </c>
      <c r="L817" s="6" t="n">
        <v>2000</v>
      </c>
      <c r="M817" s="6" t="n">
        <v>108</v>
      </c>
      <c r="N817" s="6" t="n">
        <v>8</v>
      </c>
      <c r="O817" s="6" t="n">
        <v>3</v>
      </c>
      <c r="P817" s="6" t="n">
        <v>7777</v>
      </c>
      <c r="Q817" s="6" t="n">
        <v>0.9375</v>
      </c>
      <c r="R817">
        <f>M817+IF(N817&gt;1,N(O817)*(N817-1),0)</f>
        <v/>
      </c>
      <c r="S817">
        <f>IFERROR(L817*MAX(N817,1)/R817*Q817*IF(ISBLANK(K815),1,K815),0)</f>
        <v/>
      </c>
      <c r="AB817" s="7" t="inlineStr">
        <is>
          <t>^RA2Grenade, ^LightFlameWeapon, ^ShrapnelWeapon, ^RA2MediumMissile</t>
        </is>
      </c>
    </row>
    <row r="818">
      <c r="B818" s="7" t="inlineStr">
        <is>
          <t xml:space="preserve">  ↳ FutureMicrotorpedos</t>
        </is>
      </c>
      <c r="C818" s="7" t="inlineStr">
        <is>
          <t>Armament@WATER</t>
        </is>
      </c>
      <c r="L818" s="6" t="n">
        <v>6000</v>
      </c>
      <c r="M818" s="6" t="n">
        <v>240</v>
      </c>
      <c r="N818" s="6" t="n">
        <v>4</v>
      </c>
      <c r="O818" s="6" t="n">
        <v>8</v>
      </c>
      <c r="P818" s="6" t="n">
        <v>12000</v>
      </c>
      <c r="Q818" s="6" t="n">
        <v>1.125</v>
      </c>
      <c r="R818">
        <f>M818+IF(N818&gt;1,N(O818)*(N818-1),0)</f>
        <v/>
      </c>
      <c r="S818">
        <f>IFERROR(L818*MAX(N818,1)/R818*Q818*IF(ISBLANK(K815),1,K815),0)</f>
        <v/>
      </c>
      <c r="AB818" s="7" t="inlineStr">
        <is>
          <t>^RA2Grenade, ^RA2HeavyMissile</t>
        </is>
      </c>
    </row>
    <row r="819">
      <c r="A819" t="inlineStr">
        <is>
          <t>redalert2mod</t>
        </is>
      </c>
      <c r="B819" t="inlineStr">
        <is>
          <t>futuretech_repairdroid</t>
        </is>
      </c>
      <c r="C819" t="inlineStr">
        <is>
          <t>Repair Droid</t>
        </is>
      </c>
      <c r="D819" s="6" t="inlineStr">
        <is>
          <t>SupportVehicle</t>
        </is>
      </c>
      <c r="E819" s="6" t="n">
        <v>50000</v>
      </c>
      <c r="F819" s="6" t="n">
        <v>40</v>
      </c>
      <c r="G819" t="inlineStr">
        <is>
          <t>Plate</t>
        </is>
      </c>
      <c r="H819" s="6" t="n">
        <v>1</v>
      </c>
      <c r="I819" s="6" t="n">
        <v>1</v>
      </c>
      <c r="J819" s="6" t="n">
        <v>1</v>
      </c>
      <c r="K819" s="6" t="n"/>
      <c r="P819">
        <f>MAX(P820)</f>
        <v/>
      </c>
      <c r="S819">
        <f>S820</f>
        <v/>
      </c>
      <c r="T819">
        <f>(E819/100000+F819/100+(P819/1000)*J819/5+S819/200)*200*I819*H819</f>
        <v/>
      </c>
      <c r="U819">
        <f>((E819*F819/25000)+((P819/1000)*J819*S819/2.5))*I819*H819</f>
        <v/>
      </c>
      <c r="V819">
        <f>(E819*F819*(P819/1000)*J819*S819*I819*H819)/12500000</f>
        <v/>
      </c>
      <c r="W819">
        <f>(T819+U819+V819)/3</f>
        <v/>
      </c>
      <c r="X819" s="6" t="n">
        <v>800</v>
      </c>
      <c r="Y819">
        <f>IFERROR(W819-X819,"")</f>
        <v/>
      </c>
      <c r="Z819">
        <f>IFERROR(ABS(Y819)/MAX(X819,1),"")</f>
        <v/>
      </c>
      <c r="AA819">
        <f>IFERROR((X819-(((E819/100000+F819/100+S819/200)*200*I819*H819)+((E819*F819/25000)*I819*H819))/3)/(((J819/5)*200*I819*H819)+((J819*S819/2.5)*I819*H819)+((E819*F819*J819*S819*I819*H819)/12500000))/3*1000,"")</f>
        <v/>
      </c>
    </row>
    <row r="820">
      <c r="B820" s="7" t="inlineStr">
        <is>
          <t xml:space="preserve">  ↳ RA2IFVRepair</t>
        </is>
      </c>
      <c r="C820" s="7" t="inlineStr">
        <is>
          <t>Armament</t>
        </is>
      </c>
      <c r="L820" s="6" t="n">
        <v>-1</v>
      </c>
      <c r="M820" s="6" t="n">
        <v>50</v>
      </c>
      <c r="N820" s="6" t="n">
        <v>10</v>
      </c>
      <c r="O820" s="6" t="n">
        <v>1</v>
      </c>
      <c r="P820" s="6" t="n">
        <v>5000</v>
      </c>
      <c r="Q820" s="6" t="n">
        <v>1.5</v>
      </c>
      <c r="R820">
        <f>M820+IF(N820&gt;1,N(O820)*(N820-1),0)</f>
        <v/>
      </c>
      <c r="S820">
        <f>IFERROR(L820*MAX(N820,1)/R820*Q820*IF(ISBLANK(K819),1,K819),0)</f>
        <v/>
      </c>
      <c r="AB820" s="7" t="inlineStr">
        <is>
          <t>^RepairWeapon</t>
        </is>
      </c>
    </row>
    <row r="821">
      <c r="A821" t="inlineStr">
        <is>
          <t>redalert2mod</t>
        </is>
      </c>
      <c r="B821" t="inlineStr">
        <is>
          <t>futuretech_riptideacv</t>
        </is>
      </c>
      <c r="C821" t="inlineStr">
        <is>
          <t>Riptide ACV</t>
        </is>
      </c>
      <c r="D821" s="6" t="inlineStr">
        <is>
          <t>SupportVehicle</t>
        </is>
      </c>
      <c r="E821" s="6" t="n">
        <v>65000</v>
      </c>
      <c r="F821" s="6" t="n">
        <v>105</v>
      </c>
      <c r="G821" t="inlineStr">
        <is>
          <t>Light</t>
        </is>
      </c>
      <c r="H821" s="6" t="n">
        <v>1</v>
      </c>
      <c r="I821" s="6" t="n">
        <v>1.25</v>
      </c>
      <c r="J821" s="6" t="n">
        <v>1</v>
      </c>
      <c r="K821" s="6" t="n"/>
      <c r="P821">
        <f>MAX(P822,P823)</f>
        <v/>
      </c>
      <c r="S821">
        <f>S822+S823</f>
        <v/>
      </c>
      <c r="T821">
        <f>(E821/100000+F821/100+(P821/1000)*J821/5+S821/200)*200*I821*H821</f>
        <v/>
      </c>
      <c r="U821">
        <f>((E821*F821/25000)+((P821/1000)*J821*S821/2.5))*I821*H821</f>
        <v/>
      </c>
      <c r="V821">
        <f>(E821*F821*(P821/1000)*J821*S821*I821*H821)/12500000</f>
        <v/>
      </c>
      <c r="W821">
        <f>(T821+U821+V821)/3</f>
        <v/>
      </c>
      <c r="X821" s="6" t="n">
        <v>1700</v>
      </c>
      <c r="Y821">
        <f>IFERROR(W821-X821,"")</f>
        <v/>
      </c>
      <c r="Z821">
        <f>IFERROR(ABS(Y821)/MAX(X821,1),"")</f>
        <v/>
      </c>
      <c r="AA821">
        <f>IFERROR((X821-(((E821/100000+F821/100+S821/200)*200*I821*H821)+((E821*F821/25000)*I821*H821))/3)/(((J821/5)*200*I821*H821)+((J821*S821/2.5)*I821*H821)+((E821*F821*J821*S821*I821*H821)/12500000))/3*1000,"")</f>
        <v/>
      </c>
    </row>
    <row r="822">
      <c r="B822" s="7" t="inlineStr">
        <is>
          <t xml:space="preserve">  ↳ ACV_Machinegun</t>
        </is>
      </c>
      <c r="C822" s="7" t="inlineStr">
        <is>
          <t>Armament@AG</t>
        </is>
      </c>
      <c r="L822" s="6" t="n">
        <v>2000</v>
      </c>
      <c r="M822" s="6" t="n">
        <v>21</v>
      </c>
      <c r="N822" s="6" t="n">
        <v>4</v>
      </c>
      <c r="O822" s="6" t="n">
        <v>2</v>
      </c>
      <c r="P822" s="6" t="n">
        <v>5555</v>
      </c>
      <c r="Q822" s="6" t="n">
        <v>0.875</v>
      </c>
      <c r="R822">
        <f>M822+IF(N822&gt;1,N(O822)*(N822-1),0)</f>
        <v/>
      </c>
      <c r="S822">
        <f>IFERROR(L822*MAX(N822,1)/R822*Q822*IF(ISBLANK(K821),1,K821),0)</f>
        <v/>
      </c>
      <c r="AB822" s="7" t="inlineStr">
        <is>
          <t>^RA2SmallArms, ^RA2Chaingun</t>
        </is>
      </c>
    </row>
    <row r="823">
      <c r="B823" s="7" t="inlineStr">
        <is>
          <t xml:space="preserve">  ↳ FutureMicrotorpedos</t>
        </is>
      </c>
      <c r="C823" s="7" t="inlineStr">
        <is>
          <t>Armament@WATER</t>
        </is>
      </c>
      <c r="L823" s="6" t="n">
        <v>6000</v>
      </c>
      <c r="M823" s="6" t="n">
        <v>240</v>
      </c>
      <c r="N823" s="6" t="n">
        <v>4</v>
      </c>
      <c r="O823" s="6" t="n">
        <v>8</v>
      </c>
      <c r="P823" s="6" t="n">
        <v>12000</v>
      </c>
      <c r="Q823" s="6" t="n">
        <v>1.125</v>
      </c>
      <c r="R823">
        <f>M823+IF(N823&gt;1,N(O823)*(N823-1),0)</f>
        <v/>
      </c>
      <c r="S823">
        <f>IFERROR(L823*MAX(N823,1)/R823*Q823*IF(ISBLANK(K821),1,K821),0)</f>
        <v/>
      </c>
      <c r="AB823" s="7" t="inlineStr">
        <is>
          <t>^RA2Grenade, ^RA2HeavyMissile</t>
        </is>
      </c>
    </row>
    <row r="824">
      <c r="A824" t="inlineStr">
        <is>
          <t>redalert2mod</t>
        </is>
      </c>
      <c r="B824" t="inlineStr">
        <is>
          <t>tkm_flakbus</t>
        </is>
      </c>
      <c r="C824" t="inlineStr">
        <is>
          <t>Flak Bus</t>
        </is>
      </c>
      <c r="D824" s="6" t="inlineStr">
        <is>
          <t>SupportVehicle</t>
        </is>
      </c>
      <c r="E824" s="6" t="n">
        <v>120000</v>
      </c>
      <c r="F824" s="6" t="n">
        <v>60</v>
      </c>
      <c r="G824" t="inlineStr">
        <is>
          <t>Heavy</t>
        </is>
      </c>
      <c r="H824" s="6" t="n">
        <v>1</v>
      </c>
      <c r="I824" s="6" t="n">
        <v>1</v>
      </c>
      <c r="J824" s="6" t="n">
        <v>1</v>
      </c>
      <c r="K824" s="6" t="n"/>
      <c r="X824" s="6" t="n">
        <v>1800</v>
      </c>
    </row>
    <row r="825">
      <c r="A825" t="inlineStr">
        <is>
          <t>redalert2mod</t>
        </is>
      </c>
      <c r="B825" t="inlineStr">
        <is>
          <t>tkm_medictruck</t>
        </is>
      </c>
      <c r="C825" t="inlineStr">
        <is>
          <t>Medic Truck</t>
        </is>
      </c>
      <c r="D825" s="6" t="inlineStr">
        <is>
          <t>SupportVehicle</t>
        </is>
      </c>
      <c r="E825" s="6" t="n">
        <v>50000</v>
      </c>
      <c r="F825" s="6" t="n">
        <v>75</v>
      </c>
      <c r="G825" t="inlineStr">
        <is>
          <t>Light</t>
        </is>
      </c>
      <c r="H825" s="6" t="n">
        <v>1</v>
      </c>
      <c r="I825" s="6" t="n">
        <v>1</v>
      </c>
      <c r="J825" s="6" t="n">
        <v>1</v>
      </c>
      <c r="K825" s="6" t="n"/>
      <c r="P825">
        <f>MAX(P826)</f>
        <v/>
      </c>
      <c r="S825">
        <f>S826</f>
        <v/>
      </c>
      <c r="T825">
        <f>(E825/100000+F825/100+(P825/1000)*J825/5+S825/200)*200*I825*H825</f>
        <v/>
      </c>
      <c r="U825">
        <f>((E825*F825/25000)+((P825/1000)*J825*S825/2.5))*I825*H825</f>
        <v/>
      </c>
      <c r="V825">
        <f>(E825*F825*(P825/1000)*J825*S825*I825*H825)/12500000</f>
        <v/>
      </c>
      <c r="W825">
        <f>(T825+U825+V825)/3</f>
        <v/>
      </c>
      <c r="X825" s="6" t="n">
        <v>1000</v>
      </c>
      <c r="Y825">
        <f>IFERROR(W825-X825,"")</f>
        <v/>
      </c>
      <c r="Z825">
        <f>IFERROR(ABS(Y825)/MAX(X825,1),"")</f>
        <v/>
      </c>
      <c r="AA825">
        <f>IFERROR((X825-(((E825/100000+F825/100+S825/200)*200*I825*H825)+((E825*F825/25000)*I825*H825))/3)/(((J825/5)*200*I825*H825)+((J825*S825/2.5)*I825*H825)+((E825*F825*J825*S825*I825*H825)/12500000))/3*1000,"")</f>
        <v/>
      </c>
    </row>
    <row r="826">
      <c r="B826" s="7" t="inlineStr">
        <is>
          <t xml:space="preserve">  ↳ TKMMedicHeal</t>
        </is>
      </c>
      <c r="C826" s="7" t="inlineStr">
        <is>
          <t>Armament@Heal</t>
        </is>
      </c>
      <c r="L826" s="6" t="n">
        <v>-1</v>
      </c>
      <c r="M826" s="6" t="n">
        <v>5</v>
      </c>
      <c r="N826" s="6" t="n">
        <v>1</v>
      </c>
      <c r="O826" s="6" t="n"/>
      <c r="P826" s="6" t="n">
        <v>4831</v>
      </c>
      <c r="Q826" s="6" t="n">
        <v>1</v>
      </c>
      <c r="R826">
        <f>M826+IF(N826&gt;1,N(O826)*(N826-1),0)</f>
        <v/>
      </c>
      <c r="S826">
        <f>IFERROR(L826*MAX(N826,1)/R826*Q826*IF(ISBLANK(K825),1,K825),0)</f>
        <v/>
      </c>
      <c r="AB826" s="7" t="inlineStr">
        <is>
          <t>^HealingWeapon</t>
        </is>
      </c>
    </row>
    <row r="827">
      <c r="A827" t="inlineStr">
        <is>
          <t>redalert2mod</t>
        </is>
      </c>
      <c r="B827" t="inlineStr">
        <is>
          <t>tkm_mobileconstructionvehicletkm</t>
        </is>
      </c>
      <c r="C827" t="inlineStr">
        <is>
          <t>Mobile Construction Vehicle (TKM)</t>
        </is>
      </c>
      <c r="D827" s="6" t="inlineStr">
        <is>
          <t>SupportVehicle</t>
        </is>
      </c>
      <c r="E827" s="6" t="n">
        <v>300000</v>
      </c>
      <c r="F827" s="6" t="n">
        <v>75</v>
      </c>
      <c r="G827" t="inlineStr">
        <is>
          <t>Medium</t>
        </is>
      </c>
      <c r="H827" s="6" t="n">
        <v>1</v>
      </c>
      <c r="I827" s="6" t="n">
        <v>1</v>
      </c>
      <c r="J827" s="6" t="n">
        <v>1</v>
      </c>
      <c r="K827" s="6" t="n"/>
      <c r="X827" s="6" t="n">
        <v>5000</v>
      </c>
    </row>
    <row r="828">
      <c r="A828" t="inlineStr">
        <is>
          <t>redalert2mod</t>
        </is>
      </c>
      <c r="B828" t="inlineStr">
        <is>
          <t>tkm_quadtruck</t>
        </is>
      </c>
      <c r="C828" t="inlineStr">
        <is>
          <t>TKM Quad Truck</t>
        </is>
      </c>
      <c r="D828" s="6" t="inlineStr">
        <is>
          <t>SupportVehicle</t>
        </is>
      </c>
      <c r="E828" s="6" t="n">
        <v>65000</v>
      </c>
      <c r="F828" s="6" t="n">
        <v>90</v>
      </c>
      <c r="G828" t="inlineStr">
        <is>
          <t>Light</t>
        </is>
      </c>
      <c r="H828" s="6" t="n">
        <v>1</v>
      </c>
      <c r="I828" s="6" t="n">
        <v>1</v>
      </c>
      <c r="J828" s="6" t="n">
        <v>1</v>
      </c>
      <c r="K828" s="6" t="n"/>
      <c r="P828">
        <f>MAX(P829,P830)</f>
        <v/>
      </c>
      <c r="S828">
        <f>S829+S830</f>
        <v/>
      </c>
      <c r="T828">
        <f>(E828/100000+F828/100+(P828/1000)*J828/5+S828/200)*200*I828*H828</f>
        <v/>
      </c>
      <c r="U828">
        <f>((E828*F828/25000)+((P828/1000)*J828*S828/2.5))*I828*H828</f>
        <v/>
      </c>
      <c r="V828">
        <f>(E828*F828*(P828/1000)*J828*S828*I828*H828)/12500000</f>
        <v/>
      </c>
      <c r="W828">
        <f>(T828+U828+V828)/3</f>
        <v/>
      </c>
      <c r="X828" s="6" t="n">
        <v>900</v>
      </c>
      <c r="Y828">
        <f>IFERROR(W828-X828,"")</f>
        <v/>
      </c>
      <c r="Z828">
        <f>IFERROR(ABS(Y828)/MAX(X828,1),"")</f>
        <v/>
      </c>
      <c r="AA828">
        <f>IFERROR((X828-(((E828/100000+F828/100+S828/200)*200*I828*H828)+((E828*F828/25000)*I828*H828))/3)/(((J828/5)*200*I828*H828)+((J828*S828/2.5)*I828*H828)+((E828*F828*J828*S828*I828*H828)/12500000))/3*1000,"")</f>
        <v/>
      </c>
    </row>
    <row r="829">
      <c r="B829" s="7" t="inlineStr">
        <is>
          <t xml:space="preserve">  ↳ TKMQuadCannonAG</t>
        </is>
      </c>
      <c r="C829" s="7" t="inlineStr">
        <is>
          <t>Armament@AG</t>
        </is>
      </c>
      <c r="L829" s="6" t="n">
        <v>2000</v>
      </c>
      <c r="M829" s="6" t="n">
        <v>10</v>
      </c>
      <c r="N829" s="6" t="n">
        <v>1</v>
      </c>
      <c r="O829" s="6" t="n"/>
      <c r="P829" s="6" t="n">
        <v>5253</v>
      </c>
      <c r="Q829" s="6" t="n">
        <v>0.875</v>
      </c>
      <c r="R829">
        <f>M829+IF(N829&gt;1,N(O829)*(N829-1),0)</f>
        <v/>
      </c>
      <c r="S829">
        <f>IFERROR(L829*MAX(N829,1)/R829*Q829*IF(ISBLANK(K828),1,K828),0)</f>
        <v/>
      </c>
      <c r="AB829" s="7" t="inlineStr">
        <is>
          <t>^SmallArms, ^FlakWeapon</t>
        </is>
      </c>
    </row>
    <row r="830">
      <c r="B830" s="7" t="inlineStr">
        <is>
          <t xml:space="preserve">  ↳ TKMQuadCannonAA</t>
        </is>
      </c>
      <c r="C830" s="7" t="inlineStr">
        <is>
          <t>Armament@AA</t>
        </is>
      </c>
      <c r="L830" s="6" t="n">
        <v>2000</v>
      </c>
      <c r="M830" s="6" t="n">
        <v>10</v>
      </c>
      <c r="N830" s="6" t="n">
        <v>1</v>
      </c>
      <c r="O830" s="6" t="n"/>
      <c r="P830" s="6" t="n">
        <v>7880</v>
      </c>
      <c r="Q830" s="6" t="n">
        <v>0.875</v>
      </c>
      <c r="R830">
        <f>M830+IF(N830&gt;1,N(O830)*(N830-1),0)</f>
        <v/>
      </c>
      <c r="S830">
        <f>IFERROR(L830*MAX(N830,1)/R830*Q830*IF(ISBLANK(K828),1,K828),0)</f>
        <v/>
      </c>
      <c r="AB830" s="7" t="inlineStr">
        <is>
          <t>^SmallArms, ^FlakWeapon</t>
        </is>
      </c>
    </row>
    <row r="831">
      <c r="A831" t="inlineStr">
        <is>
          <t>redalert2mod</t>
        </is>
      </c>
      <c r="B831" t="inlineStr">
        <is>
          <t>tkm_radartruck</t>
        </is>
      </c>
      <c r="C831" t="inlineStr">
        <is>
          <t>Radar Truck</t>
        </is>
      </c>
      <c r="D831" s="6" t="inlineStr">
        <is>
          <t>SupportVehicle</t>
        </is>
      </c>
      <c r="E831" s="6" t="n">
        <v>75000</v>
      </c>
      <c r="F831" s="6" t="n">
        <v>75</v>
      </c>
      <c r="G831" t="inlineStr">
        <is>
          <t>Light</t>
        </is>
      </c>
      <c r="H831" s="6" t="n">
        <v>1</v>
      </c>
      <c r="I831" s="6" t="n">
        <v>1</v>
      </c>
      <c r="J831" s="6" t="n">
        <v>1</v>
      </c>
      <c r="K831" s="6" t="n"/>
      <c r="P831">
        <f>MAX(P832)</f>
        <v/>
      </c>
      <c r="S831">
        <f>S832</f>
        <v/>
      </c>
      <c r="T831">
        <f>(E831/100000+F831/100+(P831/1000)*J831/5+S831/200)*200*I831*H831</f>
        <v/>
      </c>
      <c r="U831">
        <f>((E831*F831/25000)+((P831/1000)*J831*S831/2.5))*I831*H831</f>
        <v/>
      </c>
      <c r="V831">
        <f>(E831*F831*(P831/1000)*J831*S831*I831*H831)/12500000</f>
        <v/>
      </c>
      <c r="W831">
        <f>(T831+U831+V831)/3</f>
        <v/>
      </c>
      <c r="X831" s="6" t="n">
        <v>1000</v>
      </c>
      <c r="Y831">
        <f>IFERROR(W831-X831,"")</f>
        <v/>
      </c>
      <c r="Z831">
        <f>IFERROR(ABS(Y831)/MAX(X831,1),"")</f>
        <v/>
      </c>
      <c r="AA831">
        <f>IFERROR((X831-(((E831/100000+F831/100+S831/200)*200*I831*H831)+((E831*F831/25000)*I831*H831))/3)/(((J831/5)*200*I831*H831)+((J831*S831/2.5)*I831*H831)+((E831*F831*J831*S831*I831*H831)/12500000))/3*1000,"")</f>
        <v/>
      </c>
    </row>
    <row r="832">
      <c r="B832" s="7" t="inlineStr">
        <is>
          <t xml:space="preserve">  ↳ TKMLockOn</t>
        </is>
      </c>
      <c r="C832" s="7" t="inlineStr">
        <is>
          <t>Armament</t>
        </is>
      </c>
      <c r="L832" s="6" t="n"/>
      <c r="M832" s="6" t="n">
        <v>20</v>
      </c>
      <c r="N832" s="6" t="n">
        <v>1</v>
      </c>
      <c r="O832" s="6" t="n"/>
      <c r="P832" s="6" t="n">
        <v>10000</v>
      </c>
      <c r="Q832" s="6" t="n">
        <v>1</v>
      </c>
      <c r="R832">
        <f>M832+IF(N832&gt;1,N(O832)*(N832-1),0)</f>
        <v/>
      </c>
      <c r="S832">
        <f>IFERROR(L832*MAX(N832,1)/R832*Q832*IF(ISBLANK(K831),1,K831),0)</f>
        <v/>
      </c>
      <c r="AB832" s="7" t="inlineStr"/>
    </row>
    <row r="833">
      <c r="A833" t="inlineStr">
        <is>
          <t>redalert2mod</t>
        </is>
      </c>
      <c r="B833" t="inlineStr">
        <is>
          <t>tkm_repairtruck</t>
        </is>
      </c>
      <c r="C833" t="inlineStr">
        <is>
          <t>Repair Truck</t>
        </is>
      </c>
      <c r="D833" s="6" t="inlineStr">
        <is>
          <t>SupportVehicle</t>
        </is>
      </c>
      <c r="E833" s="6" t="n">
        <v>50000</v>
      </c>
      <c r="F833" s="6" t="n">
        <v>75</v>
      </c>
      <c r="G833" t="inlineStr">
        <is>
          <t>Light</t>
        </is>
      </c>
      <c r="H833" s="6" t="n">
        <v>1</v>
      </c>
      <c r="I833" s="6" t="n">
        <v>1</v>
      </c>
      <c r="J833" s="6" t="n">
        <v>1</v>
      </c>
      <c r="K833" s="6" t="n"/>
      <c r="P833">
        <f>MAX(P834)</f>
        <v/>
      </c>
      <c r="S833">
        <f>S834</f>
        <v/>
      </c>
      <c r="T833">
        <f>(E833/100000+F833/100+(P833/1000)*J833/5+S833/200)*200*I833*H833</f>
        <v/>
      </c>
      <c r="U833">
        <f>((E833*F833/25000)+((P833/1000)*J833*S833/2.5))*I833*H833</f>
        <v/>
      </c>
      <c r="V833">
        <f>(E833*F833*(P833/1000)*J833*S833*I833*H833)/12500000</f>
        <v/>
      </c>
      <c r="W833">
        <f>(T833+U833+V833)/3</f>
        <v/>
      </c>
      <c r="X833" s="6" t="n">
        <v>1000</v>
      </c>
      <c r="Y833">
        <f>IFERROR(W833-X833,"")</f>
        <v/>
      </c>
      <c r="Z833">
        <f>IFERROR(ABS(Y833)/MAX(X833,1),"")</f>
        <v/>
      </c>
      <c r="AA833">
        <f>IFERROR((X833-(((E833/100000+F833/100+S833/200)*200*I833*H833)+((E833*F833/25000)*I833*H833))/3)/(((J833/5)*200*I833*H833)+((J833*S833/2.5)*I833*H833)+((E833*F833*J833*S833*I833*H833)/12500000))/3*1000,"")</f>
        <v/>
      </c>
    </row>
    <row r="834">
      <c r="B834" s="7" t="inlineStr">
        <is>
          <t xml:space="preserve">  ↳ RA2IFVRepair</t>
        </is>
      </c>
      <c r="C834" s="7" t="inlineStr">
        <is>
          <t>Armament@repair</t>
        </is>
      </c>
      <c r="L834" s="6" t="n">
        <v>-1</v>
      </c>
      <c r="M834" s="6" t="n">
        <v>50</v>
      </c>
      <c r="N834" s="6" t="n">
        <v>10</v>
      </c>
      <c r="O834" s="6" t="n">
        <v>1</v>
      </c>
      <c r="P834" s="6" t="n">
        <v>5000</v>
      </c>
      <c r="Q834" s="6" t="n">
        <v>1.5</v>
      </c>
      <c r="R834">
        <f>M834+IF(N834&gt;1,N(O834)*(N834-1),0)</f>
        <v/>
      </c>
      <c r="S834">
        <f>IFERROR(L834*MAX(N834,1)/R834*Q834*IF(ISBLANK(K833),1,K833),0)</f>
        <v/>
      </c>
      <c r="AB834" s="7" t="inlineStr">
        <is>
          <t>^RepairWeapon</t>
        </is>
      </c>
    </row>
    <row r="835">
      <c r="A835" t="inlineStr">
        <is>
          <t>redalert2mod</t>
        </is>
      </c>
      <c r="B835" t="inlineStr">
        <is>
          <t>tkm_trenchtruck</t>
        </is>
      </c>
      <c r="C835" t="inlineStr">
        <is>
          <t>Trench Truck</t>
        </is>
      </c>
      <c r="D835" s="6" t="inlineStr">
        <is>
          <t>SupportVehicle</t>
        </is>
      </c>
      <c r="E835" s="6" t="n">
        <v>100000</v>
      </c>
      <c r="F835" s="6" t="n">
        <v>60</v>
      </c>
      <c r="G835" t="inlineStr">
        <is>
          <t>Heavy</t>
        </is>
      </c>
      <c r="H835" s="6" t="n">
        <v>1</v>
      </c>
      <c r="I835" s="6" t="n">
        <v>1</v>
      </c>
      <c r="J835" s="6" t="n">
        <v>1</v>
      </c>
      <c r="K835" s="6" t="n"/>
      <c r="X835" s="6" t="n">
        <v>2500</v>
      </c>
    </row>
    <row r="836">
      <c r="A836" t="inlineStr">
        <is>
          <t>redalert2mod</t>
        </is>
      </c>
      <c r="B836" t="inlineStr">
        <is>
          <t>tkm_zaza</t>
        </is>
      </c>
      <c r="C836" t="inlineStr">
        <is>
          <t>TKM Zaza</t>
        </is>
      </c>
      <c r="D836" s="6" t="inlineStr">
        <is>
          <t>SupportVehicle</t>
        </is>
      </c>
      <c r="E836" s="6" t="n">
        <v>125000</v>
      </c>
      <c r="F836" s="6" t="n">
        <v>75</v>
      </c>
      <c r="G836" t="inlineStr">
        <is>
          <t>Light</t>
        </is>
      </c>
      <c r="H836" s="6" t="n">
        <v>1</v>
      </c>
      <c r="I836" s="6" t="n">
        <v>1</v>
      </c>
      <c r="J836" s="6" t="n">
        <v>1</v>
      </c>
      <c r="K836" s="6" t="n"/>
      <c r="P836">
        <f>MAX(P837,P838)</f>
        <v/>
      </c>
      <c r="S836">
        <f>S837+S838</f>
        <v/>
      </c>
      <c r="T836">
        <f>(E836/100000+F836/100+(P836/1000)*J836/5+S836/200)*200*I836*H836</f>
        <v/>
      </c>
      <c r="U836">
        <f>((E836*F836/25000)+((P836/1000)*J836*S836/2.5))*I836*H836</f>
        <v/>
      </c>
      <c r="V836">
        <f>(E836*F836*(P836/1000)*J836*S836*I836*H836)/12500000</f>
        <v/>
      </c>
      <c r="W836">
        <f>(T836+U836+V836)/3</f>
        <v/>
      </c>
      <c r="X836" s="6" t="n">
        <v>1600</v>
      </c>
      <c r="Y836">
        <f>IFERROR(W836-X836,"")</f>
        <v/>
      </c>
      <c r="Z836">
        <f>IFERROR(ABS(Y836)/MAX(X836,1),"")</f>
        <v/>
      </c>
      <c r="AA836">
        <f>IFERROR((X836-(((E836/100000+F836/100+S836/200)*200*I836*H836)+((E836*F836/25000)*I836*H836))/3)/(((J836/5)*200*I836*H836)+((J836*S836/2.5)*I836*H836)+((E836*F836*J836*S836*I836*H836)/12500000))/3*1000,"")</f>
        <v/>
      </c>
    </row>
    <row r="837">
      <c r="B837" s="7" t="inlineStr">
        <is>
          <t xml:space="preserve">  ↳ TKMZazaCannonAG</t>
        </is>
      </c>
      <c r="C837" s="7" t="inlineStr">
        <is>
          <t>Armament@AG</t>
        </is>
      </c>
      <c r="L837" s="6" t="n">
        <v>2000</v>
      </c>
      <c r="M837" s="6" t="n">
        <v>8</v>
      </c>
      <c r="N837" s="6" t="n">
        <v>1</v>
      </c>
      <c r="O837" s="6" t="n"/>
      <c r="P837" s="6" t="n">
        <v>5284</v>
      </c>
      <c r="Q837" s="6" t="n">
        <v>0.875</v>
      </c>
      <c r="R837">
        <f>M837+IF(N837&gt;1,N(O837)*(N837-1),0)</f>
        <v/>
      </c>
      <c r="S837">
        <f>IFERROR(L837*MAX(N837,1)/R837*Q837*IF(ISBLANK(K836),1,K836),0)</f>
        <v/>
      </c>
      <c r="AB837" s="7" t="inlineStr">
        <is>
          <t>^SmallArms, ^FlakWeapon</t>
        </is>
      </c>
    </row>
    <row r="838">
      <c r="B838" s="7" t="inlineStr">
        <is>
          <t xml:space="preserve">  ↳ TKMZazaCannonAA</t>
        </is>
      </c>
      <c r="C838" s="7" t="inlineStr">
        <is>
          <t>Armament@AA</t>
        </is>
      </c>
      <c r="L838" s="6" t="n">
        <v>2000</v>
      </c>
      <c r="M838" s="6" t="n">
        <v>8</v>
      </c>
      <c r="N838" s="6" t="n">
        <v>1</v>
      </c>
      <c r="O838" s="6" t="n"/>
      <c r="P838" s="6" t="n">
        <v>7926</v>
      </c>
      <c r="Q838" s="6" t="n">
        <v>0.875</v>
      </c>
      <c r="R838">
        <f>M838+IF(N838&gt;1,N(O838)*(N838-1),0)</f>
        <v/>
      </c>
      <c r="S838">
        <f>IFERROR(L838*MAX(N838,1)/R838*Q838*IF(ISBLANK(K836),1,K836),0)</f>
        <v/>
      </c>
      <c r="AB838" s="7" t="inlineStr">
        <is>
          <t>^SmallArms, ^FlakWeapon</t>
        </is>
      </c>
    </row>
    <row r="839">
      <c r="A839" t="inlineStr">
        <is>
          <t>d2k</t>
        </is>
      </c>
      <c r="B839" t="inlineStr">
        <is>
          <t>ordos_apc</t>
        </is>
      </c>
      <c r="C839" t="inlineStr">
        <is>
          <t>Ordos APC</t>
        </is>
      </c>
      <c r="D839" s="6" t="inlineStr">
        <is>
          <t>SupportVehicle</t>
        </is>
      </c>
      <c r="E839" s="6" t="n">
        <v>67500</v>
      </c>
      <c r="F839" s="6" t="n">
        <v>105</v>
      </c>
      <c r="G839" t="inlineStr">
        <is>
          <t>Medium</t>
        </is>
      </c>
      <c r="H839" s="6" t="n">
        <v>1</v>
      </c>
      <c r="I839" s="6" t="n">
        <v>1.25</v>
      </c>
      <c r="J839" s="6" t="n">
        <v>1</v>
      </c>
      <c r="K839" s="6" t="n"/>
      <c r="P839">
        <f>MAX(P840)</f>
        <v/>
      </c>
      <c r="S839">
        <f>S840</f>
        <v/>
      </c>
      <c r="T839">
        <f>(E839/100000+F839/100+(P839/1000)*J839/5+S839/200)*200*I839*H839</f>
        <v/>
      </c>
      <c r="U839">
        <f>((E839*F839/25000)+((P839/1000)*J839*S839/2.5))*I839*H839</f>
        <v/>
      </c>
      <c r="V839">
        <f>(E839*F839*(P839/1000)*J839*S839*I839*H839)/12500000</f>
        <v/>
      </c>
      <c r="W839">
        <f>(T839+U839+V839)/3</f>
        <v/>
      </c>
      <c r="X839" s="6" t="n">
        <v>2100</v>
      </c>
      <c r="Y839">
        <f>IFERROR(W839-X839,"")</f>
        <v/>
      </c>
      <c r="Z839">
        <f>IFERROR(ABS(Y839)/MAX(X839,1),"")</f>
        <v/>
      </c>
      <c r="AA839">
        <f>IFERROR((X839-(((E839/100000+F839/100+S839/200)*200*I839*H839)+((E839*F839/25000)*I839*H839))/3)/(((J839/5)*200*I839*H839)+((J839*S839/2.5)*I839*H839)+((E839*F839*J839*S839*I839*H839)/12500000))/3*1000,"")</f>
        <v/>
      </c>
    </row>
    <row r="840">
      <c r="B840" s="7" t="inlineStr">
        <is>
          <t xml:space="preserve">  ↳ D2K_APC_Rocket</t>
        </is>
      </c>
      <c r="C840" s="7" t="inlineStr">
        <is>
          <t>Armament</t>
        </is>
      </c>
      <c r="L840" s="6" t="n">
        <v>8000</v>
      </c>
      <c r="M840" s="6" t="n">
        <v>42</v>
      </c>
      <c r="N840" s="6" t="n">
        <v>1</v>
      </c>
      <c r="O840" s="6" t="n"/>
      <c r="P840" s="6" t="n">
        <v>6500</v>
      </c>
      <c r="Q840" s="6" t="n">
        <v>0.875</v>
      </c>
      <c r="R840">
        <f>M840+IF(N840&gt;1,N(O840)*(N840-1),0)</f>
        <v/>
      </c>
      <c r="S840">
        <f>IFERROR(L840*MAX(N840,1)/R840*Q840*IF(ISBLANK(K839),1,K839),0)</f>
        <v/>
      </c>
      <c r="AB840" s="7" t="inlineStr">
        <is>
          <t>^LightMissile, ^MediumMissile, ^D2KRocket</t>
        </is>
      </c>
    </row>
    <row r="841">
      <c r="A841" t="inlineStr">
        <is>
          <t>d2k</t>
        </is>
      </c>
      <c r="B841" t="inlineStr">
        <is>
          <t>ordos_laboratorycrawler</t>
        </is>
      </c>
      <c r="C841" t="inlineStr">
        <is>
          <t>Laboratory Crawler</t>
        </is>
      </c>
      <c r="D841" s="6" t="inlineStr">
        <is>
          <t>SupportVehicle</t>
        </is>
      </c>
      <c r="E841" s="6" t="n">
        <v>137500</v>
      </c>
      <c r="F841" s="6" t="n">
        <v>105</v>
      </c>
      <c r="G841" t="inlineStr">
        <is>
          <t>Medium</t>
        </is>
      </c>
      <c r="H841" s="6" t="n">
        <v>0.75</v>
      </c>
      <c r="I841" s="6" t="n">
        <v>1.25</v>
      </c>
      <c r="J841" s="6" t="n">
        <v>1</v>
      </c>
      <c r="K841" s="6" t="n"/>
      <c r="P841">
        <f>MAX(P842,P843,P844)</f>
        <v/>
      </c>
      <c r="S841">
        <f>S842+S843+S844</f>
        <v/>
      </c>
      <c r="T841">
        <f>(E841/100000+F841/100+(P841/1000)*J841/5+S841/200)*200*I841*H841</f>
        <v/>
      </c>
      <c r="U841">
        <f>((E841*F841/25000)+((P841/1000)*J841*S841/2.5))*I841*H841</f>
        <v/>
      </c>
      <c r="V841">
        <f>(E841*F841*(P841/1000)*J841*S841*I841*H841)/12500000</f>
        <v/>
      </c>
      <c r="W841">
        <f>(T841+U841+V841)/3</f>
        <v/>
      </c>
      <c r="X841" s="6" t="n">
        <v>4500</v>
      </c>
      <c r="Y841">
        <f>IFERROR(W841-X841,"")</f>
        <v/>
      </c>
      <c r="Z841">
        <f>IFERROR(ABS(Y841)/MAX(X841,1),"")</f>
        <v/>
      </c>
      <c r="AA841">
        <f>IFERROR((X841-(((E841/100000+F841/100+S841/200)*200*I841*H841)+((E841*F841/25000)*I841*H841))/3)/(((J841/5)*200*I841*H841)+((J841*S841/2.5)*I841*H841)+((E841*F841*J841*S841*I841*H841)/12500000))/3*1000,"")</f>
        <v/>
      </c>
    </row>
    <row r="842">
      <c r="B842" s="7" t="inlineStr">
        <is>
          <t xml:space="preserve">  ↳ Laboratory_Bioball</t>
        </is>
      </c>
      <c r="C842" s="7" t="inlineStr">
        <is>
          <t>Armament</t>
        </is>
      </c>
      <c r="L842" s="6" t="n">
        <v>10000</v>
      </c>
      <c r="M842" s="6" t="n">
        <v>42</v>
      </c>
      <c r="N842" s="6" t="n">
        <v>1</v>
      </c>
      <c r="O842" s="6" t="n"/>
      <c r="P842" s="6" t="n">
        <v>6500</v>
      </c>
      <c r="Q842" s="6" t="n">
        <v>1.05</v>
      </c>
      <c r="R842">
        <f>M842+IF(N842&gt;1,N(O842)*(N842-1),0)</f>
        <v/>
      </c>
      <c r="S842">
        <f>IFERROR(L842*MAX(N842,1)/R842*Q842*IF(ISBLANK(K841),1,K841),0)</f>
        <v/>
      </c>
      <c r="AB842" s="7" t="inlineStr">
        <is>
          <t>^Grenade, ^ShrapnelWeapon, ^HeavyCannon, ^MediumFlameWeapon, ^MediumChemicalWeapon</t>
        </is>
      </c>
    </row>
    <row r="843">
      <c r="B843" s="7" t="inlineStr">
        <is>
          <t xml:space="preserve">  ↳ D2K_APC_Rocket_AA</t>
        </is>
      </c>
      <c r="C843" s="7" t="inlineStr">
        <is>
          <t>Armament@aa1</t>
        </is>
      </c>
      <c r="L843" s="6" t="n">
        <v>8000</v>
      </c>
      <c r="M843" s="6" t="n">
        <v>42</v>
      </c>
      <c r="N843" s="6" t="n">
        <v>1</v>
      </c>
      <c r="O843" s="6" t="n"/>
      <c r="P843" s="6" t="n">
        <v>6500</v>
      </c>
      <c r="Q843" s="6" t="n">
        <v>0.875</v>
      </c>
      <c r="R843">
        <f>M843+IF(N843&gt;1,N(O843)*(N843-1),0)</f>
        <v/>
      </c>
      <c r="S843">
        <f>IFERROR(L843*MAX(N843,1)/R843*Q843*IF(ISBLANK(K841),1,K841),0)</f>
        <v/>
      </c>
      <c r="AB843" s="7" t="inlineStr">
        <is>
          <t>^LightMissile, ^MediumMissile, ^D2KRocket</t>
        </is>
      </c>
    </row>
    <row r="844">
      <c r="B844" s="7" t="inlineStr">
        <is>
          <t xml:space="preserve">  ↳ D2K_APC_Rocket_AA</t>
        </is>
      </c>
      <c r="C844" s="7" t="inlineStr">
        <is>
          <t>Armament@aa2</t>
        </is>
      </c>
      <c r="L844" s="6" t="n">
        <v>8000</v>
      </c>
      <c r="M844" s="6" t="n">
        <v>42</v>
      </c>
      <c r="N844" s="6" t="n">
        <v>1</v>
      </c>
      <c r="O844" s="6" t="n"/>
      <c r="P844" s="6" t="n">
        <v>6500</v>
      </c>
      <c r="Q844" s="6" t="n">
        <v>0.875</v>
      </c>
      <c r="R844">
        <f>M844+IF(N844&gt;1,N(O844)*(N844-1),0)</f>
        <v/>
      </c>
      <c r="S844">
        <f>IFERROR(L844*MAX(N844,1)/R844*Q844*IF(ISBLANK(K841),1,K841),0)</f>
        <v/>
      </c>
      <c r="AB844" s="7" t="inlineStr">
        <is>
          <t>^LightMissile, ^MediumMissile, ^D2KRocket</t>
        </is>
      </c>
    </row>
    <row r="845">
      <c r="A845" t="inlineStr">
        <is>
          <t>d2k</t>
        </is>
      </c>
      <c r="B845" t="inlineStr">
        <is>
          <t>ordos_mobileconstructionvehicle</t>
        </is>
      </c>
      <c r="C845" t="inlineStr">
        <is>
          <t>Ordos Mobile Construction Vehicle</t>
        </is>
      </c>
      <c r="D845" s="6" t="inlineStr">
        <is>
          <t>SupportVehicle</t>
        </is>
      </c>
      <c r="E845" s="6" t="n">
        <v>300000</v>
      </c>
      <c r="F845" s="6" t="n">
        <v>75</v>
      </c>
      <c r="G845" t="inlineStr">
        <is>
          <t>Medium</t>
        </is>
      </c>
      <c r="H845" s="6" t="n">
        <v>1</v>
      </c>
      <c r="I845" s="6" t="n">
        <v>1</v>
      </c>
      <c r="J845" s="6" t="n">
        <v>1</v>
      </c>
      <c r="K845" s="6" t="n"/>
      <c r="X845" s="6" t="n">
        <v>5000</v>
      </c>
    </row>
    <row r="846">
      <c r="A846" t="inlineStr">
        <is>
          <t>d2k</t>
        </is>
      </c>
      <c r="B846" t="inlineStr">
        <is>
          <t>heavy_rocket_raider.ixian</t>
        </is>
      </c>
      <c r="C846" t="inlineStr">
        <is>
          <t>Heavy Ix Raider</t>
        </is>
      </c>
      <c r="D846" s="6" t="inlineStr">
        <is>
          <t>SupportVehicle</t>
        </is>
      </c>
      <c r="E846" s="6" t="n">
        <v>85000</v>
      </c>
      <c r="F846" s="6" t="n">
        <v>140</v>
      </c>
      <c r="G846" t="inlineStr">
        <is>
          <t>Heavy</t>
        </is>
      </c>
      <c r="H846" s="6" t="n">
        <v>1</v>
      </c>
      <c r="I846" s="6" t="n">
        <v>1.25</v>
      </c>
      <c r="J846" s="6" t="n">
        <v>1.25</v>
      </c>
      <c r="K846" s="6" t="n">
        <v>0.5</v>
      </c>
      <c r="P846">
        <f>MAX(P847,P848,P849)</f>
        <v/>
      </c>
      <c r="S846">
        <f>S847+S848+S849</f>
        <v/>
      </c>
      <c r="T846">
        <f>(E846/100000+F846/100+(P846/1000)*J846/5+S846/200)*200*I846*H846</f>
        <v/>
      </c>
      <c r="U846">
        <f>((E846*F846/25000)+((P846/1000)*J846*S846/2.5))*I846*H846</f>
        <v/>
      </c>
      <c r="V846">
        <f>(E846*F846*(P846/1000)*J846*S846*I846*H846)/12500000</f>
        <v/>
      </c>
      <c r="W846">
        <f>(T846+U846+V846)/3</f>
        <v/>
      </c>
      <c r="X846" s="6" t="n">
        <v>2000</v>
      </c>
      <c r="Y846">
        <f>IFERROR(W846-X846,"")</f>
        <v/>
      </c>
      <c r="Z846">
        <f>IFERROR(ABS(Y846)/MAX(X846,1),"")</f>
        <v/>
      </c>
      <c r="AA846">
        <f>IFERROR((X846-(((E846/100000+F846/100+S846/200)*200*I846*H846)+((E846*F846/25000)*I846*H846))/3)/(((J846/5)*200*I846*H846)+((J846*S846/2.5)*I846*H846)+((E846*F846*J846*S846*I846*H846)/12500000))/3*1000,"")</f>
        <v/>
      </c>
    </row>
    <row r="847">
      <c r="B847" s="7" t="inlineStr">
        <is>
          <t xml:space="preserve">  ↳ D2K_Bazooka2</t>
        </is>
      </c>
      <c r="C847" s="7" t="inlineStr">
        <is>
          <t>Armament@damage</t>
        </is>
      </c>
      <c r="L847" s="6" t="n">
        <v>6000</v>
      </c>
      <c r="M847" s="6" t="n">
        <v>5</v>
      </c>
      <c r="N847" s="6" t="n">
        <v>1</v>
      </c>
      <c r="O847" s="6" t="n"/>
      <c r="P847" s="6" t="n">
        <v>6400</v>
      </c>
      <c r="Q847" s="6" t="n">
        <v>1</v>
      </c>
      <c r="R847">
        <f>M847+IF(N847&gt;1,N(O847)*(N847-1),0)</f>
        <v/>
      </c>
      <c r="S847">
        <f>IFERROR(L847*MAX(N847,1)/R847*Q847*IF(ISBLANK(K846),1,K846),0)</f>
        <v/>
      </c>
      <c r="AB847" s="7" t="inlineStr">
        <is>
          <t>^D2KMissile</t>
        </is>
      </c>
    </row>
    <row r="848">
      <c r="B848" s="7" t="inlineStr">
        <is>
          <t xml:space="preserve">  ↳ RaiderGuns</t>
        </is>
      </c>
      <c r="C848" s="7" t="inlineStr">
        <is>
          <t>Armament@Guns</t>
        </is>
      </c>
      <c r="L848" s="6" t="n">
        <v>2000</v>
      </c>
      <c r="M848" s="6" t="n">
        <v>40</v>
      </c>
      <c r="N848" s="6" t="n">
        <v>4</v>
      </c>
      <c r="O848" s="6" t="n">
        <v>2</v>
      </c>
      <c r="P848" s="6" t="n">
        <v>6400</v>
      </c>
      <c r="Q848" s="6" t="n">
        <v>0.875</v>
      </c>
      <c r="R848">
        <f>M848+IF(N848&gt;1,N(O848)*(N848-1),0)</f>
        <v/>
      </c>
      <c r="S848">
        <f>IFERROR(L848*MAX(N848,1)/R848*Q848*IF(ISBLANK(K846),1,K846),0)</f>
        <v/>
      </c>
      <c r="AB848" s="7" t="inlineStr">
        <is>
          <t>^SmallArms, ^Chaingun</t>
        </is>
      </c>
    </row>
    <row r="849">
      <c r="B849" s="7" t="inlineStr">
        <is>
          <t xml:space="preserve">  ↳ RaiderGuns_upgrade</t>
        </is>
      </c>
      <c r="C849" s="7" t="inlineStr">
        <is>
          <t>Armament@Upgrade</t>
        </is>
      </c>
      <c r="L849" s="6" t="n">
        <v>2000</v>
      </c>
      <c r="M849" s="6" t="n">
        <v>40</v>
      </c>
      <c r="N849" s="6" t="n">
        <v>4</v>
      </c>
      <c r="O849" s="6" t="n">
        <v>2</v>
      </c>
      <c r="P849" s="6" t="n">
        <v>6400</v>
      </c>
      <c r="Q849" s="6" t="n">
        <v>1.0625</v>
      </c>
      <c r="R849">
        <f>M849+IF(N849&gt;1,N(O849)*(N849-1),0)</f>
        <v/>
      </c>
      <c r="S849">
        <f>IFERROR(L849*MAX(N849,1)/R849*Q849*IF(ISBLANK(K846),1,K846),0)</f>
        <v/>
      </c>
      <c r="AB849" s="7" t="inlineStr">
        <is>
          <t>^HeavyCannon, ^SmallArms, ^Chaingun, ^HeavyMachineGunProjectile</t>
        </is>
      </c>
    </row>
    <row r="850">
      <c r="A850" t="inlineStr">
        <is>
          <t>d2k</t>
        </is>
      </c>
      <c r="B850" t="inlineStr">
        <is>
          <t>ixian_mobileconstructionvehicle</t>
        </is>
      </c>
      <c r="C850" t="inlineStr">
        <is>
          <t>Ixian Mobile Construction Vehicle</t>
        </is>
      </c>
      <c r="D850" s="6" t="inlineStr">
        <is>
          <t>SupportVehicle</t>
        </is>
      </c>
      <c r="E850" s="6" t="n">
        <v>300000</v>
      </c>
      <c r="F850" s="6" t="n">
        <v>75</v>
      </c>
      <c r="G850" t="inlineStr">
        <is>
          <t>Medium</t>
        </is>
      </c>
      <c r="H850" s="6" t="n">
        <v>1</v>
      </c>
      <c r="I850" s="6" t="n">
        <v>1</v>
      </c>
      <c r="J850" s="6" t="n">
        <v>1</v>
      </c>
      <c r="K850" s="6" t="n"/>
      <c r="X850" s="6" t="n">
        <v>5000</v>
      </c>
    </row>
    <row r="851">
      <c r="A851" t="inlineStr">
        <is>
          <t>d2k</t>
        </is>
      </c>
      <c r="B851" t="inlineStr">
        <is>
          <t>rocket_raider.ixian</t>
        </is>
      </c>
      <c r="C851" t="inlineStr">
        <is>
          <t>Ix Raider</t>
        </is>
      </c>
      <c r="D851" s="6" t="inlineStr">
        <is>
          <t>SupportVehicle</t>
        </is>
      </c>
      <c r="E851" s="6" t="n">
        <v>25000</v>
      </c>
      <c r="F851" s="6" t="n">
        <v>160</v>
      </c>
      <c r="G851" t="inlineStr">
        <is>
          <t>Medium</t>
        </is>
      </c>
      <c r="H851" s="6" t="n">
        <v>1</v>
      </c>
      <c r="I851" s="6" t="n">
        <v>1.25</v>
      </c>
      <c r="J851" s="6" t="n">
        <v>1.25</v>
      </c>
      <c r="K851" s="6" t="n"/>
      <c r="P851">
        <f>MAX(P852)</f>
        <v/>
      </c>
      <c r="S851">
        <f>S852</f>
        <v/>
      </c>
      <c r="T851">
        <f>(E851/100000+F851/100+(P851/1000)*J851/5+S851/200)*200*I851*H851</f>
        <v/>
      </c>
      <c r="U851">
        <f>((E851*F851/25000)+((P851/1000)*J851*S851/2.5))*I851*H851</f>
        <v/>
      </c>
      <c r="V851">
        <f>(E851*F851*(P851/1000)*J851*S851*I851*H851)/12500000</f>
        <v/>
      </c>
      <c r="W851">
        <f>(T851+U851+V851)/3</f>
        <v/>
      </c>
      <c r="X851" s="6" t="n">
        <v>1200</v>
      </c>
      <c r="Y851">
        <f>IFERROR(W851-X851,"")</f>
        <v/>
      </c>
      <c r="Z851">
        <f>IFERROR(ABS(Y851)/MAX(X851,1),"")</f>
        <v/>
      </c>
      <c r="AA851">
        <f>IFERROR((X851-(((E851/100000+F851/100+S851/200)*200*I851*H851)+((E851*F851/25000)*I851*H851))/3)/(((J851/5)*200*I851*H851)+((J851*S851/2.5)*I851*H851)+((E851*F851*J851*S851*I851*H851)/12500000))/3*1000,"")</f>
        <v/>
      </c>
    </row>
    <row r="852">
      <c r="B852" s="7" t="inlineStr">
        <is>
          <t xml:space="preserve">  ↳ D2K_Bazooka2</t>
        </is>
      </c>
      <c r="C852" s="7" t="inlineStr">
        <is>
          <t>Armament@damage</t>
        </is>
      </c>
      <c r="L852" s="6" t="n">
        <v>6000</v>
      </c>
      <c r="M852" s="6" t="n">
        <v>5</v>
      </c>
      <c r="N852" s="6" t="n">
        <v>1</v>
      </c>
      <c r="O852" s="6" t="n"/>
      <c r="P852" s="6" t="n">
        <v>6400</v>
      </c>
      <c r="Q852" s="6" t="n">
        <v>1</v>
      </c>
      <c r="R852">
        <f>M852+IF(N852&gt;1,N(O852)*(N852-1),0)</f>
        <v/>
      </c>
      <c r="S852">
        <f>IFERROR(L852*MAX(N852,1)/R852*Q852*IF(ISBLANK(K851),1,K851),0)</f>
        <v/>
      </c>
      <c r="AB852" s="7" t="inlineStr">
        <is>
          <t>^D2KMissile</t>
        </is>
      </c>
    </row>
    <row r="853">
      <c r="A853" t="inlineStr">
        <is>
          <t>starcraft</t>
        </is>
      </c>
      <c r="B853" t="inlineStr">
        <is>
          <t>protoss_analogue</t>
        </is>
      </c>
      <c r="C853" t="inlineStr">
        <is>
          <t>Analogue</t>
        </is>
      </c>
      <c r="D853" s="6" t="inlineStr">
        <is>
          <t>SupportVehicle</t>
        </is>
      </c>
      <c r="E853" s="6" t="n">
        <v>60000</v>
      </c>
      <c r="F853" s="6" t="n">
        <v>60</v>
      </c>
      <c r="G853" t="inlineStr">
        <is>
          <t>Light</t>
        </is>
      </c>
      <c r="H853" s="6" t="n">
        <v>1</v>
      </c>
      <c r="I853" s="6" t="n">
        <v>1</v>
      </c>
      <c r="J853" s="6" t="n">
        <v>1</v>
      </c>
      <c r="K853" s="6" t="n"/>
      <c r="P853">
        <f>MAX(P854,P855)</f>
        <v/>
      </c>
      <c r="S853">
        <f>S854+S855</f>
        <v/>
      </c>
      <c r="T853">
        <f>(E853/100000+F853/100+(P853/1000)*J853/5+S853/200)*200*I853*H853</f>
        <v/>
      </c>
      <c r="U853">
        <f>((E853*F853/25000)+((P853/1000)*J853*S853/2.5))*I853*H853</f>
        <v/>
      </c>
      <c r="V853">
        <f>(E853*F853*(P853/1000)*J853*S853*I853*H853)/12500000</f>
        <v/>
      </c>
      <c r="W853">
        <f>(T853+U853+V853)/3</f>
        <v/>
      </c>
      <c r="X853" s="6" t="n">
        <v>1200</v>
      </c>
      <c r="Y853">
        <f>IFERROR(W853-X853,"")</f>
        <v/>
      </c>
      <c r="Z853">
        <f>IFERROR(ABS(Y853)/MAX(X853,1),"")</f>
        <v/>
      </c>
      <c r="AA853">
        <f>IFERROR((X853-(((E853/100000+F853/100+S853/200)*200*I853*H853)+((E853*F853/25000)*I853*H853))/3)/(((J853/5)*200*I853*H853)+((J853*S853/2.5)*I853*H853)+((E853*F853*J853*S853*I853*H853)/12500000))/3*1000,"")</f>
        <v/>
      </c>
    </row>
    <row r="854">
      <c r="B854" s="7" t="inlineStr">
        <is>
          <t xml:space="preserve">  ↳ SCVAttack</t>
        </is>
      </c>
      <c r="C854" s="7" t="inlineStr">
        <is>
          <t>Armament</t>
        </is>
      </c>
      <c r="L854" s="6" t="n">
        <v>10000</v>
      </c>
      <c r="M854" s="6" t="n">
        <v>25</v>
      </c>
      <c r="N854" s="6" t="n">
        <v>1</v>
      </c>
      <c r="O854" s="6" t="n"/>
      <c r="P854" s="6" t="n">
        <v>1500</v>
      </c>
      <c r="Q854" s="6" t="n">
        <v>1</v>
      </c>
      <c r="R854">
        <f>M854+IF(N854&gt;1,N(O854)*(N854-1),0)</f>
        <v/>
      </c>
      <c r="S854">
        <f>IFERROR(L854*MAX(N854,1)/R854*Q854*IF(ISBLANK(K853),1,K853),0)</f>
        <v/>
      </c>
      <c r="AB854" s="7" t="inlineStr">
        <is>
          <t>^WorkerAttack</t>
        </is>
      </c>
    </row>
    <row r="855">
      <c r="B855" s="7" t="inlineStr">
        <is>
          <t xml:space="preserve">  ↳ SCVRepair</t>
        </is>
      </c>
      <c r="C855" s="7" t="inlineStr">
        <is>
          <t>Armament@repair</t>
        </is>
      </c>
      <c r="L855" s="6" t="n">
        <v>-1</v>
      </c>
      <c r="M855" s="6" t="n">
        <v>5</v>
      </c>
      <c r="N855" s="6" t="n">
        <v>10</v>
      </c>
      <c r="O855" s="6" t="n">
        <v>1</v>
      </c>
      <c r="P855" s="6" t="n">
        <v>2000</v>
      </c>
      <c r="Q855" s="6" t="n">
        <v>1.5</v>
      </c>
      <c r="R855">
        <f>M855+IF(N855&gt;1,N(O855)*(N855-1),0)</f>
        <v/>
      </c>
      <c r="S855">
        <f>IFERROR(L855*MAX(N855,1)/R855*Q855*IF(ISBLANK(K853),1,K853),0)</f>
        <v/>
      </c>
      <c r="AB855" s="7" t="inlineStr">
        <is>
          <t>^RepairWeapon</t>
        </is>
      </c>
    </row>
    <row r="856">
      <c r="A856" t="inlineStr">
        <is>
          <t>starcraft</t>
        </is>
      </c>
      <c r="B856" t="inlineStr">
        <is>
          <t>protoss_manifold</t>
        </is>
      </c>
      <c r="C856" t="inlineStr">
        <is>
          <t>Manifold</t>
        </is>
      </c>
      <c r="D856" s="6" t="inlineStr">
        <is>
          <t>SupportVehicle</t>
        </is>
      </c>
      <c r="E856" s="6" t="n">
        <v>25000</v>
      </c>
      <c r="F856" s="6" t="n">
        <v>75</v>
      </c>
      <c r="G856" t="inlineStr">
        <is>
          <t>Light</t>
        </is>
      </c>
      <c r="H856" s="6" t="n">
        <v>1</v>
      </c>
      <c r="I856" s="6" t="n">
        <v>1</v>
      </c>
      <c r="J856" s="6" t="n">
        <v>1.25</v>
      </c>
      <c r="K856" s="6" t="n"/>
      <c r="P856">
        <f>MAX(P857,P858)</f>
        <v/>
      </c>
      <c r="S856">
        <f>S857+S858</f>
        <v/>
      </c>
      <c r="T856">
        <f>(E856/100000+F856/100+(P856/1000)*J856/5+S856/200)*200*I856*H856</f>
        <v/>
      </c>
      <c r="U856">
        <f>((E856*F856/25000)+((P856/1000)*J856*S856/2.5))*I856*H856</f>
        <v/>
      </c>
      <c r="V856">
        <f>(E856*F856*(P856/1000)*J856*S856*I856*H856)/12500000</f>
        <v/>
      </c>
      <c r="W856">
        <f>(T856+U856+V856)/3</f>
        <v/>
      </c>
      <c r="X856" s="6" t="n">
        <v>600</v>
      </c>
      <c r="Y856">
        <f>IFERROR(W856-X856,"")</f>
        <v/>
      </c>
      <c r="Z856">
        <f>IFERROR(ABS(Y856)/MAX(X856,1),"")</f>
        <v/>
      </c>
      <c r="AA856">
        <f>IFERROR((X856-(((E856/100000+F856/100+S856/200)*200*I856*H856)+((E856*F856/25000)*I856*H856))/3)/(((J856/5)*200*I856*H856)+((J856*S856/2.5)*I856*H856)+((E856*F856*J856*S856*I856*H856)/12500000))/3*1000,"")</f>
        <v/>
      </c>
    </row>
    <row r="857">
      <c r="B857" s="7" t="inlineStr">
        <is>
          <t xml:space="preserve">  ↳ ManifoldMG</t>
        </is>
      </c>
      <c r="C857" s="7" t="inlineStr">
        <is>
          <t>Armament</t>
        </is>
      </c>
      <c r="L857" s="6" t="n">
        <v>2000</v>
      </c>
      <c r="M857" s="6" t="n">
        <v>20</v>
      </c>
      <c r="N857" s="6" t="n">
        <v>1</v>
      </c>
      <c r="O857" s="6" t="n"/>
      <c r="P857" s="6" t="n">
        <v>4780</v>
      </c>
      <c r="Q857" s="6" t="n">
        <v>1.083333333333333</v>
      </c>
      <c r="R857">
        <f>M857+IF(N857&gt;1,N(O857)*(N857-1),0)</f>
        <v/>
      </c>
      <c r="S857">
        <f>IFERROR(L857*MAX(N857,1)/R857*Q857*IF(ISBLANK(K856),1,K856),0)</f>
        <v/>
      </c>
      <c r="AB857" s="7" t="inlineStr">
        <is>
          <t>^Grenade, ^HeavyCannon, ^RA2Chaingun</t>
        </is>
      </c>
    </row>
    <row r="858">
      <c r="B858" s="7" t="inlineStr">
        <is>
          <t xml:space="preserve">  ↳ ManifoldMGAA</t>
        </is>
      </c>
      <c r="C858" s="7" t="inlineStr">
        <is>
          <t>Armament@AA</t>
        </is>
      </c>
      <c r="L858" s="6" t="n">
        <v>2000</v>
      </c>
      <c r="M858" s="6" t="n">
        <v>20</v>
      </c>
      <c r="N858" s="6" t="n">
        <v>1</v>
      </c>
      <c r="O858" s="6" t="n"/>
      <c r="P858" s="6" t="n">
        <v>7170</v>
      </c>
      <c r="Q858" s="6" t="n">
        <v>1.083333333333333</v>
      </c>
      <c r="R858">
        <f>M858+IF(N858&gt;1,N(O858)*(N858-1),0)</f>
        <v/>
      </c>
      <c r="S858">
        <f>IFERROR(L858*MAX(N858,1)/R858*Q858*IF(ISBLANK(K856),1,K856),0)</f>
        <v/>
      </c>
      <c r="AB858" s="7" t="inlineStr">
        <is>
          <t>^Grenade, ^HeavyCannon, ^RA2Chaingun</t>
        </is>
      </c>
    </row>
    <row r="859">
      <c r="A859" t="inlineStr">
        <is>
          <t>starcraft</t>
        </is>
      </c>
      <c r="B859" t="inlineStr">
        <is>
          <t>protoss_mobilenexus</t>
        </is>
      </c>
      <c r="C859" t="inlineStr">
        <is>
          <t>Protoss Mobile Nexus</t>
        </is>
      </c>
      <c r="D859" s="6" t="inlineStr">
        <is>
          <t>SupportVehicle</t>
        </is>
      </c>
      <c r="E859" s="6" t="n">
        <v>300000</v>
      </c>
      <c r="F859" s="6" t="n">
        <v>75</v>
      </c>
      <c r="G859" t="inlineStr">
        <is>
          <t>Medium</t>
        </is>
      </c>
      <c r="H859" s="6" t="n">
        <v>1</v>
      </c>
      <c r="I859" s="6" t="n">
        <v>1</v>
      </c>
      <c r="J859" s="6" t="n">
        <v>1</v>
      </c>
      <c r="K859" s="6" t="n"/>
      <c r="X859" s="6" t="n">
        <v>5000</v>
      </c>
    </row>
    <row r="860">
      <c r="A860" t="inlineStr">
        <is>
          <t>starcraft</t>
        </is>
      </c>
      <c r="B860" t="inlineStr">
        <is>
          <t>zerg_hatcherydrone</t>
        </is>
      </c>
      <c r="C860" t="inlineStr">
        <is>
          <t>Zerg Hatchery Drone</t>
        </is>
      </c>
      <c r="D860" s="6" t="inlineStr">
        <is>
          <t>SupportVehicle</t>
        </is>
      </c>
      <c r="E860" s="6" t="n">
        <v>300000</v>
      </c>
      <c r="F860" s="6" t="n">
        <v>75</v>
      </c>
      <c r="G860" t="inlineStr">
        <is>
          <t>Medium</t>
        </is>
      </c>
      <c r="H860" s="6" t="n">
        <v>1</v>
      </c>
      <c r="I860" s="6" t="n">
        <v>1</v>
      </c>
      <c r="J860" s="6" t="n">
        <v>1</v>
      </c>
      <c r="K860" s="6" t="n"/>
      <c r="X860" s="6" t="n">
        <v>5000</v>
      </c>
    </row>
    <row r="861">
      <c r="A861" t="inlineStr">
        <is>
          <t>starcraft</t>
        </is>
      </c>
      <c r="B861" t="inlineStr">
        <is>
          <t>terran_mobilecommandcenter</t>
        </is>
      </c>
      <c r="C861" t="inlineStr">
        <is>
          <t>Terran Mobile Command Center</t>
        </is>
      </c>
      <c r="D861" s="6" t="inlineStr">
        <is>
          <t>SupportVehicle</t>
        </is>
      </c>
      <c r="E861" s="6" t="n">
        <v>300000</v>
      </c>
      <c r="F861" s="6" t="n">
        <v>75</v>
      </c>
      <c r="G861" t="inlineStr">
        <is>
          <t>Medium</t>
        </is>
      </c>
      <c r="H861" s="6" t="n">
        <v>1</v>
      </c>
      <c r="I861" s="6" t="n">
        <v>1</v>
      </c>
      <c r="J861" s="6" t="n">
        <v>1</v>
      </c>
      <c r="K861" s="6" t="n"/>
      <c r="X861" s="6" t="n">
        <v>5000</v>
      </c>
    </row>
    <row r="862">
      <c r="A862" t="inlineStr">
        <is>
          <t>warcraft2</t>
        </is>
      </c>
      <c r="B862" t="inlineStr">
        <is>
          <t>wc2_orcs_mobileconstructionvehicleorc</t>
        </is>
      </c>
      <c r="C862" t="inlineStr">
        <is>
          <t>Mobile Construction Vehicle (Orc)</t>
        </is>
      </c>
      <c r="D862" s="6" t="inlineStr">
        <is>
          <t>SupportVehicle</t>
        </is>
      </c>
      <c r="E862" s="6" t="n">
        <v>300000</v>
      </c>
      <c r="F862" s="6" t="n">
        <v>75</v>
      </c>
      <c r="G862" t="inlineStr">
        <is>
          <t>Plate</t>
        </is>
      </c>
      <c r="H862" s="6" t="n">
        <v>1</v>
      </c>
      <c r="I862" s="6" t="n">
        <v>1</v>
      </c>
      <c r="J862" s="6" t="n">
        <v>1</v>
      </c>
      <c r="K862" s="6" t="n"/>
      <c r="X862" s="6" t="n">
        <v>5000</v>
      </c>
    </row>
    <row r="863">
      <c r="A863" t="inlineStr">
        <is>
          <t>warcraft2</t>
        </is>
      </c>
      <c r="B863" t="inlineStr">
        <is>
          <t>wc2_humans_mobileconstructionvehiclehuman</t>
        </is>
      </c>
      <c r="C863" t="inlineStr">
        <is>
          <t>Mobile Construction Vehicle (Human)</t>
        </is>
      </c>
      <c r="D863" s="6" t="inlineStr">
        <is>
          <t>SupportVehicle</t>
        </is>
      </c>
      <c r="E863" s="6" t="n">
        <v>300000</v>
      </c>
      <c r="F863" s="6" t="n">
        <v>75</v>
      </c>
      <c r="G863" t="inlineStr">
        <is>
          <t>Plate</t>
        </is>
      </c>
      <c r="H863" s="6" t="n">
        <v>1</v>
      </c>
      <c r="I863" s="6" t="n">
        <v>1</v>
      </c>
      <c r="J863" s="6" t="n">
        <v>1</v>
      </c>
      <c r="K863" s="6" t="n"/>
      <c r="X863" s="6" t="n">
        <v>5000</v>
      </c>
    </row>
    <row r="864">
      <c r="A864" s="4" t="inlineStr">
        <is>
          <t>Harvester</t>
        </is>
      </c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</row>
    <row r="865">
      <c r="A865" t="inlineStr">
        <is>
          <t>tiberiandawn</t>
        </is>
      </c>
      <c r="B865" t="inlineStr">
        <is>
          <t>td_gdi_tiberiumharvester</t>
        </is>
      </c>
      <c r="C865" t="inlineStr">
        <is>
          <t>GDI Tiberium Harvester</t>
        </is>
      </c>
      <c r="D865" s="6" t="inlineStr">
        <is>
          <t>Harvester</t>
        </is>
      </c>
      <c r="E865" s="6" t="n">
        <v>150000</v>
      </c>
      <c r="F865" s="6" t="n">
        <v>60</v>
      </c>
      <c r="G865" t="inlineStr">
        <is>
          <t>Heavy</t>
        </is>
      </c>
      <c r="H865" s="6" t="n">
        <v>1</v>
      </c>
      <c r="I865" s="6" t="n">
        <v>1</v>
      </c>
      <c r="J865" s="6" t="n">
        <v>1</v>
      </c>
      <c r="K865" s="6" t="n"/>
      <c r="X865" s="6" t="n">
        <v>1000</v>
      </c>
    </row>
    <row r="866">
      <c r="A866" t="inlineStr">
        <is>
          <t>tiberiandawn</t>
        </is>
      </c>
      <c r="B866" t="inlineStr">
        <is>
          <t>td_nod_stealthharvester</t>
        </is>
      </c>
      <c r="C866" t="inlineStr">
        <is>
          <t>Stealth Harvester</t>
        </is>
      </c>
      <c r="D866" s="6" t="inlineStr">
        <is>
          <t>Harvester</t>
        </is>
      </c>
      <c r="E866" s="6" t="n">
        <v>125000</v>
      </c>
      <c r="F866" s="6" t="n">
        <v>75</v>
      </c>
      <c r="G866" t="inlineStr">
        <is>
          <t>Heavy</t>
        </is>
      </c>
      <c r="H866" s="6" t="n">
        <v>1</v>
      </c>
      <c r="I866" s="6" t="n">
        <v>1</v>
      </c>
      <c r="J866" s="6" t="n">
        <v>1</v>
      </c>
      <c r="K866" s="6" t="n"/>
      <c r="X866" s="6" t="n">
        <v>1000</v>
      </c>
    </row>
    <row r="867">
      <c r="A867" t="inlineStr">
        <is>
          <t>tiberiandawn</t>
        </is>
      </c>
      <c r="B867" t="inlineStr">
        <is>
          <t>td_nod_tiberiumharvester</t>
        </is>
      </c>
      <c r="C867" t="inlineStr">
        <is>
          <t>Nod Tiberium Harvester</t>
        </is>
      </c>
      <c r="D867" s="6" t="inlineStr">
        <is>
          <t>Harvester</t>
        </is>
      </c>
      <c r="E867" s="6" t="n">
        <v>150000</v>
      </c>
      <c r="F867" s="6" t="n">
        <v>60</v>
      </c>
      <c r="G867" t="inlineStr">
        <is>
          <t>Heavy</t>
        </is>
      </c>
      <c r="H867" s="6" t="n">
        <v>1</v>
      </c>
      <c r="I867" s="6" t="n">
        <v>1</v>
      </c>
      <c r="J867" s="6" t="n">
        <v>1</v>
      </c>
      <c r="K867" s="6" t="n"/>
      <c r="X867" s="6" t="n">
        <v>1000</v>
      </c>
    </row>
    <row r="868">
      <c r="A868" t="inlineStr">
        <is>
          <t>redalert</t>
        </is>
      </c>
      <c r="B868" t="inlineStr">
        <is>
          <t>japan_japaneseoretruck</t>
        </is>
      </c>
      <c r="C868" t="inlineStr">
        <is>
          <t>Japanese Ore Truck</t>
        </is>
      </c>
      <c r="D868" s="6" t="inlineStr">
        <is>
          <t>Harvester</t>
        </is>
      </c>
      <c r="E868" s="6" t="n">
        <v>75000</v>
      </c>
      <c r="F868" s="6" t="n">
        <v>120</v>
      </c>
      <c r="G868" t="inlineStr">
        <is>
          <t>Light</t>
        </is>
      </c>
      <c r="H868" s="6" t="n">
        <v>1</v>
      </c>
      <c r="I868" s="6" t="n">
        <v>1</v>
      </c>
      <c r="J868" s="6" t="n">
        <v>1</v>
      </c>
      <c r="K868" s="6" t="n"/>
      <c r="X868" s="6" t="n">
        <v>1000</v>
      </c>
    </row>
    <row r="869">
      <c r="A869" t="inlineStr">
        <is>
          <t>redalert</t>
        </is>
      </c>
      <c r="B869" t="inlineStr">
        <is>
          <t>ra1_soviets_heavyindustrialminer</t>
        </is>
      </c>
      <c r="C869" t="inlineStr">
        <is>
          <t>Soviet Heavy Industrial Miner</t>
        </is>
      </c>
      <c r="D869" s="6" t="inlineStr">
        <is>
          <t>Harvester</t>
        </is>
      </c>
      <c r="E869" s="6" t="n">
        <v>135000</v>
      </c>
      <c r="F869" s="6" t="n">
        <v>80</v>
      </c>
      <c r="G869" t="inlineStr">
        <is>
          <t>Medium</t>
        </is>
      </c>
      <c r="H869" s="6" t="n">
        <v>1</v>
      </c>
      <c r="I869" s="6" t="n">
        <v>1</v>
      </c>
      <c r="J869" s="6" t="n">
        <v>1</v>
      </c>
      <c r="K869" s="6" t="n"/>
      <c r="X869" s="6" t="n">
        <v>1200</v>
      </c>
    </row>
    <row r="870">
      <c r="A870" t="inlineStr">
        <is>
          <t>redalert</t>
        </is>
      </c>
      <c r="B870" t="inlineStr">
        <is>
          <t>ra1_soviets_oretruck</t>
        </is>
      </c>
      <c r="C870" t="inlineStr">
        <is>
          <t>Soviet Ore Truck</t>
        </is>
      </c>
      <c r="D870" s="6" t="inlineStr">
        <is>
          <t>Harvester</t>
        </is>
      </c>
      <c r="E870" s="6" t="n">
        <v>100000</v>
      </c>
      <c r="F870" s="6" t="n">
        <v>90</v>
      </c>
      <c r="G870" t="inlineStr">
        <is>
          <t>Medium</t>
        </is>
      </c>
      <c r="H870" s="6" t="n">
        <v>1</v>
      </c>
      <c r="I870" s="6" t="n">
        <v>1</v>
      </c>
      <c r="J870" s="6" t="n">
        <v>1</v>
      </c>
      <c r="K870" s="6" t="n"/>
      <c r="X870" s="6" t="n">
        <v>1000</v>
      </c>
    </row>
    <row r="871">
      <c r="A871" t="inlineStr">
        <is>
          <t>redalert</t>
        </is>
      </c>
      <c r="B871" t="inlineStr">
        <is>
          <t>ra1_allies_alliedoretruck</t>
        </is>
      </c>
      <c r="C871" t="inlineStr">
        <is>
          <t>Allied Ore Truck</t>
        </is>
      </c>
      <c r="D871" s="6" t="inlineStr">
        <is>
          <t>Harvester</t>
        </is>
      </c>
      <c r="E871" s="6" t="n">
        <v>100000</v>
      </c>
      <c r="F871" s="6" t="n">
        <v>90</v>
      </c>
      <c r="G871" t="inlineStr">
        <is>
          <t>Medium</t>
        </is>
      </c>
      <c r="H871" s="6" t="n">
        <v>1</v>
      </c>
      <c r="I871" s="6" t="n">
        <v>1</v>
      </c>
      <c r="J871" s="6" t="n">
        <v>1</v>
      </c>
      <c r="K871" s="6" t="n"/>
      <c r="X871" s="6" t="n">
        <v>1000</v>
      </c>
    </row>
    <row r="872">
      <c r="A872" t="inlineStr">
        <is>
          <t>tiberiansun</t>
        </is>
      </c>
      <c r="B872" t="inlineStr">
        <is>
          <t>cabal_tiberiumharvester</t>
        </is>
      </c>
      <c r="C872" t="inlineStr">
        <is>
          <t>Tiberium Harvester</t>
        </is>
      </c>
      <c r="D872" s="6" t="inlineStr">
        <is>
          <t>Harvester</t>
        </is>
      </c>
      <c r="E872" s="6" t="n">
        <v>150000</v>
      </c>
      <c r="F872" s="6" t="n">
        <v>60</v>
      </c>
      <c r="G872" t="inlineStr">
        <is>
          <t>Heavy</t>
        </is>
      </c>
      <c r="H872" s="6" t="n">
        <v>1</v>
      </c>
      <c r="I872" s="6" t="n">
        <v>1</v>
      </c>
      <c r="J872" s="6" t="n">
        <v>1</v>
      </c>
      <c r="K872" s="6" t="n"/>
      <c r="X872" s="6" t="n">
        <v>1000</v>
      </c>
    </row>
    <row r="873">
      <c r="A873" t="inlineStr">
        <is>
          <t>tiberiansun</t>
        </is>
      </c>
      <c r="B873" t="inlineStr">
        <is>
          <t>ts_nod_tiberiumharvester</t>
        </is>
      </c>
      <c r="C873" t="inlineStr">
        <is>
          <t>Tiberium Harvester</t>
        </is>
      </c>
      <c r="D873" s="6" t="inlineStr">
        <is>
          <t>Harvester</t>
        </is>
      </c>
      <c r="E873" s="6" t="n">
        <v>150000</v>
      </c>
      <c r="F873" s="6" t="n">
        <v>60</v>
      </c>
      <c r="G873" t="inlineStr">
        <is>
          <t>Heavy</t>
        </is>
      </c>
      <c r="H873" s="6" t="n">
        <v>1</v>
      </c>
      <c r="I873" s="6" t="n">
        <v>1</v>
      </c>
      <c r="J873" s="6" t="n">
        <v>1</v>
      </c>
      <c r="K873" s="6" t="n"/>
      <c r="X873" s="6" t="n">
        <v>1000</v>
      </c>
    </row>
    <row r="874">
      <c r="A874" t="inlineStr">
        <is>
          <t>tiberiansun</t>
        </is>
      </c>
      <c r="B874" t="inlineStr">
        <is>
          <t>ts_gdi_tiberiumharvester</t>
        </is>
      </c>
      <c r="C874" t="inlineStr">
        <is>
          <t>Tiberium Harvester</t>
        </is>
      </c>
      <c r="D874" s="6" t="inlineStr">
        <is>
          <t>Harvester</t>
        </is>
      </c>
      <c r="E874" s="6" t="n">
        <v>150000</v>
      </c>
      <c r="F874" s="6" t="n">
        <v>60</v>
      </c>
      <c r="G874" t="inlineStr">
        <is>
          <t>Heavy</t>
        </is>
      </c>
      <c r="H874" s="6" t="n">
        <v>1</v>
      </c>
      <c r="I874" s="6" t="n">
        <v>1</v>
      </c>
      <c r="J874" s="6" t="n">
        <v>1</v>
      </c>
      <c r="K874" s="6" t="n"/>
      <c r="X874" s="6" t="n">
        <v>1000</v>
      </c>
    </row>
    <row r="875">
      <c r="A875" t="inlineStr">
        <is>
          <t>tiberiansun</t>
        </is>
      </c>
      <c r="B875" t="inlineStr">
        <is>
          <t>forgotten_tiberiumharvester</t>
        </is>
      </c>
      <c r="C875" t="inlineStr">
        <is>
          <t>actor_forgotten_tiberiumharvester.name</t>
        </is>
      </c>
      <c r="D875" s="6" t="inlineStr">
        <is>
          <t>Harvester</t>
        </is>
      </c>
      <c r="E875" s="6" t="n">
        <v>150000</v>
      </c>
      <c r="F875" s="6" t="n">
        <v>60</v>
      </c>
      <c r="G875" t="inlineStr">
        <is>
          <t>Heavy</t>
        </is>
      </c>
      <c r="H875" s="6" t="n">
        <v>1</v>
      </c>
      <c r="I875" s="6" t="n">
        <v>1</v>
      </c>
      <c r="J875" s="6" t="n">
        <v>1</v>
      </c>
      <c r="K875" s="6" t="n"/>
      <c r="X875" s="6" t="n">
        <v>1000</v>
      </c>
    </row>
    <row r="876">
      <c r="A876" t="inlineStr">
        <is>
          <t>redalert2</t>
        </is>
      </c>
      <c r="B876" t="inlineStr">
        <is>
          <t>ra2_allies_chronominer</t>
        </is>
      </c>
      <c r="C876" t="inlineStr">
        <is>
          <t>Chrono Miner</t>
        </is>
      </c>
      <c r="D876" s="6" t="inlineStr">
        <is>
          <t>Harvester</t>
        </is>
      </c>
      <c r="E876" s="6" t="n">
        <v>100000</v>
      </c>
      <c r="F876" s="6" t="n">
        <v>100</v>
      </c>
      <c r="G876" t="inlineStr">
        <is>
          <t>Medium</t>
        </is>
      </c>
      <c r="H876" s="6" t="n">
        <v>1</v>
      </c>
      <c r="I876" s="6" t="n">
        <v>1</v>
      </c>
      <c r="J876" s="6" t="n">
        <v>1</v>
      </c>
      <c r="K876" s="6" t="n"/>
      <c r="X876" s="6" t="n">
        <v>1000</v>
      </c>
    </row>
    <row r="877">
      <c r="A877" t="inlineStr">
        <is>
          <t>redalert2</t>
        </is>
      </c>
      <c r="B877" t="inlineStr">
        <is>
          <t>ra2_soviets_warminer</t>
        </is>
      </c>
      <c r="C877" t="inlineStr">
        <is>
          <t>War Miner</t>
        </is>
      </c>
      <c r="D877" s="6" t="inlineStr">
        <is>
          <t>Harvester</t>
        </is>
      </c>
      <c r="E877" s="6" t="n">
        <v>125000</v>
      </c>
      <c r="F877" s="6" t="n">
        <v>75</v>
      </c>
      <c r="G877" t="inlineStr">
        <is>
          <t>Medium</t>
        </is>
      </c>
      <c r="H877" s="6" t="n">
        <v>1</v>
      </c>
      <c r="I877" s="6" t="n">
        <v>1</v>
      </c>
      <c r="J877" s="6" t="n">
        <v>1</v>
      </c>
      <c r="K877" s="6" t="n"/>
      <c r="P877">
        <f>MAX(P878)</f>
        <v/>
      </c>
      <c r="S877">
        <f>S878</f>
        <v/>
      </c>
      <c r="T877">
        <f>(E877/100000+F877/100+(P877/1000)*J877/5+S877/200)*200*I877*H877</f>
        <v/>
      </c>
      <c r="U877">
        <f>((E877*F877/25000)+((P877/1000)*J877*S877/2.5))*I877*H877</f>
        <v/>
      </c>
      <c r="V877">
        <f>(E877*F877*(P877/1000)*J877*S877*I877*H877)/12500000</f>
        <v/>
      </c>
      <c r="W877">
        <f>(T877+U877+V877)/3</f>
        <v/>
      </c>
      <c r="X877" s="6" t="n">
        <v>1200</v>
      </c>
      <c r="Y877">
        <f>IFERROR(W877-X877,"")</f>
        <v/>
      </c>
      <c r="Z877">
        <f>IFERROR(ABS(Y877)/MAX(X877,1),"")</f>
        <v/>
      </c>
      <c r="AA877">
        <f>IFERROR((X877-(((E877/100000+F877/100+S877/200)*200*I877*H877)+((E877*F877/25000)*I877*H877))/3)/(((J877/5)*200*I877*H877)+((J877*S877/2.5)*I877*H877)+((E877*F877*J877*S877*I877*H877)/12500000))/3*1000,"")</f>
        <v/>
      </c>
    </row>
    <row r="878">
      <c r="B878" s="7" t="inlineStr">
        <is>
          <t xml:space="preserve">  ↳ RA220mmrapid</t>
        </is>
      </c>
      <c r="C878" s="7" t="inlineStr">
        <is>
          <t>Armament@PRIMARY</t>
        </is>
      </c>
      <c r="L878" s="6" t="n">
        <v>4000</v>
      </c>
      <c r="M878" s="6" t="n">
        <v>15</v>
      </c>
      <c r="N878" s="6" t="n">
        <v>1</v>
      </c>
      <c r="O878" s="6" t="n"/>
      <c r="P878" s="6" t="n">
        <v>5000</v>
      </c>
      <c r="Q878" s="6" t="n">
        <v>0.875</v>
      </c>
      <c r="R878">
        <f>M878+IF(N878&gt;1,N(O878)*(N878-1),0)</f>
        <v/>
      </c>
      <c r="S878">
        <f>IFERROR(L878*MAX(N878,1)/R878*Q878*IF(ISBLANK(K877),1,K877),0)</f>
        <v/>
      </c>
      <c r="AB878" s="7" t="inlineStr">
        <is>
          <t>^RA2SmallArms, ^RA2Chaingun</t>
        </is>
      </c>
    </row>
    <row r="879">
      <c r="A879" t="inlineStr">
        <is>
          <t>redalert2mod</t>
        </is>
      </c>
      <c r="B879" t="inlineStr">
        <is>
          <t>asianalliance_droneminer</t>
        </is>
      </c>
      <c r="C879" t="inlineStr">
        <is>
          <t>Drone Miner</t>
        </is>
      </c>
      <c r="D879" s="6" t="inlineStr">
        <is>
          <t>Harvester</t>
        </is>
      </c>
      <c r="E879" s="6" t="n">
        <v>25000</v>
      </c>
      <c r="F879" s="6" t="n">
        <v>125</v>
      </c>
      <c r="G879" t="inlineStr">
        <is>
          <t>Medium</t>
        </is>
      </c>
      <c r="H879" s="6" t="n">
        <v>1</v>
      </c>
      <c r="I879" s="6" t="n">
        <v>1</v>
      </c>
      <c r="J879" s="6" t="n">
        <v>1</v>
      </c>
      <c r="K879" s="6" t="n"/>
      <c r="X879" s="6" t="n">
        <v>250</v>
      </c>
    </row>
    <row r="880">
      <c r="A880" t="inlineStr">
        <is>
          <t>redalert2mod</t>
        </is>
      </c>
      <c r="B880" t="inlineStr">
        <is>
          <t>steelconsortium_consortiumminer</t>
        </is>
      </c>
      <c r="C880" t="inlineStr">
        <is>
          <t>Consortium Miner</t>
        </is>
      </c>
      <c r="D880" s="6" t="inlineStr">
        <is>
          <t>Harvester</t>
        </is>
      </c>
      <c r="E880" s="6" t="n">
        <v>100000</v>
      </c>
      <c r="F880" s="6" t="n">
        <v>100</v>
      </c>
      <c r="G880" t="inlineStr">
        <is>
          <t>Medium</t>
        </is>
      </c>
      <c r="H880" s="6" t="n">
        <v>1</v>
      </c>
      <c r="I880" s="6" t="n">
        <v>1</v>
      </c>
      <c r="J880" s="6" t="n">
        <v>1</v>
      </c>
      <c r="K880" s="6" t="n"/>
      <c r="X880" s="6" t="n">
        <v>1000</v>
      </c>
    </row>
    <row r="881">
      <c r="A881" t="inlineStr">
        <is>
          <t>redalert2mod</t>
        </is>
      </c>
      <c r="B881" t="inlineStr">
        <is>
          <t>latinsyndicate_collectiontruck</t>
        </is>
      </c>
      <c r="C881" t="inlineStr">
        <is>
          <t>Collection Truck</t>
        </is>
      </c>
      <c r="D881" s="6" t="inlineStr">
        <is>
          <t>Harvester</t>
        </is>
      </c>
      <c r="E881" s="6" t="n">
        <v>85000</v>
      </c>
      <c r="F881" s="6" t="n">
        <v>115</v>
      </c>
      <c r="G881" t="inlineStr">
        <is>
          <t>Medium</t>
        </is>
      </c>
      <c r="H881" s="6" t="n">
        <v>1</v>
      </c>
      <c r="I881" s="6" t="n">
        <v>1</v>
      </c>
      <c r="J881" s="6" t="n">
        <v>1</v>
      </c>
      <c r="K881" s="6" t="n"/>
      <c r="X881" s="6" t="n">
        <v>1000</v>
      </c>
    </row>
    <row r="882">
      <c r="A882" t="inlineStr">
        <is>
          <t>redalert2mod</t>
        </is>
      </c>
      <c r="B882" t="inlineStr">
        <is>
          <t>schwarzermond_noidharvester</t>
        </is>
      </c>
      <c r="C882" t="inlineStr">
        <is>
          <t>Noid Harvester</t>
        </is>
      </c>
      <c r="D882" s="6" t="inlineStr">
        <is>
          <t>Harvester</t>
        </is>
      </c>
      <c r="E882" s="6" t="n">
        <v>75000</v>
      </c>
      <c r="F882" s="6" t="n">
        <v>40</v>
      </c>
      <c r="G882" t="inlineStr">
        <is>
          <t>Plate</t>
        </is>
      </c>
      <c r="H882" s="6" t="n">
        <v>1</v>
      </c>
      <c r="I882" s="6" t="n">
        <v>1</v>
      </c>
      <c r="J882" s="6" t="n">
        <v>1</v>
      </c>
      <c r="K882" s="6" t="n"/>
      <c r="P882">
        <f>MAX(P883,P884)</f>
        <v/>
      </c>
      <c r="S882">
        <f>S883+S884</f>
        <v/>
      </c>
      <c r="T882">
        <f>(E882/100000+F882/100+(P882/1000)*J882/5+S882/200)*200*I882*H882</f>
        <v/>
      </c>
      <c r="U882">
        <f>((E882*F882/25000)+((P882/1000)*J882*S882/2.5))*I882*H882</f>
        <v/>
      </c>
      <c r="V882">
        <f>(E882*F882*(P882/1000)*J882*S882*I882*H882)/12500000</f>
        <v/>
      </c>
      <c r="W882">
        <f>(T882+U882+V882)/3</f>
        <v/>
      </c>
      <c r="X882" s="6" t="n">
        <v>500</v>
      </c>
      <c r="Y882">
        <f>IFERROR(W882-X882,"")</f>
        <v/>
      </c>
      <c r="Z882">
        <f>IFERROR(ABS(Y882)/MAX(X882,1),"")</f>
        <v/>
      </c>
      <c r="AA882">
        <f>IFERROR((X882-(((E882/100000+F882/100+S882/200)*200*I882*H882)+((E882*F882/25000)*I882*H882))/3)/(((J882/5)*200*I882*H882)+((J882*S882/2.5)*I882*H882)+((E882*F882*J882*S882*I882*H882)/12500000))/3*1000,"")</f>
        <v/>
      </c>
    </row>
    <row r="883">
      <c r="B883" s="7" t="inlineStr">
        <is>
          <t xml:space="preserve">  ↳ NaxiMP40Laser</t>
        </is>
      </c>
      <c r="C883" s="7" t="inlineStr">
        <is>
          <t>Armament@PRIMARY</t>
        </is>
      </c>
      <c r="L883" s="6" t="n">
        <v>2000</v>
      </c>
      <c r="M883" s="6" t="n">
        <v>100</v>
      </c>
      <c r="N883" s="6" t="n">
        <v>5</v>
      </c>
      <c r="O883" s="6" t="n">
        <v>5</v>
      </c>
      <c r="P883" s="6" t="n">
        <v>4384</v>
      </c>
      <c r="Q883" s="6" t="n">
        <v>1</v>
      </c>
      <c r="R883">
        <f>M883+IF(N883&gt;1,N(O883)*(N883-1),0)</f>
        <v/>
      </c>
      <c r="S883">
        <f>IFERROR(L883*MAX(N883,1)/R883*Q883*IF(ISBLANK(K882),1,K882),0)</f>
        <v/>
      </c>
      <c r="AB883" s="7" t="inlineStr">
        <is>
          <t>^Grenade, ^HeavyCannon, ^RA2Chaingun, ^SmallArms, ^RA2LaserWeapon</t>
        </is>
      </c>
    </row>
    <row r="884">
      <c r="B884" s="7" t="inlineStr">
        <is>
          <t xml:space="preserve">  ↳ NaxiMP40LaserE</t>
        </is>
      </c>
      <c r="C884" s="7" t="inlineStr">
        <is>
          <t>Armament@ELITE</t>
        </is>
      </c>
      <c r="L884" s="6" t="n">
        <v>2000</v>
      </c>
      <c r="M884" s="6" t="n">
        <v>100</v>
      </c>
      <c r="N884" s="6" t="n">
        <v>10</v>
      </c>
      <c r="O884" s="6" t="n">
        <v>3</v>
      </c>
      <c r="P884" s="6" t="n">
        <v>5384</v>
      </c>
      <c r="Q884" s="6" t="n">
        <v>1</v>
      </c>
      <c r="R884">
        <f>M884+IF(N884&gt;1,N(O884)*(N884-1),0)</f>
        <v/>
      </c>
      <c r="S884">
        <f>IFERROR(L884*MAX(N884,1)/R884*Q884*IF(ISBLANK(K882),1,K882),0)</f>
        <v/>
      </c>
      <c r="AB884" s="7" t="inlineStr">
        <is>
          <t>^Grenade, ^HeavyCannon, ^RA2Chaingun, ^SmallArms, ^RA2LaserWeapon</t>
        </is>
      </c>
    </row>
    <row r="885">
      <c r="A885" t="inlineStr">
        <is>
          <t>redalert2mod</t>
        </is>
      </c>
      <c r="B885" t="inlineStr">
        <is>
          <t>futuretech_prospector</t>
        </is>
      </c>
      <c r="C885" t="inlineStr">
        <is>
          <t>Prospector</t>
        </is>
      </c>
      <c r="D885" s="6" t="inlineStr">
        <is>
          <t>Harvester</t>
        </is>
      </c>
      <c r="E885" s="6" t="n">
        <v>100000</v>
      </c>
      <c r="F885" s="6" t="n">
        <v>100</v>
      </c>
      <c r="G885" t="inlineStr">
        <is>
          <t>Medium</t>
        </is>
      </c>
      <c r="H885" s="6" t="n">
        <v>1</v>
      </c>
      <c r="I885" s="6" t="n">
        <v>1</v>
      </c>
      <c r="J885" s="6" t="n">
        <v>1</v>
      </c>
      <c r="K885" s="6" t="n"/>
      <c r="X885" s="6" t="n">
        <v>1000</v>
      </c>
    </row>
    <row r="886">
      <c r="A886" t="inlineStr">
        <is>
          <t>redalert2mod</t>
        </is>
      </c>
      <c r="B886" t="inlineStr">
        <is>
          <t>futuretech_prospectormk2</t>
        </is>
      </c>
      <c r="C886" t="inlineStr">
        <is>
          <t>Prospector MK2</t>
        </is>
      </c>
      <c r="D886" s="6" t="inlineStr">
        <is>
          <t>Harvester</t>
        </is>
      </c>
      <c r="E886" s="6" t="n">
        <v>120000</v>
      </c>
      <c r="F886" s="6" t="n">
        <v>120</v>
      </c>
      <c r="G886" t="inlineStr">
        <is>
          <t>Medium</t>
        </is>
      </c>
      <c r="H886" s="6" t="n">
        <v>1</v>
      </c>
      <c r="I886" s="6" t="n">
        <v>1</v>
      </c>
      <c r="J886" s="6" t="n">
        <v>1</v>
      </c>
      <c r="K886" s="6" t="n"/>
      <c r="X886" s="6" t="n">
        <v>1200</v>
      </c>
    </row>
    <row r="887">
      <c r="A887" t="inlineStr">
        <is>
          <t>redalert2mod</t>
        </is>
      </c>
      <c r="B887" t="inlineStr">
        <is>
          <t>tkm_templateharvesterraname</t>
        </is>
      </c>
      <c r="C887" t="inlineStr">
        <is>
          <t>template_harvester.raname</t>
        </is>
      </c>
      <c r="D887" s="6" t="inlineStr">
        <is>
          <t>Harvester</t>
        </is>
      </c>
      <c r="E887" s="6" t="n">
        <v>100000</v>
      </c>
      <c r="F887" s="6" t="n">
        <v>90</v>
      </c>
      <c r="G887" t="inlineStr">
        <is>
          <t>Medium</t>
        </is>
      </c>
      <c r="H887" s="6" t="n">
        <v>1</v>
      </c>
      <c r="I887" s="6" t="n">
        <v>1</v>
      </c>
      <c r="J887" s="6" t="n">
        <v>1</v>
      </c>
      <c r="K887" s="6" t="n"/>
      <c r="X887" s="6" t="n">
        <v>1000</v>
      </c>
    </row>
    <row r="888">
      <c r="A888" t="inlineStr">
        <is>
          <t>d2k</t>
        </is>
      </c>
      <c r="B888" t="inlineStr">
        <is>
          <t>ordos_spiceharvester</t>
        </is>
      </c>
      <c r="C888" t="inlineStr">
        <is>
          <t>Ordos Spice Harvester</t>
        </is>
      </c>
      <c r="D888" s="6" t="inlineStr">
        <is>
          <t>Harvester</t>
        </is>
      </c>
      <c r="E888" s="6" t="n">
        <v>200000</v>
      </c>
      <c r="F888" s="6" t="n">
        <v>45</v>
      </c>
      <c r="G888" t="inlineStr">
        <is>
          <t>Heavy</t>
        </is>
      </c>
      <c r="H888" s="6" t="n">
        <v>1</v>
      </c>
      <c r="I888" s="6" t="n">
        <v>1</v>
      </c>
      <c r="J888" s="6" t="n">
        <v>1</v>
      </c>
      <c r="K888" s="6" t="n"/>
      <c r="X888" s="6" t="n">
        <v>500</v>
      </c>
    </row>
    <row r="889">
      <c r="A889" t="inlineStr">
        <is>
          <t>d2k</t>
        </is>
      </c>
      <c r="B889" t="inlineStr">
        <is>
          <t>ixian_spiceharvester</t>
        </is>
      </c>
      <c r="C889" t="inlineStr">
        <is>
          <t>Ixian Spice Harvester</t>
        </is>
      </c>
      <c r="D889" s="6" t="inlineStr">
        <is>
          <t>Harvester</t>
        </is>
      </c>
      <c r="E889" s="6" t="n">
        <v>200000</v>
      </c>
      <c r="F889" s="6" t="n">
        <v>45</v>
      </c>
      <c r="G889" t="inlineStr">
        <is>
          <t>Heavy</t>
        </is>
      </c>
      <c r="H889" s="6" t="n">
        <v>1</v>
      </c>
      <c r="I889" s="6" t="n">
        <v>1</v>
      </c>
      <c r="J889" s="6" t="n">
        <v>1</v>
      </c>
      <c r="K889" s="6" t="n"/>
      <c r="X889" s="6" t="n">
        <v>500</v>
      </c>
    </row>
    <row r="890">
      <c r="A890" t="inlineStr">
        <is>
          <t>starcraft</t>
        </is>
      </c>
      <c r="B890" t="inlineStr">
        <is>
          <t>protoss_probe</t>
        </is>
      </c>
      <c r="C890" t="inlineStr">
        <is>
          <t>Protoss Probe</t>
        </is>
      </c>
      <c r="D890" s="6" t="inlineStr">
        <is>
          <t>Harvester</t>
        </is>
      </c>
      <c r="E890" s="6" t="n">
        <v>45000</v>
      </c>
      <c r="F890" s="6" t="n">
        <v>100</v>
      </c>
      <c r="G890" t="inlineStr">
        <is>
          <t>Light</t>
        </is>
      </c>
      <c r="H890" s="6" t="n">
        <v>1</v>
      </c>
      <c r="I890" s="6" t="n">
        <v>1</v>
      </c>
      <c r="J890" s="6" t="n">
        <v>1</v>
      </c>
      <c r="K890" s="6" t="n"/>
      <c r="P890">
        <f>MAX(P891)</f>
        <v/>
      </c>
      <c r="S890">
        <f>S891</f>
        <v/>
      </c>
      <c r="T890">
        <f>(E890/100000+F890/100+(P890/1000)*J890/5+S890/200)*200*I890*H890</f>
        <v/>
      </c>
      <c r="U890">
        <f>((E890*F890/25000)+((P890/1000)*J890*S890/2.5))*I890*H890</f>
        <v/>
      </c>
      <c r="V890">
        <f>(E890*F890*(P890/1000)*J890*S890*I890*H890)/12500000</f>
        <v/>
      </c>
      <c r="W890">
        <f>(T890+U890+V890)/3</f>
        <v/>
      </c>
      <c r="X890" s="6" t="n">
        <v>500</v>
      </c>
      <c r="Y890">
        <f>IFERROR(W890-X890,"")</f>
        <v/>
      </c>
      <c r="Z890">
        <f>IFERROR(ABS(Y890)/MAX(X890,1),"")</f>
        <v/>
      </c>
      <c r="AA890">
        <f>IFERROR((X890-(((E890/100000+F890/100+S890/200)*200*I890*H890)+((E890*F890/25000)*I890*H890))/3)/(((J890/5)*200*I890*H890)+((J890*S890/2.5)*I890*H890)+((E890*F890*J890*S890*I890*H890)/12500000))/3*1000,"")</f>
        <v/>
      </c>
    </row>
    <row r="891">
      <c r="B891" s="7" t="inlineStr">
        <is>
          <t xml:space="preserve">  ↳ ProbeAttack</t>
        </is>
      </c>
      <c r="C891" s="7" t="inlineStr">
        <is>
          <t>Armament</t>
        </is>
      </c>
      <c r="L891" s="6" t="n">
        <v>10000</v>
      </c>
      <c r="M891" s="6" t="n">
        <v>25</v>
      </c>
      <c r="N891" s="6" t="n">
        <v>1</v>
      </c>
      <c r="O891" s="6" t="n"/>
      <c r="P891" s="6" t="n">
        <v>1500</v>
      </c>
      <c r="Q891" s="6" t="n">
        <v>1</v>
      </c>
      <c r="R891">
        <f>M891+IF(N891&gt;1,N(O891)*(N891-1),0)</f>
        <v/>
      </c>
      <c r="S891">
        <f>IFERROR(L891*MAX(N891,1)/R891*Q891*IF(ISBLANK(K890),1,K890),0)</f>
        <v/>
      </c>
      <c r="AB891" s="7" t="inlineStr">
        <is>
          <t>^WorkerAttack</t>
        </is>
      </c>
    </row>
    <row r="892">
      <c r="A892" t="inlineStr">
        <is>
          <t>starcraft</t>
        </is>
      </c>
      <c r="B892" t="inlineStr">
        <is>
          <t>zerg_drone</t>
        </is>
      </c>
      <c r="C892" t="inlineStr">
        <is>
          <t>Zerg Drone</t>
        </is>
      </c>
      <c r="D892" s="6" t="inlineStr">
        <is>
          <t>Harvester</t>
        </is>
      </c>
      <c r="E892" s="6" t="n">
        <v>45000</v>
      </c>
      <c r="F892" s="6" t="n">
        <v>100</v>
      </c>
      <c r="G892" t="inlineStr">
        <is>
          <t>Light</t>
        </is>
      </c>
      <c r="H892" s="6" t="n">
        <v>1</v>
      </c>
      <c r="I892" s="6" t="n">
        <v>1</v>
      </c>
      <c r="J892" s="6" t="n">
        <v>1</v>
      </c>
      <c r="K892" s="6" t="n"/>
      <c r="P892">
        <f>MAX(P893)</f>
        <v/>
      </c>
      <c r="S892">
        <f>S893</f>
        <v/>
      </c>
      <c r="T892">
        <f>(E892/100000+F892/100+(P892/1000)*J892/5+S892/200)*200*I892*H892</f>
        <v/>
      </c>
      <c r="U892">
        <f>((E892*F892/25000)+((P892/1000)*J892*S892/2.5))*I892*H892</f>
        <v/>
      </c>
      <c r="V892">
        <f>(E892*F892*(P892/1000)*J892*S892*I892*H892)/12500000</f>
        <v/>
      </c>
      <c r="W892">
        <f>(T892+U892+V892)/3</f>
        <v/>
      </c>
      <c r="X892" s="6" t="n">
        <v>500</v>
      </c>
      <c r="Y892">
        <f>IFERROR(W892-X892,"")</f>
        <v/>
      </c>
      <c r="Z892">
        <f>IFERROR(ABS(Y892)/MAX(X892,1),"")</f>
        <v/>
      </c>
      <c r="AA892">
        <f>IFERROR((X892-(((E892/100000+F892/100+S892/200)*200*I892*H892)+((E892*F892/25000)*I892*H892))/3)/(((J892/5)*200*I892*H892)+((J892*S892/2.5)*I892*H892)+((E892*F892*J892*S892*I892*H892)/12500000))/3*1000,"")</f>
        <v/>
      </c>
    </row>
    <row r="893">
      <c r="B893" s="7" t="inlineStr">
        <is>
          <t xml:space="preserve">  ↳ DroneAttack</t>
        </is>
      </c>
      <c r="C893" s="7" t="inlineStr">
        <is>
          <t>Armament</t>
        </is>
      </c>
      <c r="L893" s="6" t="n">
        <v>10000</v>
      </c>
      <c r="M893" s="6" t="n">
        <v>25</v>
      </c>
      <c r="N893" s="6" t="n">
        <v>1</v>
      </c>
      <c r="O893" s="6" t="n"/>
      <c r="P893" s="6" t="n">
        <v>1500</v>
      </c>
      <c r="Q893" s="6" t="n">
        <v>1</v>
      </c>
      <c r="R893">
        <f>M893+IF(N893&gt;1,N(O893)*(N893-1),0)</f>
        <v/>
      </c>
      <c r="S893">
        <f>IFERROR(L893*MAX(N893,1)/R893*Q893*IF(ISBLANK(K892),1,K892),0)</f>
        <v/>
      </c>
      <c r="AB893" s="7" t="inlineStr">
        <is>
          <t>^WorkerAttack</t>
        </is>
      </c>
    </row>
    <row r="894">
      <c r="A894" t="inlineStr">
        <is>
          <t>starcraft</t>
        </is>
      </c>
      <c r="B894" t="inlineStr">
        <is>
          <t>terran_scv</t>
        </is>
      </c>
      <c r="C894" t="inlineStr">
        <is>
          <t>SCV</t>
        </is>
      </c>
      <c r="D894" s="6" t="inlineStr">
        <is>
          <t>Harvester</t>
        </is>
      </c>
      <c r="E894" s="6" t="n">
        <v>45000</v>
      </c>
      <c r="F894" s="6" t="n">
        <v>100</v>
      </c>
      <c r="G894" t="inlineStr">
        <is>
          <t>Light</t>
        </is>
      </c>
      <c r="H894" s="6" t="n">
        <v>1</v>
      </c>
      <c r="I894" s="6" t="n">
        <v>1</v>
      </c>
      <c r="J894" s="6" t="n">
        <v>1</v>
      </c>
      <c r="K894" s="6" t="n"/>
      <c r="P894">
        <f>MAX(P895,P896)</f>
        <v/>
      </c>
      <c r="S894">
        <f>S895+S896</f>
        <v/>
      </c>
      <c r="T894">
        <f>(E894/100000+F894/100+(P894/1000)*J894/5+S894/200)*200*I894*H894</f>
        <v/>
      </c>
      <c r="U894">
        <f>((E894*F894/25000)+((P894/1000)*J894*S894/2.5))*I894*H894</f>
        <v/>
      </c>
      <c r="V894">
        <f>(E894*F894*(P894/1000)*J894*S894*I894*H894)/12500000</f>
        <v/>
      </c>
      <c r="W894">
        <f>(T894+U894+V894)/3</f>
        <v/>
      </c>
      <c r="X894" s="6" t="n">
        <v>500</v>
      </c>
      <c r="Y894">
        <f>IFERROR(W894-X894,"")</f>
        <v/>
      </c>
      <c r="Z894">
        <f>IFERROR(ABS(Y894)/MAX(X894,1),"")</f>
        <v/>
      </c>
      <c r="AA894">
        <f>IFERROR((X894-(((E894/100000+F894/100+S894/200)*200*I894*H894)+((E894*F894/25000)*I894*H894))/3)/(((J894/5)*200*I894*H894)+((J894*S894/2.5)*I894*H894)+((E894*F894*J894*S894*I894*H894)/12500000))/3*1000,"")</f>
        <v/>
      </c>
    </row>
    <row r="895">
      <c r="B895" s="7" t="inlineStr">
        <is>
          <t xml:space="preserve">  ↳ SCVAttack</t>
        </is>
      </c>
      <c r="C895" s="7" t="inlineStr">
        <is>
          <t>Armament</t>
        </is>
      </c>
      <c r="L895" s="6" t="n">
        <v>10000</v>
      </c>
      <c r="M895" s="6" t="n">
        <v>25</v>
      </c>
      <c r="N895" s="6" t="n">
        <v>1</v>
      </c>
      <c r="O895" s="6" t="n"/>
      <c r="P895" s="6" t="n">
        <v>1500</v>
      </c>
      <c r="Q895" s="6" t="n">
        <v>1</v>
      </c>
      <c r="R895">
        <f>M895+IF(N895&gt;1,N(O895)*(N895-1),0)</f>
        <v/>
      </c>
      <c r="S895">
        <f>IFERROR(L895*MAX(N895,1)/R895*Q895*IF(ISBLANK(K894),1,K894),0)</f>
        <v/>
      </c>
      <c r="AB895" s="7" t="inlineStr">
        <is>
          <t>^WorkerAttack</t>
        </is>
      </c>
    </row>
    <row r="896">
      <c r="B896" s="7" t="inlineStr">
        <is>
          <t xml:space="preserve">  ↳ SCVRepair</t>
        </is>
      </c>
      <c r="C896" s="7" t="inlineStr">
        <is>
          <t>Armament@repair</t>
        </is>
      </c>
      <c r="L896" s="6" t="n">
        <v>-1</v>
      </c>
      <c r="M896" s="6" t="n">
        <v>5</v>
      </c>
      <c r="N896" s="6" t="n">
        <v>10</v>
      </c>
      <c r="O896" s="6" t="n">
        <v>1</v>
      </c>
      <c r="P896" s="6" t="n">
        <v>2000</v>
      </c>
      <c r="Q896" s="6" t="n">
        <v>1.5</v>
      </c>
      <c r="R896">
        <f>M896+IF(N896&gt;1,N(O896)*(N896-1),0)</f>
        <v/>
      </c>
      <c r="S896">
        <f>IFERROR(L896*MAX(N896,1)/R896*Q896*IF(ISBLANK(K894),1,K894),0)</f>
        <v/>
      </c>
      <c r="AB896" s="7" t="inlineStr">
        <is>
          <t>^RepairWeapon</t>
        </is>
      </c>
    </row>
    <row r="897">
      <c r="A897" t="inlineStr">
        <is>
          <t>warcraft2</t>
        </is>
      </c>
      <c r="B897" t="inlineStr">
        <is>
          <t>wc2_orcs_peon</t>
        </is>
      </c>
      <c r="C897" t="inlineStr">
        <is>
          <t>Peon</t>
        </is>
      </c>
      <c r="D897" s="6" t="inlineStr">
        <is>
          <t>Harvester</t>
        </is>
      </c>
      <c r="E897" s="6" t="n">
        <v>40000</v>
      </c>
      <c r="F897" s="6" t="n">
        <v>80</v>
      </c>
      <c r="G897" t="inlineStr">
        <is>
          <t>Light</t>
        </is>
      </c>
      <c r="H897" s="6" t="n">
        <v>1</v>
      </c>
      <c r="I897" s="6" t="n">
        <v>1</v>
      </c>
      <c r="J897" s="6" t="n">
        <v>1</v>
      </c>
      <c r="K897" s="6" t="n"/>
      <c r="P897">
        <f>MAX(P898)</f>
        <v/>
      </c>
      <c r="S897">
        <f>S898</f>
        <v/>
      </c>
      <c r="T897">
        <f>(E897/100000+F897/100+(P897/1000)*J897/5+S897/200)*200*I897*H897</f>
        <v/>
      </c>
      <c r="U897">
        <f>((E897*F897/25000)+((P897/1000)*J897*S897/2.5))*I897*H897</f>
        <v/>
      </c>
      <c r="V897">
        <f>(E897*F897*(P897/1000)*J897*S897*I897*H897)/12500000</f>
        <v/>
      </c>
      <c r="W897">
        <f>(T897+U897+V897)/3</f>
        <v/>
      </c>
      <c r="X897" s="6" t="n">
        <v>500</v>
      </c>
      <c r="Y897">
        <f>IFERROR(W897-X897,"")</f>
        <v/>
      </c>
      <c r="Z897">
        <f>IFERROR(ABS(Y897)/MAX(X897,1),"")</f>
        <v/>
      </c>
      <c r="AA897">
        <f>IFERROR((X897-(((E897/100000+F897/100+S897/200)*200*I897*H897)+((E897*F897/25000)*I897*H897))/3)/(((J897/5)*200*I897*H897)+((J897*S897/2.5)*I897*H897)+((E897*F897*J897*S897*I897*H897)/12500000))/3*1000,"")</f>
        <v/>
      </c>
    </row>
    <row r="898">
      <c r="B898" s="7" t="inlineStr">
        <is>
          <t xml:space="preserve">  ↳ wc2peasantsmack</t>
        </is>
      </c>
      <c r="C898" s="7" t="inlineStr">
        <is>
          <t>Armament</t>
        </is>
      </c>
      <c r="L898" s="6" t="n">
        <v>12000</v>
      </c>
      <c r="M898" s="6" t="n">
        <v>15</v>
      </c>
      <c r="N898" s="6" t="n">
        <v>1</v>
      </c>
      <c r="O898" s="6" t="n"/>
      <c r="P898" s="6" t="n">
        <v>1333</v>
      </c>
      <c r="Q898" s="6" t="n">
        <v>1</v>
      </c>
      <c r="R898">
        <f>M898+IF(N898&gt;1,N(O898)*(N898-1),0)</f>
        <v/>
      </c>
      <c r="S898">
        <f>IFERROR(L898*MAX(N898,1)/R898*Q898*IF(ISBLANK(K897),1,K897),0)</f>
        <v/>
      </c>
      <c r="AB898" s="7" t="inlineStr">
        <is>
          <t>^SwordWeapon</t>
        </is>
      </c>
    </row>
    <row r="899">
      <c r="A899" t="inlineStr">
        <is>
          <t>warcraft2</t>
        </is>
      </c>
      <c r="B899" t="inlineStr">
        <is>
          <t>wc2_humans_peasant</t>
        </is>
      </c>
      <c r="C899" t="inlineStr">
        <is>
          <t>Peasant</t>
        </is>
      </c>
      <c r="D899" s="6" t="inlineStr">
        <is>
          <t>Harvester</t>
        </is>
      </c>
      <c r="E899" s="6" t="n">
        <v>40000</v>
      </c>
      <c r="F899" s="6" t="n">
        <v>80</v>
      </c>
      <c r="G899" t="inlineStr">
        <is>
          <t>Light</t>
        </is>
      </c>
      <c r="H899" s="6" t="n">
        <v>1</v>
      </c>
      <c r="I899" s="6" t="n">
        <v>1</v>
      </c>
      <c r="J899" s="6" t="n">
        <v>1</v>
      </c>
      <c r="K899" s="6" t="n"/>
      <c r="P899">
        <f>MAX(P900)</f>
        <v/>
      </c>
      <c r="S899">
        <f>S900</f>
        <v/>
      </c>
      <c r="T899">
        <f>(E899/100000+F899/100+(P899/1000)*J899/5+S899/200)*200*I899*H899</f>
        <v/>
      </c>
      <c r="U899">
        <f>((E899*F899/25000)+((P899/1000)*J899*S899/2.5))*I899*H899</f>
        <v/>
      </c>
      <c r="V899">
        <f>(E899*F899*(P899/1000)*J899*S899*I899*H899)/12500000</f>
        <v/>
      </c>
      <c r="W899">
        <f>(T899+U899+V899)/3</f>
        <v/>
      </c>
      <c r="X899" s="6" t="n">
        <v>500</v>
      </c>
      <c r="Y899">
        <f>IFERROR(W899-X899,"")</f>
        <v/>
      </c>
      <c r="Z899">
        <f>IFERROR(ABS(Y899)/MAX(X899,1),"")</f>
        <v/>
      </c>
      <c r="AA899">
        <f>IFERROR((X899-(((E899/100000+F899/100+S899/200)*200*I899*H899)+((E899*F899/25000)*I899*H899))/3)/(((J899/5)*200*I899*H899)+((J899*S899/2.5)*I899*H899)+((E899*F899*J899*S899*I899*H899)/12500000))/3*1000,"")</f>
        <v/>
      </c>
    </row>
    <row r="900">
      <c r="B900" s="7" t="inlineStr">
        <is>
          <t xml:space="preserve">  ↳ wc2peasantsmack</t>
        </is>
      </c>
      <c r="C900" s="7" t="inlineStr">
        <is>
          <t>Armament</t>
        </is>
      </c>
      <c r="L900" s="6" t="n">
        <v>12000</v>
      </c>
      <c r="M900" s="6" t="n">
        <v>15</v>
      </c>
      <c r="N900" s="6" t="n">
        <v>1</v>
      </c>
      <c r="O900" s="6" t="n"/>
      <c r="P900" s="6" t="n">
        <v>1333</v>
      </c>
      <c r="Q900" s="6" t="n">
        <v>1</v>
      </c>
      <c r="R900">
        <f>M900+IF(N900&gt;1,N(O900)*(N900-1),0)</f>
        <v/>
      </c>
      <c r="S900">
        <f>IFERROR(L900*MAX(N900,1)/R900*Q900*IF(ISBLANK(K899),1,K899),0)</f>
        <v/>
      </c>
      <c r="AB900" s="7" t="inlineStr">
        <is>
          <t>^SwordWeapon</t>
        </is>
      </c>
    </row>
    <row r="901">
      <c r="A901" s="4" t="inlineStr">
        <is>
          <t>Artillery</t>
        </is>
      </c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</row>
    <row r="902">
      <c r="A902" t="inlineStr">
        <is>
          <t>tiberiandawn</t>
        </is>
      </c>
      <c r="B902" t="inlineStr">
        <is>
          <t>td_gdi_archerartillery</t>
        </is>
      </c>
      <c r="C902" t="inlineStr">
        <is>
          <t>Archer Artillery</t>
        </is>
      </c>
      <c r="D902" s="6" t="inlineStr">
        <is>
          <t>Artillery</t>
        </is>
      </c>
      <c r="E902" s="6" t="n">
        <v>35000</v>
      </c>
      <c r="F902" s="6" t="n">
        <v>70</v>
      </c>
      <c r="G902" t="inlineStr">
        <is>
          <t>Medium</t>
        </is>
      </c>
      <c r="H902" s="6" t="n">
        <v>0.75</v>
      </c>
      <c r="I902" s="6" t="n">
        <v>0.5</v>
      </c>
      <c r="J902" s="6" t="n">
        <v>1</v>
      </c>
      <c r="K902" s="6" t="n"/>
      <c r="P902">
        <f>MAX(P903)</f>
        <v/>
      </c>
      <c r="S902">
        <f>S903</f>
        <v/>
      </c>
      <c r="T902">
        <f>(E902/100000+F902/100+(P902/1000)*J902/5+S902/200)*200*I902*H902</f>
        <v/>
      </c>
      <c r="U902">
        <f>((E902*F902/25000)+((P902/1000)*J902*S902/2.5))*I902*H902</f>
        <v/>
      </c>
      <c r="V902">
        <f>(E902*F902*(P902/1000)*J902*S902*I902*H902)/12500000</f>
        <v/>
      </c>
      <c r="W902">
        <f>(T902+U902+V902)/3</f>
        <v/>
      </c>
      <c r="X902" s="6" t="n">
        <v>750</v>
      </c>
      <c r="Y902">
        <f>IFERROR(W902-X902,"")</f>
        <v/>
      </c>
      <c r="Z902">
        <f>IFERROR(ABS(Y902)/MAX(X902,1),"")</f>
        <v/>
      </c>
      <c r="AA902">
        <f>IFERROR((X902-(((E902/100000+F902/100+S902/200)*200*I902*H902)+((E902*F902/25000)*I902*H902))/3)/(((J902/5)*200*I902*H902)+((J902*S902/2.5)*I902*H902)+((E902*F902*J902*S902*I902*H902)/12500000))/3*1000,"")</f>
        <v/>
      </c>
    </row>
    <row r="903">
      <c r="B903" s="7" t="inlineStr">
        <is>
          <t xml:space="preserve">  ↳ ArcherArtilleryShell</t>
        </is>
      </c>
      <c r="C903" s="7" t="inlineStr">
        <is>
          <t>Armament@PRIMARY</t>
        </is>
      </c>
      <c r="L903" s="6" t="n">
        <v>14000</v>
      </c>
      <c r="M903" s="6" t="n">
        <v>140</v>
      </c>
      <c r="N903" s="6" t="n">
        <v>1</v>
      </c>
      <c r="O903" s="6" t="n"/>
      <c r="P903" s="6" t="n">
        <v>14000</v>
      </c>
      <c r="Q903" s="6" t="n">
        <v>1.1</v>
      </c>
      <c r="R903">
        <f>M903+IF(N903&gt;1,N(O903)*(N903-1),0)</f>
        <v/>
      </c>
      <c r="S903">
        <f>IFERROR(L903*MAX(N903,1)/R903*Q903*IF(ISBLANK(K902),1,K902),0)</f>
        <v/>
      </c>
      <c r="AB903" s="7" t="inlineStr">
        <is>
          <t>^MediumCannon, ^HeavyCannon, ^MediumFlameWeapon, ^ShrapnelWeapon, ^HeavyBomb</t>
        </is>
      </c>
    </row>
    <row r="904">
      <c r="A904" t="inlineStr">
        <is>
          <t>tiberiandawn</t>
        </is>
      </c>
      <c r="B904" t="inlineStr">
        <is>
          <t>td_nod_artillery</t>
        </is>
      </c>
      <c r="C904" t="inlineStr">
        <is>
          <t>Nod Artillery</t>
        </is>
      </c>
      <c r="D904" s="6" t="inlineStr">
        <is>
          <t>Artillery</t>
        </is>
      </c>
      <c r="E904" s="6" t="n">
        <v>17500</v>
      </c>
      <c r="F904" s="6" t="n">
        <v>55</v>
      </c>
      <c r="G904" t="inlineStr">
        <is>
          <t>Light</t>
        </is>
      </c>
      <c r="H904" s="6" t="n">
        <v>1</v>
      </c>
      <c r="I904" s="6" t="n">
        <v>0.5</v>
      </c>
      <c r="J904" s="6" t="n">
        <v>1</v>
      </c>
      <c r="K904" s="6" t="n"/>
      <c r="P904">
        <f>MAX(P905,P906)</f>
        <v/>
      </c>
      <c r="S904">
        <f>S905+S906</f>
        <v/>
      </c>
      <c r="T904">
        <f>(E904/100000+F904/100+(P904/1000)*J904/5+S904/200)*200*I904*H904</f>
        <v/>
      </c>
      <c r="U904">
        <f>((E904*F904/25000)+((P904/1000)*J904*S904/2.5))*I904*H904</f>
        <v/>
      </c>
      <c r="V904">
        <f>(E904*F904*(P904/1000)*J904*S904*I904*H904)/12500000</f>
        <v/>
      </c>
      <c r="W904">
        <f>(T904+U904+V904)/3</f>
        <v/>
      </c>
      <c r="X904" s="6" t="n">
        <v>400</v>
      </c>
      <c r="Y904">
        <f>IFERROR(W904-X904,"")</f>
        <v/>
      </c>
      <c r="Z904">
        <f>IFERROR(ABS(Y904)/MAX(X904,1),"")</f>
        <v/>
      </c>
      <c r="AA904">
        <f>IFERROR((X904-(((E904/100000+F904/100+S904/200)*200*I904*H904)+((E904*F904/25000)*I904*H904))/3)/(((J904/5)*200*I904*H904)+((J904*S904/2.5)*I904*H904)+((E904*F904*J904*S904*I904*H904)/12500000))/3*1000,"")</f>
        <v/>
      </c>
    </row>
    <row r="905">
      <c r="B905" s="7" t="inlineStr">
        <is>
          <t xml:space="preserve">  ↳ ArtilleryShell</t>
        </is>
      </c>
      <c r="C905" s="7" t="inlineStr">
        <is>
          <t>Armament</t>
        </is>
      </c>
      <c r="L905" s="6" t="n">
        <v>16000</v>
      </c>
      <c r="M905" s="6" t="n">
        <v>112</v>
      </c>
      <c r="N905" s="6" t="n">
        <v>1</v>
      </c>
      <c r="O905" s="6" t="n"/>
      <c r="P905" s="6" t="n">
        <v>12345</v>
      </c>
      <c r="Q905" s="6" t="n">
        <v>1</v>
      </c>
      <c r="R905">
        <f>M905+IF(N905&gt;1,N(O905)*(N905-1),0)</f>
        <v/>
      </c>
      <c r="S905">
        <f>IFERROR(L905*MAX(N905,1)/R905*Q905*IF(ISBLANK(K904),1,K904),0)</f>
        <v/>
      </c>
      <c r="AB905" s="7" t="inlineStr">
        <is>
          <t>^Grenade, ^ShrapnelWeapon</t>
        </is>
      </c>
    </row>
    <row r="906">
      <c r="B906" s="7" t="inlineStr">
        <is>
          <t xml:space="preserve">  ↳ ArtilleryShellUpgrade</t>
        </is>
      </c>
      <c r="C906" s="7" t="inlineStr">
        <is>
          <t>Armament@Upgrade</t>
        </is>
      </c>
      <c r="L906" s="6" t="n">
        <v>6000</v>
      </c>
      <c r="M906" s="6" t="n">
        <v>96</v>
      </c>
      <c r="N906" s="6" t="n">
        <v>1</v>
      </c>
      <c r="O906" s="6" t="n"/>
      <c r="P906" s="6" t="n">
        <v>12345</v>
      </c>
      <c r="Q906" s="6" t="n">
        <v>1.041666666666667</v>
      </c>
      <c r="R906">
        <f>M906+IF(N906&gt;1,N(O906)*(N906-1),0)</f>
        <v/>
      </c>
      <c r="S906">
        <f>IFERROR(L906*MAX(N906,1)/R906*Q906*IF(ISBLANK(K904),1,K904),0)</f>
        <v/>
      </c>
      <c r="AB906" s="7" t="inlineStr">
        <is>
          <t>^Grenade, ^ShrapnelWeapon, ^MediumChemicalWeapon, ^MediumFlameWeapon, ^MediumCannon, ^HeavyBomb</t>
        </is>
      </c>
    </row>
    <row r="907">
      <c r="A907" t="inlineStr">
        <is>
          <t>tiberiandawn</t>
        </is>
      </c>
      <c r="B907" t="inlineStr">
        <is>
          <t>td_nod_chemicalssmlauncher</t>
        </is>
      </c>
      <c r="C907" t="inlineStr">
        <is>
          <t>Chemical SSM Launcher</t>
        </is>
      </c>
      <c r="D907" s="6" t="inlineStr">
        <is>
          <t>Artillery</t>
        </is>
      </c>
      <c r="E907" s="6" t="n">
        <v>32500</v>
      </c>
      <c r="F907" s="6" t="n">
        <v>75</v>
      </c>
      <c r="G907" t="inlineStr">
        <is>
          <t>Medium</t>
        </is>
      </c>
      <c r="H907" s="6" t="n">
        <v>0.75</v>
      </c>
      <c r="I907" s="6" t="n">
        <v>0.5</v>
      </c>
      <c r="J907" s="6" t="n">
        <v>1</v>
      </c>
      <c r="K907" s="6" t="n"/>
      <c r="P907">
        <f>MAX(P908)</f>
        <v/>
      </c>
      <c r="S907">
        <f>S908</f>
        <v/>
      </c>
      <c r="T907">
        <f>(E907/100000+F907/100+(P907/1000)*J907/5+S907/200)*200*I907*H907</f>
        <v/>
      </c>
      <c r="U907">
        <f>((E907*F907/25000)+((P907/1000)*J907*S907/2.5))*I907*H907</f>
        <v/>
      </c>
      <c r="V907">
        <f>(E907*F907*(P907/1000)*J907*S907*I907*H907)/12500000</f>
        <v/>
      </c>
      <c r="W907">
        <f>(T907+U907+V907)/3</f>
        <v/>
      </c>
      <c r="X907" s="6" t="n">
        <v>1200</v>
      </c>
      <c r="Y907">
        <f>IFERROR(W907-X907,"")</f>
        <v/>
      </c>
      <c r="Z907">
        <f>IFERROR(ABS(Y907)/MAX(X907,1),"")</f>
        <v/>
      </c>
      <c r="AA907">
        <f>IFERROR((X907-(((E907/100000+F907/100+S907/200)*200*I907*H907)+((E907*F907/25000)*I907*H907))/3)/(((J907/5)*200*I907*H907)+((J907*S907/2.5)*I907*H907)+((E907*F907*J907*S907*I907*H907)/12500000))/3*1000,"")</f>
        <v/>
      </c>
    </row>
    <row r="908">
      <c r="B908" s="7" t="inlineStr">
        <is>
          <t xml:space="preserve">  ↳ ChemicalHonestJohn</t>
        </is>
      </c>
      <c r="C908" s="7" t="inlineStr">
        <is>
          <t>Armament</t>
        </is>
      </c>
      <c r="L908" s="6" t="n">
        <v>30000</v>
      </c>
      <c r="M908" s="6" t="n">
        <v>142</v>
      </c>
      <c r="N908" s="6" t="n">
        <v>1</v>
      </c>
      <c r="O908" s="6" t="n"/>
      <c r="P908" s="6" t="n">
        <v>12345</v>
      </c>
      <c r="Q908" s="6" t="n">
        <v>1.25</v>
      </c>
      <c r="R908">
        <f>M908+IF(N908&gt;1,N(O908)*(N908-1),0)</f>
        <v/>
      </c>
      <c r="S908">
        <f>IFERROR(L908*MAX(N908,1)/R908*Q908*IF(ISBLANK(K907),1,K907),0)</f>
        <v/>
      </c>
      <c r="AB908" s="7" t="inlineStr">
        <is>
          <t>^HeavyMissile, ^HeavyBomb, ^HeavyFlameWeapon, ^HeavyChemicalWeapon</t>
        </is>
      </c>
    </row>
    <row r="909">
      <c r="A909" t="inlineStr">
        <is>
          <t>tiberiandawn</t>
        </is>
      </c>
      <c r="B909" t="inlineStr">
        <is>
          <t>td_nod_specterartillery</t>
        </is>
      </c>
      <c r="C909" t="inlineStr">
        <is>
          <t>Specter Artillery</t>
        </is>
      </c>
      <c r="D909" s="6" t="inlineStr">
        <is>
          <t>Artillery</t>
        </is>
      </c>
      <c r="E909" s="6" t="n">
        <v>22500</v>
      </c>
      <c r="F909" s="6" t="n">
        <v>100</v>
      </c>
      <c r="G909" t="inlineStr">
        <is>
          <t>Light</t>
        </is>
      </c>
      <c r="H909" s="6" t="n">
        <v>1</v>
      </c>
      <c r="I909" s="6" t="n">
        <v>1</v>
      </c>
      <c r="J909" s="6" t="n">
        <v>1</v>
      </c>
      <c r="K909" s="6" t="n"/>
      <c r="P909">
        <f>MAX(P910,P911)</f>
        <v/>
      </c>
      <c r="S909">
        <f>S910+S911</f>
        <v/>
      </c>
      <c r="T909">
        <f>(E909/100000+F909/100+(P909/1000)*J909/5+S909/200)*200*I909*H909</f>
        <v/>
      </c>
      <c r="U909">
        <f>((E909*F909/25000)+((P909/1000)*J909*S909/2.5))*I909*H909</f>
        <v/>
      </c>
      <c r="V909">
        <f>(E909*F909*(P909/1000)*J909*S909*I909*H909)/12500000</f>
        <v/>
      </c>
      <c r="W909">
        <f>(T909+U909+V909)/3</f>
        <v/>
      </c>
      <c r="X909" s="6" t="n">
        <v>900</v>
      </c>
      <c r="Y909">
        <f>IFERROR(W909-X909,"")</f>
        <v/>
      </c>
      <c r="Z909">
        <f>IFERROR(ABS(Y909)/MAX(X909,1),"")</f>
        <v/>
      </c>
      <c r="AA909">
        <f>IFERROR((X909-(((E909/100000+F909/100+S909/200)*200*I909*H909)+((E909*F909/25000)*I909*H909))/3)/(((J909/5)*200*I909*H909)+((J909*S909/2.5)*I909*H909)+((E909*F909*J909*S909*I909*H909)/12500000))/3*1000,"")</f>
        <v/>
      </c>
    </row>
    <row r="910">
      <c r="B910" s="7" t="inlineStr">
        <is>
          <t xml:space="preserve">  ↳ SpecterArtilleryShell</t>
        </is>
      </c>
      <c r="C910" s="7" t="inlineStr">
        <is>
          <t>Armament</t>
        </is>
      </c>
      <c r="L910" s="6" t="n">
        <v>16000</v>
      </c>
      <c r="M910" s="6" t="n">
        <v>78</v>
      </c>
      <c r="N910" s="6" t="n">
        <v>1</v>
      </c>
      <c r="O910" s="6" t="n"/>
      <c r="P910" s="6" t="n">
        <v>12640</v>
      </c>
      <c r="Q910" s="6" t="n">
        <v>1</v>
      </c>
      <c r="R910">
        <f>M910+IF(N910&gt;1,N(O910)*(N910-1),0)</f>
        <v/>
      </c>
      <c r="S910">
        <f>IFERROR(L910*MAX(N910,1)/R910*Q910*IF(ISBLANK(K909),1,K909),0)</f>
        <v/>
      </c>
      <c r="AB910" s="7" t="inlineStr">
        <is>
          <t>^Grenade, ^ShrapnelWeapon, ^ImpactGlow</t>
        </is>
      </c>
    </row>
    <row r="911">
      <c r="B911" s="7" t="inlineStr">
        <is>
          <t xml:space="preserve">  ↳ SpecterArtilleryShellUpgrade</t>
        </is>
      </c>
      <c r="C911" s="7" t="inlineStr">
        <is>
          <t>Armament@Upgrade</t>
        </is>
      </c>
      <c r="L911" s="6" t="n">
        <v>4000</v>
      </c>
      <c r="M911" s="6" t="n">
        <v>78</v>
      </c>
      <c r="N911" s="6" t="n">
        <v>1</v>
      </c>
      <c r="O911" s="6" t="n"/>
      <c r="P911" s="6" t="n">
        <v>12640</v>
      </c>
      <c r="Q911" s="6" t="n">
        <v>1.071428571428571</v>
      </c>
      <c r="R911">
        <f>M911+IF(N911&gt;1,N(O911)*(N911-1),0)</f>
        <v/>
      </c>
      <c r="S911">
        <f>IFERROR(L911*MAX(N911,1)/R911*Q911*IF(ISBLANK(K909),1,K909),0)</f>
        <v/>
      </c>
      <c r="AB911" s="7" t="inlineStr">
        <is>
          <t>^MediumChemicalWeapon, ^MediumFlameWeapon, ^HeavyBomb, ^TankDestroyerCannon, ^MediumCannon, ^HeavyCannon, ^Grenade, ^ShrapnelWeapon, ^ImpactGlow</t>
        </is>
      </c>
    </row>
    <row r="912">
      <c r="A912" t="inlineStr">
        <is>
          <t>redalert</t>
        </is>
      </c>
      <c r="B912" t="inlineStr">
        <is>
          <t>japan_ballista</t>
        </is>
      </c>
      <c r="C912" t="inlineStr">
        <is>
          <t>Ballista</t>
        </is>
      </c>
      <c r="D912" s="6" t="inlineStr">
        <is>
          <t>Artillery</t>
        </is>
      </c>
      <c r="E912" s="6" t="n">
        <v>65000</v>
      </c>
      <c r="F912" s="6" t="n">
        <v>65</v>
      </c>
      <c r="G912" t="inlineStr">
        <is>
          <t>Medium</t>
        </is>
      </c>
      <c r="H912" s="6" t="n">
        <v>1</v>
      </c>
      <c r="I912" s="6" t="n">
        <v>1</v>
      </c>
      <c r="J912" s="6" t="n">
        <v>1</v>
      </c>
      <c r="K912" s="6" t="n">
        <v>0.75</v>
      </c>
      <c r="P912">
        <f>MAX(P913,P914)</f>
        <v/>
      </c>
      <c r="S912">
        <f>S913+S914</f>
        <v/>
      </c>
      <c r="T912">
        <f>(E912/100000+F912/100+(P912/1000)*J912/5+S912/200)*200*I912*H912</f>
        <v/>
      </c>
      <c r="U912">
        <f>((E912*F912/25000)+((P912/1000)*J912*S912/2.5))*I912*H912</f>
        <v/>
      </c>
      <c r="V912">
        <f>(E912*F912*(P912/1000)*J912*S912*I912*H912)/12500000</f>
        <v/>
      </c>
      <c r="W912">
        <f>(T912+U912+V912)/3</f>
        <v/>
      </c>
      <c r="X912" s="6" t="n">
        <v>1150</v>
      </c>
      <c r="Y912">
        <f>IFERROR(W912-X912,"")</f>
        <v/>
      </c>
      <c r="Z912">
        <f>IFERROR(ABS(Y912)/MAX(X912,1),"")</f>
        <v/>
      </c>
      <c r="AA912">
        <f>IFERROR((X912-(((E912/100000+F912/100+S912/200)*200*I912*H912)+((E912*F912/25000)*I912*H912))/3)/(((J912/5)*200*I912*H912)+((J912*S912/2.5)*I912*H912)+((E912*F912*J912*S912*I912*H912)/12500000))/3*1000,"")</f>
        <v/>
      </c>
    </row>
    <row r="913">
      <c r="B913" s="7" t="inlineStr">
        <is>
          <t xml:space="preserve">  ↳ BallistaMultiShot</t>
        </is>
      </c>
      <c r="C913" s="7" t="inlineStr">
        <is>
          <t>Armament@PRIMARY</t>
        </is>
      </c>
      <c r="L913" s="6" t="n">
        <v>10000</v>
      </c>
      <c r="M913" s="6" t="n">
        <v>176</v>
      </c>
      <c r="N913" s="6" t="n">
        <v>5</v>
      </c>
      <c r="O913" s="6" t="n">
        <v>6</v>
      </c>
      <c r="P913" s="6" t="n">
        <v>13515</v>
      </c>
      <c r="Q913" s="6" t="n">
        <v>0.8333333333333334</v>
      </c>
      <c r="R913">
        <f>M913+IF(N913&gt;1,N(O913)*(N913-1),0)</f>
        <v/>
      </c>
      <c r="S913">
        <f>IFERROR(L913*MAX(N913,1)/R913*Q913*IF(ISBLANK(K912),1,K912),0)</f>
        <v/>
      </c>
      <c r="AB913" s="7" t="inlineStr">
        <is>
          <t>^Grenade, ^LightFlameWeapon, ^LightChemicalWeapon, ^ArrowWeapon</t>
        </is>
      </c>
    </row>
    <row r="914">
      <c r="B914" s="7" t="inlineStr">
        <is>
          <t xml:space="preserve">  ↳ BallistaMultiShotEnergized</t>
        </is>
      </c>
      <c r="C914" s="7" t="inlineStr">
        <is>
          <t>Armament@Upgrade</t>
        </is>
      </c>
      <c r="L914" s="6" t="n">
        <v>10000</v>
      </c>
      <c r="M914" s="6" t="n">
        <v>176</v>
      </c>
      <c r="N914" s="6" t="n">
        <v>5</v>
      </c>
      <c r="O914" s="6" t="n">
        <v>6</v>
      </c>
      <c r="P914" s="6" t="n">
        <v>13515</v>
      </c>
      <c r="Q914" s="6" t="n">
        <v>1</v>
      </c>
      <c r="R914">
        <f>M914+IF(N914&gt;1,N(O914)*(N914-1),0)</f>
        <v/>
      </c>
      <c r="S914">
        <f>IFERROR(L914*MAX(N914,1)/R914*Q914*IF(ISBLANK(K912),1,K912),0)</f>
        <v/>
      </c>
      <c r="AB914" s="7" t="inlineStr">
        <is>
          <t>^TeslaWeapon, ^MediumFlameWeapon, ^MediumChemicalWeapon, ^ArrowWeapon</t>
        </is>
      </c>
    </row>
    <row r="915">
      <c r="A915" t="inlineStr">
        <is>
          <t>redalert</t>
        </is>
      </c>
      <c r="B915" t="inlineStr">
        <is>
          <t>japan_waveforceartillery</t>
        </is>
      </c>
      <c r="C915" t="inlineStr">
        <is>
          <t>Waveforce Artillery</t>
        </is>
      </c>
      <c r="D915" s="6" t="inlineStr">
        <is>
          <t>Artillery</t>
        </is>
      </c>
      <c r="E915" s="6" t="n">
        <v>50000</v>
      </c>
      <c r="F915" s="6" t="n">
        <v>55</v>
      </c>
      <c r="G915" t="inlineStr">
        <is>
          <t>Light</t>
        </is>
      </c>
      <c r="H915" s="6" t="n">
        <v>0.75</v>
      </c>
      <c r="I915" s="6" t="n">
        <v>1</v>
      </c>
      <c r="J915" s="6" t="n">
        <v>1.25</v>
      </c>
      <c r="K915" s="6" t="n">
        <v>0.5</v>
      </c>
      <c r="P915">
        <f>MAX(P916)</f>
        <v/>
      </c>
      <c r="S915">
        <f>S916</f>
        <v/>
      </c>
      <c r="T915">
        <f>(E915/100000+F915/100+(P915/1000)*J915/5+S915/200)*200*I915*H915</f>
        <v/>
      </c>
      <c r="U915">
        <f>((E915*F915/25000)+((P915/1000)*J915*S915/2.5))*I915*H915</f>
        <v/>
      </c>
      <c r="V915">
        <f>(E915*F915*(P915/1000)*J915*S915*I915*H915)/12500000</f>
        <v/>
      </c>
      <c r="W915">
        <f>(T915+U915+V915)/3</f>
        <v/>
      </c>
      <c r="X915" s="6" t="n">
        <v>2500</v>
      </c>
      <c r="Y915">
        <f>IFERROR(W915-X915,"")</f>
        <v/>
      </c>
      <c r="Z915">
        <f>IFERROR(ABS(Y915)/MAX(X915,1),"")</f>
        <v/>
      </c>
      <c r="AA915">
        <f>IFERROR((X915-(((E915/100000+F915/100+S915/200)*200*I915*H915)+((E915*F915/25000)*I915*H915))/3)/(((J915/5)*200*I915*H915)+((J915*S915/2.5)*I915*H915)+((E915*F915*J915*S915*I915*H915)/12500000))/3*1000,"")</f>
        <v/>
      </c>
    </row>
    <row r="916">
      <c r="B916" s="7" t="inlineStr">
        <is>
          <t xml:space="preserve">  ↳ WaveArtilleryShell</t>
        </is>
      </c>
      <c r="C916" s="7" t="inlineStr">
        <is>
          <t>Armament@AG</t>
        </is>
      </c>
      <c r="L916" s="6" t="n"/>
      <c r="M916" s="6" t="n">
        <v>111</v>
      </c>
      <c r="N916" s="6" t="n">
        <v>1</v>
      </c>
      <c r="O916" s="6" t="n"/>
      <c r="P916" s="6" t="n">
        <v>11111</v>
      </c>
      <c r="Q916" s="6" t="n">
        <v>1</v>
      </c>
      <c r="R916">
        <f>M916+IF(N916&gt;1,N(O916)*(N916-1),0)</f>
        <v/>
      </c>
      <c r="S916">
        <f>IFERROR(L916*MAX(N916,1)/R916*Q916*IF(ISBLANK(K915),1,K915),0)</f>
        <v/>
      </c>
      <c r="AB916" s="7" t="inlineStr"/>
    </row>
    <row r="917">
      <c r="A917" t="inlineStr">
        <is>
          <t>redalert</t>
        </is>
      </c>
      <c r="B917" t="inlineStr">
        <is>
          <t>ra1_soviets_grad</t>
        </is>
      </c>
      <c r="C917" t="inlineStr">
        <is>
          <t>Grad</t>
        </is>
      </c>
      <c r="D917" s="6" t="inlineStr">
        <is>
          <t>Artillery</t>
        </is>
      </c>
      <c r="E917" s="6" t="n">
        <v>50000</v>
      </c>
      <c r="F917" s="6" t="n">
        <v>75</v>
      </c>
      <c r="G917" t="inlineStr">
        <is>
          <t>Medium</t>
        </is>
      </c>
      <c r="H917" s="6" t="n">
        <v>0.75</v>
      </c>
      <c r="I917" s="6" t="n">
        <v>0.5</v>
      </c>
      <c r="J917" s="6" t="n">
        <v>1</v>
      </c>
      <c r="K917" s="6" t="n"/>
      <c r="P917">
        <f>MAX(P918,P919)</f>
        <v/>
      </c>
      <c r="S917">
        <f>S918+S919</f>
        <v/>
      </c>
      <c r="T917">
        <f>(E917/100000+F917/100+(P917/1000)*J917/5+S917/200)*200*I917*H917</f>
        <v/>
      </c>
      <c r="U917">
        <f>((E917*F917/25000)+((P917/1000)*J917*S917/2.5))*I917*H917</f>
        <v/>
      </c>
      <c r="V917">
        <f>(E917*F917*(P917/1000)*J917*S917*I917*H917)/12500000</f>
        <v/>
      </c>
      <c r="W917">
        <f>(T917+U917+V917)/3</f>
        <v/>
      </c>
      <c r="X917" s="6" t="n">
        <v>1400</v>
      </c>
      <c r="Y917">
        <f>IFERROR(W917-X917,"")</f>
        <v/>
      </c>
      <c r="Z917">
        <f>IFERROR(ABS(Y917)/MAX(X917,1),"")</f>
        <v/>
      </c>
      <c r="AA917">
        <f>IFERROR((X917-(((E917/100000+F917/100+S917/200)*200*I917*H917)+((E917*F917/25000)*I917*H917))/3)/(((J917/5)*200*I917*H917)+((J917*S917/2.5)*I917*H917)+((E917*F917*J917*S917*I917*H917)/12500000))/3*1000,"")</f>
        <v/>
      </c>
    </row>
    <row r="918">
      <c r="B918" s="7" t="inlineStr">
        <is>
          <t xml:space="preserve">  ↳ GradRockets</t>
        </is>
      </c>
      <c r="C918" s="7" t="inlineStr">
        <is>
          <t>Armament</t>
        </is>
      </c>
      <c r="L918" s="6" t="n">
        <v>8000</v>
      </c>
      <c r="M918" s="6" t="n">
        <v>115</v>
      </c>
      <c r="N918" s="6" t="n">
        <v>8</v>
      </c>
      <c r="O918" s="6" t="n">
        <v>5</v>
      </c>
      <c r="P918" s="6" t="n">
        <v>13820</v>
      </c>
      <c r="Q918" s="6" t="n">
        <v>1.125</v>
      </c>
      <c r="R918">
        <f>M918+IF(N918&gt;1,N(O918)*(N918-1),0)</f>
        <v/>
      </c>
      <c r="S918">
        <f>IFERROR(L918*MAX(N918,1)/R918*Q918*IF(ISBLANK(K917),1,K917),0)</f>
        <v/>
      </c>
      <c r="AB918" s="7" t="inlineStr">
        <is>
          <t>^HeavyMissile, ^ShrapnelWeapon</t>
        </is>
      </c>
    </row>
    <row r="919">
      <c r="B919" s="7" t="inlineStr">
        <is>
          <t xml:space="preserve">  ↳ GradHeavyRockets</t>
        </is>
      </c>
      <c r="C919" s="7" t="inlineStr">
        <is>
          <t>Armament@Upgrade</t>
        </is>
      </c>
      <c r="L919" s="6" t="n">
        <v>4000</v>
      </c>
      <c r="M919" s="6" t="n">
        <v>115</v>
      </c>
      <c r="N919" s="6" t="n">
        <v>8</v>
      </c>
      <c r="O919" s="6" t="n">
        <v>5</v>
      </c>
      <c r="P919" s="6" t="n">
        <v>13820</v>
      </c>
      <c r="Q919" s="6" t="n">
        <v>1.125</v>
      </c>
      <c r="R919">
        <f>M919+IF(N919&gt;1,N(O919)*(N919-1),0)</f>
        <v/>
      </c>
      <c r="S919">
        <f>IFERROR(L919*MAX(N919,1)/R919*Q919*IF(ISBLANK(K917),1,K917),0)</f>
        <v/>
      </c>
      <c r="AB919" s="7" t="inlineStr">
        <is>
          <t>^MediumChemicalWeapon, ^HeavyBomb, ^HeavyMissile, ^ShrapnelWeapon</t>
        </is>
      </c>
    </row>
    <row r="920">
      <c r="A920" t="inlineStr">
        <is>
          <t>redalert</t>
        </is>
      </c>
      <c r="B920" t="inlineStr">
        <is>
          <t>ra1_soviets_nuclearv2launcher</t>
        </is>
      </c>
      <c r="C920" t="inlineStr">
        <is>
          <t>Nuclear V2 Launcher</t>
        </is>
      </c>
      <c r="D920" s="6" t="inlineStr">
        <is>
          <t>Artillery</t>
        </is>
      </c>
      <c r="E920" s="6" t="n">
        <v>40000</v>
      </c>
      <c r="F920" s="6" t="n">
        <v>80</v>
      </c>
      <c r="G920" t="inlineStr">
        <is>
          <t>Medium</t>
        </is>
      </c>
      <c r="H920" s="6" t="n">
        <v>1</v>
      </c>
      <c r="I920" s="6" t="n">
        <v>1</v>
      </c>
      <c r="J920" s="6" t="n">
        <v>1</v>
      </c>
      <c r="K920" s="6" t="n"/>
      <c r="P920">
        <f>MAX(P921,P922)</f>
        <v/>
      </c>
      <c r="S920">
        <f>S921+S922</f>
        <v/>
      </c>
      <c r="T920">
        <f>(E920/100000+F920/100+(P920/1000)*J920/5+S920/200)*200*I920*H920</f>
        <v/>
      </c>
      <c r="U920">
        <f>((E920*F920/25000)+((P920/1000)*J920*S920/2.5))*I920*H920</f>
        <v/>
      </c>
      <c r="V920">
        <f>(E920*F920*(P920/1000)*J920*S920*I920*H920)/12500000</f>
        <v/>
      </c>
      <c r="W920">
        <f>(T920+U920+V920)/3</f>
        <v/>
      </c>
      <c r="X920" s="6" t="n">
        <v>2300</v>
      </c>
      <c r="Y920">
        <f>IFERROR(W920-X920,"")</f>
        <v/>
      </c>
      <c r="Z920">
        <f>IFERROR(ABS(Y920)/MAX(X920,1),"")</f>
        <v/>
      </c>
      <c r="AA920">
        <f>IFERROR((X920-(((E920/100000+F920/100+S920/200)*200*I920*H920)+((E920*F920/25000)*I920*H920))/3)/(((J920/5)*200*I920*H920)+((J920*S920/2.5)*I920*H920)+((E920*F920*J920*S920*I920*H920)/12500000))/3*1000,"")</f>
        <v/>
      </c>
    </row>
    <row r="921">
      <c r="B921" s="7" t="inlineStr">
        <is>
          <t xml:space="preserve">  ↳ SCUDNUKE</t>
        </is>
      </c>
      <c r="C921" s="7" t="inlineStr">
        <is>
          <t>Armament@PRIMARY</t>
        </is>
      </c>
      <c r="L921" s="6" t="n">
        <v>20000</v>
      </c>
      <c r="M921" s="6" t="n">
        <v>158</v>
      </c>
      <c r="N921" s="6" t="n">
        <v>1</v>
      </c>
      <c r="O921" s="6" t="n"/>
      <c r="P921" s="6" t="n">
        <v>12550</v>
      </c>
      <c r="Q921" s="6" t="n">
        <v>1.303571428571429</v>
      </c>
      <c r="R921">
        <f>M921+IF(N921&gt;1,N(O921)*(N921-1),0)</f>
        <v/>
      </c>
      <c r="S921">
        <f>IFERROR(L921*MAX(N921,1)/R921*Q921*IF(ISBLANK(K920),1,K920),0)</f>
        <v/>
      </c>
      <c r="AB921" s="7" t="inlineStr">
        <is>
          <t>^HeavyMissile, ^MediumMissile, ^LightMissile, ^HeavyBomb, ^ShrapnelWeapon, ^Grenade, ^HeavyChemicalWeapon, ^MediumChemicalWeapon, ^LightChemicalWeapon, ^HeavyFlameWeapon, ^MediumFlameWeapon, ^LightFlameWeapon, ^TankDestroyerCannon, ^FlakWeapon, ^NuclearWarhead</t>
        </is>
      </c>
    </row>
    <row r="922">
      <c r="B922" s="7" t="inlineStr">
        <is>
          <t xml:space="preserve">  ↳ SCUDNUKEThermobaric</t>
        </is>
      </c>
      <c r="C922" s="7" t="inlineStr">
        <is>
          <t>Armament@Upgrade</t>
        </is>
      </c>
      <c r="L922" s="6" t="n">
        <v>20000</v>
      </c>
      <c r="M922" s="6" t="n">
        <v>158</v>
      </c>
      <c r="N922" s="6" t="n">
        <v>1</v>
      </c>
      <c r="O922" s="6" t="n"/>
      <c r="P922" s="6" t="n">
        <v>12550</v>
      </c>
      <c r="Q922" s="6" t="n">
        <v>1.303571428571429</v>
      </c>
      <c r="R922">
        <f>M922+IF(N922&gt;1,N(O922)*(N922-1),0)</f>
        <v/>
      </c>
      <c r="S922">
        <f>IFERROR(L922*MAX(N922,1)/R922*Q922*IF(ISBLANK(K920),1,K920),0)</f>
        <v/>
      </c>
      <c r="AB922" s="7" t="inlineStr">
        <is>
          <t>^HeavyMissile, ^MediumMissile, ^LightMissile, ^HeavyBomb, ^ShrapnelWeapon, ^Grenade, ^HeavyChemicalWeapon, ^MediumChemicalWeapon, ^LightChemicalWeapon, ^HeavyFlameWeapon, ^MediumFlameWeapon, ^LightFlameWeapon, ^TankDestroyerCannon, ^FlakWeapon, ^NuclearWarhead</t>
        </is>
      </c>
    </row>
    <row r="923">
      <c r="A923" t="inlineStr">
        <is>
          <t>redalert</t>
        </is>
      </c>
      <c r="B923" t="inlineStr">
        <is>
          <t>ra1_soviets_v1rockettruck</t>
        </is>
      </c>
      <c r="C923" t="inlineStr">
        <is>
          <t>V1 Rocket Truck</t>
        </is>
      </c>
      <c r="D923" s="6" t="inlineStr">
        <is>
          <t>Artillery</t>
        </is>
      </c>
      <c r="E923" s="6" t="n">
        <v>25000</v>
      </c>
      <c r="F923" s="6" t="n">
        <v>100</v>
      </c>
      <c r="G923" t="inlineStr">
        <is>
          <t>Light</t>
        </is>
      </c>
      <c r="H923" s="6" t="n">
        <v>1</v>
      </c>
      <c r="I923" s="6" t="n">
        <v>0.5</v>
      </c>
      <c r="J923" s="6" t="n">
        <v>1</v>
      </c>
      <c r="K923" s="6" t="n"/>
      <c r="P923">
        <f>MAX(P924,P925)</f>
        <v/>
      </c>
      <c r="S923">
        <f>S924+S925</f>
        <v/>
      </c>
      <c r="T923">
        <f>(E923/100000+F923/100+(P923/1000)*J923/5+S923/200)*200*I923*H923</f>
        <v/>
      </c>
      <c r="U923">
        <f>((E923*F923/25000)+((P923/1000)*J923*S923/2.5))*I923*H923</f>
        <v/>
      </c>
      <c r="V923">
        <f>(E923*F923*(P923/1000)*J923*S923*I923*H923)/12500000</f>
        <v/>
      </c>
      <c r="W923">
        <f>(T923+U923+V923)/3</f>
        <v/>
      </c>
      <c r="X923" s="6" t="n">
        <v>850</v>
      </c>
      <c r="Y923">
        <f>IFERROR(W923-X923,"")</f>
        <v/>
      </c>
      <c r="Z923">
        <f>IFERROR(ABS(Y923)/MAX(X923,1),"")</f>
        <v/>
      </c>
      <c r="AA923">
        <f>IFERROR((X923-(((E923/100000+F923/100+S923/200)*200*I923*H923)+((E923*F923/25000)*I923*H923))/3)/(((J923/5)*200*I923*H923)+((J923*S923/2.5)*I923*H923)+((E923*F923*J923*S923*I923*H923)/12500000))/3*1000,"")</f>
        <v/>
      </c>
    </row>
    <row r="924">
      <c r="B924" s="7" t="inlineStr">
        <is>
          <t xml:space="preserve">  ↳ v1rockets</t>
        </is>
      </c>
      <c r="C924" s="7" t="inlineStr">
        <is>
          <t>Armament</t>
        </is>
      </c>
      <c r="L924" s="6" t="n">
        <v>12000</v>
      </c>
      <c r="M924" s="6" t="n">
        <v>115</v>
      </c>
      <c r="N924" s="6" t="n">
        <v>4</v>
      </c>
      <c r="O924" s="6" t="n">
        <v>5</v>
      </c>
      <c r="P924" s="6" t="n">
        <v>9595</v>
      </c>
      <c r="Q924" s="6" t="n">
        <v>1</v>
      </c>
      <c r="R924">
        <f>M924+IF(N924&gt;1,N(O924)*(N924-1),0)</f>
        <v/>
      </c>
      <c r="S924">
        <f>IFERROR(L924*MAX(N924,1)/R924*Q924*IF(ISBLANK(K923),1,K923),0)</f>
        <v/>
      </c>
      <c r="AB924" s="7" t="inlineStr">
        <is>
          <t>^MediumMissile, ^Grenade</t>
        </is>
      </c>
    </row>
    <row r="925">
      <c r="B925" s="7" t="inlineStr">
        <is>
          <t xml:space="preserve">  ↳ v1rocketsThermobaric</t>
        </is>
      </c>
      <c r="C925" s="7" t="inlineStr">
        <is>
          <t>Armament@Upgrade</t>
        </is>
      </c>
      <c r="L925" s="6" t="n">
        <v>8000</v>
      </c>
      <c r="M925" s="6" t="n">
        <v>115</v>
      </c>
      <c r="N925" s="6" t="n">
        <v>4</v>
      </c>
      <c r="O925" s="6" t="n">
        <v>5</v>
      </c>
      <c r="P925" s="6" t="n">
        <v>9595</v>
      </c>
      <c r="Q925" s="6" t="n">
        <v>1.083333333333333</v>
      </c>
      <c r="R925">
        <f>M925+IF(N925&gt;1,N(O925)*(N925-1),0)</f>
        <v/>
      </c>
      <c r="S925">
        <f>IFERROR(L925*MAX(N925,1)/R925*Q925*IF(ISBLANK(K923),1,K923),0)</f>
        <v/>
      </c>
      <c r="AB925" s="7" t="inlineStr">
        <is>
          <t>^MediumMissile, ^Grenade, ^HeavyFlameWeapon</t>
        </is>
      </c>
    </row>
    <row r="926">
      <c r="A926" t="inlineStr">
        <is>
          <t>redalert</t>
        </is>
      </c>
      <c r="B926" t="inlineStr">
        <is>
          <t>ra1_soviets_v2rocketlauncher</t>
        </is>
      </c>
      <c r="C926" t="inlineStr">
        <is>
          <t>V2 Rocket Launcher</t>
        </is>
      </c>
      <c r="D926" s="6" t="inlineStr">
        <is>
          <t>Artillery</t>
        </is>
      </c>
      <c r="E926" s="6" t="n">
        <v>30000</v>
      </c>
      <c r="F926" s="6" t="n">
        <v>85</v>
      </c>
      <c r="G926" t="inlineStr">
        <is>
          <t>Medium</t>
        </is>
      </c>
      <c r="H926" s="6" t="n">
        <v>0.75</v>
      </c>
      <c r="I926" s="6" t="n">
        <v>0.5</v>
      </c>
      <c r="J926" s="6" t="n">
        <v>1</v>
      </c>
      <c r="K926" s="6" t="n"/>
      <c r="P926">
        <f>MAX(P927,P928,P929)</f>
        <v/>
      </c>
      <c r="S926">
        <f>S927+S928+S929</f>
        <v/>
      </c>
      <c r="T926">
        <f>(E926/100000+F926/100+(P926/1000)*J926/5+S926/200)*200*I926*H926</f>
        <v/>
      </c>
      <c r="U926">
        <f>((E926*F926/25000)+((P926/1000)*J926*S926/2.5))*I926*H926</f>
        <v/>
      </c>
      <c r="V926">
        <f>(E926*F926*(P926/1000)*J926*S926*I926*H926)/12500000</f>
        <v/>
      </c>
      <c r="W926">
        <f>(T926+U926+V926)/3</f>
        <v/>
      </c>
      <c r="X926" s="6" t="n">
        <v>1600</v>
      </c>
      <c r="Y926">
        <f>IFERROR(W926-X926,"")</f>
        <v/>
      </c>
      <c r="Z926">
        <f>IFERROR(ABS(Y926)/MAX(X926,1),"")</f>
        <v/>
      </c>
      <c r="AA926">
        <f>IFERROR((X926-(((E926/100000+F926/100+S926/200)*200*I926*H926)+((E926*F926/25000)*I926*H926))/3)/(((J926/5)*200*I926*H926)+((J926*S926/2.5)*I926*H926)+((E926*F926*J926*S926*I926*H926)/12500000))/3*1000,"")</f>
        <v/>
      </c>
    </row>
    <row r="927">
      <c r="B927" s="7" t="inlineStr">
        <is>
          <t xml:space="preserve">  ↳ SCUD</t>
        </is>
      </c>
      <c r="C927" s="7" t="inlineStr">
        <is>
          <t>Armament@PRIMARY</t>
        </is>
      </c>
      <c r="L927" s="6" t="n">
        <v>60000</v>
      </c>
      <c r="M927" s="6" t="n">
        <v>120</v>
      </c>
      <c r="N927" s="6" t="n">
        <v>1</v>
      </c>
      <c r="O927" s="6" t="n"/>
      <c r="P927" s="6" t="n">
        <v>14110</v>
      </c>
      <c r="Q927" s="6" t="n">
        <v>1.25</v>
      </c>
      <c r="R927">
        <f>M927+IF(N927&gt;1,N(O927)*(N927-1),0)</f>
        <v/>
      </c>
      <c r="S927">
        <f>IFERROR(L927*MAX(N927,1)/R927*Q927*IF(ISBLANK(K926),1,K926),0)</f>
        <v/>
      </c>
      <c r="AB927" s="7" t="inlineStr">
        <is>
          <t>^HeavyMissile, ^HeavyFlameWeapon</t>
        </is>
      </c>
    </row>
    <row r="928">
      <c r="B928" s="7" t="inlineStr">
        <is>
          <t xml:space="preserve">  ↳ SCUDThermobaric</t>
        </is>
      </c>
      <c r="C928" s="7" t="inlineStr">
        <is>
          <t>Armament@HE</t>
        </is>
      </c>
      <c r="L928" s="6" t="n">
        <v>40000</v>
      </c>
      <c r="M928" s="6" t="n">
        <v>120</v>
      </c>
      <c r="N928" s="6" t="n">
        <v>1</v>
      </c>
      <c r="O928" s="6" t="n"/>
      <c r="P928" s="6" t="n">
        <v>14110</v>
      </c>
      <c r="Q928" s="6" t="n">
        <v>1.25</v>
      </c>
      <c r="R928">
        <f>M928+IF(N928&gt;1,N(O928)*(N928-1),0)</f>
        <v/>
      </c>
      <c r="S928">
        <f>IFERROR(L928*MAX(N928,1)/R928*Q928*IF(ISBLANK(K926),1,K926),0)</f>
        <v/>
      </c>
      <c r="AB928" s="7" t="inlineStr">
        <is>
          <t>^HeavyBomb, ^HeavyMissile, ^HeavyFlameWeapon</t>
        </is>
      </c>
    </row>
    <row r="929">
      <c r="B929" s="7" t="inlineStr">
        <is>
          <t xml:space="preserve">  ↳ SCUDTesla</t>
        </is>
      </c>
      <c r="C929" s="7" t="inlineStr">
        <is>
          <t>Armament@Tesla</t>
        </is>
      </c>
      <c r="L929" s="6" t="n">
        <v>30000</v>
      </c>
      <c r="M929" s="6" t="n">
        <v>120</v>
      </c>
      <c r="N929" s="6" t="n">
        <v>1</v>
      </c>
      <c r="O929" s="6" t="n"/>
      <c r="P929" s="6" t="n">
        <v>14110</v>
      </c>
      <c r="Q929" s="6" t="n">
        <v>1.166666666666667</v>
      </c>
      <c r="R929">
        <f>M929+IF(N929&gt;1,N(O929)*(N929-1),0)</f>
        <v/>
      </c>
      <c r="S929">
        <f>IFERROR(L929*MAX(N929,1)/R929*Q929*IF(ISBLANK(K926),1,K926),0)</f>
        <v/>
      </c>
      <c r="AB929" s="7" t="inlineStr">
        <is>
          <t>^TeslaWeapon, ^HeavyMissile, ^HeavyFlameWeapon</t>
        </is>
      </c>
    </row>
    <row r="930">
      <c r="A930" t="inlineStr">
        <is>
          <t>redalert</t>
        </is>
      </c>
      <c r="B930" t="inlineStr">
        <is>
          <t>ra1_allies_alliedartillery</t>
        </is>
      </c>
      <c r="C930" t="inlineStr">
        <is>
          <t>Allied Artillery</t>
        </is>
      </c>
      <c r="D930" s="6" t="inlineStr">
        <is>
          <t>Artillery</t>
        </is>
      </c>
      <c r="E930" s="6" t="n">
        <v>20000</v>
      </c>
      <c r="F930" s="6" t="n">
        <v>60</v>
      </c>
      <c r="G930" t="inlineStr">
        <is>
          <t>Light</t>
        </is>
      </c>
      <c r="H930" s="6" t="n">
        <v>1</v>
      </c>
      <c r="I930" s="6" t="n">
        <v>0.5</v>
      </c>
      <c r="J930" s="6" t="n">
        <v>1</v>
      </c>
      <c r="K930" s="6" t="n"/>
      <c r="P930">
        <f>MAX(P931,P932)</f>
        <v/>
      </c>
      <c r="S930">
        <f>S931+S932</f>
        <v/>
      </c>
      <c r="T930">
        <f>(E930/100000+F930/100+(P930/1000)*J930/5+S930/200)*200*I930*H930</f>
        <v/>
      </c>
      <c r="U930">
        <f>((E930*F930/25000)+((P930/1000)*J930*S930/2.5))*I930*H930</f>
        <v/>
      </c>
      <c r="V930">
        <f>(E930*F930*(P930/1000)*J930*S930*I930*H930)/12500000</f>
        <v/>
      </c>
      <c r="W930">
        <f>(T930+U930+V930)/3</f>
        <v/>
      </c>
      <c r="X930" s="6" t="n">
        <v>600</v>
      </c>
      <c r="Y930">
        <f>IFERROR(W930-X930,"")</f>
        <v/>
      </c>
      <c r="Z930">
        <f>IFERROR(ABS(Y930)/MAX(X930,1),"")</f>
        <v/>
      </c>
      <c r="AA930">
        <f>IFERROR((X930-(((E930/100000+F930/100+S930/200)*200*I930*H930)+((E930*F930/25000)*I930*H930))/3)/(((J930/5)*200*I930*H930)+((J930*S930/2.5)*I930*H930)+((E930*F930*J930*S930*I930*H930)/12500000))/3*1000,"")</f>
        <v/>
      </c>
    </row>
    <row r="931">
      <c r="B931" s="7" t="inlineStr">
        <is>
          <t xml:space="preserve">  ↳ 155mm</t>
        </is>
      </c>
      <c r="C931" s="7" t="inlineStr">
        <is>
          <t>Armament</t>
        </is>
      </c>
      <c r="L931" s="6" t="n">
        <v>10000</v>
      </c>
      <c r="M931" s="6" t="n">
        <v>80</v>
      </c>
      <c r="N931" s="6" t="n">
        <v>1</v>
      </c>
      <c r="O931" s="6" t="n"/>
      <c r="P931" s="6" t="n">
        <v>13350</v>
      </c>
      <c r="Q931" s="6" t="n">
        <v>1.083333333333333</v>
      </c>
      <c r="R931">
        <f>M931+IF(N931&gt;1,N(O931)*(N931-1),0)</f>
        <v/>
      </c>
      <c r="S931">
        <f>IFERROR(L931*MAX(N931,1)/R931*Q931*IF(ISBLANK(K930),1,K930),0)</f>
        <v/>
      </c>
      <c r="AB931" s="7" t="inlineStr">
        <is>
          <t>^HeavyCannon, ^ShrapnelWeapon, ^Grenade</t>
        </is>
      </c>
    </row>
    <row r="932">
      <c r="B932" s="7" t="inlineStr">
        <is>
          <t xml:space="preserve">  ↳ 155mmCryo</t>
        </is>
      </c>
      <c r="C932" s="7" t="inlineStr">
        <is>
          <t>Armament@Upgrade</t>
        </is>
      </c>
      <c r="L932" s="6" t="n">
        <v>10000</v>
      </c>
      <c r="M932" s="6" t="n">
        <v>80</v>
      </c>
      <c r="N932" s="6" t="n">
        <v>1</v>
      </c>
      <c r="O932" s="6" t="n"/>
      <c r="P932" s="6" t="n">
        <v>13350</v>
      </c>
      <c r="Q932" s="6" t="n">
        <v>1.083333333333333</v>
      </c>
      <c r="R932">
        <f>M932+IF(N932&gt;1,N(O932)*(N932-1),0)</f>
        <v/>
      </c>
      <c r="S932">
        <f>IFERROR(L932*MAX(N932,1)/R932*Q932*IF(ISBLANK(K930),1,K930),0)</f>
        <v/>
      </c>
      <c r="AB932" s="7" t="inlineStr">
        <is>
          <t>^HeavyCannon, ^ShrapnelWeapon, ^Grenade, ^CryoMissileProjectile</t>
        </is>
      </c>
    </row>
    <row r="933">
      <c r="A933" t="inlineStr">
        <is>
          <t>tiberiansun</t>
        </is>
      </c>
      <c r="B933" t="inlineStr">
        <is>
          <t>cabal_artilleryspider</t>
        </is>
      </c>
      <c r="C933" t="inlineStr">
        <is>
          <t>Artillery Spider</t>
        </is>
      </c>
      <c r="D933" s="6" t="inlineStr">
        <is>
          <t>Artillery</t>
        </is>
      </c>
      <c r="E933" s="6" t="n">
        <v>50000</v>
      </c>
      <c r="F933" s="6" t="n">
        <v>70</v>
      </c>
      <c r="G933" t="inlineStr">
        <is>
          <t>Light</t>
        </is>
      </c>
      <c r="H933" s="6" t="n">
        <v>1</v>
      </c>
      <c r="I933" s="6" t="n">
        <v>0.5</v>
      </c>
      <c r="J933" s="6" t="n">
        <v>1.25</v>
      </c>
      <c r="K933" s="6" t="n"/>
      <c r="P933">
        <f>MAX(P934,P935)</f>
        <v/>
      </c>
      <c r="S933">
        <f>S934+S935</f>
        <v/>
      </c>
      <c r="T933">
        <f>(E933/100000+F933/100+(P933/1000)*J933/5+S933/200)*200*I933*H933</f>
        <v/>
      </c>
      <c r="U933">
        <f>((E933*F933/25000)+((P933/1000)*J933*S933/2.5))*I933*H933</f>
        <v/>
      </c>
      <c r="V933">
        <f>(E933*F933*(P933/1000)*J933*S933*I933*H933)/12500000</f>
        <v/>
      </c>
      <c r="W933">
        <f>(T933+U933+V933)/3</f>
        <v/>
      </c>
      <c r="X933" s="6" t="n">
        <v>1250</v>
      </c>
      <c r="Y933">
        <f>IFERROR(W933-X933,"")</f>
        <v/>
      </c>
      <c r="Z933">
        <f>IFERROR(ABS(Y933)/MAX(X933,1),"")</f>
        <v/>
      </c>
      <c r="AA933">
        <f>IFERROR((X933-(((E933/100000+F933/100+S933/200)*200*I933*H933)+((E933*F933/25000)*I933*H933))/3)/(((J933/5)*200*I933*H933)+((J933*S933/2.5)*I933*H933)+((E933*F933*J933*S933*I933*H933)/12500000))/3*1000,"")</f>
        <v/>
      </c>
    </row>
    <row r="934">
      <c r="B934" s="7" t="inlineStr">
        <is>
          <t xml:space="preserve">  ↳ CabalArtilleryWalkerShell</t>
        </is>
      </c>
      <c r="C934" s="7" t="inlineStr">
        <is>
          <t>Armament@PRIMARY</t>
        </is>
      </c>
      <c r="L934" s="6" t="n">
        <v>42000</v>
      </c>
      <c r="M934" s="6" t="n">
        <v>64</v>
      </c>
      <c r="N934" s="6" t="n">
        <v>1</v>
      </c>
      <c r="O934" s="6" t="n"/>
      <c r="P934" s="6" t="n">
        <v>11580</v>
      </c>
      <c r="Q934" s="6" t="n">
        <v>1.0625</v>
      </c>
      <c r="R934">
        <f>M934+IF(N934&gt;1,N(O934)*(N934-1),0)</f>
        <v/>
      </c>
      <c r="S934">
        <f>IFERROR(L934*MAX(N934,1)/R934*Q934*IF(ISBLANK(K933),1,K933),0)</f>
        <v/>
      </c>
      <c r="AB934" s="7" t="inlineStr">
        <is>
          <t>^Grenade, ^ShrapnelWeapon, ^MediumCannon, ^HeavyCannon</t>
        </is>
      </c>
    </row>
    <row r="935">
      <c r="B935" s="7" t="inlineStr">
        <is>
          <t xml:space="preserve">  ↳ CabalArtilleryWalkerShellUpgraded</t>
        </is>
      </c>
      <c r="C935" s="7" t="inlineStr">
        <is>
          <t>Armament@Upgraded</t>
        </is>
      </c>
      <c r="L935" s="6" t="n">
        <v>42000</v>
      </c>
      <c r="M935" s="6" t="n">
        <v>64</v>
      </c>
      <c r="N935" s="6" t="n">
        <v>1</v>
      </c>
      <c r="O935" s="6" t="n"/>
      <c r="P935" s="6" t="n">
        <v>11580</v>
      </c>
      <c r="Q935" s="6" t="n">
        <v>1.071428571428571</v>
      </c>
      <c r="R935">
        <f>M935+IF(N935&gt;1,N(O935)*(N935-1),0)</f>
        <v/>
      </c>
      <c r="S935">
        <f>IFERROR(L935*MAX(N935,1)/R935*Q935*IF(ISBLANK(K933),1,K933),0)</f>
        <v/>
      </c>
      <c r="AB935" s="7" t="inlineStr">
        <is>
          <t>^Grenade, ^ShrapnelWeapon, ^MediumCannon, ^HeavyCannon, ^MediumChemicalWeapon, ^TeslaChargedWeapon, ^MagicWeapon, ^RailgunWeapon</t>
        </is>
      </c>
    </row>
    <row r="936">
      <c r="A936" t="inlineStr">
        <is>
          <t>tiberiansun</t>
        </is>
      </c>
      <c r="B936" t="inlineStr">
        <is>
          <t>ts_nod_artillery</t>
        </is>
      </c>
      <c r="C936" t="inlineStr">
        <is>
          <t>Artillery</t>
        </is>
      </c>
      <c r="D936" s="6" t="inlineStr">
        <is>
          <t>Artillery</t>
        </is>
      </c>
      <c r="E936" s="6" t="n">
        <v>30000</v>
      </c>
      <c r="F936" s="6" t="n">
        <v>60</v>
      </c>
      <c r="G936" t="inlineStr">
        <is>
          <t>Light</t>
        </is>
      </c>
      <c r="H936" s="6" t="n">
        <v>1</v>
      </c>
      <c r="I936" s="6" t="n">
        <v>1</v>
      </c>
      <c r="J936" s="6" t="n">
        <v>1</v>
      </c>
      <c r="K936" s="6" t="n"/>
      <c r="P936">
        <f>MAX(P937,P938,P939)</f>
        <v/>
      </c>
      <c r="S936">
        <f>S937+S938+S939</f>
        <v/>
      </c>
      <c r="T936">
        <f>(E936/100000+F936/100+(P936/1000)*J936/5+S936/200)*200*I936*H936</f>
        <v/>
      </c>
      <c r="U936">
        <f>((E936*F936/25000)+((P936/1000)*J936*S936/2.5))*I936*H936</f>
        <v/>
      </c>
      <c r="V936">
        <f>(E936*F936*(P936/1000)*J936*S936*I936*H936)/12500000</f>
        <v/>
      </c>
      <c r="W936">
        <f>(T936+U936+V936)/3</f>
        <v/>
      </c>
      <c r="X936" s="6" t="n">
        <v>1300</v>
      </c>
      <c r="Y936">
        <f>IFERROR(W936-X936,"")</f>
        <v/>
      </c>
      <c r="Z936">
        <f>IFERROR(ABS(Y936)/MAX(X936,1),"")</f>
        <v/>
      </c>
      <c r="AA936">
        <f>IFERROR((X936-(((E936/100000+F936/100+S936/200)*200*I936*H936)+((E936*F936/25000)*I936*H936))/3)/(((J936/5)*200*I936*H936)+((J936*S936/2.5)*I936*H936)+((E936*F936*J936*S936*I936*H936)/12500000))/3*1000,"")</f>
        <v/>
      </c>
    </row>
    <row r="937">
      <c r="B937" s="7" t="inlineStr">
        <is>
          <t xml:space="preserve">  ↳ TSArtyTargeting</t>
        </is>
      </c>
      <c r="C937" s="7" t="inlineStr">
        <is>
          <t>Armament@Dummy</t>
        </is>
      </c>
      <c r="L937" s="6" t="n"/>
      <c r="M937" s="6" t="n">
        <v>33</v>
      </c>
      <c r="N937" s="6" t="n">
        <v>1</v>
      </c>
      <c r="O937" s="6" t="n"/>
      <c r="P937" s="6" t="n">
        <v>13083</v>
      </c>
      <c r="Q937" s="6" t="n">
        <v>1</v>
      </c>
      <c r="R937">
        <f>M937+IF(N937&gt;1,N(O937)*(N937-1),0)</f>
        <v/>
      </c>
      <c r="S937">
        <f>IFERROR(L937*MAX(N937,1)/R937*Q937*IF(ISBLANK(K936),1,K936),0)</f>
        <v/>
      </c>
      <c r="AB937" s="7" t="inlineStr"/>
    </row>
    <row r="938">
      <c r="B938" s="7" t="inlineStr">
        <is>
          <t xml:space="preserve">  ↳ TS155mm</t>
        </is>
      </c>
      <c r="C938" s="7" t="inlineStr">
        <is>
          <t>Armament@Deployed</t>
        </is>
      </c>
      <c r="L938" s="6" t="n">
        <v>30000</v>
      </c>
      <c r="M938" s="6" t="n">
        <v>135</v>
      </c>
      <c r="N938" s="6" t="n">
        <v>1</v>
      </c>
      <c r="O938" s="6" t="n"/>
      <c r="P938" s="6" t="n">
        <v>13083</v>
      </c>
      <c r="Q938" s="6" t="n">
        <v>1.125</v>
      </c>
      <c r="R938">
        <f>M938+IF(N938&gt;1,N(O938)*(N938-1),0)</f>
        <v/>
      </c>
      <c r="S938">
        <f>IFERROR(L938*MAX(N938,1)/R938*Q938*IF(ISBLANK(K936),1,K936),0)</f>
        <v/>
      </c>
      <c r="AB938" s="7" t="inlineStr">
        <is>
          <t>^ShrapnelWeapon, ^HeavyBomb</t>
        </is>
      </c>
    </row>
    <row r="939">
      <c r="B939" s="7" t="inlineStr">
        <is>
          <t xml:space="preserve">  ↳ TSAux155mm</t>
        </is>
      </c>
      <c r="C939" s="7" t="inlineStr">
        <is>
          <t>Armament@DeployedUpgrade</t>
        </is>
      </c>
      <c r="L939" s="6" t="n">
        <v>30000</v>
      </c>
      <c r="M939" s="6" t="n">
        <v>135</v>
      </c>
      <c r="N939" s="6" t="n">
        <v>1</v>
      </c>
      <c r="O939" s="6" t="n"/>
      <c r="P939" s="6" t="n">
        <v>13083</v>
      </c>
      <c r="Q939" s="6" t="n">
        <v>1.125</v>
      </c>
      <c r="R939">
        <f>M939+IF(N939&gt;1,N(O939)*(N939-1),0)</f>
        <v/>
      </c>
      <c r="S939">
        <f>IFERROR(L939*MAX(N939,1)/R939*Q939*IF(ISBLANK(K936),1,K936),0)</f>
        <v/>
      </c>
      <c r="AB939" s="7" t="inlineStr">
        <is>
          <t>^ShrapnelWeapon, ^HeavyBomb</t>
        </is>
      </c>
    </row>
    <row r="940">
      <c r="A940" t="inlineStr">
        <is>
          <t>tiberiansun</t>
        </is>
      </c>
      <c r="B940" t="inlineStr">
        <is>
          <t>ts_gdi_juggernaut</t>
        </is>
      </c>
      <c r="C940" t="inlineStr">
        <is>
          <t>Juggernaut</t>
        </is>
      </c>
      <c r="D940" s="6" t="inlineStr">
        <is>
          <t>Artillery</t>
        </is>
      </c>
      <c r="E940" s="6" t="n">
        <v>35000</v>
      </c>
      <c r="F940" s="6" t="n">
        <v>71</v>
      </c>
      <c r="G940" t="inlineStr">
        <is>
          <t>Light</t>
        </is>
      </c>
      <c r="H940" s="6" t="n">
        <v>1</v>
      </c>
      <c r="I940" s="6" t="n">
        <v>1</v>
      </c>
      <c r="J940" s="6" t="n">
        <v>1</v>
      </c>
      <c r="K940" s="6" t="n"/>
      <c r="P940">
        <f>MAX(P941,P942)</f>
        <v/>
      </c>
      <c r="S940">
        <f>S941+S942</f>
        <v/>
      </c>
      <c r="T940">
        <f>(E940/100000+F940/100+(P940/1000)*J940/5+S940/200)*200*I940*H940</f>
        <v/>
      </c>
      <c r="U940">
        <f>((E940*F940/25000)+((P940/1000)*J940*S940/2.5))*I940*H940</f>
        <v/>
      </c>
      <c r="V940">
        <f>(E940*F940*(P940/1000)*J940*S940*I940*H940)/12500000</f>
        <v/>
      </c>
      <c r="W940">
        <f>(T940+U940+V940)/3</f>
        <v/>
      </c>
      <c r="X940" s="6" t="n">
        <v>1400</v>
      </c>
      <c r="Y940">
        <f>IFERROR(W940-X940,"")</f>
        <v/>
      </c>
      <c r="Z940">
        <f>IFERROR(ABS(Y940)/MAX(X940,1),"")</f>
        <v/>
      </c>
      <c r="AA940">
        <f>IFERROR((X940-(((E940/100000+F940/100+S940/200)*200*I940*H940)+((E940*F940/25000)*I940*H940))/3)/(((J940/5)*200*I940*H940)+((J940*S940/2.5)*I940*H940)+((E940*F940*J940*S940*I940*H940)/12500000))/3*1000,"")</f>
        <v/>
      </c>
    </row>
    <row r="941">
      <c r="B941" s="7" t="inlineStr">
        <is>
          <t xml:space="preserve">  ↳ TSJuggTargeting</t>
        </is>
      </c>
      <c r="C941" s="7" t="inlineStr">
        <is>
          <t>Armament@Dummy</t>
        </is>
      </c>
      <c r="L941" s="6" t="n"/>
      <c r="M941" s="6" t="n">
        <v>33</v>
      </c>
      <c r="N941" s="6" t="n">
        <v>1</v>
      </c>
      <c r="O941" s="6" t="n"/>
      <c r="P941" s="6" t="n">
        <v>12834</v>
      </c>
      <c r="Q941" s="6" t="n">
        <v>1</v>
      </c>
      <c r="R941">
        <f>M941+IF(N941&gt;1,N(O941)*(N941-1),0)</f>
        <v/>
      </c>
      <c r="S941">
        <f>IFERROR(L941*MAX(N941,1)/R941*Q941*IF(ISBLANK(K940),1,K940),0)</f>
        <v/>
      </c>
      <c r="AB941" s="7" t="inlineStr"/>
    </row>
    <row r="942">
      <c r="B942" s="7" t="inlineStr">
        <is>
          <t xml:space="preserve">  ↳ TSJugg90mm</t>
        </is>
      </c>
      <c r="C942" s="7" t="inlineStr">
        <is>
          <t>Armament@Deployed</t>
        </is>
      </c>
      <c r="L942" s="6" t="n">
        <v>30000</v>
      </c>
      <c r="M942" s="6" t="n">
        <v>69</v>
      </c>
      <c r="N942" s="6" t="n">
        <v>3</v>
      </c>
      <c r="O942" s="6" t="n">
        <v>3</v>
      </c>
      <c r="P942" s="6" t="n">
        <v>12834</v>
      </c>
      <c r="Q942" s="6" t="n">
        <v>1</v>
      </c>
      <c r="R942">
        <f>M942+IF(N942&gt;1,N(O942)*(N942-1),0)</f>
        <v/>
      </c>
      <c r="S942">
        <f>IFERROR(L942*MAX(N942,1)/R942*Q942*IF(ISBLANK(K940),1,K940),0)</f>
        <v/>
      </c>
      <c r="AB942" s="7" t="inlineStr">
        <is>
          <t>^ShrapnelWeapon</t>
        </is>
      </c>
    </row>
    <row r="943">
      <c r="A943" t="inlineStr">
        <is>
          <t>tiberiansun</t>
        </is>
      </c>
      <c r="B943" t="inlineStr">
        <is>
          <t>ts_gdi_juggernautmkii</t>
        </is>
      </c>
      <c r="C943" t="inlineStr">
        <is>
          <t>Juggernaut MK II</t>
        </is>
      </c>
      <c r="D943" s="6" t="inlineStr">
        <is>
          <t>Artillery</t>
        </is>
      </c>
      <c r="E943" s="6" t="n">
        <v>50000</v>
      </c>
      <c r="F943" s="6" t="n">
        <v>70</v>
      </c>
      <c r="G943" t="inlineStr">
        <is>
          <t>Medium</t>
        </is>
      </c>
      <c r="H943" s="6" t="n">
        <v>1</v>
      </c>
      <c r="I943" s="6" t="n">
        <v>1</v>
      </c>
      <c r="J943" s="6" t="n">
        <v>1</v>
      </c>
      <c r="K943" s="6" t="n"/>
      <c r="P943">
        <f>MAX(P944)</f>
        <v/>
      </c>
      <c r="S943">
        <f>S944</f>
        <v/>
      </c>
      <c r="T943">
        <f>(E943/100000+F943/100+(P943/1000)*J943/5+S943/200)*200*I943*H943</f>
        <v/>
      </c>
      <c r="U943">
        <f>((E943*F943/25000)+((P943/1000)*J943*S943/2.5))*I943*H943</f>
        <v/>
      </c>
      <c r="V943">
        <f>(E943*F943*(P943/1000)*J943*S943*I943*H943)/12500000</f>
        <v/>
      </c>
      <c r="W943">
        <f>(T943+U943+V943)/3</f>
        <v/>
      </c>
      <c r="X943" s="6" t="n">
        <v>2200</v>
      </c>
      <c r="Y943">
        <f>IFERROR(W943-X943,"")</f>
        <v/>
      </c>
      <c r="Z943">
        <f>IFERROR(ABS(Y943)/MAX(X943,1),"")</f>
        <v/>
      </c>
      <c r="AA943">
        <f>IFERROR((X943-(((E943/100000+F943/100+S943/200)*200*I943*H943)+((E943*F943/25000)*I943*H943))/3)/(((J943/5)*200*I943*H943)+((J943*S943/2.5)*I943*H943)+((E943*F943*J943*S943*I943*H943)/12500000))/3*1000,"")</f>
        <v/>
      </c>
    </row>
    <row r="944">
      <c r="B944" s="7" t="inlineStr">
        <is>
          <t xml:space="preserve">  ↳ TSJugg120mm</t>
        </is>
      </c>
      <c r="C944" s="7" t="inlineStr">
        <is>
          <t>Armament@PRIMARY</t>
        </is>
      </c>
      <c r="L944" s="6" t="n">
        <v>40000</v>
      </c>
      <c r="M944" s="6" t="n">
        <v>64</v>
      </c>
      <c r="N944" s="6" t="n">
        <v>3</v>
      </c>
      <c r="O944" s="6" t="n">
        <v>3</v>
      </c>
      <c r="P944" s="6" t="n">
        <v>12860</v>
      </c>
      <c r="Q944" s="6" t="n">
        <v>1</v>
      </c>
      <c r="R944">
        <f>M944+IF(N944&gt;1,N(O944)*(N944-1),0)</f>
        <v/>
      </c>
      <c r="S944">
        <f>IFERROR(L944*MAX(N944,1)/R944*Q944*IF(ISBLANK(K943),1,K943),0)</f>
        <v/>
      </c>
      <c r="AB944" s="7" t="inlineStr">
        <is>
          <t>^ShrapnelWeapon</t>
        </is>
      </c>
    </row>
    <row r="945">
      <c r="A945" t="inlineStr">
        <is>
          <t>tiberiansun</t>
        </is>
      </c>
      <c r="B945" t="inlineStr">
        <is>
          <t>forgotten_missilevan</t>
        </is>
      </c>
      <c r="C945" t="inlineStr">
        <is>
          <t>actor_forgotten_missilevan.name</t>
        </is>
      </c>
      <c r="D945" s="6" t="inlineStr">
        <is>
          <t>Artillery</t>
        </is>
      </c>
      <c r="E945" s="6" t="n">
        <v>35000</v>
      </c>
      <c r="F945" s="6" t="n">
        <v>75</v>
      </c>
      <c r="G945" t="inlineStr">
        <is>
          <t>Light</t>
        </is>
      </c>
      <c r="H945" s="6" t="n">
        <v>1</v>
      </c>
      <c r="I945" s="6" t="n">
        <v>1</v>
      </c>
      <c r="J945" s="6" t="n">
        <v>1</v>
      </c>
      <c r="K945" s="6" t="n"/>
      <c r="P945">
        <f>MAX(P946,P947)</f>
        <v/>
      </c>
      <c r="S945">
        <f>S946+S947</f>
        <v/>
      </c>
      <c r="T945">
        <f>(E945/100000+F945/100+(P945/1000)*J945/5+S945/200)*200*I945*H945</f>
        <v/>
      </c>
      <c r="U945">
        <f>((E945*F945/25000)+((P945/1000)*J945*S945/2.5))*I945*H945</f>
        <v/>
      </c>
      <c r="V945">
        <f>(E945*F945*(P945/1000)*J945*S945*I945*H945)/12500000</f>
        <v/>
      </c>
      <c r="W945">
        <f>(T945+U945+V945)/3</f>
        <v/>
      </c>
      <c r="X945" s="6" t="n">
        <v>1200</v>
      </c>
      <c r="Y945">
        <f>IFERROR(W945-X945,"")</f>
        <v/>
      </c>
      <c r="Z945">
        <f>IFERROR(ABS(Y945)/MAX(X945,1),"")</f>
        <v/>
      </c>
      <c r="AA945">
        <f>IFERROR((X945-(((E945/100000+F945/100+S945/200)*200*I945*H945)+((E945*F945/25000)*I945*H945))/3)/(((J945/5)*200*I945*H945)+((J945*S945/2.5)*I945*H945)+((E945*F945*J945*S945*I945*H945)/12500000))/3*1000,"")</f>
        <v/>
      </c>
    </row>
    <row r="946">
      <c r="B946" s="7" t="inlineStr">
        <is>
          <t xml:space="preserve">  ↳ TSVanMissile</t>
        </is>
      </c>
      <c r="C946" s="7" t="inlineStr">
        <is>
          <t>Armament@PRIMARY</t>
        </is>
      </c>
      <c r="L946" s="6" t="n">
        <v>24000</v>
      </c>
      <c r="M946" s="6" t="n">
        <v>32</v>
      </c>
      <c r="N946" s="6" t="n">
        <v>2</v>
      </c>
      <c r="O946" s="6" t="n">
        <v>8</v>
      </c>
      <c r="P946" s="6" t="n">
        <v>10460</v>
      </c>
      <c r="Q946" s="6" t="n">
        <v>1</v>
      </c>
      <c r="R946">
        <f>M946+IF(N946&gt;1,N(O946)*(N946-1),0)</f>
        <v/>
      </c>
      <c r="S946">
        <f>IFERROR(L946*MAX(N946,1)/R946*Q946*IF(ISBLANK(K945),1,K945),0)</f>
        <v/>
      </c>
      <c r="AB946" s="7" t="inlineStr">
        <is>
          <t>^ShrapnelWeapon</t>
        </is>
      </c>
    </row>
    <row r="947">
      <c r="B947" s="7" t="inlineStr">
        <is>
          <t xml:space="preserve">  ↳ TSChemVanMissile</t>
        </is>
      </c>
      <c r="C947" s="7" t="inlineStr">
        <is>
          <t>Armament@UPGRADE</t>
        </is>
      </c>
      <c r="L947" s="6" t="n">
        <v>24000</v>
      </c>
      <c r="M947" s="6" t="n">
        <v>32</v>
      </c>
      <c r="N947" s="6" t="n">
        <v>2</v>
      </c>
      <c r="O947" s="6" t="n">
        <v>8</v>
      </c>
      <c r="P947" s="6" t="n">
        <v>10460</v>
      </c>
      <c r="Q947" s="6" t="n">
        <v>1</v>
      </c>
      <c r="R947">
        <f>M947+IF(N947&gt;1,N(O947)*(N947-1),0)</f>
        <v/>
      </c>
      <c r="S947">
        <f>IFERROR(L947*MAX(N947,1)/R947*Q947*IF(ISBLANK(K945),1,K945),0)</f>
        <v/>
      </c>
      <c r="AB947" s="7" t="inlineStr">
        <is>
          <t>^MediumChemicalWeapon, ^ShrapnelWeapon</t>
        </is>
      </c>
    </row>
    <row r="948">
      <c r="A948" t="inlineStr">
        <is>
          <t>tiberiansun</t>
        </is>
      </c>
      <c r="B948" t="inlineStr">
        <is>
          <t>forgotten_mlrs</t>
        </is>
      </c>
      <c r="C948" t="inlineStr">
        <is>
          <t>actor_forgotten_mlrs.name</t>
        </is>
      </c>
      <c r="D948" s="6" t="inlineStr">
        <is>
          <t>Artillery</t>
        </is>
      </c>
      <c r="E948" s="6" t="n">
        <v>40000</v>
      </c>
      <c r="F948" s="6" t="n">
        <v>80</v>
      </c>
      <c r="G948" t="inlineStr">
        <is>
          <t>Medium</t>
        </is>
      </c>
      <c r="H948" s="6" t="n">
        <v>1</v>
      </c>
      <c r="I948" s="6" t="n">
        <v>1</v>
      </c>
      <c r="J948" s="6" t="n">
        <v>1</v>
      </c>
      <c r="K948" s="6" t="n"/>
      <c r="P948">
        <f>MAX(P949,P950)</f>
        <v/>
      </c>
      <c r="S948">
        <f>S949+S950</f>
        <v/>
      </c>
      <c r="T948">
        <f>(E948/100000+F948/100+(P948/1000)*J948/5+S948/200)*200*I948*H948</f>
        <v/>
      </c>
      <c r="U948">
        <f>((E948*F948/25000)+((P948/1000)*J948*S948/2.5))*I948*H948</f>
        <v/>
      </c>
      <c r="V948">
        <f>(E948*F948*(P948/1000)*J948*S948*I948*H948)/12500000</f>
        <v/>
      </c>
      <c r="W948">
        <f>(T948+U948+V948)/3</f>
        <v/>
      </c>
      <c r="X948" s="6" t="n">
        <v>2750</v>
      </c>
      <c r="Y948">
        <f>IFERROR(W948-X948,"")</f>
        <v/>
      </c>
      <c r="Z948">
        <f>IFERROR(ABS(Y948)/MAX(X948,1),"")</f>
        <v/>
      </c>
      <c r="AA948">
        <f>IFERROR((X948-(((E948/100000+F948/100+S948/200)*200*I948*H948)+((E948*F948/25000)*I948*H948))/3)/(((J948/5)*200*I948*H948)+((J948*S948/2.5)*I948*H948)+((E948*F948*J948*S948*I948*H948)/12500000))/3*1000,"")</f>
        <v/>
      </c>
    </row>
    <row r="949">
      <c r="B949" s="7" t="inlineStr">
        <is>
          <t xml:space="preserve">  ↳ TSMLRSMissile</t>
        </is>
      </c>
      <c r="C949" s="7" t="inlineStr">
        <is>
          <t>Armament@PRIMARY</t>
        </is>
      </c>
      <c r="L949" s="6" t="n">
        <v>24000</v>
      </c>
      <c r="M949" s="6" t="n">
        <v>34</v>
      </c>
      <c r="N949" s="6" t="n">
        <v>4</v>
      </c>
      <c r="O949" s="6" t="n">
        <v>2</v>
      </c>
      <c r="P949" s="6" t="n">
        <v>11913</v>
      </c>
      <c r="Q949" s="6" t="n">
        <v>1</v>
      </c>
      <c r="R949">
        <f>M949+IF(N949&gt;1,N(O949)*(N949-1),0)</f>
        <v/>
      </c>
      <c r="S949">
        <f>IFERROR(L949*MAX(N949,1)/R949*Q949*IF(ISBLANK(K948),1,K948),0)</f>
        <v/>
      </c>
      <c r="AB949" s="7" t="inlineStr">
        <is>
          <t>^ShrapnelWeapon</t>
        </is>
      </c>
    </row>
    <row r="950">
      <c r="B950" s="7" t="inlineStr">
        <is>
          <t xml:space="preserve">  ↳ TSChemMLRSMissile</t>
        </is>
      </c>
      <c r="C950" s="7" t="inlineStr">
        <is>
          <t>Armament@UPGRADE</t>
        </is>
      </c>
      <c r="L950" s="6" t="n">
        <v>24000</v>
      </c>
      <c r="M950" s="6" t="n">
        <v>34</v>
      </c>
      <c r="N950" s="6" t="n">
        <v>4</v>
      </c>
      <c r="O950" s="6" t="n">
        <v>2</v>
      </c>
      <c r="P950" s="6" t="n">
        <v>11913</v>
      </c>
      <c r="Q950" s="6" t="n">
        <v>1</v>
      </c>
      <c r="R950">
        <f>M950+IF(N950&gt;1,N(O950)*(N950-1),0)</f>
        <v/>
      </c>
      <c r="S950">
        <f>IFERROR(L950*MAX(N950,1)/R950*Q950*IF(ISBLANK(K948),1,K948),0)</f>
        <v/>
      </c>
      <c r="AB950" s="7" t="inlineStr">
        <is>
          <t>^MediumChemicalWeapon, ^ShrapnelWeapon</t>
        </is>
      </c>
    </row>
    <row r="951">
      <c r="A951" t="inlineStr">
        <is>
          <t>redalert2</t>
        </is>
      </c>
      <c r="B951" t="inlineStr">
        <is>
          <t>ra2_soviets_v3rocketlauncher</t>
        </is>
      </c>
      <c r="C951" t="inlineStr">
        <is>
          <t>V3 Rocket Launcher</t>
        </is>
      </c>
      <c r="D951" s="6" t="inlineStr">
        <is>
          <t>Artillery</t>
        </is>
      </c>
      <c r="E951" s="6" t="n">
        <v>37500</v>
      </c>
      <c r="F951" s="6" t="n">
        <v>75</v>
      </c>
      <c r="G951" t="inlineStr">
        <is>
          <t>Light</t>
        </is>
      </c>
      <c r="H951" s="6" t="n">
        <v>1</v>
      </c>
      <c r="I951" s="6" t="n">
        <v>0.25</v>
      </c>
      <c r="J951" s="6" t="n">
        <v>1</v>
      </c>
      <c r="K951" s="6" t="n">
        <v>1.25</v>
      </c>
      <c r="P951">
        <f>MAX(P952,P953)</f>
        <v/>
      </c>
      <c r="S951">
        <f>S952+S953</f>
        <v/>
      </c>
      <c r="T951">
        <f>(E951/100000+F951/100+(P951/1000)*J951/5+S951/200)*200*I951*H951</f>
        <v/>
      </c>
      <c r="U951">
        <f>((E951*F951/25000)+((P951/1000)*J951*S951/2.5))*I951*H951</f>
        <v/>
      </c>
      <c r="V951">
        <f>(E951*F951*(P951/1000)*J951*S951*I951*H951)/12500000</f>
        <v/>
      </c>
      <c r="W951">
        <f>(T951+U951+V951)/3</f>
        <v/>
      </c>
      <c r="X951" s="6" t="n">
        <v>900</v>
      </c>
      <c r="Y951">
        <f>IFERROR(W951-X951,"")</f>
        <v/>
      </c>
      <c r="Z951">
        <f>IFERROR(ABS(Y951)/MAX(X951,1),"")</f>
        <v/>
      </c>
      <c r="AA951">
        <f>IFERROR((X951-(((E951/100000+F951/100+S951/200)*200*I951*H951)+((E951*F951/25000)*I951*H951))/3)/(((J951/5)*200*I951*H951)+((J951*S951/2.5)*I951*H951)+((E951*F951*J951*S951*I951*H951)/12500000))/3*1000,"")</f>
        <v/>
      </c>
    </row>
    <row r="952">
      <c r="B952" s="7" t="inlineStr">
        <is>
          <t xml:space="preserve">  ↳ V3Launch</t>
        </is>
      </c>
      <c r="C952" s="7" t="inlineStr">
        <is>
          <t>Armament</t>
        </is>
      </c>
      <c r="L952" s="6" t="n"/>
      <c r="M952" s="6" t="n">
        <v>50</v>
      </c>
      <c r="N952" s="6" t="n">
        <v>1</v>
      </c>
      <c r="O952" s="6" t="n"/>
      <c r="P952" s="6" t="n">
        <v>15000</v>
      </c>
      <c r="Q952" s="6" t="n">
        <v>1</v>
      </c>
      <c r="R952">
        <f>M952+IF(N952&gt;1,N(O952)*(N952-1),0)</f>
        <v/>
      </c>
      <c r="S952">
        <f>IFERROR(L952*MAX(N952,1)/R952*Q952*IF(ISBLANK(K951),1,K951),0)</f>
        <v/>
      </c>
      <c r="AB952" s="7" t="inlineStr"/>
    </row>
    <row r="953">
      <c r="B953" s="7" t="inlineStr">
        <is>
          <t xml:space="preserve">  ↳ V3LaunchE</t>
        </is>
      </c>
      <c r="C953" s="7" t="inlineStr">
        <is>
          <t>Armament@PRIMARYELITE</t>
        </is>
      </c>
      <c r="L953" s="6" t="n"/>
      <c r="M953" s="6" t="n">
        <v>50</v>
      </c>
      <c r="N953" s="6" t="n">
        <v>1</v>
      </c>
      <c r="O953" s="6" t="n"/>
      <c r="P953" s="6" t="n">
        <v>20000</v>
      </c>
      <c r="Q953" s="6" t="n">
        <v>1</v>
      </c>
      <c r="R953">
        <f>M953+IF(N953&gt;1,N(O953)*(N953-1),0)</f>
        <v/>
      </c>
      <c r="S953">
        <f>IFERROR(L953*MAX(N953,1)/R953*Q953*IF(ISBLANK(K951),1,K951),0)</f>
        <v/>
      </c>
      <c r="AB953" s="7" t="inlineStr"/>
    </row>
    <row r="954">
      <c r="A954" t="inlineStr">
        <is>
          <t>redalert2mod</t>
        </is>
      </c>
      <c r="B954" t="inlineStr">
        <is>
          <t>asianalliance_howitzer</t>
        </is>
      </c>
      <c r="C954" t="inlineStr">
        <is>
          <t>Howitzer</t>
        </is>
      </c>
      <c r="D954" s="6" t="inlineStr">
        <is>
          <t>Artillery</t>
        </is>
      </c>
      <c r="E954" s="6" t="n">
        <v>40000</v>
      </c>
      <c r="F954" s="6" t="n">
        <v>60</v>
      </c>
      <c r="G954" t="inlineStr">
        <is>
          <t>Heavy</t>
        </is>
      </c>
      <c r="H954" s="6" t="n">
        <v>1</v>
      </c>
      <c r="I954" s="6" t="n">
        <v>1</v>
      </c>
      <c r="J954" s="6" t="n">
        <v>1</v>
      </c>
      <c r="K954" s="6" t="n"/>
      <c r="P954">
        <f>MAX(P955,P956)</f>
        <v/>
      </c>
      <c r="S954">
        <f>S955+S956</f>
        <v/>
      </c>
      <c r="T954">
        <f>(E954/100000+F954/100+(P954/1000)*J954/5+S954/200)*200*I954*H954</f>
        <v/>
      </c>
      <c r="U954">
        <f>((E954*F954/25000)+((P954/1000)*J954*S954/2.5))*I954*H954</f>
        <v/>
      </c>
      <c r="V954">
        <f>(E954*F954*(P954/1000)*J954*S954*I954*H954)/12500000</f>
        <v/>
      </c>
      <c r="W954">
        <f>(T954+U954+V954)/3</f>
        <v/>
      </c>
      <c r="X954" s="6" t="n">
        <v>1600</v>
      </c>
      <c r="Y954">
        <f>IFERROR(W954-X954,"")</f>
        <v/>
      </c>
      <c r="Z954">
        <f>IFERROR(ABS(Y954)/MAX(X954,1),"")</f>
        <v/>
      </c>
      <c r="AA954">
        <f>IFERROR((X954-(((E954/100000+F954/100+S954/200)*200*I954*H954)+((E954*F954/25000)*I954*H954))/3)/(((J954/5)*200*I954*H954)+((J954*S954/2.5)*I954*H954)+((E954*F954*J954*S954*I954*H954)/12500000))/3*1000,"")</f>
        <v/>
      </c>
    </row>
    <row r="955">
      <c r="B955" s="7" t="inlineStr">
        <is>
          <t xml:space="preserve">  ↳ AsianHowitzerCannon</t>
        </is>
      </c>
      <c r="C955" s="7" t="inlineStr">
        <is>
          <t>Armament</t>
        </is>
      </c>
      <c r="L955" s="6" t="n">
        <v>20000</v>
      </c>
      <c r="M955" s="6" t="n">
        <v>160</v>
      </c>
      <c r="N955" s="6" t="n">
        <v>1</v>
      </c>
      <c r="O955" s="6" t="n"/>
      <c r="P955" s="6" t="n">
        <v>16000</v>
      </c>
      <c r="Q955" s="6" t="n">
        <v>1.125</v>
      </c>
      <c r="R955">
        <f>M955+IF(N955&gt;1,N(O955)*(N955-1),0)</f>
        <v/>
      </c>
      <c r="S955">
        <f>IFERROR(L955*MAX(N955,1)/R955*Q955*IF(ISBLANK(K954),1,K954),0)</f>
        <v/>
      </c>
      <c r="AB955" s="7" t="inlineStr">
        <is>
          <t>^RA2MediumCannon, ^RA2HeavyCannon</t>
        </is>
      </c>
    </row>
    <row r="956">
      <c r="B956" s="7" t="inlineStr">
        <is>
          <t xml:space="preserve">  ↳ AsianHowitzerCannonE</t>
        </is>
      </c>
      <c r="C956" s="7" t="inlineStr">
        <is>
          <t>Armament@ELITE</t>
        </is>
      </c>
      <c r="L956" s="6" t="n">
        <v>20000</v>
      </c>
      <c r="M956" s="6" t="n">
        <v>160</v>
      </c>
      <c r="N956" s="6" t="n">
        <v>1</v>
      </c>
      <c r="O956" s="6" t="n"/>
      <c r="P956" s="6" t="n">
        <v>20000</v>
      </c>
      <c r="Q956" s="6" t="n">
        <v>1.125</v>
      </c>
      <c r="R956">
        <f>M956+IF(N956&gt;1,N(O956)*(N956-1),0)</f>
        <v/>
      </c>
      <c r="S956">
        <f>IFERROR(L956*MAX(N956,1)/R956*Q956*IF(ISBLANK(K954),1,K954),0)</f>
        <v/>
      </c>
      <c r="AB956" s="7" t="inlineStr">
        <is>
          <t>^RA2MediumCannon, ^RA2HeavyCannon</t>
        </is>
      </c>
    </row>
    <row r="957">
      <c r="A957" t="inlineStr">
        <is>
          <t>redalert2mod</t>
        </is>
      </c>
      <c r="B957" t="inlineStr">
        <is>
          <t>asianalliance_viper</t>
        </is>
      </c>
      <c r="C957" t="inlineStr">
        <is>
          <t>Viper</t>
        </is>
      </c>
      <c r="D957" s="6" t="inlineStr">
        <is>
          <t>Artillery</t>
        </is>
      </c>
      <c r="E957" s="6" t="n">
        <v>25000</v>
      </c>
      <c r="F957" s="6" t="n">
        <v>125</v>
      </c>
      <c r="G957" t="inlineStr">
        <is>
          <t>Light</t>
        </is>
      </c>
      <c r="H957" s="6" t="n">
        <v>1</v>
      </c>
      <c r="I957" s="6" t="n">
        <v>1</v>
      </c>
      <c r="J957" s="6" t="n">
        <v>1</v>
      </c>
      <c r="K957" s="6" t="n"/>
      <c r="P957">
        <f>MAX(P958,P959)</f>
        <v/>
      </c>
      <c r="S957">
        <f>S958+S959</f>
        <v/>
      </c>
      <c r="T957">
        <f>(E957/100000+F957/100+(P957/1000)*J957/5+S957/200)*200*I957*H957</f>
        <v/>
      </c>
      <c r="U957">
        <f>((E957*F957/25000)+((P957/1000)*J957*S957/2.5))*I957*H957</f>
        <v/>
      </c>
      <c r="V957">
        <f>(E957*F957*(P957/1000)*J957*S957*I957*H957)/12500000</f>
        <v/>
      </c>
      <c r="W957">
        <f>(T957+U957+V957)/3</f>
        <v/>
      </c>
      <c r="X957" s="6" t="n">
        <v>700</v>
      </c>
      <c r="Y957">
        <f>IFERROR(W957-X957,"")</f>
        <v/>
      </c>
      <c r="Z957">
        <f>IFERROR(ABS(Y957)/MAX(X957,1),"")</f>
        <v/>
      </c>
      <c r="AA957">
        <f>IFERROR((X957-(((E957/100000+F957/100+S957/200)*200*I957*H957)+((E957*F957/25000)*I957*H957))/3)/(((J957/5)*200*I957*H957)+((J957*S957/2.5)*I957*H957)+((E957*F957*J957*S957*I957*H957)/12500000))/3*1000,"")</f>
        <v/>
      </c>
    </row>
    <row r="958">
      <c r="B958" s="7" t="inlineStr">
        <is>
          <t xml:space="preserve">  ↳ AsianChemical</t>
        </is>
      </c>
      <c r="C958" s="7" t="inlineStr">
        <is>
          <t>Armament@PRIMARY</t>
        </is>
      </c>
      <c r="L958" s="6" t="n">
        <v>4000</v>
      </c>
      <c r="M958" s="6" t="n">
        <v>60</v>
      </c>
      <c r="N958" s="6" t="n">
        <v>1</v>
      </c>
      <c r="O958" s="6" t="n"/>
      <c r="P958" s="6" t="n">
        <v>9000</v>
      </c>
      <c r="Q958" s="6" t="n">
        <v>1.041666666666667</v>
      </c>
      <c r="R958">
        <f>M958+IF(N958&gt;1,N(O958)*(N958-1),0)</f>
        <v/>
      </c>
      <c r="S958">
        <f>IFERROR(L958*MAX(N958,1)/R958*Q958*IF(ISBLANK(K957),1,K957),0)</f>
        <v/>
      </c>
      <c r="AB958" s="7" t="inlineStr">
        <is>
          <t>^LightChemicalWeapon, ^MediumChemicalWeapon, ^HeavyChemicalWeapon, ^HeavyBomb, ^ShrapnelWeapon, ^RA2Grenade</t>
        </is>
      </c>
    </row>
    <row r="959">
      <c r="B959" s="7" t="inlineStr">
        <is>
          <t xml:space="preserve">  ↳ AsianChemicalE</t>
        </is>
      </c>
      <c r="C959" s="7" t="inlineStr">
        <is>
          <t>Armament@ELITE</t>
        </is>
      </c>
      <c r="L959" s="6" t="n">
        <v>4000</v>
      </c>
      <c r="M959" s="6" t="n">
        <v>60</v>
      </c>
      <c r="N959" s="6" t="n">
        <v>2</v>
      </c>
      <c r="O959" s="6" t="n">
        <v>3</v>
      </c>
      <c r="P959" s="6" t="n">
        <v>10000</v>
      </c>
      <c r="Q959" s="6" t="n">
        <v>1.041666666666667</v>
      </c>
      <c r="R959">
        <f>M959+IF(N959&gt;1,N(O959)*(N959-1),0)</f>
        <v/>
      </c>
      <c r="S959">
        <f>IFERROR(L959*MAX(N959,1)/R959*Q959*IF(ISBLANK(K957),1,K957),0)</f>
        <v/>
      </c>
      <c r="AB959" s="7" t="inlineStr">
        <is>
          <t>^LightChemicalWeapon, ^MediumChemicalWeapon, ^HeavyChemicalWeapon, ^HeavyBomb, ^ShrapnelWeapon, ^RA2Grenade</t>
        </is>
      </c>
    </row>
    <row r="960">
      <c r="A960" t="inlineStr">
        <is>
          <t>redalert2mod</t>
        </is>
      </c>
      <c r="B960" t="inlineStr">
        <is>
          <t>steelconsortium_dagger</t>
        </is>
      </c>
      <c r="C960" t="inlineStr">
        <is>
          <t>Dagger</t>
        </is>
      </c>
      <c r="D960" s="6" t="inlineStr">
        <is>
          <t>Artillery</t>
        </is>
      </c>
      <c r="E960" s="6" t="n">
        <v>25000</v>
      </c>
      <c r="F960" s="6" t="n">
        <v>100</v>
      </c>
      <c r="G960" t="inlineStr">
        <is>
          <t>Light</t>
        </is>
      </c>
      <c r="H960" s="6" t="n">
        <v>0.75</v>
      </c>
      <c r="I960" s="6" t="n">
        <v>1</v>
      </c>
      <c r="J960" s="6" t="n">
        <v>1</v>
      </c>
      <c r="K960" s="6" t="n"/>
      <c r="P960">
        <f>MAX(P961,P962)</f>
        <v/>
      </c>
      <c r="S960">
        <f>S961+S962</f>
        <v/>
      </c>
      <c r="T960">
        <f>(E960/100000+F960/100+(P960/1000)*J960/5+S960/200)*200*I960*H960</f>
        <v/>
      </c>
      <c r="U960">
        <f>((E960*F960/25000)+((P960/1000)*J960*S960/2.5))*I960*H960</f>
        <v/>
      </c>
      <c r="V960">
        <f>(E960*F960*(P960/1000)*J960*S960*I960*H960)/12500000</f>
        <v/>
      </c>
      <c r="W960">
        <f>(T960+U960+V960)/3</f>
        <v/>
      </c>
      <c r="X960" s="6" t="n">
        <v>1300</v>
      </c>
      <c r="Y960">
        <f>IFERROR(W960-X960,"")</f>
        <v/>
      </c>
      <c r="Z960">
        <f>IFERROR(ABS(Y960)/MAX(X960,1),"")</f>
        <v/>
      </c>
      <c r="AA960">
        <f>IFERROR((X960-(((E960/100000+F960/100+S960/200)*200*I960*H960)+((E960*F960/25000)*I960*H960))/3)/(((J960/5)*200*I960*H960)+((J960*S960/2.5)*I960*H960)+((E960*F960*J960*S960*I960*H960)/12500000))/3*1000,"")</f>
        <v/>
      </c>
    </row>
    <row r="961">
      <c r="B961" s="7" t="inlineStr">
        <is>
          <t xml:space="preserve">  ↳ SteelDaggerCannon</t>
        </is>
      </c>
      <c r="C961" s="7" t="inlineStr">
        <is>
          <t>Armament@PRIMARY</t>
        </is>
      </c>
      <c r="L961" s="6" t="n">
        <v>2000</v>
      </c>
      <c r="M961" s="6" t="n">
        <v>50</v>
      </c>
      <c r="N961" s="6" t="n">
        <v>4</v>
      </c>
      <c r="O961" s="6" t="n">
        <v>0</v>
      </c>
      <c r="P961" s="6" t="n">
        <v>20000</v>
      </c>
      <c r="Q961" s="6" t="n">
        <v>1.0625</v>
      </c>
      <c r="R961">
        <f>M961+IF(N961&gt;1,N(O961)*(N961-1),0)</f>
        <v/>
      </c>
      <c r="S961">
        <f>IFERROR(L961*MAX(N961,1)/R961*Q961*IF(ISBLANK(K960),1,K960),0)</f>
        <v/>
      </c>
      <c r="AB961" s="7" t="inlineStr">
        <is>
          <t>^MediumFlameWeapon, ^ShrapnelWeapon, ^RA2Grenade, ^SteelHeavyCannon</t>
        </is>
      </c>
    </row>
    <row r="962">
      <c r="B962" s="7" t="inlineStr">
        <is>
          <t xml:space="preserve">  ↳ SteelDaggerCannonE</t>
        </is>
      </c>
      <c r="C962" s="7" t="inlineStr">
        <is>
          <t>Armament@ELITE</t>
        </is>
      </c>
      <c r="L962" s="6" t="n">
        <v>2000</v>
      </c>
      <c r="M962" s="6" t="n">
        <v>50</v>
      </c>
      <c r="N962" s="6" t="n">
        <v>8</v>
      </c>
      <c r="O962" s="6" t="n">
        <v>0</v>
      </c>
      <c r="P962" s="6" t="n">
        <v>25000</v>
      </c>
      <c r="Q962" s="6" t="n">
        <v>1.0625</v>
      </c>
      <c r="R962">
        <f>M962+IF(N962&gt;1,N(O962)*(N962-1),0)</f>
        <v/>
      </c>
      <c r="S962">
        <f>IFERROR(L962*MAX(N962,1)/R962*Q962*IF(ISBLANK(K960),1,K960),0)</f>
        <v/>
      </c>
      <c r="AB962" s="7" t="inlineStr">
        <is>
          <t>^MediumFlameWeapon, ^ShrapnelWeapon, ^RA2Grenade, ^SteelHeavyCannon</t>
        </is>
      </c>
    </row>
    <row r="963">
      <c r="A963" t="inlineStr">
        <is>
          <t>redalert2mod</t>
        </is>
      </c>
      <c r="B963" t="inlineStr">
        <is>
          <t>steelconsortium_hammerheadartillerytank</t>
        </is>
      </c>
      <c r="C963" t="inlineStr">
        <is>
          <t>Hammerhead Artillery Tank</t>
        </is>
      </c>
      <c r="D963" s="6" t="inlineStr">
        <is>
          <t>Artillery</t>
        </is>
      </c>
      <c r="E963" s="6" t="n">
        <v>52500</v>
      </c>
      <c r="F963" s="6" t="n">
        <v>100</v>
      </c>
      <c r="G963" t="inlineStr">
        <is>
          <t>Medium</t>
        </is>
      </c>
      <c r="H963" s="6" t="n">
        <v>1</v>
      </c>
      <c r="I963" s="6" t="n">
        <v>1</v>
      </c>
      <c r="J963" s="6" t="n">
        <v>1</v>
      </c>
      <c r="K963" s="6" t="n"/>
      <c r="P963">
        <f>MAX(P964,P965,P966)</f>
        <v/>
      </c>
      <c r="S963">
        <f>S964+S965+S966</f>
        <v/>
      </c>
      <c r="T963">
        <f>(E963/100000+F963/100+(P963/1000)*J963/5+S963/200)*200*I963*H963</f>
        <v/>
      </c>
      <c r="U963">
        <f>((E963*F963/25000)+((P963/1000)*J963*S963/2.5))*I963*H963</f>
        <v/>
      </c>
      <c r="V963">
        <f>(E963*F963*(P963/1000)*J963*S963*I963*H963)/12500000</f>
        <v/>
      </c>
      <c r="W963">
        <f>(T963+U963+V963)/3</f>
        <v/>
      </c>
      <c r="X963" s="6" t="n">
        <v>1000</v>
      </c>
      <c r="Y963">
        <f>IFERROR(W963-X963,"")</f>
        <v/>
      </c>
      <c r="Z963">
        <f>IFERROR(ABS(Y963)/MAX(X963,1),"")</f>
        <v/>
      </c>
      <c r="AA963">
        <f>IFERROR((X963-(((E963/100000+F963/100+S963/200)*200*I963*H963)+((E963*F963/25000)*I963*H963))/3)/(((J963/5)*200*I963*H963)+((J963*S963/2.5)*I963*H963)+((E963*F963*J963*S963*I963*H963)/12500000))/3*1000,"")</f>
        <v/>
      </c>
    </row>
    <row r="964">
      <c r="B964" s="7" t="inlineStr">
        <is>
          <t xml:space="preserve">  ↳ HammerheadTankCannon</t>
        </is>
      </c>
      <c r="C964" s="7" t="inlineStr">
        <is>
          <t>Armament@Undeployed</t>
        </is>
      </c>
      <c r="L964" s="6" t="n">
        <v>24000</v>
      </c>
      <c r="M964" s="6" t="n">
        <v>55</v>
      </c>
      <c r="N964" s="6" t="n">
        <v>1</v>
      </c>
      <c r="O964" s="6" t="n"/>
      <c r="P964" s="6" t="n">
        <v>5150</v>
      </c>
      <c r="Q964" s="6" t="n">
        <v>1</v>
      </c>
      <c r="R964">
        <f>M964+IF(N964&gt;1,N(O964)*(N964-1),0)</f>
        <v/>
      </c>
      <c r="S964">
        <f>IFERROR(L964*MAX(N964,1)/R964*Q964*IF(ISBLANK(K963),1,K963),0)</f>
        <v/>
      </c>
      <c r="AB964" s="7" t="inlineStr">
        <is>
          <t>^RA2MediumCannon</t>
        </is>
      </c>
    </row>
    <row r="965">
      <c r="B965" s="7" t="inlineStr">
        <is>
          <t xml:space="preserve">  ↳ HammerheadArtillery</t>
        </is>
      </c>
      <c r="C965" s="7" t="inlineStr">
        <is>
          <t>Armament@Deployed</t>
        </is>
      </c>
      <c r="L965" s="6" t="n">
        <v>11111</v>
      </c>
      <c r="M965" s="6" t="n">
        <v>111</v>
      </c>
      <c r="N965" s="6" t="n">
        <v>1</v>
      </c>
      <c r="O965" s="6" t="n"/>
      <c r="P965" s="6" t="n">
        <v>11111</v>
      </c>
      <c r="Q965" s="6" t="n">
        <v>1.083333333333333</v>
      </c>
      <c r="R965">
        <f>M965+IF(N965&gt;1,N(O965)*(N965-1),0)</f>
        <v/>
      </c>
      <c r="S965">
        <f>IFERROR(L965*MAX(N965,1)/R965*Q965*IF(ISBLANK(K963),1,K963),0)</f>
        <v/>
      </c>
      <c r="AB965" s="7" t="inlineStr">
        <is>
          <t>^RA2Grenade, ^HeavyBomb, ^SteelMediumCannon</t>
        </is>
      </c>
    </row>
    <row r="966">
      <c r="B966" s="7" t="inlineStr">
        <is>
          <t xml:space="preserve">  ↳ deploytargeting.10c0</t>
        </is>
      </c>
      <c r="C966" s="7" t="inlineStr">
        <is>
          <t>Armament@BOT</t>
        </is>
      </c>
      <c r="L966" s="6" t="n"/>
      <c r="M966" s="6" t="n">
        <v>50</v>
      </c>
      <c r="N966" s="6" t="n">
        <v>1</v>
      </c>
      <c r="O966" s="6" t="n"/>
      <c r="P966" s="6" t="n">
        <v>10000</v>
      </c>
      <c r="Q966" s="6" t="n">
        <v>1</v>
      </c>
      <c r="R966">
        <f>M966+IF(N966&gt;1,N(O966)*(N966-1),0)</f>
        <v/>
      </c>
      <c r="S966">
        <f>IFERROR(L966*MAX(N966,1)/R966*Q966*IF(ISBLANK(K963),1,K963),0)</f>
        <v/>
      </c>
      <c r="AB966" s="7" t="inlineStr">
        <is>
          <t>^deploytargeting</t>
        </is>
      </c>
    </row>
    <row r="967">
      <c r="A967" t="inlineStr">
        <is>
          <t>redalert2mod</t>
        </is>
      </c>
      <c r="B967" t="inlineStr">
        <is>
          <t>latinsyndicate_burrito</t>
        </is>
      </c>
      <c r="C967" t="inlineStr">
        <is>
          <t>Burrito</t>
        </is>
      </c>
      <c r="D967" s="6" t="inlineStr">
        <is>
          <t>Artillery</t>
        </is>
      </c>
      <c r="E967" s="6" t="n">
        <v>35000</v>
      </c>
      <c r="F967" s="6" t="n">
        <v>80</v>
      </c>
      <c r="G967" t="inlineStr">
        <is>
          <t>Medium</t>
        </is>
      </c>
      <c r="H967" s="6" t="n">
        <v>0.75</v>
      </c>
      <c r="I967" s="6" t="n">
        <v>0.5</v>
      </c>
      <c r="J967" s="6" t="n">
        <v>1</v>
      </c>
      <c r="K967" s="6" t="n">
        <v>1.25</v>
      </c>
      <c r="P967">
        <f>MAX(P968,P969)</f>
        <v/>
      </c>
      <c r="S967">
        <f>S968+S969</f>
        <v/>
      </c>
      <c r="T967">
        <f>(E967/100000+F967/100+(P967/1000)*J967/5+S967/200)*200*I967*H967</f>
        <v/>
      </c>
      <c r="U967">
        <f>((E967*F967/25000)+((P967/1000)*J967*S967/2.5))*I967*H967</f>
        <v/>
      </c>
      <c r="V967">
        <f>(E967*F967*(P967/1000)*J967*S967*I967*H967)/12500000</f>
        <v/>
      </c>
      <c r="W967">
        <f>(T967+U967+V967)/3</f>
        <v/>
      </c>
      <c r="X967" s="6" t="n">
        <v>1800</v>
      </c>
      <c r="Y967">
        <f>IFERROR(W967-X967,"")</f>
        <v/>
      </c>
      <c r="Z967">
        <f>IFERROR(ABS(Y967)/MAX(X967,1),"")</f>
        <v/>
      </c>
      <c r="AA967">
        <f>IFERROR((X967-(((E967/100000+F967/100+S967/200)*200*I967*H967)+((E967*F967/25000)*I967*H967))/3)/(((J967/5)*200*I967*H967)+((J967*S967/2.5)*I967*H967)+((E967*F967*J967*S967*I967*H967)/12500000))/3*1000,"")</f>
        <v/>
      </c>
    </row>
    <row r="968">
      <c r="B968" s="7" t="inlineStr">
        <is>
          <t xml:space="preserve">  ↳ RA2RBurritoRocket</t>
        </is>
      </c>
      <c r="C968" s="7" t="inlineStr">
        <is>
          <t>Armament</t>
        </is>
      </c>
      <c r="L968" s="6" t="n">
        <v>4000</v>
      </c>
      <c r="M968" s="6" t="n">
        <v>122</v>
      </c>
      <c r="N968" s="6" t="n">
        <v>8</v>
      </c>
      <c r="O968" s="6" t="n">
        <v>4</v>
      </c>
      <c r="P968" s="6" t="n">
        <v>12000</v>
      </c>
      <c r="Q968" s="6" t="n">
        <v>1.1</v>
      </c>
      <c r="R968">
        <f>M968+IF(N968&gt;1,N(O968)*(N968-1),0)</f>
        <v/>
      </c>
      <c r="S968">
        <f>IFERROR(L968*MAX(N968,1)/R968*Q968*IF(ISBLANK(K967),1,K967),0)</f>
        <v/>
      </c>
      <c r="AB968" s="7" t="inlineStr">
        <is>
          <t>^RA2Grenade, ^ShrapnelWeapon, ^MediumFlameWeapon, ^HeavyBomb, ^RA2HeavyMissile</t>
        </is>
      </c>
    </row>
    <row r="969">
      <c r="B969" s="7" t="inlineStr">
        <is>
          <t xml:space="preserve">  ↳ RA2RBurritoRocket</t>
        </is>
      </c>
      <c r="C969" s="7" t="inlineStr">
        <is>
          <t>Armament@PRIMARYELITE</t>
        </is>
      </c>
      <c r="L969" s="6" t="n">
        <v>4000</v>
      </c>
      <c r="M969" s="6" t="n">
        <v>122</v>
      </c>
      <c r="N969" s="6" t="n">
        <v>8</v>
      </c>
      <c r="O969" s="6" t="n">
        <v>4</v>
      </c>
      <c r="P969" s="6" t="n">
        <v>12000</v>
      </c>
      <c r="Q969" s="6" t="n">
        <v>1.1</v>
      </c>
      <c r="R969">
        <f>M969+IF(N969&gt;1,N(O969)*(N969-1),0)</f>
        <v/>
      </c>
      <c r="S969">
        <f>IFERROR(L969*MAX(N969,1)/R969*Q969*IF(ISBLANK(K967),1,K967),0)</f>
        <v/>
      </c>
      <c r="AB969" s="7" t="inlineStr">
        <is>
          <t>^RA2Grenade, ^ShrapnelWeapon, ^MediumFlameWeapon, ^HeavyBomb, ^RA2HeavyMissile</t>
        </is>
      </c>
    </row>
    <row r="970">
      <c r="A970" t="inlineStr">
        <is>
          <t>redalert2mod</t>
        </is>
      </c>
      <c r="B970" t="inlineStr">
        <is>
          <t>naxis_brummbr</t>
        </is>
      </c>
      <c r="C970" t="inlineStr">
        <is>
          <t>Brummbär</t>
        </is>
      </c>
      <c r="D970" s="6" t="inlineStr">
        <is>
          <t>Artillery</t>
        </is>
      </c>
      <c r="E970" s="6" t="n">
        <v>90000</v>
      </c>
      <c r="F970" s="6" t="n">
        <v>60</v>
      </c>
      <c r="G970" t="inlineStr">
        <is>
          <t>Light</t>
        </is>
      </c>
      <c r="H970" s="6" t="n">
        <v>1</v>
      </c>
      <c r="I970" s="6" t="n">
        <v>0.5</v>
      </c>
      <c r="J970" s="6" t="n">
        <v>1</v>
      </c>
      <c r="K970" s="6" t="n"/>
      <c r="P970">
        <f>MAX(P971,P972)</f>
        <v/>
      </c>
      <c r="S970">
        <f>S971+S972</f>
        <v/>
      </c>
      <c r="T970">
        <f>(E970/100000+F970/100+(P970/1000)*J970/5+S970/200)*200*I970*H970</f>
        <v/>
      </c>
      <c r="U970">
        <f>((E970*F970/25000)+((P970/1000)*J970*S970/2.5))*I970*H970</f>
        <v/>
      </c>
      <c r="V970">
        <f>(E970*F970*(P970/1000)*J970*S970*I970*H970)/12500000</f>
        <v/>
      </c>
      <c r="W970">
        <f>(T970+U970+V970)/3</f>
        <v/>
      </c>
      <c r="X970" s="6" t="n">
        <v>1100</v>
      </c>
      <c r="Y970">
        <f>IFERROR(W970-X970,"")</f>
        <v/>
      </c>
      <c r="Z970">
        <f>IFERROR(ABS(Y970)/MAX(X970,1),"")</f>
        <v/>
      </c>
      <c r="AA970">
        <f>IFERROR((X970-(((E970/100000+F970/100+S970/200)*200*I970*H970)+((E970*F970/25000)*I970*H970))/3)/(((J970/5)*200*I970*H970)+((J970*S970/2.5)*I970*H970)+((E970*F970*J970*S970*I970*H970)/12500000))/3*1000,"")</f>
        <v/>
      </c>
    </row>
    <row r="971">
      <c r="B971" s="7" t="inlineStr">
        <is>
          <t xml:space="preserve">  ↳ NaxBrummbarArty</t>
        </is>
      </c>
      <c r="C971" s="7" t="inlineStr">
        <is>
          <t>Armament@AG</t>
        </is>
      </c>
      <c r="L971" s="6" t="n">
        <v>14000</v>
      </c>
      <c r="M971" s="6" t="n">
        <v>140</v>
      </c>
      <c r="N971" s="6" t="n">
        <v>1</v>
      </c>
      <c r="O971" s="6" t="n"/>
      <c r="P971" s="6" t="n">
        <v>14000</v>
      </c>
      <c r="Q971" s="6" t="n">
        <v>1.125</v>
      </c>
      <c r="R971">
        <f>M971+IF(N971&gt;1,N(O971)*(N971-1),0)</f>
        <v/>
      </c>
      <c r="S971">
        <f>IFERROR(L971*MAX(N971,1)/R971*Q971*IF(ISBLANK(K970),1,K970),0)</f>
        <v/>
      </c>
      <c r="AB971" s="7" t="inlineStr">
        <is>
          <t>^HeavyBomb, ^HeavyCannon, ^ShrapnelWeapon, ^RA2MediumCannon</t>
        </is>
      </c>
    </row>
    <row r="972">
      <c r="B972" s="7" t="inlineStr">
        <is>
          <t xml:space="preserve">  ↳ NaxBrummbarArtyE</t>
        </is>
      </c>
      <c r="C972" s="7" t="inlineStr">
        <is>
          <t>Armament@elite</t>
        </is>
      </c>
      <c r="L972" s="6" t="n">
        <v>14000</v>
      </c>
      <c r="M972" s="6" t="n">
        <v>140</v>
      </c>
      <c r="N972" s="6" t="n">
        <v>2</v>
      </c>
      <c r="O972" s="6" t="n">
        <v>3</v>
      </c>
      <c r="P972" s="6" t="n">
        <v>15000</v>
      </c>
      <c r="Q972" s="6" t="n">
        <v>1.125</v>
      </c>
      <c r="R972">
        <f>M972+IF(N972&gt;1,N(O972)*(N972-1),0)</f>
        <v/>
      </c>
      <c r="S972">
        <f>IFERROR(L972*MAX(N972,1)/R972*Q972*IF(ISBLANK(K970),1,K970),0)</f>
        <v/>
      </c>
      <c r="AB972" s="7" t="inlineStr">
        <is>
          <t>^HeavyBomb, ^HeavyCannon, ^ShrapnelWeapon, ^RA2MediumCannon, ^RA2EliteEffects</t>
        </is>
      </c>
    </row>
    <row r="973">
      <c r="A973" t="inlineStr">
        <is>
          <t>redalert2mod</t>
        </is>
      </c>
      <c r="B973" t="inlineStr">
        <is>
          <t>naxis_donnerschlag</t>
        </is>
      </c>
      <c r="C973" t="inlineStr">
        <is>
          <t>Donnerschlag</t>
        </is>
      </c>
      <c r="D973" s="6" t="inlineStr">
        <is>
          <t>Artillery</t>
        </is>
      </c>
      <c r="E973" s="6" t="n">
        <v>80000</v>
      </c>
      <c r="F973" s="6" t="n">
        <v>40</v>
      </c>
      <c r="G973" t="inlineStr">
        <is>
          <t>Medium</t>
        </is>
      </c>
      <c r="H973" s="6" t="n">
        <v>1</v>
      </c>
      <c r="I973" s="6" t="n">
        <v>0.5</v>
      </c>
      <c r="J973" s="6" t="n">
        <v>1</v>
      </c>
      <c r="K973" s="6" t="n">
        <v>1.25</v>
      </c>
      <c r="P973">
        <f>MAX(P974,P975)</f>
        <v/>
      </c>
      <c r="S973">
        <f>S974+S975</f>
        <v/>
      </c>
      <c r="T973">
        <f>(E973/100000+F973/100+(P973/1000)*J973/5+S973/200)*200*I973*H973</f>
        <v/>
      </c>
      <c r="U973">
        <f>((E973*F973/25000)+((P973/1000)*J973*S973/2.5))*I973*H973</f>
        <v/>
      </c>
      <c r="V973">
        <f>(E973*F973*(P973/1000)*J973*S973*I973*H973)/12500000</f>
        <v/>
      </c>
      <c r="W973">
        <f>(T973+U973+V973)/3</f>
        <v/>
      </c>
      <c r="X973" s="6" t="n">
        <v>2300</v>
      </c>
      <c r="Y973">
        <f>IFERROR(W973-X973,"")</f>
        <v/>
      </c>
      <c r="Z973">
        <f>IFERROR(ABS(Y973)/MAX(X973,1),"")</f>
        <v/>
      </c>
      <c r="AA973">
        <f>IFERROR((X973-(((E973/100000+F973/100+S973/200)*200*I973*H973)+((E973*F973/25000)*I973*H973))/3)/(((J973/5)*200*I973*H973)+((J973*S973/2.5)*I973*H973)+((E973*F973*J973*S973*I973*H973)/12500000))/3*1000,"")</f>
        <v/>
      </c>
    </row>
    <row r="974">
      <c r="B974" s="7" t="inlineStr">
        <is>
          <t xml:space="preserve">  ↳ NaxisDonnerschlagTarget</t>
        </is>
      </c>
      <c r="C974" s="7" t="inlineStr">
        <is>
          <t>Armament</t>
        </is>
      </c>
      <c r="L974" s="6" t="n"/>
      <c r="M974" s="6" t="n">
        <v>15</v>
      </c>
      <c r="N974" s="6" t="n">
        <v>1</v>
      </c>
      <c r="O974" s="6" t="n"/>
      <c r="P974" s="6" t="n">
        <v>20130</v>
      </c>
      <c r="Q974" s="6" t="n">
        <v>1</v>
      </c>
      <c r="R974">
        <f>M974+IF(N974&gt;1,N(O974)*(N974-1),0)</f>
        <v/>
      </c>
      <c r="S974">
        <f>IFERROR(L974*MAX(N974,1)/R974*Q974*IF(ISBLANK(K973),1,K973),0)</f>
        <v/>
      </c>
      <c r="AB974" s="7" t="inlineStr"/>
    </row>
    <row r="975">
      <c r="B975" s="7" t="inlineStr">
        <is>
          <t xml:space="preserve">  ↳ NaxisDonnerschlagTargetVisualLaser</t>
        </is>
      </c>
      <c r="C975" s="7" t="inlineStr">
        <is>
          <t>Armament@VISUAL</t>
        </is>
      </c>
      <c r="L975" s="6" t="n"/>
      <c r="M975" s="6" t="n">
        <v>3</v>
      </c>
      <c r="N975" s="6" t="n">
        <v>1</v>
      </c>
      <c r="O975" s="6" t="n"/>
      <c r="P975" s="6" t="n">
        <v>20130</v>
      </c>
      <c r="Q975" s="6" t="n">
        <v>1</v>
      </c>
      <c r="R975">
        <f>M975+IF(N975&gt;1,N(O975)*(N975-1),0)</f>
        <v/>
      </c>
      <c r="S975">
        <f>IFERROR(L975*MAX(N975,1)/R975*Q975*IF(ISBLANK(K973),1,K973),0)</f>
        <v/>
      </c>
      <c r="AB975" s="7" t="inlineStr"/>
    </row>
    <row r="976">
      <c r="A976" t="inlineStr">
        <is>
          <t>redalert2mod</t>
        </is>
      </c>
      <c r="B976" t="inlineStr">
        <is>
          <t>naxis_grille</t>
        </is>
      </c>
      <c r="C976" t="inlineStr">
        <is>
          <t>Grille</t>
        </is>
      </c>
      <c r="D976" s="6" t="inlineStr">
        <is>
          <t>Artillery</t>
        </is>
      </c>
      <c r="E976" s="6" t="n">
        <v>40000</v>
      </c>
      <c r="F976" s="6" t="n">
        <v>80</v>
      </c>
      <c r="G976" t="inlineStr">
        <is>
          <t>Light</t>
        </is>
      </c>
      <c r="H976" s="6" t="n">
        <v>1</v>
      </c>
      <c r="I976" s="6" t="n">
        <v>0.5</v>
      </c>
      <c r="J976" s="6" t="n">
        <v>1</v>
      </c>
      <c r="K976" s="6" t="n"/>
      <c r="P976">
        <f>MAX(P977,P978)</f>
        <v/>
      </c>
      <c r="S976">
        <f>S977+S978</f>
        <v/>
      </c>
      <c r="T976">
        <f>(E976/100000+F976/100+(P976/1000)*J976/5+S976/200)*200*I976*H976</f>
        <v/>
      </c>
      <c r="U976">
        <f>((E976*F976/25000)+((P976/1000)*J976*S976/2.5))*I976*H976</f>
        <v/>
      </c>
      <c r="V976">
        <f>(E976*F976*(P976/1000)*J976*S976*I976*H976)/12500000</f>
        <v/>
      </c>
      <c r="W976">
        <f>(T976+U976+V976)/3</f>
        <v/>
      </c>
      <c r="X976" s="6" t="n">
        <v>800</v>
      </c>
      <c r="Y976">
        <f>IFERROR(W976-X976,"")</f>
        <v/>
      </c>
      <c r="Z976">
        <f>IFERROR(ABS(Y976)/MAX(X976,1),"")</f>
        <v/>
      </c>
      <c r="AA976">
        <f>IFERROR((X976-(((E976/100000+F976/100+S976/200)*200*I976*H976)+((E976*F976/25000)*I976*H976))/3)/(((J976/5)*200*I976*H976)+((J976*S976/2.5)*I976*H976)+((E976*F976*J976*S976*I976*H976)/12500000))/3*1000,"")</f>
        <v/>
      </c>
    </row>
    <row r="977">
      <c r="B977" s="7" t="inlineStr">
        <is>
          <t xml:space="preserve">  ↳ NaxGrilleArty</t>
        </is>
      </c>
      <c r="C977" s="7" t="inlineStr">
        <is>
          <t>Armament@AG</t>
        </is>
      </c>
      <c r="L977" s="6" t="n">
        <v>16000</v>
      </c>
      <c r="M977" s="6" t="n">
        <v>111</v>
      </c>
      <c r="N977" s="6" t="n">
        <v>1</v>
      </c>
      <c r="O977" s="6" t="n"/>
      <c r="P977" s="6" t="n">
        <v>12345</v>
      </c>
      <c r="Q977" s="6" t="n">
        <v>1.083333333333333</v>
      </c>
      <c r="R977">
        <f>M977+IF(N977&gt;1,N(O977)*(N977-1),0)</f>
        <v/>
      </c>
      <c r="S977">
        <f>IFERROR(L977*MAX(N977,1)/R977*Q977*IF(ISBLANK(K976),1,K976),0)</f>
        <v/>
      </c>
      <c r="AB977" s="7" t="inlineStr">
        <is>
          <t>^HeavyCannon, ^ShrapnelWeapon, ^RA2Grenade</t>
        </is>
      </c>
    </row>
    <row r="978">
      <c r="B978" s="7" t="inlineStr">
        <is>
          <t xml:space="preserve">  ↳ NaxGrilleArtyE</t>
        </is>
      </c>
      <c r="C978" s="7" t="inlineStr">
        <is>
          <t>Armament@elite</t>
        </is>
      </c>
      <c r="L978" s="6" t="n">
        <v>16000</v>
      </c>
      <c r="M978" s="6" t="n">
        <v>111</v>
      </c>
      <c r="N978" s="6" t="n">
        <v>2</v>
      </c>
      <c r="O978" s="6" t="n">
        <v>3</v>
      </c>
      <c r="P978" s="6" t="n">
        <v>13333</v>
      </c>
      <c r="Q978" s="6" t="n">
        <v>1.083333333333333</v>
      </c>
      <c r="R978">
        <f>M978+IF(N978&gt;1,N(O978)*(N978-1),0)</f>
        <v/>
      </c>
      <c r="S978">
        <f>IFERROR(L978*MAX(N978,1)/R978*Q978*IF(ISBLANK(K976),1,K976),0)</f>
        <v/>
      </c>
      <c r="AB978" s="7" t="inlineStr">
        <is>
          <t>^HeavyCannon, ^ShrapnelWeapon, ^RA2Grenade, ^RA2EliteEffects</t>
        </is>
      </c>
    </row>
    <row r="979">
      <c r="A979" t="inlineStr">
        <is>
          <t>redalert2mod</t>
        </is>
      </c>
      <c r="B979" t="inlineStr">
        <is>
          <t>schwarzermond_lunargrille</t>
        </is>
      </c>
      <c r="C979" t="inlineStr">
        <is>
          <t>Lunar Grille</t>
        </is>
      </c>
      <c r="D979" s="6" t="inlineStr">
        <is>
          <t>Artillery</t>
        </is>
      </c>
      <c r="E979" s="6" t="n">
        <v>62500</v>
      </c>
      <c r="F979" s="6" t="n">
        <v>90</v>
      </c>
      <c r="G979" t="inlineStr">
        <is>
          <t>Medium</t>
        </is>
      </c>
      <c r="H979" s="6" t="n">
        <v>1</v>
      </c>
      <c r="I979" s="6" t="n">
        <v>0.5</v>
      </c>
      <c r="J979" s="6" t="n">
        <v>1</v>
      </c>
      <c r="K979" s="6" t="n"/>
      <c r="P979">
        <f>MAX(P980,P981,P982,P983)</f>
        <v/>
      </c>
      <c r="S979">
        <f>S980+S981+S982+S983</f>
        <v/>
      </c>
      <c r="T979">
        <f>(E979/100000+F979/100+(P979/1000)*J979/5+S979/200)*200*I979*H979</f>
        <v/>
      </c>
      <c r="U979">
        <f>((E979*F979/25000)+((P979/1000)*J979*S979/2.5))*I979*H979</f>
        <v/>
      </c>
      <c r="V979">
        <f>(E979*F979*(P979/1000)*J979*S979*I979*H979)/12500000</f>
        <v/>
      </c>
      <c r="W979">
        <f>(T979+U979+V979)/3</f>
        <v/>
      </c>
      <c r="X979" s="6" t="n">
        <v>600</v>
      </c>
      <c r="Y979">
        <f>IFERROR(W979-X979,"")</f>
        <v/>
      </c>
      <c r="Z979">
        <f>IFERROR(ABS(Y979)/MAX(X979,1),"")</f>
        <v/>
      </c>
      <c r="AA979">
        <f>IFERROR((X979-(((E979/100000+F979/100+S979/200)*200*I979*H979)+((E979*F979/25000)*I979*H979))/3)/(((J979/5)*200*I979*H979)+((J979*S979/2.5)*I979*H979)+((E979*F979*J979*S979*I979*H979)/12500000))/3*1000,"")</f>
        <v/>
      </c>
    </row>
    <row r="980">
      <c r="B980" s="7" t="inlineStr">
        <is>
          <t xml:space="preserve">  ↳ NaxGrilleArty</t>
        </is>
      </c>
      <c r="C980" s="7" t="inlineStr">
        <is>
          <t>Armament@AG</t>
        </is>
      </c>
      <c r="L980" s="6" t="n">
        <v>16000</v>
      </c>
      <c r="M980" s="6" t="n">
        <v>111</v>
      </c>
      <c r="N980" s="6" t="n">
        <v>1</v>
      </c>
      <c r="O980" s="6" t="n"/>
      <c r="P980" s="6" t="n">
        <v>12345</v>
      </c>
      <c r="Q980" s="6" t="n">
        <v>1.083333333333333</v>
      </c>
      <c r="R980">
        <f>M980+IF(N980&gt;1,N(O980)*(N980-1),0)</f>
        <v/>
      </c>
      <c r="S980">
        <f>IFERROR(L980*MAX(N980,1)/R980*Q980*IF(ISBLANK(K979),1,K979),0)</f>
        <v/>
      </c>
      <c r="AB980" s="7" t="inlineStr">
        <is>
          <t>^HeavyCannon, ^ShrapnelWeapon, ^RA2Grenade</t>
        </is>
      </c>
    </row>
    <row r="981">
      <c r="B981" s="7" t="inlineStr">
        <is>
          <t xml:space="preserve">  ↳ NaxGrilleArtyE</t>
        </is>
      </c>
      <c r="C981" s="7" t="inlineStr">
        <is>
          <t>Armament@elite</t>
        </is>
      </c>
      <c r="L981" s="6" t="n">
        <v>16000</v>
      </c>
      <c r="M981" s="6" t="n">
        <v>111</v>
      </c>
      <c r="N981" s="6" t="n">
        <v>2</v>
      </c>
      <c r="O981" s="6" t="n">
        <v>3</v>
      </c>
      <c r="P981" s="6" t="n">
        <v>13333</v>
      </c>
      <c r="Q981" s="6" t="n">
        <v>1.083333333333333</v>
      </c>
      <c r="R981">
        <f>M981+IF(N981&gt;1,N(O981)*(N981-1),0)</f>
        <v/>
      </c>
      <c r="S981">
        <f>IFERROR(L981*MAX(N981,1)/R981*Q981*IF(ISBLANK(K979),1,K979),0)</f>
        <v/>
      </c>
      <c r="AB981" s="7" t="inlineStr">
        <is>
          <t>^HeavyCannon, ^ShrapnelWeapon, ^RA2Grenade, ^RA2EliteEffects</t>
        </is>
      </c>
    </row>
    <row r="982">
      <c r="B982" s="7" t="inlineStr">
        <is>
          <t xml:space="preserve">  ↳ Lunar_GreenGrilleArty</t>
        </is>
      </c>
      <c r="C982" s="7" t="inlineStr">
        <is>
          <t>Armament@upgraded</t>
        </is>
      </c>
      <c r="L982" s="6" t="n">
        <v>16000</v>
      </c>
      <c r="M982" s="6" t="n">
        <v>111</v>
      </c>
      <c r="N982" s="6" t="n">
        <v>1</v>
      </c>
      <c r="O982" s="6" t="n"/>
      <c r="P982" s="6" t="n">
        <v>12345</v>
      </c>
      <c r="Q982" s="6" t="n">
        <v>1.0625</v>
      </c>
      <c r="R982">
        <f>M982+IF(N982&gt;1,N(O982)*(N982-1),0)</f>
        <v/>
      </c>
      <c r="S982">
        <f>IFERROR(L982*MAX(N982,1)/R982*Q982*IF(ISBLANK(K979),1,K979),0)</f>
        <v/>
      </c>
      <c r="AB982" s="7" t="inlineStr">
        <is>
          <t>^TeslaWeapon, ^HeavyCannon, ^ShrapnelWeapon, ^RA2Grenade, ^LunarNaxisUpgradedCannons</t>
        </is>
      </c>
    </row>
    <row r="983">
      <c r="B983" s="7" t="inlineStr">
        <is>
          <t xml:space="preserve">  ↳ Lunar_GreenGrilleArtyE</t>
        </is>
      </c>
      <c r="C983" s="7" t="inlineStr">
        <is>
          <t>Armament@elite-upgrade</t>
        </is>
      </c>
      <c r="L983" s="6" t="n">
        <v>16000</v>
      </c>
      <c r="M983" s="6" t="n">
        <v>111</v>
      </c>
      <c r="N983" s="6" t="n">
        <v>2</v>
      </c>
      <c r="O983" s="6" t="n">
        <v>3</v>
      </c>
      <c r="P983" s="6" t="n">
        <v>13333</v>
      </c>
      <c r="Q983" s="6" t="n">
        <v>1.0625</v>
      </c>
      <c r="R983">
        <f>M983+IF(N983&gt;1,N(O983)*(N983-1),0)</f>
        <v/>
      </c>
      <c r="S983">
        <f>IFERROR(L983*MAX(N983,1)/R983*Q983*IF(ISBLANK(K979),1,K979),0)</f>
        <v/>
      </c>
      <c r="AB983" s="7" t="inlineStr">
        <is>
          <t>^TeslaWeapon, ^HeavyCannon, ^ShrapnelWeapon, ^RA2Grenade, ^RA2EliteEffects, ^LunarNaxisUpgradedCannons</t>
        </is>
      </c>
    </row>
    <row r="984">
      <c r="A984" t="inlineStr">
        <is>
          <t>redalert2mod</t>
        </is>
      </c>
      <c r="B984" t="inlineStr">
        <is>
          <t>schwarzermond_mars</t>
        </is>
      </c>
      <c r="C984" t="inlineStr">
        <is>
          <t>MARS</t>
        </is>
      </c>
      <c r="D984" s="6" t="inlineStr">
        <is>
          <t>Artillery</t>
        </is>
      </c>
      <c r="E984" s="6" t="n">
        <v>35000</v>
      </c>
      <c r="F984" s="6" t="n">
        <v>70</v>
      </c>
      <c r="G984" t="inlineStr">
        <is>
          <t>Medium</t>
        </is>
      </c>
      <c r="H984" s="6" t="n">
        <v>1</v>
      </c>
      <c r="I984" s="6" t="n">
        <v>1</v>
      </c>
      <c r="J984" s="6" t="n">
        <v>1</v>
      </c>
      <c r="K984" s="6" t="n">
        <v>1.25</v>
      </c>
      <c r="P984">
        <f>MAX(P985)</f>
        <v/>
      </c>
      <c r="S984">
        <f>S985</f>
        <v/>
      </c>
      <c r="T984">
        <f>(E984/100000+F984/100+(P984/1000)*J984/5+S984/200)*200*I984*H984</f>
        <v/>
      </c>
      <c r="U984">
        <f>((E984*F984/25000)+((P984/1000)*J984*S984/2.5))*I984*H984</f>
        <v/>
      </c>
      <c r="V984">
        <f>(E984*F984*(P984/1000)*J984*S984*I984*H984)/12500000</f>
        <v/>
      </c>
      <c r="W984">
        <f>(T984+U984+V984)/3</f>
        <v/>
      </c>
      <c r="X984" s="6" t="n">
        <v>2000</v>
      </c>
      <c r="Y984">
        <f>IFERROR(W984-X984,"")</f>
        <v/>
      </c>
      <c r="Z984">
        <f>IFERROR(ABS(Y984)/MAX(X984,1),"")</f>
        <v/>
      </c>
      <c r="AA984">
        <f>IFERROR((X984-(((E984/100000+F984/100+S984/200)*200*I984*H984)+((E984*F984/25000)*I984*H984))/3)/(((J984/5)*200*I984*H984)+((J984*S984/2.5)*I984*H984)+((E984*F984*J984*S984*I984*H984)/12500000))/3*1000,"")</f>
        <v/>
      </c>
    </row>
    <row r="985">
      <c r="B985" s="7" t="inlineStr">
        <is>
          <t xml:space="preserve">  ↳ NaxisBradleyTarget</t>
        </is>
      </c>
      <c r="C985" s="7" t="inlineStr">
        <is>
          <t>Armament</t>
        </is>
      </c>
      <c r="L985" s="6" t="n"/>
      <c r="M985" s="6" t="n">
        <v>135</v>
      </c>
      <c r="N985" s="6" t="n">
        <v>4</v>
      </c>
      <c r="O985" s="6" t="n">
        <v>10</v>
      </c>
      <c r="P985" s="6" t="n">
        <v>17350</v>
      </c>
      <c r="Q985" s="6" t="n">
        <v>1</v>
      </c>
      <c r="R985">
        <f>M985+IF(N985&gt;1,N(O985)*(N985-1),0)</f>
        <v/>
      </c>
      <c r="S985">
        <f>IFERROR(L985*MAX(N985,1)/R985*Q985*IF(ISBLANK(K984),1,K984),0)</f>
        <v/>
      </c>
      <c r="AB985" s="7" t="inlineStr"/>
    </row>
    <row r="986">
      <c r="A986" t="inlineStr">
        <is>
          <t>redalert2mod</t>
        </is>
      </c>
      <c r="B986" t="inlineStr">
        <is>
          <t>futuretech_athenacannon</t>
        </is>
      </c>
      <c r="C986" t="inlineStr">
        <is>
          <t>Athena Cannon</t>
        </is>
      </c>
      <c r="D986" s="6" t="inlineStr">
        <is>
          <t>Artillery</t>
        </is>
      </c>
      <c r="E986" s="6" t="n">
        <v>62500</v>
      </c>
      <c r="F986" s="6" t="n">
        <v>60</v>
      </c>
      <c r="G986" t="inlineStr">
        <is>
          <t>Medium</t>
        </is>
      </c>
      <c r="H986" s="6" t="n">
        <v>1</v>
      </c>
      <c r="I986" s="6" t="n">
        <v>0.5</v>
      </c>
      <c r="J986" s="6" t="n">
        <v>1</v>
      </c>
      <c r="K986" s="6" t="n"/>
      <c r="P986">
        <f>MAX(P987,P988)</f>
        <v/>
      </c>
      <c r="S986">
        <f>S987+S988</f>
        <v/>
      </c>
      <c r="T986">
        <f>(E986/100000+F986/100+(P986/1000)*J986/5+S986/200)*200*I986*H986</f>
        <v/>
      </c>
      <c r="U986">
        <f>((E986*F986/25000)+((P986/1000)*J986*S986/2.5))*I986*H986</f>
        <v/>
      </c>
      <c r="V986">
        <f>(E986*F986*(P986/1000)*J986*S986*I986*H986)/12500000</f>
        <v/>
      </c>
      <c r="W986">
        <f>(T986+U986+V986)/3</f>
        <v/>
      </c>
      <c r="X986" s="6" t="n">
        <v>2200</v>
      </c>
      <c r="Y986">
        <f>IFERROR(W986-X986,"")</f>
        <v/>
      </c>
      <c r="Z986">
        <f>IFERROR(ABS(Y986)/MAX(X986,1),"")</f>
        <v/>
      </c>
      <c r="AA986">
        <f>IFERROR((X986-(((E986/100000+F986/100+S986/200)*200*I986*H986)+((E986*F986/25000)*I986*H986))/3)/(((J986/5)*200*I986*H986)+((J986*S986/2.5)*I986*H986)+((E986*F986*J986*S986*I986*H986)/12500000))/3*1000,"")</f>
        <v/>
      </c>
    </row>
    <row r="987">
      <c r="B987" s="7" t="inlineStr">
        <is>
          <t xml:space="preserve">  ↳ AthenaLaser</t>
        </is>
      </c>
      <c r="C987" s="7" t="inlineStr">
        <is>
          <t>Armament@AG</t>
        </is>
      </c>
      <c r="L987" s="6" t="n">
        <v>32000</v>
      </c>
      <c r="M987" s="6" t="n">
        <v>1</v>
      </c>
      <c r="N987" s="6" t="n">
        <v>1</v>
      </c>
      <c r="O987" s="6" t="n"/>
      <c r="P987" s="6" t="n">
        <v>16000</v>
      </c>
      <c r="Q987" s="6" t="n">
        <v>0.9166666666666666</v>
      </c>
      <c r="R987">
        <f>M987+IF(N987&gt;1,N(O987)*(N987-1),0)</f>
        <v/>
      </c>
      <c r="S987">
        <f>IFERROR(L987*MAX(N987,1)/R987*Q987*IF(ISBLANK(K986),1,K986),0)</f>
        <v/>
      </c>
      <c r="AB987" s="7" t="inlineStr">
        <is>
          <t>^LightMissile, ^SmallArms, ^Chaingun, ^FlakWeapon, ^TeslaWeapon, ^LaserWeapon</t>
        </is>
      </c>
    </row>
    <row r="988">
      <c r="B988" s="7" t="inlineStr">
        <is>
          <t xml:space="preserve">  ↳ AthenaVisualLaser</t>
        </is>
      </c>
      <c r="C988" s="7" t="inlineStr">
        <is>
          <t>Armament@VISUAL</t>
        </is>
      </c>
      <c r="L988" s="6" t="n"/>
      <c r="M988" s="6" t="n">
        <v>4</v>
      </c>
      <c r="N988" s="6" t="n">
        <v>1</v>
      </c>
      <c r="O988" s="6" t="n"/>
      <c r="P988" s="6" t="n">
        <v>16000</v>
      </c>
      <c r="Q988" s="6" t="n">
        <v>1</v>
      </c>
      <c r="R988">
        <f>M988+IF(N988&gt;1,N(O988)*(N988-1),0)</f>
        <v/>
      </c>
      <c r="S988">
        <f>IFERROR(L988*MAX(N988,1)/R988*Q988*IF(ISBLANK(K986),1,K986),0)</f>
        <v/>
      </c>
      <c r="AB988" s="7" t="inlineStr"/>
    </row>
    <row r="989">
      <c r="A989" t="inlineStr">
        <is>
          <t>redalert2mod</t>
        </is>
      </c>
      <c r="B989" t="inlineStr">
        <is>
          <t>tkm_dronepodtruck</t>
        </is>
      </c>
      <c r="C989" t="inlineStr">
        <is>
          <t>Drone Pod Truck</t>
        </is>
      </c>
      <c r="D989" s="6" t="inlineStr">
        <is>
          <t>Artillery</t>
        </is>
      </c>
      <c r="E989" s="6" t="n">
        <v>60000</v>
      </c>
      <c r="F989" s="6" t="n">
        <v>60</v>
      </c>
      <c r="G989" t="inlineStr">
        <is>
          <t>Light</t>
        </is>
      </c>
      <c r="H989" s="6" t="n">
        <v>1</v>
      </c>
      <c r="I989" s="6" t="n">
        <v>1</v>
      </c>
      <c r="J989" s="6" t="n">
        <v>1</v>
      </c>
      <c r="K989" s="6" t="n"/>
      <c r="P989">
        <f>MAX(P990)</f>
        <v/>
      </c>
      <c r="S989">
        <f>S990</f>
        <v/>
      </c>
      <c r="T989">
        <f>(E989/100000+F989/100+(P989/1000)*J989/5+S989/200)*200*I989*H989</f>
        <v/>
      </c>
      <c r="U989">
        <f>((E989*F989/25000)+((P989/1000)*J989*S989/2.5))*I989*H989</f>
        <v/>
      </c>
      <c r="V989">
        <f>(E989*F989*(P989/1000)*J989*S989*I989*H989)/12500000</f>
        <v/>
      </c>
      <c r="W989">
        <f>(T989+U989+V989)/3</f>
        <v/>
      </c>
      <c r="X989" s="6" t="n">
        <v>1600</v>
      </c>
      <c r="Y989">
        <f>IFERROR(W989-X989,"")</f>
        <v/>
      </c>
      <c r="Z989">
        <f>IFERROR(ABS(Y989)/MAX(X989,1),"")</f>
        <v/>
      </c>
      <c r="AA989">
        <f>IFERROR((X989-(((E989/100000+F989/100+S989/200)*200*I989*H989)+((E989*F989/25000)*I989*H989))/3)/(((J989/5)*200*I989*H989)+((J989*S989/2.5)*I989*H989)+((E989*F989*J989*S989*I989*H989)/12500000))/3*1000,"")</f>
        <v/>
      </c>
    </row>
    <row r="990">
      <c r="B990" s="7" t="inlineStr">
        <is>
          <t xml:space="preserve">  ↳ DronePodTruckLaser</t>
        </is>
      </c>
      <c r="C990" s="7" t="inlineStr">
        <is>
          <t>Armament</t>
        </is>
      </c>
      <c r="L990" s="6" t="n">
        <v>1</v>
      </c>
      <c r="M990" s="6" t="n">
        <v>5</v>
      </c>
      <c r="N990" s="6" t="n">
        <v>1</v>
      </c>
      <c r="O990" s="6" t="n"/>
      <c r="P990" s="6" t="n">
        <v>23589</v>
      </c>
      <c r="Q990" s="6" t="n">
        <v>1</v>
      </c>
      <c r="R990">
        <f>M990+IF(N990&gt;1,N(O990)*(N990-1),0)</f>
        <v/>
      </c>
      <c r="S990">
        <f>IFERROR(L990*MAX(N990,1)/R990*Q990*IF(ISBLANK(K989),1,K989),0)</f>
        <v/>
      </c>
      <c r="AB990" s="7" t="inlineStr"/>
    </row>
    <row r="991">
      <c r="A991" t="inlineStr">
        <is>
          <t>redalert2mod</t>
        </is>
      </c>
      <c r="B991" t="inlineStr">
        <is>
          <t>tkm_tornadoglauncher</t>
        </is>
      </c>
      <c r="C991" t="inlineStr">
        <is>
          <t>Tornado-G Launcher</t>
        </is>
      </c>
      <c r="D991" s="6" t="inlineStr">
        <is>
          <t>Artillery</t>
        </is>
      </c>
      <c r="E991" s="6" t="n">
        <v>35000</v>
      </c>
      <c r="F991" s="6" t="n">
        <v>80</v>
      </c>
      <c r="G991" t="inlineStr">
        <is>
          <t>Medium</t>
        </is>
      </c>
      <c r="H991" s="6" t="n">
        <v>1</v>
      </c>
      <c r="I991" s="6" t="n">
        <v>1</v>
      </c>
      <c r="J991" s="6" t="n">
        <v>1</v>
      </c>
      <c r="K991" s="6" t="n"/>
      <c r="P991">
        <f>MAX(P992,P993,P994,P995)</f>
        <v/>
      </c>
      <c r="S991">
        <f>S992+S993+S994+S995</f>
        <v/>
      </c>
      <c r="T991">
        <f>(E991/100000+F991/100+(P991/1000)*J991/5+S991/200)*200*I991*H991</f>
        <v/>
      </c>
      <c r="U991">
        <f>((E991*F991/25000)+((P991/1000)*J991*S991/2.5))*I991*H991</f>
        <v/>
      </c>
      <c r="V991">
        <f>(E991*F991*(P991/1000)*J991*S991*I991*H991)/12500000</f>
        <v/>
      </c>
      <c r="W991">
        <f>(T991+U991+V991)/3</f>
        <v/>
      </c>
      <c r="X991" s="6" t="n">
        <v>1200</v>
      </c>
      <c r="Y991">
        <f>IFERROR(W991-X991,"")</f>
        <v/>
      </c>
      <c r="Z991">
        <f>IFERROR(ABS(Y991)/MAX(X991,1),"")</f>
        <v/>
      </c>
      <c r="AA991">
        <f>IFERROR((X991-(((E991/100000+F991/100+S991/200)*200*I991*H991)+((E991*F991/25000)*I991*H991))/3)/(((J991/5)*200*I991*H991)+((J991*S991/2.5)*I991*H991)+((E991*F991*J991*S991*I991*H991)/12500000))/3*1000,"")</f>
        <v/>
      </c>
    </row>
    <row r="992">
      <c r="B992" s="7" t="inlineStr">
        <is>
          <t xml:space="preserve">  ↳ tkmkatyushalalauncherrockets</t>
        </is>
      </c>
      <c r="C992" s="7" t="inlineStr">
        <is>
          <t>Armament@PRIMARY</t>
        </is>
      </c>
      <c r="L992" s="6" t="n">
        <v>20000</v>
      </c>
      <c r="M992" s="6" t="n">
        <v>157</v>
      </c>
      <c r="N992" s="6" t="n">
        <v>8</v>
      </c>
      <c r="O992" s="6" t="n">
        <v>4</v>
      </c>
      <c r="P992" s="6" t="n">
        <v>12437</v>
      </c>
      <c r="Q992" s="6" t="n">
        <v>1</v>
      </c>
      <c r="R992">
        <f>M992+IF(N992&gt;1,N(O992)*(N992-1),0)</f>
        <v/>
      </c>
      <c r="S992">
        <f>IFERROR(L992*MAX(N992,1)/R992*Q992*IF(ISBLANK(K991),1,K991),0)</f>
        <v/>
      </c>
      <c r="AB992" s="7" t="inlineStr">
        <is>
          <t>^ShrapnelWeapon</t>
        </is>
      </c>
    </row>
    <row r="993">
      <c r="B993" s="7" t="inlineStr">
        <is>
          <t xml:space="preserve">  ↳ tkmkatyushalalauncherrocketscryo</t>
        </is>
      </c>
      <c r="C993" s="7" t="inlineStr">
        <is>
          <t>Armament@PRIMARYNATO</t>
        </is>
      </c>
      <c r="L993" s="6" t="n">
        <v>20000</v>
      </c>
      <c r="M993" s="6" t="n">
        <v>157</v>
      </c>
      <c r="N993" s="6" t="n">
        <v>8</v>
      </c>
      <c r="O993" s="6" t="n">
        <v>4</v>
      </c>
      <c r="P993" s="6" t="n">
        <v>14000</v>
      </c>
      <c r="Q993" s="6" t="n">
        <v>1</v>
      </c>
      <c r="R993">
        <f>M993+IF(N993&gt;1,N(O993)*(N993-1),0)</f>
        <v/>
      </c>
      <c r="S993">
        <f>IFERROR(L993*MAX(N993,1)/R993*Q993*IF(ISBLANK(K991),1,K991),0)</f>
        <v/>
      </c>
      <c r="AB993" s="7" t="inlineStr">
        <is>
          <t>^CryoMissileProjectile, ^ShrapnelWeapon</t>
        </is>
      </c>
    </row>
    <row r="994">
      <c r="B994" s="7" t="inlineStr">
        <is>
          <t xml:space="preserve">  ↳ tkmkatyushalalauncherrocketstwin</t>
        </is>
      </c>
      <c r="C994" s="7" t="inlineStr">
        <is>
          <t>Armament@PRIMARYBEREZKA</t>
        </is>
      </c>
      <c r="L994" s="6" t="n">
        <v>20000</v>
      </c>
      <c r="M994" s="6" t="n">
        <v>157</v>
      </c>
      <c r="N994" s="6" t="n">
        <v>16</v>
      </c>
      <c r="O994" s="6" t="n">
        <v>4</v>
      </c>
      <c r="P994" s="6" t="n">
        <v>12437</v>
      </c>
      <c r="Q994" s="6" t="n">
        <v>1</v>
      </c>
      <c r="R994">
        <f>M994+IF(N994&gt;1,N(O994)*(N994-1),0)</f>
        <v/>
      </c>
      <c r="S994">
        <f>IFERROR(L994*MAX(N994,1)/R994*Q994*IF(ISBLANK(K991),1,K991),0)</f>
        <v/>
      </c>
      <c r="AB994" s="7" t="inlineStr">
        <is>
          <t>^ShrapnelWeapon</t>
        </is>
      </c>
    </row>
    <row r="995">
      <c r="B995" s="7" t="inlineStr">
        <is>
          <t xml:space="preserve">  ↳ tkmkatyushalalauncherrocketsfire</t>
        </is>
      </c>
      <c r="C995" s="7" t="inlineStr">
        <is>
          <t>Armament@PRIMARYTITAN</t>
        </is>
      </c>
      <c r="L995" s="6" t="n">
        <v>20000</v>
      </c>
      <c r="M995" s="6" t="n">
        <v>157</v>
      </c>
      <c r="N995" s="6" t="n">
        <v>8</v>
      </c>
      <c r="O995" s="6" t="n">
        <v>4</v>
      </c>
      <c r="P995" s="6" t="n">
        <v>14000</v>
      </c>
      <c r="Q995" s="6" t="n">
        <v>0.8333333333333334</v>
      </c>
      <c r="R995">
        <f>M995+IF(N995&gt;1,N(O995)*(N995-1),0)</f>
        <v/>
      </c>
      <c r="S995">
        <f>IFERROR(L995*MAX(N995,1)/R995*Q995*IF(ISBLANK(K991),1,K991),0)</f>
        <v/>
      </c>
      <c r="AB995" s="7" t="inlineStr">
        <is>
          <t>^LightFlameWeapon, ^LightMissile, ^ShrapnelWeapon</t>
        </is>
      </c>
    </row>
    <row r="996">
      <c r="A996" t="inlineStr">
        <is>
          <t>shared</t>
        </is>
      </c>
      <c r="B996" t="inlineStr">
        <is>
          <t>siege_tank</t>
        </is>
      </c>
      <c r="C996" t="inlineStr">
        <is>
          <t>Siege Tank</t>
        </is>
      </c>
      <c r="D996" s="6" t="inlineStr">
        <is>
          <t>Artillery</t>
        </is>
      </c>
      <c r="E996" s="6" t="n">
        <v>40000</v>
      </c>
      <c r="F996" s="6" t="n">
        <v>43</v>
      </c>
      <c r="G996" t="inlineStr">
        <is>
          <t>Light</t>
        </is>
      </c>
      <c r="H996" s="6" t="n">
        <v>1</v>
      </c>
      <c r="I996" s="6" t="n">
        <v>1</v>
      </c>
      <c r="J996" s="6" t="n">
        <v>1</v>
      </c>
      <c r="K996" s="6" t="n"/>
      <c r="P996">
        <f>MAX(P997)</f>
        <v/>
      </c>
      <c r="S996">
        <f>S997</f>
        <v/>
      </c>
      <c r="T996">
        <f>(E996/100000+F996/100+(P996/1000)*J996/5+S996/200)*200*I996*H996</f>
        <v/>
      </c>
      <c r="U996">
        <f>((E996*F996/25000)+((P996/1000)*J996*S996/2.5))*I996*H996</f>
        <v/>
      </c>
      <c r="V996">
        <f>(E996*F996*(P996/1000)*J996*S996*I996*H996)/12500000</f>
        <v/>
      </c>
      <c r="W996">
        <f>(T996+U996+V996)/3</f>
        <v/>
      </c>
      <c r="X996" s="6" t="n">
        <v>600</v>
      </c>
      <c r="Y996">
        <f>IFERROR(W996-X996,"")</f>
        <v/>
      </c>
      <c r="Z996">
        <f>IFERROR(ABS(Y996)/MAX(X996,1),"")</f>
        <v/>
      </c>
      <c r="AA996">
        <f>IFERROR((X996-(((E996/100000+F996/100+S996/200)*200*I996*H996)+((E996*F996/25000)*I996*H996))/3)/(((J996/5)*200*I996*H996)+((J996*S996/2.5)*I996*H996)+((E996*F996*J996*S996*I996*H996)/12500000))/3*1000,"")</f>
        <v/>
      </c>
    </row>
    <row r="997">
      <c r="B997" s="7" t="inlineStr">
        <is>
          <t xml:space="preserve">  ↳ D2K_155mm</t>
        </is>
      </c>
      <c r="C997" s="7" t="inlineStr">
        <is>
          <t>Armament</t>
        </is>
      </c>
      <c r="L997" s="6" t="n">
        <v>12000</v>
      </c>
      <c r="M997" s="6" t="n">
        <v>74</v>
      </c>
      <c r="N997" s="6" t="n">
        <v>1</v>
      </c>
      <c r="O997" s="6" t="n"/>
      <c r="P997" s="6" t="n">
        <v>10000</v>
      </c>
      <c r="Q997" s="6" t="n">
        <v>1.083333333333333</v>
      </c>
      <c r="R997">
        <f>M997+IF(N997&gt;1,N(O997)*(N997-1),0)</f>
        <v/>
      </c>
      <c r="S997">
        <f>IFERROR(L997*MAX(N997,1)/R997*Q997*IF(ISBLANK(K996),1,K996),0)</f>
        <v/>
      </c>
      <c r="AB997" s="7" t="inlineStr">
        <is>
          <t>^Grenade, ^ShrapnelWeapon, ^HeavyBomb, ^D2K_Cannon</t>
        </is>
      </c>
    </row>
    <row r="998">
      <c r="A998" t="inlineStr">
        <is>
          <t>d2k</t>
        </is>
      </c>
      <c r="B998" t="inlineStr">
        <is>
          <t>ordos_cobratank</t>
        </is>
      </c>
      <c r="C998" t="inlineStr">
        <is>
          <t>Cobra Tank</t>
        </is>
      </c>
      <c r="D998" s="6" t="inlineStr">
        <is>
          <t>Artillery</t>
        </is>
      </c>
      <c r="E998" s="6" t="n">
        <v>45000</v>
      </c>
      <c r="F998" s="6" t="n">
        <v>45</v>
      </c>
      <c r="G998" t="inlineStr">
        <is>
          <t>Heavy</t>
        </is>
      </c>
      <c r="H998" s="6" t="n">
        <v>1</v>
      </c>
      <c r="I998" s="6" t="n">
        <v>1</v>
      </c>
      <c r="J998" s="6" t="n">
        <v>1</v>
      </c>
      <c r="K998" s="6" t="n"/>
      <c r="P998">
        <f>MAX(P999,P1000)</f>
        <v/>
      </c>
      <c r="S998">
        <f>S999+S1000</f>
        <v/>
      </c>
      <c r="T998">
        <f>(E998/100000+F998/100+(P998/1000)*J998/5+S998/200)*200*I998*H998</f>
        <v/>
      </c>
      <c r="U998">
        <f>((E998*F998/25000)+((P998/1000)*J998*S998/2.5))*I998*H998</f>
        <v/>
      </c>
      <c r="V998">
        <f>(E998*F998*(P998/1000)*J998*S998*I998*H998)/12500000</f>
        <v/>
      </c>
      <c r="W998">
        <f>(T998+U998+V998)/3</f>
        <v/>
      </c>
      <c r="X998" s="6" t="n">
        <v>1500</v>
      </c>
      <c r="Y998">
        <f>IFERROR(W998-X998,"")</f>
        <v/>
      </c>
      <c r="Z998">
        <f>IFERROR(ABS(Y998)/MAX(X998,1),"")</f>
        <v/>
      </c>
      <c r="AA998">
        <f>IFERROR((X998-(((E998/100000+F998/100+S998/200)*200*I998*H998)+((E998*F998/25000)*I998*H998))/3)/(((J998/5)*200*I998*H998)+((J998*S998/2.5)*I998*H998)+((E998*F998*J998*S998*I998*H998)/12500000))/3*1000,"")</f>
        <v/>
      </c>
    </row>
    <row r="999">
      <c r="B999" s="7" t="inlineStr">
        <is>
          <t xml:space="preserve">  ↳ 120mm_cobra</t>
        </is>
      </c>
      <c r="C999" s="7" t="inlineStr">
        <is>
          <t>Armament@PRIMARY</t>
        </is>
      </c>
      <c r="L999" s="6" t="n">
        <v>30000</v>
      </c>
      <c r="M999" s="6" t="n">
        <v>80</v>
      </c>
      <c r="N999" s="6" t="n">
        <v>1</v>
      </c>
      <c r="O999" s="6" t="n"/>
      <c r="P999" s="6" t="n">
        <v>7640</v>
      </c>
      <c r="Q999" s="6" t="n">
        <v>1</v>
      </c>
      <c r="R999">
        <f>M999+IF(N999&gt;1,N(O999)*(N999-1),0)</f>
        <v/>
      </c>
      <c r="S999">
        <f>IFERROR(L999*MAX(N999,1)/R999*Q999*IF(ISBLANK(K998),1,K998),0)</f>
        <v/>
      </c>
      <c r="AB999" s="7" t="inlineStr">
        <is>
          <t>^Grenade, ^ShrapnelWeapon, ^TankDestroyerCannon, ^D2K_Cannon</t>
        </is>
      </c>
    </row>
    <row r="1000">
      <c r="B1000" s="7" t="inlineStr">
        <is>
          <t xml:space="preserve">  ↳ 120mm_cobra_deploy</t>
        </is>
      </c>
      <c r="C1000" s="7" t="inlineStr">
        <is>
          <t>Armament@deployed</t>
        </is>
      </c>
      <c r="L1000" s="6" t="n">
        <v>30000</v>
      </c>
      <c r="M1000" s="6" t="n">
        <v>80</v>
      </c>
      <c r="N1000" s="6" t="n">
        <v>1</v>
      </c>
      <c r="O1000" s="6" t="n"/>
      <c r="P1000" s="6" t="n">
        <v>7640</v>
      </c>
      <c r="Q1000" s="6" t="n">
        <v>1</v>
      </c>
      <c r="R1000">
        <f>M1000+IF(N1000&gt;1,N(O1000)*(N1000-1),0)</f>
        <v/>
      </c>
      <c r="S1000">
        <f>IFERROR(L1000*MAX(N1000,1)/R1000*Q1000*IF(ISBLANK(K998),1,K998),0)</f>
        <v/>
      </c>
      <c r="AB1000" s="7" t="inlineStr">
        <is>
          <t>^Grenade, ^ShrapnelWeapon, ^TankDestroyerCannon, ^D2K_Cannon</t>
        </is>
      </c>
    </row>
    <row r="1001">
      <c r="A1001" t="inlineStr">
        <is>
          <t>d2k</t>
        </is>
      </c>
      <c r="B1001" t="inlineStr">
        <is>
          <t>ordos_deviatorartillery</t>
        </is>
      </c>
      <c r="C1001" t="inlineStr">
        <is>
          <t>Deviator Artillery</t>
        </is>
      </c>
      <c r="D1001" s="6" t="inlineStr">
        <is>
          <t>Artillery</t>
        </is>
      </c>
      <c r="E1001" s="6" t="n">
        <v>55000</v>
      </c>
      <c r="F1001" s="6" t="n">
        <v>55</v>
      </c>
      <c r="G1001" t="inlineStr">
        <is>
          <t>Medium</t>
        </is>
      </c>
      <c r="H1001" s="6" t="n">
        <v>0.75</v>
      </c>
      <c r="I1001" s="6" t="n">
        <v>0.5</v>
      </c>
      <c r="J1001" s="6" t="n">
        <v>1.25</v>
      </c>
      <c r="K1001" s="6" t="n"/>
      <c r="P1001">
        <f>MAX(P1002)</f>
        <v/>
      </c>
      <c r="S1001">
        <f>S1002</f>
        <v/>
      </c>
      <c r="T1001">
        <f>(E1001/100000+F1001/100+(P1001/1000)*J1001/5+S1001/200)*200*I1001*H1001</f>
        <v/>
      </c>
      <c r="U1001">
        <f>((E1001*F1001/25000)+((P1001/1000)*J1001*S1001/2.5))*I1001*H1001</f>
        <v/>
      </c>
      <c r="V1001">
        <f>(E1001*F1001*(P1001/1000)*J1001*S1001*I1001*H1001)/12500000</f>
        <v/>
      </c>
      <c r="W1001">
        <f>(T1001+U1001+V1001)/3</f>
        <v/>
      </c>
      <c r="X1001" s="6" t="n">
        <v>1250</v>
      </c>
      <c r="Y1001">
        <f>IFERROR(W1001-X1001,"")</f>
        <v/>
      </c>
      <c r="Z1001">
        <f>IFERROR(ABS(Y1001)/MAX(X1001,1),"")</f>
        <v/>
      </c>
      <c r="AA1001">
        <f>IFERROR((X1001-(((E1001/100000+F1001/100+S1001/200)*200*I1001*H1001)+((E1001*F1001/25000)*I1001*H1001))/3)/(((J1001/5)*200*I1001*H1001)+((J1001*S1001/2.5)*I1001*H1001)+((E1001*F1001*J1001*S1001*I1001*H1001)/12500000))/3*1000,"")</f>
        <v/>
      </c>
    </row>
    <row r="1002">
      <c r="B1002" s="7" t="inlineStr">
        <is>
          <t xml:space="preserve">  ↳ DeviatorMissile_Artillery</t>
        </is>
      </c>
      <c r="C1002" s="7" t="inlineStr">
        <is>
          <t>Armament</t>
        </is>
      </c>
      <c r="L1002" s="6" t="n">
        <v>10000</v>
      </c>
      <c r="M1002" s="6" t="n">
        <v>150</v>
      </c>
      <c r="N1002" s="6" t="n">
        <v>3</v>
      </c>
      <c r="O1002" s="6" t="n">
        <v>25</v>
      </c>
      <c r="P1002" s="6" t="n">
        <v>10025</v>
      </c>
      <c r="Q1002" s="6" t="n">
        <v>1.1</v>
      </c>
      <c r="R1002">
        <f>M1002+IF(N1002&gt;1,N(O1002)*(N1002-1),0)</f>
        <v/>
      </c>
      <c r="S1002">
        <f>IFERROR(L1002*MAX(N1002,1)/R1002*Q1002*IF(ISBLANK(K1001),1,K1001),0)</f>
        <v/>
      </c>
      <c r="AB1002" s="7" t="inlineStr">
        <is>
          <t>^ShrapnelWeapon, ^HeavyFlameWeapon, ^MediumChemicalWeapon, ^HeavyCannon, ^MediumMissile, ^D2KMissile</t>
        </is>
      </c>
    </row>
    <row r="1003">
      <c r="A1003" t="inlineStr">
        <is>
          <t>d2k</t>
        </is>
      </c>
      <c r="B1003" t="inlineStr">
        <is>
          <t>ordos_pythontank</t>
        </is>
      </c>
      <c r="C1003" t="inlineStr">
        <is>
          <t>Python Tank</t>
        </is>
      </c>
      <c r="D1003" s="6" t="inlineStr">
        <is>
          <t>Artillery</t>
        </is>
      </c>
      <c r="E1003" s="6" t="n">
        <v>70000</v>
      </c>
      <c r="F1003" s="6" t="n">
        <v>40</v>
      </c>
      <c r="G1003" t="inlineStr">
        <is>
          <t>Heavy</t>
        </is>
      </c>
      <c r="H1003" s="6" t="n">
        <v>1</v>
      </c>
      <c r="I1003" s="6" t="n">
        <v>1</v>
      </c>
      <c r="J1003" s="6" t="n">
        <v>1</v>
      </c>
      <c r="K1003" s="6" t="n"/>
      <c r="P1003">
        <f>MAX(P1004,P1005)</f>
        <v/>
      </c>
      <c r="S1003">
        <f>S1004+S1005</f>
        <v/>
      </c>
      <c r="T1003">
        <f>(E1003/100000+F1003/100+(P1003/1000)*J1003/5+S1003/200)*200*I1003*H1003</f>
        <v/>
      </c>
      <c r="U1003">
        <f>((E1003*F1003/25000)+((P1003/1000)*J1003*S1003/2.5))*I1003*H1003</f>
        <v/>
      </c>
      <c r="V1003">
        <f>(E1003*F1003*(P1003/1000)*J1003*S1003*I1003*H1003)/12500000</f>
        <v/>
      </c>
      <c r="W1003">
        <f>(T1003+U1003+V1003)/3</f>
        <v/>
      </c>
      <c r="X1003" s="6" t="n">
        <v>2500</v>
      </c>
      <c r="Y1003">
        <f>IFERROR(W1003-X1003,"")</f>
        <v/>
      </c>
      <c r="Z1003">
        <f>IFERROR(ABS(Y1003)/MAX(X1003,1),"")</f>
        <v/>
      </c>
      <c r="AA1003">
        <f>IFERROR((X1003-(((E1003/100000+F1003/100+S1003/200)*200*I1003*H1003)+((E1003*F1003/25000)*I1003*H1003))/3)/(((J1003/5)*200*I1003*H1003)+((J1003*S1003/2.5)*I1003*H1003)+((E1003*F1003*J1003*S1003*I1003*H1003)/12500000))/3*1000,"")</f>
        <v/>
      </c>
    </row>
    <row r="1004">
      <c r="B1004" s="7" t="inlineStr">
        <is>
          <t xml:space="preserve">  ↳ 120mm_python</t>
        </is>
      </c>
      <c r="C1004" s="7" t="inlineStr">
        <is>
          <t>Armament@PRIMARY</t>
        </is>
      </c>
      <c r="L1004" s="6" t="n">
        <v>30000</v>
      </c>
      <c r="M1004" s="6" t="n">
        <v>123</v>
      </c>
      <c r="N1004" s="6" t="n">
        <v>2</v>
      </c>
      <c r="O1004" s="6" t="n">
        <v>0</v>
      </c>
      <c r="P1004" s="6" t="n">
        <v>9380</v>
      </c>
      <c r="Q1004" s="6" t="n">
        <v>1</v>
      </c>
      <c r="R1004">
        <f>M1004+IF(N1004&gt;1,N(O1004)*(N1004-1),0)</f>
        <v/>
      </c>
      <c r="S1004">
        <f>IFERROR(L1004*MAX(N1004,1)/R1004*Q1004*IF(ISBLANK(K1003),1,K1003),0)</f>
        <v/>
      </c>
      <c r="AB1004" s="7" t="inlineStr">
        <is>
          <t>^Grenade, ^ShrapnelWeapon, ^TankDestroyerCannon, ^D2K_Cannon</t>
        </is>
      </c>
    </row>
    <row r="1005">
      <c r="B1005" s="7" t="inlineStr">
        <is>
          <t xml:space="preserve">  ↳ 120mm_python_deploy</t>
        </is>
      </c>
      <c r="C1005" s="7" t="inlineStr">
        <is>
          <t>Armament@deployed</t>
        </is>
      </c>
      <c r="L1005" s="6" t="n">
        <v>30000</v>
      </c>
      <c r="M1005" s="6" t="n">
        <v>123</v>
      </c>
      <c r="N1005" s="6" t="n">
        <v>2</v>
      </c>
      <c r="O1005" s="6" t="n">
        <v>0</v>
      </c>
      <c r="P1005" s="6" t="n">
        <v>9380</v>
      </c>
      <c r="Q1005" s="6" t="n">
        <v>1</v>
      </c>
      <c r="R1005">
        <f>M1005+IF(N1005&gt;1,N(O1005)*(N1005-1),0)</f>
        <v/>
      </c>
      <c r="S1005">
        <f>IFERROR(L1005*MAX(N1005,1)/R1005*Q1005*IF(ISBLANK(K1003),1,K1003),0)</f>
        <v/>
      </c>
      <c r="AB1005" s="7" t="inlineStr">
        <is>
          <t>^Grenade, ^ShrapnelWeapon, ^TankDestroyerCannon, ^D2K_Cannon</t>
        </is>
      </c>
    </row>
    <row r="1006">
      <c r="A1006" t="inlineStr">
        <is>
          <t>d2k</t>
        </is>
      </c>
      <c r="B1006" t="inlineStr">
        <is>
          <t>ixian_ixsiegetank</t>
        </is>
      </c>
      <c r="C1006" t="inlineStr">
        <is>
          <t>Ix Siege Tank</t>
        </is>
      </c>
      <c r="D1006" s="6" t="inlineStr">
        <is>
          <t>Artillery</t>
        </is>
      </c>
      <c r="E1006" s="6" t="n">
        <v>60000</v>
      </c>
      <c r="F1006" s="6" t="n">
        <v>60</v>
      </c>
      <c r="G1006" t="inlineStr">
        <is>
          <t>Medium</t>
        </is>
      </c>
      <c r="H1006" s="6" t="n">
        <v>1</v>
      </c>
      <c r="I1006" s="6" t="n">
        <v>0.5</v>
      </c>
      <c r="J1006" s="6" t="n">
        <v>1.25</v>
      </c>
      <c r="K1006" s="6" t="n"/>
      <c r="P1006">
        <f>MAX(P1007)</f>
        <v/>
      </c>
      <c r="S1006">
        <f>S1007</f>
        <v/>
      </c>
      <c r="T1006">
        <f>(E1006/100000+F1006/100+(P1006/1000)*J1006/5+S1006/200)*200*I1006*H1006</f>
        <v/>
      </c>
      <c r="U1006">
        <f>((E1006*F1006/25000)+((P1006/1000)*J1006*S1006/2.5))*I1006*H1006</f>
        <v/>
      </c>
      <c r="V1006">
        <f>(E1006*F1006*(P1006/1000)*J1006*S1006*I1006*H1006)/12500000</f>
        <v/>
      </c>
      <c r="W1006">
        <f>(T1006+U1006+V1006)/3</f>
        <v/>
      </c>
      <c r="X1006" s="6" t="n">
        <v>2050</v>
      </c>
      <c r="Y1006">
        <f>IFERROR(W1006-X1006,"")</f>
        <v/>
      </c>
      <c r="Z1006">
        <f>IFERROR(ABS(Y1006)/MAX(X1006,1),"")</f>
        <v/>
      </c>
      <c r="AA1006">
        <f>IFERROR((X1006-(((E1006/100000+F1006/100+S1006/200)*200*I1006*H1006)+((E1006*F1006/25000)*I1006*H1006))/3)/(((J1006/5)*200*I1006*H1006)+((J1006*S1006/2.5)*I1006*H1006)+((E1006*F1006*J1006*S1006*I1006*H1006)/12500000))/3*1000,"")</f>
        <v/>
      </c>
    </row>
    <row r="1007">
      <c r="B1007" s="7" t="inlineStr">
        <is>
          <t xml:space="preserve">  ↳ D2K_155mm2</t>
        </is>
      </c>
      <c r="C1007" s="7" t="inlineStr">
        <is>
          <t>Armament</t>
        </is>
      </c>
      <c r="L1007" s="6" t="n">
        <v>12000</v>
      </c>
      <c r="M1007" s="6" t="n">
        <v>120</v>
      </c>
      <c r="N1007" s="6" t="n">
        <v>3</v>
      </c>
      <c r="O1007" s="6" t="n">
        <v>12</v>
      </c>
      <c r="P1007" s="6" t="n">
        <v>12000</v>
      </c>
      <c r="Q1007" s="6" t="n">
        <v>1.0625</v>
      </c>
      <c r="R1007">
        <f>M1007+IF(N1007&gt;1,N(O1007)*(N1007-1),0)</f>
        <v/>
      </c>
      <c r="S1007">
        <f>IFERROR(L1007*MAX(N1007,1)/R1007*Q1007*IF(ISBLANK(K1006),1,K1006),0)</f>
        <v/>
      </c>
      <c r="AB1007" s="7" t="inlineStr">
        <is>
          <t>^Grenade, ^MediumFlameWeapon, ^ShrapnelWeapon, ^HeavyBomb</t>
        </is>
      </c>
    </row>
    <row r="1008">
      <c r="A1008" t="inlineStr">
        <is>
          <t>d2k</t>
        </is>
      </c>
      <c r="B1008" t="inlineStr">
        <is>
          <t>missile_tank</t>
        </is>
      </c>
      <c r="C1008" t="inlineStr">
        <is>
          <t>Missile Tank</t>
        </is>
      </c>
      <c r="D1008" s="6" t="inlineStr">
        <is>
          <t>Artillery</t>
        </is>
      </c>
      <c r="E1008" s="6" t="n">
        <v>50000</v>
      </c>
      <c r="F1008" s="6" t="n">
        <v>64</v>
      </c>
      <c r="G1008" t="inlineStr">
        <is>
          <t>Medium</t>
        </is>
      </c>
      <c r="H1008" s="6" t="n">
        <v>1</v>
      </c>
      <c r="I1008" s="6" t="n">
        <v>1</v>
      </c>
      <c r="J1008" s="6" t="n">
        <v>1</v>
      </c>
      <c r="K1008" s="6" t="n"/>
      <c r="P1008">
        <f>MAX(P1009)</f>
        <v/>
      </c>
      <c r="S1008">
        <f>S1009</f>
        <v/>
      </c>
      <c r="T1008">
        <f>(E1008/100000+F1008/100+(P1008/1000)*J1008/5+S1008/200)*200*I1008*H1008</f>
        <v/>
      </c>
      <c r="U1008">
        <f>((E1008*F1008/25000)+((P1008/1000)*J1008*S1008/2.5))*I1008*H1008</f>
        <v/>
      </c>
      <c r="V1008">
        <f>(E1008*F1008*(P1008/1000)*J1008*S1008*I1008*H1008)/12500000</f>
        <v/>
      </c>
      <c r="W1008">
        <f>(T1008+U1008+V1008)/3</f>
        <v/>
      </c>
      <c r="X1008" s="6" t="n">
        <v>750</v>
      </c>
      <c r="Y1008">
        <f>IFERROR(W1008-X1008,"")</f>
        <v/>
      </c>
      <c r="Z1008">
        <f>IFERROR(ABS(Y1008)/MAX(X1008,1),"")</f>
        <v/>
      </c>
      <c r="AA1008">
        <f>IFERROR((X1008-(((E1008/100000+F1008/100+S1008/200)*200*I1008*H1008)+((E1008*F1008/25000)*I1008*H1008))/3)/(((J1008/5)*200*I1008*H1008)+((J1008*S1008/2.5)*I1008*H1008)+((E1008*F1008*J1008*S1008*I1008*H1008)/12500000))/3*1000,"")</f>
        <v/>
      </c>
    </row>
    <row r="1009">
      <c r="B1009" s="7" t="inlineStr">
        <is>
          <t xml:space="preserve">  ↳ mtank_pri</t>
        </is>
      </c>
      <c r="C1009" s="7" t="inlineStr">
        <is>
          <t>Armament</t>
        </is>
      </c>
      <c r="L1009" s="6" t="n">
        <v>15000</v>
      </c>
      <c r="M1009" s="6" t="n">
        <v>150</v>
      </c>
      <c r="N1009" s="6" t="n">
        <v>4</v>
      </c>
      <c r="O1009" s="6" t="n">
        <v>25</v>
      </c>
      <c r="P1009" s="6" t="n">
        <v>10240</v>
      </c>
      <c r="Q1009" s="6" t="n">
        <v>1</v>
      </c>
      <c r="R1009">
        <f>M1009+IF(N1009&gt;1,N(O1009)*(N1009-1),0)</f>
        <v/>
      </c>
      <c r="S1009">
        <f>IFERROR(L1009*MAX(N1009,1)/R1009*Q1009*IF(ISBLANK(K1008),1,K1008),0)</f>
        <v/>
      </c>
      <c r="AB1009" s="7" t="inlineStr">
        <is>
          <t>^D2KMissile</t>
        </is>
      </c>
    </row>
    <row r="1010">
      <c r="A1010" t="inlineStr">
        <is>
          <t>warcraft2</t>
        </is>
      </c>
      <c r="B1010" t="inlineStr">
        <is>
          <t>wc2_orcs_catapult</t>
        </is>
      </c>
      <c r="C1010" t="inlineStr">
        <is>
          <t>Catapult</t>
        </is>
      </c>
      <c r="D1010" s="6" t="inlineStr">
        <is>
          <t>Artillery</t>
        </is>
      </c>
      <c r="E1010" s="6" t="n">
        <v>40000</v>
      </c>
      <c r="F1010" s="6" t="n">
        <v>40</v>
      </c>
      <c r="G1010" t="inlineStr">
        <is>
          <t>Light</t>
        </is>
      </c>
      <c r="H1010" s="6" t="n">
        <v>1</v>
      </c>
      <c r="I1010" s="6" t="n">
        <v>0.5</v>
      </c>
      <c r="J1010" s="6" t="n">
        <v>1</v>
      </c>
      <c r="K1010" s="6" t="n"/>
      <c r="P1010">
        <f>MAX(P1011)</f>
        <v/>
      </c>
      <c r="S1010">
        <f>S1011</f>
        <v/>
      </c>
      <c r="T1010">
        <f>(E1010/100000+F1010/100+(P1010/1000)*J1010/5+S1010/200)*200*I1010*H1010</f>
        <v/>
      </c>
      <c r="U1010">
        <f>((E1010*F1010/25000)+((P1010/1000)*J1010*S1010/2.5))*I1010*H1010</f>
        <v/>
      </c>
      <c r="V1010">
        <f>(E1010*F1010*(P1010/1000)*J1010*S1010*I1010*H1010)/12500000</f>
        <v/>
      </c>
      <c r="W1010">
        <f>(T1010+U1010+V1010)/3</f>
        <v/>
      </c>
      <c r="X1010" s="6" t="n">
        <v>800</v>
      </c>
      <c r="Y1010">
        <f>IFERROR(W1010-X1010,"")</f>
        <v/>
      </c>
      <c r="Z1010">
        <f>IFERROR(ABS(Y1010)/MAX(X1010,1),"")</f>
        <v/>
      </c>
      <c r="AA1010">
        <f>IFERROR((X1010-(((E1010/100000+F1010/100+S1010/200)*200*I1010*H1010)+((E1010*F1010/25000)*I1010*H1010))/3)/(((J1010/5)*200*I1010*H1010)+((J1010*S1010/2.5)*I1010*H1010)+((E1010*F1010*J1010*S1010*I1010*H1010)/12500000))/3*1000,"")</f>
        <v/>
      </c>
    </row>
    <row r="1011">
      <c r="B1011" s="7" t="inlineStr">
        <is>
          <t xml:space="preserve">  ↳ wc2catapultFire</t>
        </is>
      </c>
      <c r="C1011" s="7" t="inlineStr">
        <is>
          <t>Armament</t>
        </is>
      </c>
      <c r="L1011" s="6" t="n">
        <v>30000</v>
      </c>
      <c r="M1011" s="6" t="n">
        <v>240</v>
      </c>
      <c r="N1011" s="6" t="n">
        <v>1</v>
      </c>
      <c r="O1011" s="6" t="n"/>
      <c r="P1011" s="6" t="n">
        <v>13400</v>
      </c>
      <c r="Q1011" s="6" t="n">
        <v>1.0625</v>
      </c>
      <c r="R1011">
        <f>M1011+IF(N1011&gt;1,N(O1011)*(N1011-1),0)</f>
        <v/>
      </c>
      <c r="S1011">
        <f>IFERROR(L1011*MAX(N1011,1)/R1011*Q1011*IF(ISBLANK(K1010),1,K1010),0)</f>
        <v/>
      </c>
      <c r="AB1011" s="7" t="inlineStr">
        <is>
          <t>^Grenade, ^MediumFlameWeapon, ^ShrapnelWeapon, ^HeavyBomb</t>
        </is>
      </c>
    </row>
    <row r="1012">
      <c r="A1012" t="inlineStr">
        <is>
          <t>warcraft2</t>
        </is>
      </c>
      <c r="B1012" t="inlineStr">
        <is>
          <t>wc2_orcs_siegeengine</t>
        </is>
      </c>
      <c r="C1012" t="inlineStr">
        <is>
          <t>Siege Engine</t>
        </is>
      </c>
      <c r="D1012" s="6" t="inlineStr">
        <is>
          <t>Artillery</t>
        </is>
      </c>
      <c r="E1012" s="6" t="n">
        <v>70000</v>
      </c>
      <c r="F1012" s="6" t="n">
        <v>70</v>
      </c>
      <c r="G1012" t="inlineStr">
        <is>
          <t>Medium</t>
        </is>
      </c>
      <c r="H1012" s="6" t="n">
        <v>1</v>
      </c>
      <c r="I1012" s="6" t="n">
        <v>1</v>
      </c>
      <c r="J1012" s="6" t="n">
        <v>1</v>
      </c>
      <c r="K1012" s="6" t="n"/>
      <c r="P1012">
        <f>MAX(P1013)</f>
        <v/>
      </c>
      <c r="S1012">
        <f>S1013</f>
        <v/>
      </c>
      <c r="T1012">
        <f>(E1012/100000+F1012/100+(P1012/1000)*J1012/5+S1012/200)*200*I1012*H1012</f>
        <v/>
      </c>
      <c r="U1012">
        <f>((E1012*F1012/25000)+((P1012/1000)*J1012*S1012/2.5))*I1012*H1012</f>
        <v/>
      </c>
      <c r="V1012">
        <f>(E1012*F1012*(P1012/1000)*J1012*S1012*I1012*H1012)/12500000</f>
        <v/>
      </c>
      <c r="W1012">
        <f>(T1012+U1012+V1012)/3</f>
        <v/>
      </c>
      <c r="X1012" s="6" t="n">
        <v>1800</v>
      </c>
      <c r="Y1012">
        <f>IFERROR(W1012-X1012,"")</f>
        <v/>
      </c>
      <c r="Z1012">
        <f>IFERROR(ABS(Y1012)/MAX(X1012,1),"")</f>
        <v/>
      </c>
      <c r="AA1012">
        <f>IFERROR((X1012-(((E1012/100000+F1012/100+S1012/200)*200*I1012*H1012)+((E1012*F1012/25000)*I1012*H1012))/3)/(((J1012/5)*200*I1012*H1012)+((J1012*S1012/2.5)*I1012*H1012)+((E1012*F1012*J1012*S1012*I1012*H1012)/12500000))/3*1000,"")</f>
        <v/>
      </c>
    </row>
    <row r="1013">
      <c r="B1013" s="7" t="inlineStr">
        <is>
          <t xml:space="preserve">  ↳ SiegeEngineCannon</t>
        </is>
      </c>
      <c r="C1013" s="7" t="inlineStr">
        <is>
          <t>Armament</t>
        </is>
      </c>
      <c r="L1013" s="6" t="n">
        <v>10000</v>
      </c>
      <c r="M1013" s="6" t="n">
        <v>100</v>
      </c>
      <c r="N1013" s="6" t="n">
        <v>1</v>
      </c>
      <c r="O1013" s="6" t="n"/>
      <c r="P1013" s="6" t="n">
        <v>11200</v>
      </c>
      <c r="Q1013" s="6" t="n">
        <v>1.326923076923077</v>
      </c>
      <c r="R1013">
        <f>M1013+IF(N1013&gt;1,N(O1013)*(N1013-1),0)</f>
        <v/>
      </c>
      <c r="S1013">
        <f>IFERROR(L1013*MAX(N1013,1)/R1013*Q1013*IF(ISBLANK(K1012),1,K1012),0)</f>
        <v/>
      </c>
      <c r="AB1013" s="7" t="inlineStr">
        <is>
          <t>^NuclearWarhead, ^LightMissile, ^LightChemicalWeapon, ^MediumChemicalWeapon, ^HeavyChemicalWeapon, ^LightFlameWeapon, ^MediumFlameWeapon, ^HeavyFlameWeapon, ^Grenade, ^ShrapnelWeapon, ^HeavyBomb, ^HeavyCannon, ^MediumCannon, ^TankDestroyerCannon</t>
        </is>
      </c>
    </row>
    <row r="1014">
      <c r="A1014" t="inlineStr">
        <is>
          <t>warcraft2</t>
        </is>
      </c>
      <c r="B1014" t="inlineStr">
        <is>
          <t>wc2_humans_ballista</t>
        </is>
      </c>
      <c r="C1014" t="inlineStr">
        <is>
          <t>Ballista</t>
        </is>
      </c>
      <c r="D1014" s="6" t="inlineStr">
        <is>
          <t>Artillery</t>
        </is>
      </c>
      <c r="E1014" s="6" t="n">
        <v>45000</v>
      </c>
      <c r="F1014" s="6" t="n">
        <v>45</v>
      </c>
      <c r="G1014" t="inlineStr">
        <is>
          <t>Light</t>
        </is>
      </c>
      <c r="H1014" s="6" t="n">
        <v>1</v>
      </c>
      <c r="I1014" s="6" t="n">
        <v>1</v>
      </c>
      <c r="J1014" s="6" t="n">
        <v>1</v>
      </c>
      <c r="K1014" s="6" t="n"/>
      <c r="P1014">
        <f>MAX(P1015)</f>
        <v/>
      </c>
      <c r="S1014">
        <f>S1015</f>
        <v/>
      </c>
      <c r="T1014">
        <f>(E1014/100000+F1014/100+(P1014/1000)*J1014/5+S1014/200)*200*I1014*H1014</f>
        <v/>
      </c>
      <c r="U1014">
        <f>((E1014*F1014/25000)+((P1014/1000)*J1014*S1014/2.5))*I1014*H1014</f>
        <v/>
      </c>
      <c r="V1014">
        <f>(E1014*F1014*(P1014/1000)*J1014*S1014*I1014*H1014)/12500000</f>
        <v/>
      </c>
      <c r="W1014">
        <f>(T1014+U1014+V1014)/3</f>
        <v/>
      </c>
      <c r="X1014" s="6" t="n">
        <v>900</v>
      </c>
      <c r="Y1014">
        <f>IFERROR(W1014-X1014,"")</f>
        <v/>
      </c>
      <c r="Z1014">
        <f>IFERROR(ABS(Y1014)/MAX(X1014,1),"")</f>
        <v/>
      </c>
      <c r="AA1014">
        <f>IFERROR((X1014-(((E1014/100000+F1014/100+S1014/200)*200*I1014*H1014)+((E1014*F1014/25000)*I1014*H1014))/3)/(((J1014/5)*200*I1014*H1014)+((J1014*S1014/2.5)*I1014*H1014)+((E1014*F1014*J1014*S1014*I1014*H1014)/12500000))/3*1000,"")</f>
        <v/>
      </c>
    </row>
    <row r="1015">
      <c r="B1015" s="7" t="inlineStr">
        <is>
          <t xml:space="preserve">  ↳ wc2ballistaFire</t>
        </is>
      </c>
      <c r="C1015" s="7" t="inlineStr">
        <is>
          <t>Armament</t>
        </is>
      </c>
      <c r="L1015" s="6" t="n">
        <v>30000</v>
      </c>
      <c r="M1015" s="6" t="n">
        <v>180</v>
      </c>
      <c r="N1015" s="6" t="n">
        <v>1</v>
      </c>
      <c r="O1015" s="6" t="n"/>
      <c r="P1015" s="6" t="n">
        <v>14450</v>
      </c>
      <c r="Q1015" s="6" t="n">
        <v>1.083333333333333</v>
      </c>
      <c r="R1015">
        <f>M1015+IF(N1015&gt;1,N(O1015)*(N1015-1),0)</f>
        <v/>
      </c>
      <c r="S1015">
        <f>IFERROR(L1015*MAX(N1015,1)/R1015*Q1015*IF(ISBLANK(K1014),1,K1014),0)</f>
        <v/>
      </c>
      <c r="AB1015" s="7" t="inlineStr">
        <is>
          <t>^Grenade, ^ShrapnelWeapon, ^HeavyBomb</t>
        </is>
      </c>
    </row>
    <row r="1016">
      <c r="A1016" t="inlineStr">
        <is>
          <t>warcraft2</t>
        </is>
      </c>
      <c r="B1016" t="inlineStr">
        <is>
          <t>wc2_humans_siegeengine</t>
        </is>
      </c>
      <c r="C1016" t="inlineStr">
        <is>
          <t>Siege Engine</t>
        </is>
      </c>
      <c r="D1016" s="6" t="inlineStr">
        <is>
          <t>Artillery</t>
        </is>
      </c>
      <c r="E1016" s="6" t="n">
        <v>70000</v>
      </c>
      <c r="F1016" s="6" t="n">
        <v>70</v>
      </c>
      <c r="G1016" t="inlineStr">
        <is>
          <t>Medium</t>
        </is>
      </c>
      <c r="H1016" s="6" t="n">
        <v>1</v>
      </c>
      <c r="I1016" s="6" t="n">
        <v>1</v>
      </c>
      <c r="J1016" s="6" t="n">
        <v>1</v>
      </c>
      <c r="K1016" s="6" t="n"/>
      <c r="P1016">
        <f>MAX(P1017)</f>
        <v/>
      </c>
      <c r="S1016">
        <f>S1017</f>
        <v/>
      </c>
      <c r="T1016">
        <f>(E1016/100000+F1016/100+(P1016/1000)*J1016/5+S1016/200)*200*I1016*H1016</f>
        <v/>
      </c>
      <c r="U1016">
        <f>((E1016*F1016/25000)+((P1016/1000)*J1016*S1016/2.5))*I1016*H1016</f>
        <v/>
      </c>
      <c r="V1016">
        <f>(E1016*F1016*(P1016/1000)*J1016*S1016*I1016*H1016)/12500000</f>
        <v/>
      </c>
      <c r="W1016">
        <f>(T1016+U1016+V1016)/3</f>
        <v/>
      </c>
      <c r="X1016" s="6" t="n">
        <v>1800</v>
      </c>
      <c r="Y1016">
        <f>IFERROR(W1016-X1016,"")</f>
        <v/>
      </c>
      <c r="Z1016">
        <f>IFERROR(ABS(Y1016)/MAX(X1016,1),"")</f>
        <v/>
      </c>
      <c r="AA1016">
        <f>IFERROR((X1016-(((E1016/100000+F1016/100+S1016/200)*200*I1016*H1016)+((E1016*F1016/25000)*I1016*H1016))/3)/(((J1016/5)*200*I1016*H1016)+((J1016*S1016/2.5)*I1016*H1016)+((E1016*F1016*J1016*S1016*I1016*H1016)/12500000))/3*1000,"")</f>
        <v/>
      </c>
    </row>
    <row r="1017">
      <c r="B1017" s="7" t="inlineStr">
        <is>
          <t xml:space="preserve">  ↳ SiegeEngineCannon</t>
        </is>
      </c>
      <c r="C1017" s="7" t="inlineStr">
        <is>
          <t>Armament</t>
        </is>
      </c>
      <c r="L1017" s="6" t="n">
        <v>10000</v>
      </c>
      <c r="M1017" s="6" t="n">
        <v>100</v>
      </c>
      <c r="N1017" s="6" t="n">
        <v>1</v>
      </c>
      <c r="O1017" s="6" t="n"/>
      <c r="P1017" s="6" t="n">
        <v>11200</v>
      </c>
      <c r="Q1017" s="6" t="n">
        <v>1.326923076923077</v>
      </c>
      <c r="R1017">
        <f>M1017+IF(N1017&gt;1,N(O1017)*(N1017-1),0)</f>
        <v/>
      </c>
      <c r="S1017">
        <f>IFERROR(L1017*MAX(N1017,1)/R1017*Q1017*IF(ISBLANK(K1016),1,K1016),0)</f>
        <v/>
      </c>
      <c r="AB1017" s="7" t="inlineStr">
        <is>
          <t>^NuclearWarhead, ^LightMissile, ^LightChemicalWeapon, ^MediumChemicalWeapon, ^HeavyChemicalWeapon, ^LightFlameWeapon, ^MediumFlameWeapon, ^HeavyFlameWeapon, ^Grenade, ^ShrapnelWeapon, ^HeavyBomb, ^HeavyCannon, ^MediumCannon, ^TankDestroyerCannon</t>
        </is>
      </c>
    </row>
    <row r="1018">
      <c r="A1018" s="4" t="inlineStr">
        <is>
          <t>EpicVehicle</t>
        </is>
      </c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5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</row>
    <row r="1019">
      <c r="A1019" t="inlineStr">
        <is>
          <t>tiberiandawn</t>
        </is>
      </c>
      <c r="B1019" t="inlineStr">
        <is>
          <t>td_gdi_defenserig</t>
        </is>
      </c>
      <c r="C1019" t="inlineStr">
        <is>
          <t>GDI Defense Rig</t>
        </is>
      </c>
      <c r="D1019" s="6" t="inlineStr">
        <is>
          <t>EpicVehicle</t>
        </is>
      </c>
      <c r="E1019" s="6" t="n">
        <v>400000</v>
      </c>
      <c r="F1019" s="6" t="n">
        <v>60</v>
      </c>
      <c r="G1019" t="inlineStr">
        <is>
          <t>Superheavy</t>
        </is>
      </c>
      <c r="H1019" s="6" t="n">
        <v>1</v>
      </c>
      <c r="I1019" s="6" t="n">
        <v>1</v>
      </c>
      <c r="J1019" s="6" t="n">
        <v>1</v>
      </c>
      <c r="K1019" s="6" t="n"/>
      <c r="P1019">
        <f>MAX(P1020,P1021,P1022,P1023,P1024,P1025,P1026,P1027,P1028)</f>
        <v/>
      </c>
      <c r="S1019">
        <f>S1020+S1021+S1022+S1023+S1024+S1025+S1026+S1027+S1028</f>
        <v/>
      </c>
      <c r="T1019">
        <f>(E1019/100000+F1019/100+(P1019/1000)*J1019/5+S1019/200)*200*I1019*H1019</f>
        <v/>
      </c>
      <c r="U1019">
        <f>((E1019*F1019/25000)+((P1019/1000)*J1019*S1019/2.5))*I1019*H1019</f>
        <v/>
      </c>
      <c r="V1019">
        <f>(E1019*F1019*(P1019/1000)*J1019*S1019*I1019*H1019)/12500000</f>
        <v/>
      </c>
      <c r="W1019">
        <f>(T1019+U1019+V1019)/3</f>
        <v/>
      </c>
      <c r="X1019" s="6" t="n">
        <v>5000</v>
      </c>
      <c r="Y1019">
        <f>IFERROR(W1019-X1019,"")</f>
        <v/>
      </c>
      <c r="Z1019">
        <f>IFERROR(ABS(Y1019)/MAX(X1019,1),"")</f>
        <v/>
      </c>
      <c r="AA1019">
        <f>IFERROR((X1019-(((E1019/100000+F1019/100+S1019/200)*200*I1019*H1019)+((E1019*F1019/25000)*I1019*H1019))/3)/(((J1019/5)*200*I1019*H1019)+((J1019*S1019/2.5)*I1019*H1019)+((E1019*F1019*J1019*S1019*I1019*H1019)/12500000))/3*1000,"")</f>
        <v/>
      </c>
    </row>
    <row r="1020">
      <c r="B1020" s="7" t="inlineStr">
        <is>
          <t xml:space="preserve">  ↳ GDIRigPDLaser</t>
        </is>
      </c>
      <c r="C1020" s="7" t="inlineStr">
        <is>
          <t>Armament@pointdefense</t>
        </is>
      </c>
      <c r="L1020" s="6" t="n">
        <v>2000</v>
      </c>
      <c r="M1020" s="6" t="n">
        <v>25</v>
      </c>
      <c r="N1020" s="6" t="n">
        <v>1</v>
      </c>
      <c r="O1020" s="6" t="n"/>
      <c r="P1020" s="6" t="n">
        <v>6000</v>
      </c>
      <c r="Q1020" s="6" t="n">
        <v>1</v>
      </c>
      <c r="R1020">
        <f>M1020+IF(N1020&gt;1,N(O1020)*(N1020-1),0)</f>
        <v/>
      </c>
      <c r="S1020">
        <f>IFERROR(L1020*MAX(N1020,1)/R1020*Q1020*IF(ISBLANK(K1019),1,K1019),0)</f>
        <v/>
      </c>
      <c r="AB1020" s="7" t="inlineStr">
        <is>
          <t>^LaserWeapon</t>
        </is>
      </c>
    </row>
    <row r="1021">
      <c r="B1021" s="7" t="inlineStr">
        <is>
          <t xml:space="preserve">  ↳ GDIRigPDLaserTower</t>
        </is>
      </c>
      <c r="C1021" s="7" t="inlineStr">
        <is>
          <t>Armament@pointdefensedeployed</t>
        </is>
      </c>
      <c r="L1021" s="6" t="n">
        <v>2000</v>
      </c>
      <c r="M1021" s="6" t="n">
        <v>25</v>
      </c>
      <c r="N1021" s="6" t="n">
        <v>1</v>
      </c>
      <c r="O1021" s="6" t="n"/>
      <c r="P1021" s="6" t="n">
        <v>9350</v>
      </c>
      <c r="Q1021" s="6" t="n">
        <v>1</v>
      </c>
      <c r="R1021">
        <f>M1021+IF(N1021&gt;1,N(O1021)*(N1021-1),0)</f>
        <v/>
      </c>
      <c r="S1021">
        <f>IFERROR(L1021*MAX(N1021,1)/R1021*Q1021*IF(ISBLANK(K1019),1,K1019),0)</f>
        <v/>
      </c>
      <c r="AB1021" s="7" t="inlineStr">
        <is>
          <t>^LaserWeapon</t>
        </is>
      </c>
    </row>
    <row r="1022">
      <c r="B1022" s="7" t="inlineStr">
        <is>
          <t xml:space="preserve">  ↳ GDIRigDroneTargeting</t>
        </is>
      </c>
      <c r="C1022" s="7" t="inlineStr">
        <is>
          <t>Armament@DroneTargeting</t>
        </is>
      </c>
      <c r="L1022" s="6" t="n">
        <v>-1</v>
      </c>
      <c r="M1022" s="6" t="n">
        <v>5</v>
      </c>
      <c r="N1022" s="6" t="n">
        <v>1</v>
      </c>
      <c r="O1022" s="6" t="n">
        <v>1</v>
      </c>
      <c r="P1022" s="6" t="n">
        <v>6000</v>
      </c>
      <c r="Q1022" s="6" t="n">
        <v>1.5</v>
      </c>
      <c r="R1022">
        <f>M1022+IF(N1022&gt;1,N(O1022)*(N1022-1),0)</f>
        <v/>
      </c>
      <c r="S1022">
        <f>IFERROR(L1022*MAX(N1022,1)/R1022*Q1022*IF(ISBLANK(K1019),1,K1019),0)</f>
        <v/>
      </c>
      <c r="AB1022" s="7" t="inlineStr">
        <is>
          <t>^RepairWeapon</t>
        </is>
      </c>
    </row>
    <row r="1023">
      <c r="B1023" s="7" t="inlineStr">
        <is>
          <t xml:space="preserve">  ↳ GDIRigDroneTargetingTower</t>
        </is>
      </c>
      <c r="C1023" s="7" t="inlineStr">
        <is>
          <t>Armament@DroneTargetingDeployed</t>
        </is>
      </c>
      <c r="L1023" s="6" t="n">
        <v>-1</v>
      </c>
      <c r="M1023" s="6" t="n">
        <v>5</v>
      </c>
      <c r="N1023" s="6" t="n">
        <v>1</v>
      </c>
      <c r="O1023" s="6" t="n">
        <v>1</v>
      </c>
      <c r="P1023" s="6" t="n">
        <v>6000</v>
      </c>
      <c r="Q1023" s="6" t="n">
        <v>1.5</v>
      </c>
      <c r="R1023">
        <f>M1023+IF(N1023&gt;1,N(O1023)*(N1023-1),0)</f>
        <v/>
      </c>
      <c r="S1023">
        <f>IFERROR(L1023*MAX(N1023,1)/R1023*Q1023*IF(ISBLANK(K1019),1,K1019),0)</f>
        <v/>
      </c>
      <c r="AB1023" s="7" t="inlineStr">
        <is>
          <t>^RepairWeapon</t>
        </is>
      </c>
    </row>
    <row r="1024">
      <c r="B1024" s="7" t="inlineStr">
        <is>
          <t xml:space="preserve">  ↳ GDIRigPhalanx</t>
        </is>
      </c>
      <c r="C1024" s="7" t="inlineStr">
        <is>
          <t>Armament@mobile</t>
        </is>
      </c>
      <c r="L1024" s="6" t="n">
        <v>4000</v>
      </c>
      <c r="M1024" s="6" t="n">
        <v>8</v>
      </c>
      <c r="N1024" s="6" t="n">
        <v>1</v>
      </c>
      <c r="O1024" s="6" t="n"/>
      <c r="P1024" s="6" t="n">
        <v>6000</v>
      </c>
      <c r="Q1024" s="6" t="n">
        <v>0.95</v>
      </c>
      <c r="R1024">
        <f>M1024+IF(N1024&gt;1,N(O1024)*(N1024-1),0)</f>
        <v/>
      </c>
      <c r="S1024">
        <f>IFERROR(L1024*MAX(N1024,1)/R1024*Q1024*IF(ISBLANK(K1019),1,K1019),0)</f>
        <v/>
      </c>
      <c r="AB1024" s="7" t="inlineStr">
        <is>
          <t>^TankDestroyerCannon, ^SmallArms, ^Grenade, ^MediumCannon, ^FlakWeapon, ^Chaingun</t>
        </is>
      </c>
    </row>
    <row r="1025">
      <c r="B1025" s="7" t="inlineStr">
        <is>
          <t xml:space="preserve">  ↳ GDIRigPhalanxTower</t>
        </is>
      </c>
      <c r="C1025" s="7" t="inlineStr">
        <is>
          <t>Armament@Phalanx</t>
        </is>
      </c>
      <c r="L1025" s="6" t="n">
        <v>4000</v>
      </c>
      <c r="M1025" s="6" t="n">
        <v>10</v>
      </c>
      <c r="N1025" s="6" t="n">
        <v>1</v>
      </c>
      <c r="O1025" s="6" t="n"/>
      <c r="P1025" s="6" t="n">
        <v>9350</v>
      </c>
      <c r="Q1025" s="6" t="n">
        <v>0.95</v>
      </c>
      <c r="R1025">
        <f>M1025+IF(N1025&gt;1,N(O1025)*(N1025-1),0)</f>
        <v/>
      </c>
      <c r="S1025">
        <f>IFERROR(L1025*MAX(N1025,1)/R1025*Q1025*IF(ISBLANK(K1019),1,K1019),0)</f>
        <v/>
      </c>
      <c r="AB1025" s="7" t="inlineStr">
        <is>
          <t>^TankDestroyerCannon, ^SmallArms, ^Grenade, ^MediumCannon, ^FlakWeapon, ^Chaingun</t>
        </is>
      </c>
    </row>
    <row r="1026">
      <c r="B1026" s="7" t="inlineStr">
        <is>
          <t xml:space="preserve">  ↳ GDIRigRailgun</t>
        </is>
      </c>
      <c r="C1026" s="7" t="inlineStr">
        <is>
          <t>Armament@Railgun</t>
        </is>
      </c>
      <c r="L1026" s="6" t="n">
        <v>160000</v>
      </c>
      <c r="M1026" s="6" t="n">
        <v>95</v>
      </c>
      <c r="N1026" s="6" t="n">
        <v>1</v>
      </c>
      <c r="O1026" s="6" t="n"/>
      <c r="P1026" s="6" t="n">
        <v>9350</v>
      </c>
      <c r="Q1026" s="6" t="n">
        <v>1.25</v>
      </c>
      <c r="R1026">
        <f>M1026+IF(N1026&gt;1,N(O1026)*(N1026-1),0)</f>
        <v/>
      </c>
      <c r="S1026">
        <f>IFERROR(L1026*MAX(N1026,1)/R1026*Q1026*IF(ISBLANK(K1019),1,K1019),0)</f>
        <v/>
      </c>
      <c r="AB1026" s="7" t="inlineStr">
        <is>
          <t>^RailgunWeapon</t>
        </is>
      </c>
    </row>
    <row r="1027">
      <c r="B1027" s="7" t="inlineStr">
        <is>
          <t xml:space="preserve">  ↳ GDIRigMissilePod</t>
        </is>
      </c>
      <c r="C1027" s="7" t="inlineStr">
        <is>
          <t>Armament@MissilePod</t>
        </is>
      </c>
      <c r="L1027" s="6" t="n">
        <v>8000</v>
      </c>
      <c r="M1027" s="6" t="n">
        <v>45</v>
      </c>
      <c r="N1027" s="6" t="n">
        <v>4</v>
      </c>
      <c r="O1027" s="6" t="n">
        <v>5</v>
      </c>
      <c r="P1027" s="6" t="n">
        <v>9350</v>
      </c>
      <c r="Q1027" s="6" t="n">
        <v>1.0625</v>
      </c>
      <c r="R1027">
        <f>M1027+IF(N1027&gt;1,N(O1027)*(N1027-1),0)</f>
        <v/>
      </c>
      <c r="S1027">
        <f>IFERROR(L1027*MAX(N1027,1)/R1027*Q1027*IF(ISBLANK(K1019),1,K1019),0)</f>
        <v/>
      </c>
      <c r="AB1027" s="7" t="inlineStr">
        <is>
          <t>^FlakWeapon, ^Grenade, ^HeavyMissile, ^MediumMissile</t>
        </is>
      </c>
    </row>
    <row r="1028">
      <c r="B1028" s="7" t="inlineStr">
        <is>
          <t xml:space="preserve">  ↳ GDIRigMissilePodAMT</t>
        </is>
      </c>
      <c r="C1028" s="7" t="inlineStr">
        <is>
          <t>Armament@AdvancedMissileTargeting</t>
        </is>
      </c>
      <c r="L1028" s="6" t="n">
        <v>8000</v>
      </c>
      <c r="M1028" s="6" t="n">
        <v>45</v>
      </c>
      <c r="N1028" s="6" t="n">
        <v>4</v>
      </c>
      <c r="O1028" s="6" t="n">
        <v>5</v>
      </c>
      <c r="P1028" s="6" t="n">
        <v>9350</v>
      </c>
      <c r="Q1028" s="6" t="n">
        <v>1.0625</v>
      </c>
      <c r="R1028">
        <f>M1028+IF(N1028&gt;1,N(O1028)*(N1028-1),0)</f>
        <v/>
      </c>
      <c r="S1028">
        <f>IFERROR(L1028*MAX(N1028,1)/R1028*Q1028*IF(ISBLANK(K1019),1,K1019),0)</f>
        <v/>
      </c>
      <c r="AB1028" s="7" t="inlineStr">
        <is>
          <t>^FlakWeapon, ^Grenade, ^HeavyMissile, ^MediumMissile, ^AMTProjectile</t>
        </is>
      </c>
    </row>
    <row r="1029">
      <c r="A1029" t="inlineStr">
        <is>
          <t>redalert</t>
        </is>
      </c>
      <c r="B1029" t="inlineStr">
        <is>
          <t>japan_shogunexecutioner</t>
        </is>
      </c>
      <c r="C1029" t="inlineStr">
        <is>
          <t>Shogun Executioner</t>
        </is>
      </c>
      <c r="D1029" s="6" t="inlineStr">
        <is>
          <t>EpicVehicle</t>
        </is>
      </c>
      <c r="E1029" s="6" t="n">
        <v>3000000</v>
      </c>
      <c r="F1029" s="6" t="n">
        <v>65</v>
      </c>
      <c r="G1029" t="inlineStr">
        <is>
          <t>Superheavy</t>
        </is>
      </c>
      <c r="H1029" s="6" t="n">
        <v>0.75</v>
      </c>
      <c r="I1029" s="6" t="n">
        <v>0.4</v>
      </c>
      <c r="J1029" s="6" t="n">
        <v>1.25</v>
      </c>
      <c r="K1029" s="6" t="n"/>
      <c r="P1029">
        <f>MAX(P1030)</f>
        <v/>
      </c>
      <c r="S1029">
        <f>S1030</f>
        <v/>
      </c>
      <c r="T1029">
        <f>(E1029/100000+F1029/100+(P1029/1000)*J1029/5+S1029/200)*200*I1029*H1029</f>
        <v/>
      </c>
      <c r="U1029">
        <f>((E1029*F1029/25000)+((P1029/1000)*J1029*S1029/2.5))*I1029*H1029</f>
        <v/>
      </c>
      <c r="V1029">
        <f>(E1029*F1029*(P1029/1000)*J1029*S1029*I1029*H1029)/12500000</f>
        <v/>
      </c>
      <c r="W1029">
        <f>(T1029+U1029+V1029)/3</f>
        <v/>
      </c>
      <c r="X1029" s="6" t="n">
        <v>10000</v>
      </c>
      <c r="Y1029">
        <f>IFERROR(W1029-X1029,"")</f>
        <v/>
      </c>
      <c r="Z1029">
        <f>IFERROR(ABS(Y1029)/MAX(X1029,1),"")</f>
        <v/>
      </c>
      <c r="AA1029">
        <f>IFERROR((X1029-(((E1029/100000+F1029/100+S1029/200)*200*I1029*H1029)+((E1029*F1029/25000)*I1029*H1029))/3)/(((J1029/5)*200*I1029*H1029)+((J1029*S1029/2.5)*I1029*H1029)+((E1029*F1029*J1029*S1029*I1029*H1029)/12500000))/3*1000,"")</f>
        <v/>
      </c>
    </row>
    <row r="1030">
      <c r="B1030" s="7" t="inlineStr">
        <is>
          <t xml:space="preserve">  ↳ ExecutionerSword</t>
        </is>
      </c>
      <c r="C1030" s="7" t="inlineStr">
        <is>
          <t>Armament</t>
        </is>
      </c>
      <c r="L1030" s="6" t="n">
        <v>600000</v>
      </c>
      <c r="M1030" s="6" t="n">
        <v>300</v>
      </c>
      <c r="N1030" s="6" t="n">
        <v>1</v>
      </c>
      <c r="O1030" s="6" t="n"/>
      <c r="P1030" s="6" t="n">
        <v>3000</v>
      </c>
      <c r="Q1030" s="6" t="n">
        <v>1</v>
      </c>
      <c r="R1030">
        <f>M1030+IF(N1030&gt;1,N(O1030)*(N1030-1),0)</f>
        <v/>
      </c>
      <c r="S1030">
        <f>IFERROR(L1030*MAX(N1030,1)/R1030*Q1030*IF(ISBLANK(K1029),1,K1029),0)</f>
        <v/>
      </c>
      <c r="AB1030" s="7" t="inlineStr">
        <is>
          <t>^SwordWeapon</t>
        </is>
      </c>
    </row>
    <row r="1031">
      <c r="A1031" t="inlineStr">
        <is>
          <t>redalert</t>
        </is>
      </c>
      <c r="B1031" t="inlineStr">
        <is>
          <t>ra1_soviets_monstertank</t>
        </is>
      </c>
      <c r="C1031" t="inlineStr">
        <is>
          <t>Monster Tank</t>
        </is>
      </c>
      <c r="D1031" s="6" t="inlineStr">
        <is>
          <t>EpicVehicle</t>
        </is>
      </c>
      <c r="E1031" s="6" t="n">
        <v>1000000</v>
      </c>
      <c r="F1031" s="6" t="n">
        <v>45</v>
      </c>
      <c r="G1031" t="inlineStr">
        <is>
          <t>Superheavy</t>
        </is>
      </c>
      <c r="H1031" s="6" t="n">
        <v>0.75</v>
      </c>
      <c r="I1031" s="6" t="n">
        <v>0.4</v>
      </c>
      <c r="J1031" s="6" t="n">
        <v>1</v>
      </c>
      <c r="K1031" s="6" t="n">
        <v>1.05</v>
      </c>
      <c r="P1031">
        <f>MAX(P1032,P1033,P1034,P1035,P1036)</f>
        <v/>
      </c>
      <c r="S1031">
        <f>S1032+S1033+S1034+S1035+S1036</f>
        <v/>
      </c>
      <c r="T1031">
        <f>(E1031/100000+F1031/100+(P1031/1000)*J1031/5+S1031/200)*200*I1031*H1031</f>
        <v/>
      </c>
      <c r="U1031">
        <f>((E1031*F1031/25000)+((P1031/1000)*J1031*S1031/2.5))*I1031*H1031</f>
        <v/>
      </c>
      <c r="V1031">
        <f>(E1031*F1031*(P1031/1000)*J1031*S1031*I1031*H1031)/12500000</f>
        <v/>
      </c>
      <c r="W1031">
        <f>(T1031+U1031+V1031)/3</f>
        <v/>
      </c>
      <c r="X1031" s="6" t="n">
        <v>10000</v>
      </c>
      <c r="Y1031">
        <f>IFERROR(W1031-X1031,"")</f>
        <v/>
      </c>
      <c r="Z1031">
        <f>IFERROR(ABS(Y1031)/MAX(X1031,1),"")</f>
        <v/>
      </c>
      <c r="AA1031">
        <f>IFERROR((X1031-(((E1031/100000+F1031/100+S1031/200)*200*I1031*H1031)+((E1031*F1031/25000)*I1031*H1031))/3)/(((J1031/5)*200*I1031*H1031)+((J1031*S1031/2.5)*I1031*H1031)+((E1031*F1031*J1031*S1031*I1031*H1031)/12500000))/3*1000,"")</f>
        <v/>
      </c>
    </row>
    <row r="1032">
      <c r="B1032" s="7" t="inlineStr">
        <is>
          <t xml:space="preserve">  ↳ MonsterTank120mm</t>
        </is>
      </c>
      <c r="C1032" s="7" t="inlineStr">
        <is>
          <t>Armament@PRIMARY</t>
        </is>
      </c>
      <c r="L1032" s="6" t="n">
        <v>40000</v>
      </c>
      <c r="M1032" s="6" t="n">
        <v>103</v>
      </c>
      <c r="N1032" s="6" t="n">
        <v>2</v>
      </c>
      <c r="O1032" s="6" t="n">
        <v>32</v>
      </c>
      <c r="P1032" s="6" t="n">
        <v>7833</v>
      </c>
      <c r="Q1032" s="6" t="n">
        <v>3.125</v>
      </c>
      <c r="R1032">
        <f>M1032+IF(N1032&gt;1,N(O1032)*(N1032-1),0)</f>
        <v/>
      </c>
      <c r="S1032">
        <f>IFERROR(L1032*MAX(N1032,1)/R1032*Q1032*IF(ISBLANK(K1031),1,K1031),0)</f>
        <v/>
      </c>
      <c r="AB1032" s="7" t="inlineStr">
        <is>
          <t>^NuclearWarhead, ^HeavyCannon</t>
        </is>
      </c>
    </row>
    <row r="1033">
      <c r="B1033" s="7" t="inlineStr">
        <is>
          <t xml:space="preserve">  ↳ MonsterTank120mmThermobaric</t>
        </is>
      </c>
      <c r="C1033" s="7" t="inlineStr">
        <is>
          <t>Armament@Upgrade</t>
        </is>
      </c>
      <c r="L1033" s="6" t="n">
        <v>40000</v>
      </c>
      <c r="M1033" s="6" t="n">
        <v>103</v>
      </c>
      <c r="N1033" s="6" t="n">
        <v>2</v>
      </c>
      <c r="O1033" s="6" t="n">
        <v>32</v>
      </c>
      <c r="P1033" s="6" t="n">
        <v>7833</v>
      </c>
      <c r="Q1033" s="6" t="n">
        <v>2.5</v>
      </c>
      <c r="R1033">
        <f>M1033+IF(N1033&gt;1,N(O1033)*(N1033-1),0)</f>
        <v/>
      </c>
      <c r="S1033">
        <f>IFERROR(L1033*MAX(N1033,1)/R1033*Q1033*IF(ISBLANK(K1031),1,K1031),0)</f>
        <v/>
      </c>
      <c r="AB1033" s="7" t="inlineStr">
        <is>
          <t>^HeavyFlameWeapon, ^NuclearWarhead, ^HeavyCannon</t>
        </is>
      </c>
    </row>
    <row r="1034">
      <c r="B1034" s="7" t="inlineStr">
        <is>
          <t xml:space="preserve">  ↳ MonsterTankTusk</t>
        </is>
      </c>
      <c r="C1034" s="7" t="inlineStr">
        <is>
          <t>Armament@SECONDARY</t>
        </is>
      </c>
      <c r="L1034" s="6" t="n">
        <v>20000</v>
      </c>
      <c r="M1034" s="6" t="n">
        <v>125</v>
      </c>
      <c r="N1034" s="6" t="n">
        <v>4</v>
      </c>
      <c r="O1034" s="6" t="n"/>
      <c r="P1034" s="6" t="n">
        <v>7833</v>
      </c>
      <c r="Q1034" s="6" t="n">
        <v>1.25</v>
      </c>
      <c r="R1034">
        <f>M1034+IF(N1034&gt;1,N(O1034)*(N1034-1),0)</f>
        <v/>
      </c>
      <c r="S1034">
        <f>IFERROR(L1034*MAX(N1034,1)/R1034*Q1034*IF(ISBLANK(K1031),1,K1031),0)</f>
        <v/>
      </c>
      <c r="AB1034" s="7" t="inlineStr">
        <is>
          <t>^HeavyBomb, ^HeavyMissile</t>
        </is>
      </c>
    </row>
    <row r="1035">
      <c r="B1035" s="7" t="inlineStr">
        <is>
          <t xml:space="preserve">  ↳ MonsterTankTuskTesla</t>
        </is>
      </c>
      <c r="C1035" s="7" t="inlineStr">
        <is>
          <t>Armament@TeslaSECONDARY</t>
        </is>
      </c>
      <c r="L1035" s="6" t="n">
        <v>26750</v>
      </c>
      <c r="M1035" s="6" t="n">
        <v>125</v>
      </c>
      <c r="N1035" s="6" t="n">
        <v>4</v>
      </c>
      <c r="O1035" s="6" t="n">
        <v>3</v>
      </c>
      <c r="P1035" s="6" t="n">
        <v>7833</v>
      </c>
      <c r="Q1035" s="6" t="n">
        <v>1</v>
      </c>
      <c r="R1035">
        <f>M1035+IF(N1035&gt;1,N(O1035)*(N1035-1),0)</f>
        <v/>
      </c>
      <c r="S1035">
        <f>IFERROR(L1035*MAX(N1035,1)/R1035*Q1035*IF(ISBLANK(K1031),1,K1031),0)</f>
        <v/>
      </c>
      <c r="AB1035" s="7" t="inlineStr">
        <is>
          <t>^Grenade, ^LightFlameWeapon, ^TeslaWeapon, ^HeavyMissile</t>
        </is>
      </c>
    </row>
    <row r="1036">
      <c r="B1036" s="7" t="inlineStr">
        <is>
          <t xml:space="preserve">  ↳ MonsterTankTuskThermobaric</t>
        </is>
      </c>
      <c r="C1036" s="7" t="inlineStr">
        <is>
          <t>Armament@NukeSECONDARY</t>
        </is>
      </c>
      <c r="L1036" s="6" t="n">
        <v>13250</v>
      </c>
      <c r="M1036" s="6" t="n">
        <v>125</v>
      </c>
      <c r="N1036" s="6" t="n">
        <v>4</v>
      </c>
      <c r="O1036" s="6" t="n">
        <v>3</v>
      </c>
      <c r="P1036" s="6" t="n">
        <v>7833</v>
      </c>
      <c r="Q1036" s="6" t="n">
        <v>1.03125</v>
      </c>
      <c r="R1036">
        <f>M1036+IF(N1036&gt;1,N(O1036)*(N1036-1),0)</f>
        <v/>
      </c>
      <c r="S1036">
        <f>IFERROR(L1036*MAX(N1036,1)/R1036*Q1036*IF(ISBLANK(K1031),1,K1031),0)</f>
        <v/>
      </c>
      <c r="AB1036" s="7" t="inlineStr">
        <is>
          <t>^LightFlameWeapon, ^MediumFlameWeapon, ^HeavyFlameWeapon, ^Grenade, ^FlakWeapon, ^ShrapnelWeapon, ^MediumMissile, ^HeavyMissile</t>
        </is>
      </c>
    </row>
    <row r="1037">
      <c r="A1037" t="inlineStr">
        <is>
          <t>redalert</t>
        </is>
      </c>
      <c r="B1037" t="inlineStr">
        <is>
          <t>ra1_allies_chronotank</t>
        </is>
      </c>
      <c r="C1037" t="inlineStr">
        <is>
          <t>Chrono Tank</t>
        </is>
      </c>
      <c r="D1037" s="6" t="inlineStr">
        <is>
          <t>EpicVehicle</t>
        </is>
      </c>
      <c r="E1037" s="6" t="n">
        <v>75000</v>
      </c>
      <c r="F1037" s="6" t="n">
        <v>100</v>
      </c>
      <c r="G1037" t="inlineStr">
        <is>
          <t>Medium</t>
        </is>
      </c>
      <c r="H1037" s="6" t="n">
        <v>0.75</v>
      </c>
      <c r="I1037" s="6" t="n">
        <v>0.4</v>
      </c>
      <c r="J1037" s="6" t="n">
        <v>2</v>
      </c>
      <c r="K1037" s="6" t="n"/>
      <c r="P1037">
        <f>MAX(P1038,P1039,P1040,P1041)</f>
        <v/>
      </c>
      <c r="S1037">
        <f>S1038+S1039+S1040+S1041</f>
        <v/>
      </c>
      <c r="T1037">
        <f>(E1037/100000+F1037/100+(P1037/1000)*J1037/5+S1037/200)*200*I1037*H1037</f>
        <v/>
      </c>
      <c r="U1037">
        <f>((E1037*F1037/25000)+((P1037/1000)*J1037*S1037/2.5))*I1037*H1037</f>
        <v/>
      </c>
      <c r="V1037">
        <f>(E1037*F1037*(P1037/1000)*J1037*S1037*I1037*H1037)/12500000</f>
        <v/>
      </c>
      <c r="W1037">
        <f>(T1037+U1037+V1037)/3</f>
        <v/>
      </c>
      <c r="X1037" s="6" t="n">
        <v>2000</v>
      </c>
      <c r="Y1037">
        <f>IFERROR(W1037-X1037,"")</f>
        <v/>
      </c>
      <c r="Z1037">
        <f>IFERROR(ABS(Y1037)/MAX(X1037,1),"")</f>
        <v/>
      </c>
      <c r="AA1037">
        <f>IFERROR((X1037-(((E1037/100000+F1037/100+S1037/200)*200*I1037*H1037)+((E1037*F1037/25000)*I1037*H1037))/3)/(((J1037/5)*200*I1037*H1037)+((J1037*S1037/2.5)*I1037*H1037)+((E1037*F1037*J1037*S1037*I1037*H1037)/12500000))/3*1000,"")</f>
        <v/>
      </c>
    </row>
    <row r="1038">
      <c r="B1038" s="7" t="inlineStr">
        <is>
          <t xml:space="preserve">  ↳ ChronoTusk</t>
        </is>
      </c>
      <c r="C1038" s="7" t="inlineStr">
        <is>
          <t>Armament@PRIMARY</t>
        </is>
      </c>
      <c r="L1038" s="6" t="n">
        <v>4000</v>
      </c>
      <c r="M1038" s="6" t="n">
        <v>54</v>
      </c>
      <c r="N1038" s="6" t="n">
        <v>4</v>
      </c>
      <c r="O1038" s="6" t="n"/>
      <c r="P1038" s="6" t="n">
        <v>6102</v>
      </c>
      <c r="Q1038" s="6" t="n">
        <v>1.05</v>
      </c>
      <c r="R1038">
        <f>M1038+IF(N1038&gt;1,N(O1038)*(N1038-1),0)</f>
        <v/>
      </c>
      <c r="S1038">
        <f>IFERROR(L1038*MAX(N1038,1)/R1038*Q1038*IF(ISBLANK(K1037),1,K1037),0)</f>
        <v/>
      </c>
      <c r="AB1038" s="7" t="inlineStr">
        <is>
          <t>^Grenade, ^FlakWeapon, ^Chaingun, ^HeavyMissile, ^MediumMissile</t>
        </is>
      </c>
    </row>
    <row r="1039">
      <c r="B1039" s="7" t="inlineStr">
        <is>
          <t xml:space="preserve">  ↳ ChronoTusk</t>
        </is>
      </c>
      <c r="C1039" s="7" t="inlineStr">
        <is>
          <t>Armament@SECONDARY</t>
        </is>
      </c>
      <c r="L1039" s="6" t="n">
        <v>4000</v>
      </c>
      <c r="M1039" s="6" t="n">
        <v>54</v>
      </c>
      <c r="N1039" s="6" t="n">
        <v>4</v>
      </c>
      <c r="O1039" s="6" t="n"/>
      <c r="P1039" s="6" t="n">
        <v>6102</v>
      </c>
      <c r="Q1039" s="6" t="n">
        <v>1.05</v>
      </c>
      <c r="R1039">
        <f>M1039+IF(N1039&gt;1,N(O1039)*(N1039-1),0)</f>
        <v/>
      </c>
      <c r="S1039">
        <f>IFERROR(L1039*MAX(N1039,1)/R1039*Q1039*IF(ISBLANK(K1037),1,K1037),0)</f>
        <v/>
      </c>
      <c r="AB1039" s="7" t="inlineStr">
        <is>
          <t>^Grenade, ^FlakWeapon, ^Chaingun, ^HeavyMissile, ^MediumMissile</t>
        </is>
      </c>
    </row>
    <row r="1040">
      <c r="B1040" s="7" t="inlineStr">
        <is>
          <t xml:space="preserve">  ↳ ChronoTuskCryo</t>
        </is>
      </c>
      <c r="C1040" s="7" t="inlineStr">
        <is>
          <t>Armament@Upgrade</t>
        </is>
      </c>
      <c r="L1040" s="6" t="n">
        <v>4000</v>
      </c>
      <c r="M1040" s="6" t="n">
        <v>54</v>
      </c>
      <c r="N1040" s="6" t="n">
        <v>4</v>
      </c>
      <c r="O1040" s="6" t="n"/>
      <c r="P1040" s="6" t="n">
        <v>6102</v>
      </c>
      <c r="Q1040" s="6" t="n">
        <v>1.05</v>
      </c>
      <c r="R1040">
        <f>M1040+IF(N1040&gt;1,N(O1040)*(N1040-1),0)</f>
        <v/>
      </c>
      <c r="S1040">
        <f>IFERROR(L1040*MAX(N1040,1)/R1040*Q1040*IF(ISBLANK(K1037),1,K1037),0)</f>
        <v/>
      </c>
      <c r="AB1040" s="7" t="inlineStr">
        <is>
          <t>^Grenade, ^FlakWeapon, ^Chaingun, ^HeavyMissile, ^MediumMissile, ^CryoMissileProjectile</t>
        </is>
      </c>
    </row>
    <row r="1041">
      <c r="B1041" s="7" t="inlineStr">
        <is>
          <t xml:space="preserve">  ↳ ChronoTuskCryo</t>
        </is>
      </c>
      <c r="C1041" s="7" t="inlineStr">
        <is>
          <t>Armament@UpgradeSECONDARY</t>
        </is>
      </c>
      <c r="L1041" s="6" t="n">
        <v>4000</v>
      </c>
      <c r="M1041" s="6" t="n">
        <v>54</v>
      </c>
      <c r="N1041" s="6" t="n">
        <v>4</v>
      </c>
      <c r="O1041" s="6" t="n"/>
      <c r="P1041" s="6" t="n">
        <v>6102</v>
      </c>
      <c r="Q1041" s="6" t="n">
        <v>1.05</v>
      </c>
      <c r="R1041">
        <f>M1041+IF(N1041&gt;1,N(O1041)*(N1041-1),0)</f>
        <v/>
      </c>
      <c r="S1041">
        <f>IFERROR(L1041*MAX(N1041,1)/R1041*Q1041*IF(ISBLANK(K1037),1,K1037),0)</f>
        <v/>
      </c>
      <c r="AB1041" s="7" t="inlineStr">
        <is>
          <t>^Grenade, ^FlakWeapon, ^Chaingun, ^HeavyMissile, ^MediumMissile, ^CryoMissileProjectile</t>
        </is>
      </c>
    </row>
    <row r="1042">
      <c r="A1042" t="inlineStr">
        <is>
          <t>tiberiansun</t>
        </is>
      </c>
      <c r="B1042" t="inlineStr">
        <is>
          <t>cabal_coredefender</t>
        </is>
      </c>
      <c r="C1042" t="inlineStr">
        <is>
          <t>Core Defender</t>
        </is>
      </c>
      <c r="D1042" s="6" t="inlineStr">
        <is>
          <t>EpicVehicle</t>
        </is>
      </c>
      <c r="E1042" s="6" t="n">
        <v>2000000</v>
      </c>
      <c r="F1042" s="6" t="n">
        <v>50</v>
      </c>
      <c r="G1042" t="inlineStr">
        <is>
          <t>Superheavy</t>
        </is>
      </c>
      <c r="H1042" s="6" t="n">
        <v>1</v>
      </c>
      <c r="I1042" s="6" t="n">
        <v>0.3</v>
      </c>
      <c r="J1042" s="6" t="n">
        <v>1</v>
      </c>
      <c r="K1042" s="6" t="n"/>
      <c r="P1042">
        <f>MAX(P1043,P1044)</f>
        <v/>
      </c>
      <c r="S1042">
        <f>S1043+S1044</f>
        <v/>
      </c>
      <c r="T1042">
        <f>(E1042/100000+F1042/100+(P1042/1000)*J1042/5+S1042/200)*200*I1042*H1042</f>
        <v/>
      </c>
      <c r="U1042">
        <f>((E1042*F1042/25000)+((P1042/1000)*J1042*S1042/2.5))*I1042*H1042</f>
        <v/>
      </c>
      <c r="V1042">
        <f>(E1042*F1042*(P1042/1000)*J1042*S1042*I1042*H1042)/12500000</f>
        <v/>
      </c>
      <c r="W1042">
        <f>(T1042+U1042+V1042)/3</f>
        <v/>
      </c>
      <c r="X1042" s="6" t="n">
        <v>15000</v>
      </c>
      <c r="Y1042">
        <f>IFERROR(W1042-X1042,"")</f>
        <v/>
      </c>
      <c r="Z1042">
        <f>IFERROR(ABS(Y1042)/MAX(X1042,1),"")</f>
        <v/>
      </c>
      <c r="AA1042">
        <f>IFERROR((X1042-(((E1042/100000+F1042/100+S1042/200)*200*I1042*H1042)+((E1042*F1042/25000)*I1042*H1042))/3)/(((J1042/5)*200*I1042*H1042)+((J1042*S1042/2.5)*I1042*H1042)+((E1042*F1042*J1042*S1042*I1042*H1042)/12500000))/3*1000,"")</f>
        <v/>
      </c>
    </row>
    <row r="1043">
      <c r="B1043" s="7" t="inlineStr">
        <is>
          <t xml:space="preserve">  ↳ CabalCoreDefenderLaser</t>
        </is>
      </c>
      <c r="C1043" s="7" t="inlineStr">
        <is>
          <t>Armament</t>
        </is>
      </c>
      <c r="L1043" s="6" t="n">
        <v>160000</v>
      </c>
      <c r="M1043" s="6" t="n">
        <v>70</v>
      </c>
      <c r="N1043" s="6" t="n">
        <v>1</v>
      </c>
      <c r="O1043" s="6" t="n"/>
      <c r="P1043" s="6" t="n">
        <v>6332</v>
      </c>
      <c r="Q1043" s="6" t="n">
        <v>1</v>
      </c>
      <c r="R1043">
        <f>M1043+IF(N1043&gt;1,N(O1043)*(N1043-1),0)</f>
        <v/>
      </c>
      <c r="S1043">
        <f>IFERROR(L1043*MAX(N1043,1)/R1043*Q1043*IF(ISBLANK(K1042),1,K1042),0)</f>
        <v/>
      </c>
      <c r="AB1043" s="7" t="inlineStr">
        <is>
          <t>^LaserWeapon</t>
        </is>
      </c>
    </row>
    <row r="1044">
      <c r="B1044" s="7" t="inlineStr">
        <is>
          <t xml:space="preserve">  ↳ CabalCoreDefenderLaser</t>
        </is>
      </c>
      <c r="C1044" s="7" t="inlineStr">
        <is>
          <t>Armament@RIGHT</t>
        </is>
      </c>
      <c r="L1044" s="6" t="n">
        <v>160000</v>
      </c>
      <c r="M1044" s="6" t="n">
        <v>70</v>
      </c>
      <c r="N1044" s="6" t="n">
        <v>1</v>
      </c>
      <c r="O1044" s="6" t="n"/>
      <c r="P1044" s="6" t="n">
        <v>6332</v>
      </c>
      <c r="Q1044" s="6" t="n">
        <v>1</v>
      </c>
      <c r="R1044">
        <f>M1044+IF(N1044&gt;1,N(O1044)*(N1044-1),0)</f>
        <v/>
      </c>
      <c r="S1044">
        <f>IFERROR(L1044*MAX(N1044,1)/R1044*Q1044*IF(ISBLANK(K1042),1,K1042),0)</f>
        <v/>
      </c>
      <c r="AB1044" s="7" t="inlineStr">
        <is>
          <t>^LaserWeapon</t>
        </is>
      </c>
    </row>
    <row r="1045">
      <c r="A1045" t="inlineStr">
        <is>
          <t>tiberiansun</t>
        </is>
      </c>
      <c r="B1045" t="inlineStr">
        <is>
          <t>ts_gdi_mammothmkii</t>
        </is>
      </c>
      <c r="C1045" t="inlineStr">
        <is>
          <t>Mammoth MK. II</t>
        </is>
      </c>
      <c r="D1045" s="6" t="inlineStr">
        <is>
          <t>EpicVehicle</t>
        </is>
      </c>
      <c r="E1045" s="6" t="n">
        <v>1200000</v>
      </c>
      <c r="F1045" s="6" t="n">
        <v>50</v>
      </c>
      <c r="G1045" t="inlineStr">
        <is>
          <t>Superheavy</t>
        </is>
      </c>
      <c r="H1045" s="6" t="n">
        <v>1</v>
      </c>
      <c r="I1045" s="6" t="n">
        <v>1</v>
      </c>
      <c r="J1045" s="6" t="n">
        <v>1</v>
      </c>
      <c r="K1045" s="6" t="n"/>
      <c r="P1045">
        <f>MAX(P1046,P1047,P1048,P1049)</f>
        <v/>
      </c>
      <c r="S1045">
        <f>S1046+S1047+S1048+S1049</f>
        <v/>
      </c>
      <c r="T1045">
        <f>(E1045/100000+F1045/100+(P1045/1000)*J1045/5+S1045/200)*200*I1045*H1045</f>
        <v/>
      </c>
      <c r="U1045">
        <f>((E1045*F1045/25000)+((P1045/1000)*J1045*S1045/2.5))*I1045*H1045</f>
        <v/>
      </c>
      <c r="V1045">
        <f>(E1045*F1045*(P1045/1000)*J1045*S1045*I1045*H1045)/12500000</f>
        <v/>
      </c>
      <c r="W1045">
        <f>(T1045+U1045+V1045)/3</f>
        <v/>
      </c>
      <c r="X1045" s="6" t="n">
        <v>8000</v>
      </c>
      <c r="Y1045">
        <f>IFERROR(W1045-X1045,"")</f>
        <v/>
      </c>
      <c r="Z1045">
        <f>IFERROR(ABS(Y1045)/MAX(X1045,1),"")</f>
        <v/>
      </c>
      <c r="AA1045">
        <f>IFERROR((X1045-(((E1045/100000+F1045/100+S1045/200)*200*I1045*H1045)+((E1045*F1045/25000)*I1045*H1045))/3)/(((J1045/5)*200*I1045*H1045)+((J1045*S1045/2.5)*I1045*H1045)+((E1045*F1045*J1045*S1045*I1045*H1045)/12500000))/3*1000,"")</f>
        <v/>
      </c>
    </row>
    <row r="1046">
      <c r="B1046" s="7" t="inlineStr">
        <is>
          <t xml:space="preserve">  ↳ TSMechRailgunII</t>
        </is>
      </c>
      <c r="C1046" s="7" t="inlineStr">
        <is>
          <t>Armament@RAILGUN</t>
        </is>
      </c>
      <c r="L1046" s="6" t="n">
        <v>80000</v>
      </c>
      <c r="M1046" s="6" t="n">
        <v>112</v>
      </c>
      <c r="N1046" s="6" t="n">
        <v>2</v>
      </c>
      <c r="O1046" s="6" t="n">
        <v>8</v>
      </c>
      <c r="P1046" s="6" t="n">
        <v>8434</v>
      </c>
      <c r="Q1046" s="6" t="n">
        <v>1.25</v>
      </c>
      <c r="R1046">
        <f>M1046+IF(N1046&gt;1,N(O1046)*(N1046-1),0)</f>
        <v/>
      </c>
      <c r="S1046">
        <f>IFERROR(L1046*MAX(N1046,1)/R1046*Q1046*IF(ISBLANK(K1045),1,K1045),0)</f>
        <v/>
      </c>
      <c r="AB1046" s="7" t="inlineStr">
        <is>
          <t>^RailgunWeapon</t>
        </is>
      </c>
    </row>
    <row r="1047">
      <c r="B1047" s="7" t="inlineStr">
        <is>
          <t xml:space="preserve">  ↳ TSMammothTusk2II</t>
        </is>
      </c>
      <c r="C1047" s="7" t="inlineStr">
        <is>
          <t>Armament@MISSILES</t>
        </is>
      </c>
      <c r="L1047" s="6" t="n">
        <v>60000</v>
      </c>
      <c r="M1047" s="6" t="n">
        <v>92</v>
      </c>
      <c r="N1047" s="6" t="n">
        <v>2</v>
      </c>
      <c r="O1047" s="6" t="n">
        <v>8</v>
      </c>
      <c r="P1047" s="6" t="n">
        <v>9388</v>
      </c>
      <c r="Q1047" s="6" t="n">
        <v>1.25</v>
      </c>
      <c r="R1047">
        <f>M1047+IF(N1047&gt;1,N(O1047)*(N1047-1),0)</f>
        <v/>
      </c>
      <c r="S1047">
        <f>IFERROR(L1047*MAX(N1047,1)/R1047*Q1047*IF(ISBLANK(K1045),1,K1045),0)</f>
        <v/>
      </c>
      <c r="AB1047" s="7" t="inlineStr">
        <is>
          <t>^ImpactGlow, ^HeavyMissile</t>
        </is>
      </c>
    </row>
    <row r="1048">
      <c r="B1048" s="7" t="inlineStr">
        <is>
          <t xml:space="preserve">  ↳ TSMechRailgunRailII</t>
        </is>
      </c>
      <c r="C1048" s="7" t="inlineStr">
        <is>
          <t>Armament@UpgradeRAILGUN</t>
        </is>
      </c>
      <c r="L1048" s="6" t="n">
        <v>80000</v>
      </c>
      <c r="M1048" s="6" t="n">
        <v>72</v>
      </c>
      <c r="N1048" s="6" t="n">
        <v>2</v>
      </c>
      <c r="O1048" s="6" t="n">
        <v>8</v>
      </c>
      <c r="P1048" s="6" t="n">
        <v>8434</v>
      </c>
      <c r="Q1048" s="6" t="n">
        <v>1.25</v>
      </c>
      <c r="R1048">
        <f>M1048+IF(N1048&gt;1,N(O1048)*(N1048-1),0)</f>
        <v/>
      </c>
      <c r="S1048">
        <f>IFERROR(L1048*MAX(N1048,1)/R1048*Q1048*IF(ISBLANK(K1045),1,K1045),0)</f>
        <v/>
      </c>
      <c r="AB1048" s="7" t="inlineStr">
        <is>
          <t>^RailgunWeapon</t>
        </is>
      </c>
    </row>
    <row r="1049">
      <c r="B1049" s="7" t="inlineStr">
        <is>
          <t xml:space="preserve">  ↳ TSMechMGII</t>
        </is>
      </c>
      <c r="C1049" s="7" t="inlineStr">
        <is>
          <t>Armament@MG</t>
        </is>
      </c>
      <c r="L1049" s="6" t="n">
        <v>16000</v>
      </c>
      <c r="M1049" s="6" t="n">
        <v>8</v>
      </c>
      <c r="N1049" s="6" t="n">
        <v>1</v>
      </c>
      <c r="O1049" s="6" t="n"/>
      <c r="P1049" s="6" t="n">
        <v>7002</v>
      </c>
      <c r="Q1049" s="6" t="n">
        <v>1</v>
      </c>
      <c r="R1049">
        <f>M1049+IF(N1049&gt;1,N(O1049)*(N1049-1),0)</f>
        <v/>
      </c>
      <c r="S1049">
        <f>IFERROR(L1049*MAX(N1049,1)/R1049*Q1049*IF(ISBLANK(K1045),1,K1045),0)</f>
        <v/>
      </c>
      <c r="AB1049" s="7" t="inlineStr">
        <is>
          <t>^Chaingun</t>
        </is>
      </c>
    </row>
    <row r="1050">
      <c r="A1050" t="inlineStr">
        <is>
          <t>tiberiansun</t>
        </is>
      </c>
      <c r="B1050" t="inlineStr">
        <is>
          <t>ts_gdi_mammothprototype</t>
        </is>
      </c>
      <c r="C1050" t="inlineStr">
        <is>
          <t>Mammoth Prototype</t>
        </is>
      </c>
      <c r="D1050" s="6" t="inlineStr">
        <is>
          <t>EpicVehicle</t>
        </is>
      </c>
      <c r="E1050" s="6" t="n">
        <v>800000</v>
      </c>
      <c r="F1050" s="6" t="n">
        <v>50</v>
      </c>
      <c r="G1050" t="inlineStr">
        <is>
          <t>Superheavy</t>
        </is>
      </c>
      <c r="H1050" s="6" t="n">
        <v>1</v>
      </c>
      <c r="I1050" s="6" t="n">
        <v>1</v>
      </c>
      <c r="J1050" s="6" t="n">
        <v>1</v>
      </c>
      <c r="K1050" s="6" t="n"/>
      <c r="P1050">
        <f>MAX(P1051,P1052,P1053)</f>
        <v/>
      </c>
      <c r="S1050">
        <f>S1051+S1052+S1053</f>
        <v/>
      </c>
      <c r="T1050">
        <f>(E1050/100000+F1050/100+(P1050/1000)*J1050/5+S1050/200)*200*I1050*H1050</f>
        <v/>
      </c>
      <c r="U1050">
        <f>((E1050*F1050/25000)+((P1050/1000)*J1050*S1050/2.5))*I1050*H1050</f>
        <v/>
      </c>
      <c r="V1050">
        <f>(E1050*F1050*(P1050/1000)*J1050*S1050*I1050*H1050)/12500000</f>
        <v/>
      </c>
      <c r="W1050">
        <f>(T1050+U1050+V1050)/3</f>
        <v/>
      </c>
      <c r="X1050" s="6" t="n">
        <v>4000</v>
      </c>
      <c r="Y1050">
        <f>IFERROR(W1050-X1050,"")</f>
        <v/>
      </c>
      <c r="Z1050">
        <f>IFERROR(ABS(Y1050)/MAX(X1050,1),"")</f>
        <v/>
      </c>
      <c r="AA1050">
        <f>IFERROR((X1050-(((E1050/100000+F1050/100+S1050/200)*200*I1050*H1050)+((E1050*F1050/25000)*I1050*H1050))/3)/(((J1050/5)*200*I1050*H1050)+((J1050*S1050/2.5)*I1050*H1050)+((E1050*F1050*J1050*S1050*I1050*H1050)/12500000))/3*1000,"")</f>
        <v/>
      </c>
    </row>
    <row r="1051">
      <c r="B1051" s="7" t="inlineStr">
        <is>
          <t xml:space="preserve">  ↳ TSMechRailgun</t>
        </is>
      </c>
      <c r="C1051" s="7" t="inlineStr">
        <is>
          <t>Armament@RAILGUN</t>
        </is>
      </c>
      <c r="L1051" s="6" t="n">
        <v>40000</v>
      </c>
      <c r="M1051" s="6" t="n">
        <v>92</v>
      </c>
      <c r="N1051" s="6" t="n">
        <v>2</v>
      </c>
      <c r="O1051" s="6" t="n">
        <v>8</v>
      </c>
      <c r="P1051" s="6" t="n">
        <v>8409</v>
      </c>
      <c r="Q1051" s="6" t="n">
        <v>1.25</v>
      </c>
      <c r="R1051">
        <f>M1051+IF(N1051&gt;1,N(O1051)*(N1051-1),0)</f>
        <v/>
      </c>
      <c r="S1051">
        <f>IFERROR(L1051*MAX(N1051,1)/R1051*Q1051*IF(ISBLANK(K1050),1,K1050),0)</f>
        <v/>
      </c>
      <c r="AB1051" s="7" t="inlineStr">
        <is>
          <t>^RailgunWeapon</t>
        </is>
      </c>
    </row>
    <row r="1052">
      <c r="B1052" s="7" t="inlineStr">
        <is>
          <t xml:space="preserve">  ↳ TSMammothTusk2</t>
        </is>
      </c>
      <c r="C1052" s="7" t="inlineStr">
        <is>
          <t>Armament@MISSILES</t>
        </is>
      </c>
      <c r="L1052" s="6" t="n">
        <v>42000</v>
      </c>
      <c r="M1052" s="6" t="n">
        <v>92</v>
      </c>
      <c r="N1052" s="6" t="n">
        <v>2</v>
      </c>
      <c r="O1052" s="6" t="n">
        <v>8</v>
      </c>
      <c r="P1052" s="6" t="n">
        <v>9332</v>
      </c>
      <c r="Q1052" s="6" t="n">
        <v>1.25</v>
      </c>
      <c r="R1052">
        <f>M1052+IF(N1052&gt;1,N(O1052)*(N1052-1),0)</f>
        <v/>
      </c>
      <c r="S1052">
        <f>IFERROR(L1052*MAX(N1052,1)/R1052*Q1052*IF(ISBLANK(K1050),1,K1050),0)</f>
        <v/>
      </c>
      <c r="AB1052" s="7" t="inlineStr">
        <is>
          <t>^ImpactGlow, ^HeavyMissile</t>
        </is>
      </c>
    </row>
    <row r="1053">
      <c r="B1053" s="7" t="inlineStr">
        <is>
          <t xml:space="preserve">  ↳ TSMechRailgunRail</t>
        </is>
      </c>
      <c r="C1053" s="7" t="inlineStr">
        <is>
          <t>Armament@UpgradeRAILGUN</t>
        </is>
      </c>
      <c r="L1053" s="6" t="n">
        <v>40000</v>
      </c>
      <c r="M1053" s="6" t="n">
        <v>58</v>
      </c>
      <c r="N1053" s="6" t="n">
        <v>2</v>
      </c>
      <c r="O1053" s="6" t="n">
        <v>8</v>
      </c>
      <c r="P1053" s="6" t="n">
        <v>8409</v>
      </c>
      <c r="Q1053" s="6" t="n">
        <v>1.25</v>
      </c>
      <c r="R1053">
        <f>M1053+IF(N1053&gt;1,N(O1053)*(N1053-1),0)</f>
        <v/>
      </c>
      <c r="S1053">
        <f>IFERROR(L1053*MAX(N1053,1)/R1053*Q1053*IF(ISBLANK(K1050),1,K1050),0)</f>
        <v/>
      </c>
      <c r="AB1053" s="7" t="inlineStr">
        <is>
          <t>^RailgunWeapon</t>
        </is>
      </c>
    </row>
    <row r="1054">
      <c r="A1054" t="inlineStr">
        <is>
          <t>tiberiansun</t>
        </is>
      </c>
      <c r="B1054" t="inlineStr">
        <is>
          <t>forgotten_chemicalmammothtank</t>
        </is>
      </c>
      <c r="C1054" t="inlineStr">
        <is>
          <t>actor_forgotten_chemicalmammothtank.name</t>
        </is>
      </c>
      <c r="D1054" s="6" t="inlineStr">
        <is>
          <t>EpicVehicle</t>
        </is>
      </c>
      <c r="E1054" s="6" t="n">
        <v>400000</v>
      </c>
      <c r="F1054" s="6" t="n">
        <v>60</v>
      </c>
      <c r="G1054" t="inlineStr">
        <is>
          <t>Superheavy</t>
        </is>
      </c>
      <c r="H1054" s="6" t="n">
        <v>1</v>
      </c>
      <c r="I1054" s="6" t="n">
        <v>1</v>
      </c>
      <c r="J1054" s="6" t="n">
        <v>1</v>
      </c>
      <c r="K1054" s="6" t="n"/>
      <c r="P1054">
        <f>MAX(P1055,P1056)</f>
        <v/>
      </c>
      <c r="S1054">
        <f>S1055+S1056</f>
        <v/>
      </c>
      <c r="T1054">
        <f>(E1054/100000+F1054/100+(P1054/1000)*J1054/5+S1054/200)*200*I1054*H1054</f>
        <v/>
      </c>
      <c r="U1054">
        <f>((E1054*F1054/25000)+((P1054/1000)*J1054*S1054/2.5))*I1054*H1054</f>
        <v/>
      </c>
      <c r="V1054">
        <f>(E1054*F1054*(P1054/1000)*J1054*S1054*I1054*H1054)/12500000</f>
        <v/>
      </c>
      <c r="W1054">
        <f>(T1054+U1054+V1054)/3</f>
        <v/>
      </c>
      <c r="X1054" s="6" t="n">
        <v>5000</v>
      </c>
      <c r="Y1054">
        <f>IFERROR(W1054-X1054,"")</f>
        <v/>
      </c>
      <c r="Z1054">
        <f>IFERROR(ABS(Y1054)/MAX(X1054,1),"")</f>
        <v/>
      </c>
      <c r="AA1054">
        <f>IFERROR((X1054-(((E1054/100000+F1054/100+S1054/200)*200*I1054*H1054)+((E1054*F1054/25000)*I1054*H1054))/3)/(((J1054/5)*200*I1054*H1054)+((J1054*S1054/2.5)*I1054*H1054)+((E1054*F1054*J1054*S1054*I1054*H1054)/12500000))/3*1000,"")</f>
        <v/>
      </c>
    </row>
    <row r="1055">
      <c r="B1055" s="7" t="inlineStr">
        <is>
          <t xml:space="preserve">  ↳ TS120mmxChem</t>
        </is>
      </c>
      <c r="C1055" s="7" t="inlineStr">
        <is>
          <t>Armament@PRIMARY</t>
        </is>
      </c>
      <c r="L1055" s="6" t="n">
        <v>40000</v>
      </c>
      <c r="M1055" s="6" t="n">
        <v>60</v>
      </c>
      <c r="N1055" s="6" t="n">
        <v>2</v>
      </c>
      <c r="O1055" s="6" t="n">
        <v>4</v>
      </c>
      <c r="P1055" s="6" t="n">
        <v>6172</v>
      </c>
      <c r="Q1055" s="6" t="n">
        <v>1.25</v>
      </c>
      <c r="R1055">
        <f>M1055+IF(N1055&gt;1,N(O1055)*(N1055-1),0)</f>
        <v/>
      </c>
      <c r="S1055">
        <f>IFERROR(L1055*MAX(N1055,1)/R1055*Q1055*IF(ISBLANK(K1054),1,K1054),0)</f>
        <v/>
      </c>
      <c r="AB1055" s="7" t="inlineStr">
        <is>
          <t>^HeavyBomb, ^HeavyChemicalWeapon, ^TSCannonEffect</t>
        </is>
      </c>
    </row>
    <row r="1056">
      <c r="B1056" s="7" t="inlineStr">
        <is>
          <t xml:space="preserve">  ↳ TSMammothTuskChem</t>
        </is>
      </c>
      <c r="C1056" s="7" t="inlineStr">
        <is>
          <t>Armament@SECONDARY</t>
        </is>
      </c>
      <c r="L1056" s="6" t="n">
        <v>20000</v>
      </c>
      <c r="M1056" s="6" t="n">
        <v>48</v>
      </c>
      <c r="N1056" s="6" t="n">
        <v>4</v>
      </c>
      <c r="O1056" s="6" t="n">
        <v>6</v>
      </c>
      <c r="P1056" s="6" t="n">
        <v>6172</v>
      </c>
      <c r="Q1056" s="6" t="n">
        <v>1.25</v>
      </c>
      <c r="R1056">
        <f>M1056+IF(N1056&gt;1,N(O1056)*(N1056-1),0)</f>
        <v/>
      </c>
      <c r="S1056">
        <f>IFERROR(L1056*MAX(N1056,1)/R1056*Q1056*IF(ISBLANK(K1054),1,K1054),0)</f>
        <v/>
      </c>
      <c r="AB1056" s="7" t="inlineStr">
        <is>
          <t>^HeavyMissile, ^HeavyChemicalWeapon</t>
        </is>
      </c>
    </row>
    <row r="1057">
      <c r="A1057" t="inlineStr">
        <is>
          <t>tiberiansun</t>
        </is>
      </c>
      <c r="B1057" t="inlineStr">
        <is>
          <t>forgotten_experimentalmammothtank</t>
        </is>
      </c>
      <c r="C1057" t="inlineStr">
        <is>
          <t>actor_forgotten_experimentalmammothtank.name</t>
        </is>
      </c>
      <c r="D1057" s="6" t="inlineStr">
        <is>
          <t>EpicVehicle</t>
        </is>
      </c>
      <c r="E1057" s="6" t="n">
        <v>1000000</v>
      </c>
      <c r="F1057" s="6" t="n">
        <v>50</v>
      </c>
      <c r="G1057" t="inlineStr">
        <is>
          <t>Superheavy</t>
        </is>
      </c>
      <c r="H1057" s="6" t="n">
        <v>1</v>
      </c>
      <c r="I1057" s="6" t="n">
        <v>1</v>
      </c>
      <c r="J1057" s="6" t="n">
        <v>1</v>
      </c>
      <c r="K1057" s="6" t="n"/>
      <c r="P1057">
        <f>MAX(P1058,P1059,P1060)</f>
        <v/>
      </c>
      <c r="S1057">
        <f>S1058+S1059+S1060</f>
        <v/>
      </c>
      <c r="T1057">
        <f>(E1057/100000+F1057/100+(P1057/1000)*J1057/5+S1057/200)*200*I1057*H1057</f>
        <v/>
      </c>
      <c r="U1057">
        <f>((E1057*F1057/25000)+((P1057/1000)*J1057*S1057/2.5))*I1057*H1057</f>
        <v/>
      </c>
      <c r="V1057">
        <f>(E1057*F1057*(P1057/1000)*J1057*S1057*I1057*H1057)/12500000</f>
        <v/>
      </c>
      <c r="W1057">
        <f>(T1057+U1057+V1057)/3</f>
        <v/>
      </c>
      <c r="X1057" s="6" t="n">
        <v>6000</v>
      </c>
      <c r="Y1057">
        <f>IFERROR(W1057-X1057,"")</f>
        <v/>
      </c>
      <c r="Z1057">
        <f>IFERROR(ABS(Y1057)/MAX(X1057,1),"")</f>
        <v/>
      </c>
      <c r="AA1057">
        <f>IFERROR((X1057-(((E1057/100000+F1057/100+S1057/200)*200*I1057*H1057)+((E1057*F1057/25000)*I1057*H1057))/3)/(((J1057/5)*200*I1057*H1057)+((J1057*S1057/2.5)*I1057*H1057)+((E1057*F1057*J1057*S1057*I1057*H1057)/12500000))/3*1000,"")</f>
        <v/>
      </c>
    </row>
    <row r="1058">
      <c r="B1058" s="7" t="inlineStr">
        <is>
          <t xml:space="preserve">  ↳ TS120mmx</t>
        </is>
      </c>
      <c r="C1058" s="7" t="inlineStr">
        <is>
          <t>Armament@PRIMARY</t>
        </is>
      </c>
      <c r="L1058" s="6" t="n">
        <v>30000</v>
      </c>
      <c r="M1058" s="6" t="n">
        <v>52</v>
      </c>
      <c r="N1058" s="6" t="n">
        <v>2</v>
      </c>
      <c r="O1058" s="6" t="n">
        <v>4</v>
      </c>
      <c r="P1058" s="6" t="n">
        <v>5677</v>
      </c>
      <c r="Q1058" s="6" t="n">
        <v>1</v>
      </c>
      <c r="R1058">
        <f>M1058+IF(N1058&gt;1,N(O1058)*(N1058-1),0)</f>
        <v/>
      </c>
      <c r="S1058">
        <f>IFERROR(L1058*MAX(N1058,1)/R1058*Q1058*IF(ISBLANK(K1057),1,K1057),0)</f>
        <v/>
      </c>
      <c r="AB1058" s="7" t="inlineStr">
        <is>
          <t>^TSCannon, ^ShrapnelWeapon, ^MediumCannon</t>
        </is>
      </c>
    </row>
    <row r="1059">
      <c r="B1059" s="7" t="inlineStr">
        <is>
          <t xml:space="preserve">  ↳ TSChem120mmx</t>
        </is>
      </c>
      <c r="C1059" s="7" t="inlineStr">
        <is>
          <t>Armament@UPGRADE</t>
        </is>
      </c>
      <c r="L1059" s="6" t="n">
        <v>30000</v>
      </c>
      <c r="M1059" s="6" t="n">
        <v>52</v>
      </c>
      <c r="N1059" s="6" t="n">
        <v>2</v>
      </c>
      <c r="O1059" s="6" t="n">
        <v>4</v>
      </c>
      <c r="P1059" s="6" t="n">
        <v>5677</v>
      </c>
      <c r="Q1059" s="6" t="n">
        <v>1</v>
      </c>
      <c r="R1059">
        <f>M1059+IF(N1059&gt;1,N(O1059)*(N1059-1),0)</f>
        <v/>
      </c>
      <c r="S1059">
        <f>IFERROR(L1059*MAX(N1059,1)/R1059*Q1059*IF(ISBLANK(K1057),1,K1057),0)</f>
        <v/>
      </c>
      <c r="AB1059" s="7" t="inlineStr">
        <is>
          <t>^TSCannon, ^MediumChemicalWeapon, ^ShrapnelWeapon, ^MediumCannon</t>
        </is>
      </c>
    </row>
    <row r="1060">
      <c r="B1060" s="7" t="inlineStr">
        <is>
          <t xml:space="preserve">  ↳ TSMammothTusk</t>
        </is>
      </c>
      <c r="C1060" s="7" t="inlineStr">
        <is>
          <t>Armament@SECONDARY</t>
        </is>
      </c>
      <c r="L1060" s="6" t="n">
        <v>60000</v>
      </c>
      <c r="M1060" s="6" t="n">
        <v>62</v>
      </c>
      <c r="N1060" s="6" t="n">
        <v>2</v>
      </c>
      <c r="O1060" s="6" t="n">
        <v>8</v>
      </c>
      <c r="P1060" s="6" t="n">
        <v>5677</v>
      </c>
      <c r="Q1060" s="6" t="n">
        <v>1.25</v>
      </c>
      <c r="R1060">
        <f>M1060+IF(N1060&gt;1,N(O1060)*(N1060-1),0)</f>
        <v/>
      </c>
      <c r="S1060">
        <f>IFERROR(L1060*MAX(N1060,1)/R1060*Q1060*IF(ISBLANK(K1057),1,K1057),0)</f>
        <v/>
      </c>
      <c r="AB1060" s="7" t="inlineStr">
        <is>
          <t>^ImpactGlow, ^HeavyMissile</t>
        </is>
      </c>
    </row>
    <row r="1061">
      <c r="A1061" t="inlineStr">
        <is>
          <t>tiberiansun</t>
        </is>
      </c>
      <c r="B1061" t="inlineStr">
        <is>
          <t>forgotten_nomadbarracks</t>
        </is>
      </c>
      <c r="C1061" t="inlineStr">
        <is>
          <t>actor_forgotten_nomadbarracks.name</t>
        </is>
      </c>
      <c r="D1061" s="6" t="inlineStr">
        <is>
          <t>EpicVehicle</t>
        </is>
      </c>
      <c r="E1061" s="6" t="n">
        <v>650000</v>
      </c>
      <c r="F1061" s="6" t="n">
        <v>65</v>
      </c>
      <c r="G1061" t="inlineStr">
        <is>
          <t>Superheavy</t>
        </is>
      </c>
      <c r="H1061" s="6" t="n">
        <v>1</v>
      </c>
      <c r="I1061" s="6" t="n">
        <v>1</v>
      </c>
      <c r="J1061" s="6" t="n">
        <v>1</v>
      </c>
      <c r="K1061" s="6" t="n"/>
      <c r="P1061">
        <f>MAX(P1062)</f>
        <v/>
      </c>
      <c r="S1061">
        <f>S1062</f>
        <v/>
      </c>
      <c r="T1061">
        <f>(E1061/100000+F1061/100+(P1061/1000)*J1061/5+S1061/200)*200*I1061*H1061</f>
        <v/>
      </c>
      <c r="U1061">
        <f>((E1061*F1061/25000)+((P1061/1000)*J1061*S1061/2.5))*I1061*H1061</f>
        <v/>
      </c>
      <c r="V1061">
        <f>(E1061*F1061*(P1061/1000)*J1061*S1061*I1061*H1061)/12500000</f>
        <v/>
      </c>
      <c r="W1061">
        <f>(T1061+U1061+V1061)/3</f>
        <v/>
      </c>
      <c r="X1061" s="6" t="n">
        <v>6500</v>
      </c>
      <c r="Y1061">
        <f>IFERROR(W1061-X1061,"")</f>
        <v/>
      </c>
      <c r="Z1061">
        <f>IFERROR(ABS(Y1061)/MAX(X1061,1),"")</f>
        <v/>
      </c>
      <c r="AA1061">
        <f>IFERROR((X1061-(((E1061/100000+F1061/100+S1061/200)*200*I1061*H1061)+((E1061*F1061/25000)*I1061*H1061))/3)/(((J1061/5)*200*I1061*H1061)+((J1061*S1061/2.5)*I1061*H1061)+((E1061*F1061*J1061*S1061*I1061*H1061)/12500000))/3*1000,"")</f>
        <v/>
      </c>
    </row>
    <row r="1062">
      <c r="B1062" s="7" t="inlineStr">
        <is>
          <t xml:space="preserve">  ↳ TSNomadGun</t>
        </is>
      </c>
      <c r="C1062" s="7" t="inlineStr">
        <is>
          <t>Armament</t>
        </is>
      </c>
      <c r="L1062" s="6" t="n">
        <v>8000</v>
      </c>
      <c r="M1062" s="6" t="n">
        <v>6</v>
      </c>
      <c r="N1062" s="6" t="n">
        <v>1</v>
      </c>
      <c r="O1062" s="6" t="n"/>
      <c r="P1062" s="6" t="n">
        <v>8301</v>
      </c>
      <c r="Q1062" s="6" t="n">
        <v>1</v>
      </c>
      <c r="R1062">
        <f>M1062+IF(N1062&gt;1,N(O1062)*(N1062-1),0)</f>
        <v/>
      </c>
      <c r="S1062">
        <f>IFERROR(L1062*MAX(N1062,1)/R1062*Q1062*IF(ISBLANK(K1061),1,K1061),0)</f>
        <v/>
      </c>
      <c r="AB1062" s="7" t="inlineStr">
        <is>
          <t>^Chaingun</t>
        </is>
      </c>
    </row>
    <row r="1063">
      <c r="A1063" t="inlineStr">
        <is>
          <t>redalert2mod</t>
        </is>
      </c>
      <c r="B1063" t="inlineStr">
        <is>
          <t>latinsyndicate_nuketruck</t>
        </is>
      </c>
      <c r="C1063" t="inlineStr">
        <is>
          <t>Nuke Truck</t>
        </is>
      </c>
      <c r="D1063" s="6" t="inlineStr">
        <is>
          <t>EpicVehicle</t>
        </is>
      </c>
      <c r="E1063" s="6" t="n">
        <v>60000</v>
      </c>
      <c r="F1063" s="6" t="n">
        <v>100</v>
      </c>
      <c r="G1063" t="inlineStr">
        <is>
          <t>Superheavy</t>
        </is>
      </c>
      <c r="H1063" s="6" t="n">
        <v>1</v>
      </c>
      <c r="I1063" s="6" t="n">
        <v>1</v>
      </c>
      <c r="J1063" s="6" t="n">
        <v>1</v>
      </c>
      <c r="K1063" s="6" t="n"/>
      <c r="P1063">
        <f>MAX(P1064)</f>
        <v/>
      </c>
      <c r="S1063">
        <f>S1064</f>
        <v/>
      </c>
      <c r="T1063">
        <f>(E1063/100000+F1063/100+(P1063/1000)*J1063/5+S1063/200)*200*I1063*H1063</f>
        <v/>
      </c>
      <c r="U1063">
        <f>((E1063*F1063/25000)+((P1063/1000)*J1063*S1063/2.5))*I1063*H1063</f>
        <v/>
      </c>
      <c r="V1063">
        <f>(E1063*F1063*(P1063/1000)*J1063*S1063*I1063*H1063)/12500000</f>
        <v/>
      </c>
      <c r="W1063">
        <f>(T1063+U1063+V1063)/3</f>
        <v/>
      </c>
      <c r="X1063" s="6" t="n">
        <v>3000</v>
      </c>
      <c r="Y1063">
        <f>IFERROR(W1063-X1063,"")</f>
        <v/>
      </c>
      <c r="Z1063">
        <f>IFERROR(ABS(Y1063)/MAX(X1063,1),"")</f>
        <v/>
      </c>
      <c r="AA1063">
        <f>IFERROR((X1063-(((E1063/100000+F1063/100+S1063/200)*200*I1063*H1063)+((E1063*F1063/25000)*I1063*H1063))/3)/(((J1063/5)*200*I1063*H1063)+((J1063*S1063/2.5)*I1063*H1063)+((E1063*F1063*J1063*S1063*I1063*H1063)/12500000))/3*1000,"")</f>
        <v/>
      </c>
    </row>
    <row r="1064">
      <c r="B1064" s="7" t="inlineStr">
        <is>
          <t xml:space="preserve">  ↳ DemoTruckTargeting</t>
        </is>
      </c>
      <c r="C1064" s="7" t="inlineStr">
        <is>
          <t>Armament@PRIMARY</t>
        </is>
      </c>
      <c r="L1064" s="6" t="n"/>
      <c r="M1064" s="6" t="n"/>
      <c r="N1064" s="6" t="n">
        <v>1</v>
      </c>
      <c r="O1064" s="6" t="n"/>
      <c r="P1064" s="6" t="n">
        <v>2000</v>
      </c>
      <c r="Q1064" s="6" t="n">
        <v>1</v>
      </c>
      <c r="R1064">
        <f>M1064+IF(N1064&gt;1,N(O1064)*(N1064-1),0)</f>
        <v/>
      </c>
      <c r="S1064">
        <f>IFERROR(L1064*MAX(N1064,1)/R1064*Q1064*IF(ISBLANK(K1063),1,K1063),0)</f>
        <v/>
      </c>
      <c r="AB1064" s="7" t="inlineStr"/>
    </row>
    <row r="1065">
      <c r="A1065" t="inlineStr">
        <is>
          <t>redalert2mod</t>
        </is>
      </c>
      <c r="B1065" t="inlineStr">
        <is>
          <t>latinsyndicate_topolm</t>
        </is>
      </c>
      <c r="C1065" t="inlineStr">
        <is>
          <t>Topol-M</t>
        </is>
      </c>
      <c r="D1065" s="6" t="inlineStr">
        <is>
          <t>EpicVehicle</t>
        </is>
      </c>
      <c r="E1065" s="6" t="n">
        <v>100000</v>
      </c>
      <c r="F1065" s="6" t="n">
        <v>75</v>
      </c>
      <c r="G1065" t="inlineStr">
        <is>
          <t>Medium</t>
        </is>
      </c>
      <c r="H1065" s="6" t="n">
        <v>0.75</v>
      </c>
      <c r="I1065" s="6" t="n">
        <v>0.5</v>
      </c>
      <c r="J1065" s="6" t="n">
        <v>1</v>
      </c>
      <c r="K1065" s="6" t="n"/>
      <c r="P1065">
        <f>MAX(P1066,P1067)</f>
        <v/>
      </c>
      <c r="S1065">
        <f>S1066+S1067</f>
        <v/>
      </c>
      <c r="T1065">
        <f>(E1065/100000+F1065/100+(P1065/1000)*J1065/5+S1065/200)*200*I1065*H1065</f>
        <v/>
      </c>
      <c r="U1065">
        <f>((E1065*F1065/25000)+((P1065/1000)*J1065*S1065/2.5))*I1065*H1065</f>
        <v/>
      </c>
      <c r="V1065">
        <f>(E1065*F1065*(P1065/1000)*J1065*S1065*I1065*H1065)/12500000</f>
        <v/>
      </c>
      <c r="W1065">
        <f>(T1065+U1065+V1065)/3</f>
        <v/>
      </c>
      <c r="X1065" s="6" t="n">
        <v>6000</v>
      </c>
      <c r="Y1065">
        <f>IFERROR(W1065-X1065,"")</f>
        <v/>
      </c>
      <c r="Z1065">
        <f>IFERROR(ABS(Y1065)/MAX(X1065,1),"")</f>
        <v/>
      </c>
      <c r="AA1065">
        <f>IFERROR((X1065-(((E1065/100000+F1065/100+S1065/200)*200*I1065*H1065)+((E1065*F1065/25000)*I1065*H1065))/3)/(((J1065/5)*200*I1065*H1065)+((J1065*S1065/2.5)*I1065*H1065)+((E1065*F1065*J1065*S1065*I1065*H1065)/12500000))/3*1000,"")</f>
        <v/>
      </c>
    </row>
    <row r="1066">
      <c r="B1066" s="7" t="inlineStr">
        <is>
          <t xml:space="preserve">  ↳ RA2TOPOLCubaTarget</t>
        </is>
      </c>
      <c r="C1066" s="7" t="inlineStr">
        <is>
          <t>Armament</t>
        </is>
      </c>
      <c r="L1066" s="6" t="n"/>
      <c r="M1066" s="6" t="n">
        <v>50</v>
      </c>
      <c r="N1066" s="6" t="n">
        <v>1</v>
      </c>
      <c r="O1066" s="6" t="n"/>
      <c r="P1066" s="6" t="n">
        <v>32000</v>
      </c>
      <c r="Q1066" s="6" t="n">
        <v>1</v>
      </c>
      <c r="R1066">
        <f>M1066+IF(N1066&gt;1,N(O1066)*(N1066-1),0)</f>
        <v/>
      </c>
      <c r="S1066">
        <f>IFERROR(L1066*MAX(N1066,1)/R1066*Q1066*IF(ISBLANK(K1065),1,K1065),0)</f>
        <v/>
      </c>
      <c r="AB1066" s="7" t="inlineStr"/>
    </row>
    <row r="1067">
      <c r="B1067" s="7" t="inlineStr">
        <is>
          <t xml:space="preserve">  ↳ RA2TOPOLCuba</t>
        </is>
      </c>
      <c r="C1067" s="7" t="inlineStr">
        <is>
          <t>Armament@Launch</t>
        </is>
      </c>
      <c r="L1067" s="6" t="n">
        <v>20000</v>
      </c>
      <c r="M1067" s="6" t="n">
        <v>500</v>
      </c>
      <c r="N1067" s="6" t="n">
        <v>1</v>
      </c>
      <c r="O1067" s="6" t="n"/>
      <c r="P1067" s="6" t="n">
        <v>32000</v>
      </c>
      <c r="Q1067" s="6" t="n">
        <v>1.666666666666667</v>
      </c>
      <c r="R1067">
        <f>M1067+IF(N1067&gt;1,N(O1067)*(N1067-1),0)</f>
        <v/>
      </c>
      <c r="S1067">
        <f>IFERROR(L1067*MAX(N1067,1)/R1067*Q1067*IF(ISBLANK(K1065),1,K1065),0)</f>
        <v/>
      </c>
      <c r="AB1067" s="7" t="inlineStr">
        <is>
          <t>^NuclearWarhead, ^HeavyBomb, ^MediumFlameWeapon, ^ShrapnelWeapon, ^LightChemicalWeapon, ^Grenade</t>
        </is>
      </c>
    </row>
    <row r="1068">
      <c r="A1068" t="inlineStr">
        <is>
          <t>redalert2mod</t>
        </is>
      </c>
      <c r="B1068" t="inlineStr">
        <is>
          <t>naxis_ratte</t>
        </is>
      </c>
      <c r="C1068" t="inlineStr">
        <is>
          <t>Ratte</t>
        </is>
      </c>
      <c r="D1068" s="6" t="inlineStr">
        <is>
          <t>EpicVehicle</t>
        </is>
      </c>
      <c r="E1068" s="6" t="n">
        <v>2000000</v>
      </c>
      <c r="F1068" s="6" t="n">
        <v>35</v>
      </c>
      <c r="G1068" t="inlineStr">
        <is>
          <t>Superheavy</t>
        </is>
      </c>
      <c r="H1068" s="6" t="n">
        <v>0.75</v>
      </c>
      <c r="I1068" s="6" t="n">
        <v>0.4</v>
      </c>
      <c r="J1068" s="6" t="n">
        <v>1</v>
      </c>
      <c r="K1068" s="6" t="n"/>
      <c r="P1068">
        <f>MAX(P1069,P1070,P1071,P1072)</f>
        <v/>
      </c>
      <c r="S1068">
        <f>S1069+S1070+S1071+S1072</f>
        <v/>
      </c>
      <c r="T1068">
        <f>(E1068/100000+F1068/100+(P1068/1000)*J1068/5+S1068/200)*200*I1068*H1068</f>
        <v/>
      </c>
      <c r="U1068">
        <f>((E1068*F1068/25000)+((P1068/1000)*J1068*S1068/2.5))*I1068*H1068</f>
        <v/>
      </c>
      <c r="V1068">
        <f>(E1068*F1068*(P1068/1000)*J1068*S1068*I1068*H1068)/12500000</f>
        <v/>
      </c>
      <c r="W1068">
        <f>(T1068+U1068+V1068)/3</f>
        <v/>
      </c>
      <c r="X1068" s="6" t="n">
        <v>8000</v>
      </c>
      <c r="Y1068">
        <f>IFERROR(W1068-X1068,"")</f>
        <v/>
      </c>
      <c r="Z1068">
        <f>IFERROR(ABS(Y1068)/MAX(X1068,1),"")</f>
        <v/>
      </c>
      <c r="AA1068">
        <f>IFERROR((X1068-(((E1068/100000+F1068/100+S1068/200)*200*I1068*H1068)+((E1068*F1068/25000)*I1068*H1068))/3)/(((J1068/5)*200*I1068*H1068)+((J1068*S1068/2.5)*I1068*H1068)+((E1068*F1068*J1068*S1068*I1068*H1068)/12500000))/3*1000,"")</f>
        <v/>
      </c>
    </row>
    <row r="1069">
      <c r="B1069" s="7" t="inlineStr">
        <is>
          <t xml:space="preserve">  ↳ NaxRatteCannon</t>
        </is>
      </c>
      <c r="C1069" s="7" t="inlineStr">
        <is>
          <t>Armament</t>
        </is>
      </c>
      <c r="L1069" s="6" t="n">
        <v>50000</v>
      </c>
      <c r="M1069" s="6" t="n">
        <v>145</v>
      </c>
      <c r="N1069" s="6" t="n">
        <v>2</v>
      </c>
      <c r="O1069" s="6" t="n">
        <v>10</v>
      </c>
      <c r="P1069" s="6" t="n">
        <v>6110</v>
      </c>
      <c r="Q1069" s="6" t="n">
        <v>1</v>
      </c>
      <c r="R1069">
        <f>M1069+IF(N1069&gt;1,N(O1069)*(N1069-1),0)</f>
        <v/>
      </c>
      <c r="S1069">
        <f>IFERROR(L1069*MAX(N1069,1)/R1069*Q1069*IF(ISBLANK(K1068),1,K1068),0)</f>
        <v/>
      </c>
      <c r="AB1069" s="7" t="inlineStr">
        <is>
          <t>^LightChemicalWeapon, ^HeavyBomb, ^RA2MediumCannon</t>
        </is>
      </c>
    </row>
    <row r="1070">
      <c r="B1070" s="7" t="inlineStr">
        <is>
          <t xml:space="preserve">  ↳ NaxRatteCannon_elite</t>
        </is>
      </c>
      <c r="C1070" s="7" t="inlineStr">
        <is>
          <t>Armament@elite</t>
        </is>
      </c>
      <c r="L1070" s="6" t="n">
        <v>50000</v>
      </c>
      <c r="M1070" s="6" t="n">
        <v>145</v>
      </c>
      <c r="N1070" s="6" t="n">
        <v>4</v>
      </c>
      <c r="O1070" s="6" t="n">
        <v>3</v>
      </c>
      <c r="P1070" s="6" t="n">
        <v>7110</v>
      </c>
      <c r="Q1070" s="6" t="n">
        <v>1</v>
      </c>
      <c r="R1070">
        <f>M1070+IF(N1070&gt;1,N(O1070)*(N1070-1),0)</f>
        <v/>
      </c>
      <c r="S1070">
        <f>IFERROR(L1070*MAX(N1070,1)/R1070*Q1070*IF(ISBLANK(K1068),1,K1068),0)</f>
        <v/>
      </c>
      <c r="AB1070" s="7" t="inlineStr">
        <is>
          <t>^LightChemicalWeapon, ^HeavyBomb, ^RA2MediumCannon, ^RA2EliteEffects</t>
        </is>
      </c>
    </row>
    <row r="1071">
      <c r="B1071" s="7" t="inlineStr">
        <is>
          <t xml:space="preserve">  ↳ NaxQuadCannonAAE</t>
        </is>
      </c>
      <c r="C1071" s="7" t="inlineStr">
        <is>
          <t>Armament@AA1</t>
        </is>
      </c>
      <c r="L1071" s="6" t="n">
        <v>2000</v>
      </c>
      <c r="M1071" s="6" t="n">
        <v>47</v>
      </c>
      <c r="N1071" s="6" t="n">
        <v>8</v>
      </c>
      <c r="O1071" s="6" t="n">
        <v>3</v>
      </c>
      <c r="P1071" s="6" t="n">
        <v>9052</v>
      </c>
      <c r="Q1071" s="6" t="n">
        <v>1.0625</v>
      </c>
      <c r="R1071">
        <f>M1071+IF(N1071&gt;1,N(O1071)*(N1071-1),0)</f>
        <v/>
      </c>
      <c r="S1071">
        <f>IFERROR(L1071*MAX(N1071,1)/R1071*Q1071*IF(ISBLANK(K1068),1,K1068),0)</f>
        <v/>
      </c>
      <c r="AB1071" s="7" t="inlineStr">
        <is>
          <t>^Grenade, ^HeavyMissile, ^Chaingun, ^RA2FlakWeapon</t>
        </is>
      </c>
    </row>
    <row r="1072">
      <c r="B1072" s="7" t="inlineStr">
        <is>
          <t xml:space="preserve">  ↳ NaxQuadCannonAAE</t>
        </is>
      </c>
      <c r="C1072" s="7" t="inlineStr">
        <is>
          <t>Armament@AA2</t>
        </is>
      </c>
      <c r="L1072" s="6" t="n">
        <v>2000</v>
      </c>
      <c r="M1072" s="6" t="n">
        <v>47</v>
      </c>
      <c r="N1072" s="6" t="n">
        <v>8</v>
      </c>
      <c r="O1072" s="6" t="n">
        <v>3</v>
      </c>
      <c r="P1072" s="6" t="n">
        <v>9052</v>
      </c>
      <c r="Q1072" s="6" t="n">
        <v>1.0625</v>
      </c>
      <c r="R1072">
        <f>M1072+IF(N1072&gt;1,N(O1072)*(N1072-1),0)</f>
        <v/>
      </c>
      <c r="S1072">
        <f>IFERROR(L1072*MAX(N1072,1)/R1072*Q1072*IF(ISBLANK(K1068),1,K1068),0)</f>
        <v/>
      </c>
      <c r="AB1072" s="7" t="inlineStr">
        <is>
          <t>^Grenade, ^HeavyMissile, ^Chaingun, ^RA2FlakWeapon</t>
        </is>
      </c>
    </row>
    <row r="1073">
      <c r="A1073" t="inlineStr">
        <is>
          <t>redalert2mod</t>
        </is>
      </c>
      <c r="B1073" t="inlineStr">
        <is>
          <t>schwarzermond_dalek</t>
        </is>
      </c>
      <c r="C1073" t="inlineStr">
        <is>
          <t>Dalek</t>
        </is>
      </c>
      <c r="D1073" s="6" t="inlineStr">
        <is>
          <t>EpicVehicle</t>
        </is>
      </c>
      <c r="E1073" s="6" t="n">
        <v>325000</v>
      </c>
      <c r="F1073" s="6" t="n">
        <v>65</v>
      </c>
      <c r="G1073" t="inlineStr">
        <is>
          <t>Superheavy</t>
        </is>
      </c>
      <c r="H1073" s="6" t="n">
        <v>0.75</v>
      </c>
      <c r="I1073" s="6" t="n">
        <v>0.4</v>
      </c>
      <c r="J1073" s="6" t="n">
        <v>1</v>
      </c>
      <c r="K1073" s="6" t="n">
        <v>0.5</v>
      </c>
      <c r="P1073">
        <f>MAX(P1074,P1075)</f>
        <v/>
      </c>
      <c r="S1073">
        <f>S1074+S1075</f>
        <v/>
      </c>
      <c r="T1073">
        <f>(E1073/100000+F1073/100+(P1073/1000)*J1073/5+S1073/200)*200*I1073*H1073</f>
        <v/>
      </c>
      <c r="U1073">
        <f>((E1073*F1073/25000)+((P1073/1000)*J1073*S1073/2.5))*I1073*H1073</f>
        <v/>
      </c>
      <c r="V1073">
        <f>(E1073*F1073*(P1073/1000)*J1073*S1073*I1073*H1073)/12500000</f>
        <v/>
      </c>
      <c r="W1073">
        <f>(T1073+U1073+V1073)/3</f>
        <v/>
      </c>
      <c r="X1073" s="6" t="n">
        <v>9000</v>
      </c>
      <c r="Y1073">
        <f>IFERROR(W1073-X1073,"")</f>
        <v/>
      </c>
      <c r="Z1073">
        <f>IFERROR(ABS(Y1073)/MAX(X1073,1),"")</f>
        <v/>
      </c>
      <c r="AA1073">
        <f>IFERROR((X1073-(((E1073/100000+F1073/100+S1073/200)*200*I1073*H1073)+((E1073*F1073/25000)*I1073*H1073))/3)/(((J1073/5)*200*I1073*H1073)+((J1073*S1073/2.5)*I1073*H1073)+((E1073*F1073*J1073*S1073*I1073*H1073)/12500000))/3*1000,"")</f>
        <v/>
      </c>
    </row>
    <row r="1074">
      <c r="B1074" s="7" t="inlineStr">
        <is>
          <t xml:space="preserve">  ↳ DalekCannon</t>
        </is>
      </c>
      <c r="C1074" s="7" t="inlineStr">
        <is>
          <t>Armament@PRIMARY</t>
        </is>
      </c>
      <c r="L1074" s="6" t="n">
        <v>100000</v>
      </c>
      <c r="M1074" s="6" t="n">
        <v>76</v>
      </c>
      <c r="N1074" s="6" t="n">
        <v>1</v>
      </c>
      <c r="O1074" s="6" t="n"/>
      <c r="P1074" s="6" t="n">
        <v>8060</v>
      </c>
      <c r="Q1074" s="6" t="n">
        <v>1.083333333333333</v>
      </c>
      <c r="R1074">
        <f>M1074+IF(N1074&gt;1,N(O1074)*(N1074-1),0)</f>
        <v/>
      </c>
      <c r="S1074">
        <f>IFERROR(L1074*MAX(N1074,1)/R1074*Q1074*IF(ISBLANK(K1073),1,K1073),0)</f>
        <v/>
      </c>
      <c r="AB1074" s="7" t="inlineStr">
        <is>
          <t>^TeslaWeapon, ^LaserWeapon, ^RA2RailgunWeapon</t>
        </is>
      </c>
    </row>
    <row r="1075">
      <c r="B1075" s="7" t="inlineStr">
        <is>
          <t xml:space="preserve">  ↳ DalekCannonE</t>
        </is>
      </c>
      <c r="C1075" s="7" t="inlineStr">
        <is>
          <t>Armament@ELITE</t>
        </is>
      </c>
      <c r="L1075" s="6" t="n">
        <v>200000</v>
      </c>
      <c r="M1075" s="6" t="n">
        <v>76</v>
      </c>
      <c r="N1075" s="6" t="n">
        <v>1</v>
      </c>
      <c r="O1075" s="6" t="n"/>
      <c r="P1075" s="6" t="n">
        <v>9060</v>
      </c>
      <c r="Q1075" s="6" t="n">
        <v>1.083333333333333</v>
      </c>
      <c r="R1075">
        <f>M1075+IF(N1075&gt;1,N(O1075)*(N1075-1),0)</f>
        <v/>
      </c>
      <c r="S1075">
        <f>IFERROR(L1075*MAX(N1075,1)/R1075*Q1075*IF(ISBLANK(K1073),1,K1073),0)</f>
        <v/>
      </c>
      <c r="AB1075" s="7" t="inlineStr">
        <is>
          <t>^TeslaWeapon, ^LaserWeapon, ^RA2RailgunWeapon</t>
        </is>
      </c>
    </row>
    <row r="1076">
      <c r="A1076" t="inlineStr">
        <is>
          <t>redalert2mod</t>
        </is>
      </c>
      <c r="B1076" t="inlineStr">
        <is>
          <t>futuretech_futuretank</t>
        </is>
      </c>
      <c r="C1076" t="inlineStr">
        <is>
          <t>Future Tank</t>
        </is>
      </c>
      <c r="D1076" s="6" t="inlineStr">
        <is>
          <t>EpicVehicle</t>
        </is>
      </c>
      <c r="E1076" s="6" t="n">
        <v>650000</v>
      </c>
      <c r="F1076" s="6" t="n">
        <v>45</v>
      </c>
      <c r="G1076" t="inlineStr">
        <is>
          <t>Heavy</t>
        </is>
      </c>
      <c r="H1076" s="6" t="n">
        <v>0.75</v>
      </c>
      <c r="I1076" s="6" t="n">
        <v>0.4</v>
      </c>
      <c r="J1076" s="6" t="n">
        <v>1</v>
      </c>
      <c r="K1076" s="6" t="n">
        <v>0.25</v>
      </c>
      <c r="P1076">
        <f>MAX(P1077,P1078)</f>
        <v/>
      </c>
      <c r="S1076">
        <f>S1077+S1078</f>
        <v/>
      </c>
      <c r="T1076">
        <f>(E1076/100000+F1076/100+(P1076/1000)*J1076/5+S1076/200)*200*I1076*H1076</f>
        <v/>
      </c>
      <c r="U1076">
        <f>((E1076*F1076/25000)+((P1076/1000)*J1076*S1076/2.5))*I1076*H1076</f>
        <v/>
      </c>
      <c r="V1076">
        <f>(E1076*F1076*(P1076/1000)*J1076*S1076*I1076*H1076)/12500000</f>
        <v/>
      </c>
      <c r="W1076">
        <f>(T1076+U1076+V1076)/3</f>
        <v/>
      </c>
      <c r="X1076" s="6" t="n">
        <v>10000</v>
      </c>
      <c r="Y1076">
        <f>IFERROR(W1076-X1076,"")</f>
        <v/>
      </c>
      <c r="Z1076">
        <f>IFERROR(ABS(Y1076)/MAX(X1076,1),"")</f>
        <v/>
      </c>
      <c r="AA1076">
        <f>IFERROR((X1076-(((E1076/100000+F1076/100+S1076/200)*200*I1076*H1076)+((E1076*F1076/25000)*I1076*H1076))/3)/(((J1076/5)*200*I1076*H1076)+((J1076*S1076/2.5)*I1076*H1076)+((E1076*F1076*J1076*S1076*I1076*H1076)/12500000))/3*1000,"")</f>
        <v/>
      </c>
    </row>
    <row r="1077">
      <c r="B1077" s="7" t="inlineStr">
        <is>
          <t xml:space="preserve">  ↳ FutureTankCannons</t>
        </is>
      </c>
      <c r="C1077" s="7" t="inlineStr">
        <is>
          <t>Armament</t>
        </is>
      </c>
      <c r="L1077" s="6" t="n">
        <v>100000</v>
      </c>
      <c r="M1077" s="6" t="n">
        <v>65</v>
      </c>
      <c r="N1077" s="6" t="n">
        <v>2</v>
      </c>
      <c r="O1077" s="6" t="n">
        <v>10</v>
      </c>
      <c r="P1077" s="6" t="n">
        <v>7500</v>
      </c>
      <c r="Q1077" s="6" t="n">
        <v>1.05</v>
      </c>
      <c r="R1077">
        <f>M1077+IF(N1077&gt;1,N(O1077)*(N1077-1),0)</f>
        <v/>
      </c>
      <c r="S1077">
        <f>IFERROR(L1077*MAX(N1077,1)/R1077*Q1077*IF(ISBLANK(K1076),1,K1076),0)</f>
        <v/>
      </c>
      <c r="AB1077" s="7" t="inlineStr">
        <is>
          <t>^MediumFlameWeapon, ^MediumChemicalWeapon, ^ShrapnelWeapon, ^TeslaWeapon, ^MagicWeapon, ^SteelHeavyCannon</t>
        </is>
      </c>
    </row>
    <row r="1078">
      <c r="B1078" s="7" t="inlineStr">
        <is>
          <t xml:space="preserve">  ↳ FutureTankCannonsE</t>
        </is>
      </c>
      <c r="C1078" s="7" t="inlineStr">
        <is>
          <t>Armament@elite</t>
        </is>
      </c>
      <c r="L1078" s="6" t="n">
        <v>100000</v>
      </c>
      <c r="M1078" s="6" t="n">
        <v>65</v>
      </c>
      <c r="N1078" s="6" t="n">
        <v>4</v>
      </c>
      <c r="O1078" s="6" t="n">
        <v>5</v>
      </c>
      <c r="P1078" s="6" t="n">
        <v>8500</v>
      </c>
      <c r="Q1078" s="6" t="n">
        <v>1.05</v>
      </c>
      <c r="R1078">
        <f>M1078+IF(N1078&gt;1,N(O1078)*(N1078-1),0)</f>
        <v/>
      </c>
      <c r="S1078">
        <f>IFERROR(L1078*MAX(N1078,1)/R1078*Q1078*IF(ISBLANK(K1076),1,K1076),0)</f>
        <v/>
      </c>
      <c r="AB1078" s="7" t="inlineStr">
        <is>
          <t>^MediumFlameWeapon, ^MediumChemicalWeapon, ^ShrapnelWeapon, ^TeslaWeapon, ^MagicWeapon, ^SteelHeavyCannon</t>
        </is>
      </c>
    </row>
    <row r="1079">
      <c r="A1079" t="inlineStr">
        <is>
          <t>redalert2mod</t>
        </is>
      </c>
      <c r="B1079" t="inlineStr">
        <is>
          <t>tkm_bigshiee</t>
        </is>
      </c>
      <c r="C1079" t="inlineStr">
        <is>
          <t>Big Shiee</t>
        </is>
      </c>
      <c r="D1079" s="6" t="inlineStr">
        <is>
          <t>EpicVehicle</t>
        </is>
      </c>
      <c r="E1079" s="6" t="n">
        <v>500000</v>
      </c>
      <c r="F1079" s="6" t="n">
        <v>50</v>
      </c>
      <c r="G1079" t="inlineStr">
        <is>
          <t>Superheavy</t>
        </is>
      </c>
      <c r="H1079" s="6" t="n">
        <v>1</v>
      </c>
      <c r="I1079" s="6" t="n">
        <v>1</v>
      </c>
      <c r="J1079" s="6" t="n">
        <v>1</v>
      </c>
      <c r="K1079" s="6" t="n"/>
      <c r="P1079">
        <f>MAX(P1080,P1081,P1082,P1083,P1084,P1085,P1086,P1087)</f>
        <v/>
      </c>
      <c r="S1079">
        <f>S1080+S1081+S1082+S1083+S1084+S1085+S1086+S1087</f>
        <v/>
      </c>
      <c r="T1079">
        <f>(E1079/100000+F1079/100+(P1079/1000)*J1079/5+S1079/200)*200*I1079*H1079</f>
        <v/>
      </c>
      <c r="U1079">
        <f>((E1079*F1079/25000)+((P1079/1000)*J1079*S1079/2.5))*I1079*H1079</f>
        <v/>
      </c>
      <c r="V1079">
        <f>(E1079*F1079*(P1079/1000)*J1079*S1079*I1079*H1079)/12500000</f>
        <v/>
      </c>
      <c r="W1079">
        <f>(T1079+U1079+V1079)/3</f>
        <v/>
      </c>
      <c r="X1079" s="6" t="n">
        <v>5000</v>
      </c>
      <c r="Y1079">
        <f>IFERROR(W1079-X1079,"")</f>
        <v/>
      </c>
      <c r="Z1079">
        <f>IFERROR(ABS(Y1079)/MAX(X1079,1),"")</f>
        <v/>
      </c>
      <c r="AA1079">
        <f>IFERROR((X1079-(((E1079/100000+F1079/100+S1079/200)*200*I1079*H1079)+((E1079*F1079/25000)*I1079*H1079))/3)/(((J1079/5)*200*I1079*H1079)+((J1079*S1079/2.5)*I1079*H1079)+((E1079*F1079*J1079*S1079*I1079*H1079)/12500000))/3*1000,"")</f>
        <v/>
      </c>
    </row>
    <row r="1080">
      <c r="B1080" s="7" t="inlineStr">
        <is>
          <t xml:space="preserve">  ↳ BigShieeTusk</t>
        </is>
      </c>
      <c r="C1080" s="7" t="inlineStr">
        <is>
          <t>Armament@PRIMARY</t>
        </is>
      </c>
      <c r="L1080" s="6" t="n">
        <v>40000</v>
      </c>
      <c r="M1080" s="6" t="n">
        <v>83</v>
      </c>
      <c r="N1080" s="6" t="n">
        <v>2</v>
      </c>
      <c r="O1080" s="6" t="n"/>
      <c r="P1080" s="6" t="n">
        <v>7238</v>
      </c>
      <c r="Q1080" s="6" t="n">
        <v>1.125</v>
      </c>
      <c r="R1080">
        <f>M1080+IF(N1080&gt;1,N(O1080)*(N1080-1),0)</f>
        <v/>
      </c>
      <c r="S1080">
        <f>IFERROR(L1080*MAX(N1080,1)/R1080*Q1080*IF(ISBLANK(K1079),1,K1079),0)</f>
        <v/>
      </c>
      <c r="AB1080" s="7" t="inlineStr">
        <is>
          <t>^HeavyMissile, ^ShrapnelWeapon</t>
        </is>
      </c>
    </row>
    <row r="1081">
      <c r="B1081" s="7" t="inlineStr">
        <is>
          <t xml:space="preserve">  ↳ SandmarineTuskCryo</t>
        </is>
      </c>
      <c r="C1081" s="7" t="inlineStr">
        <is>
          <t>Armament@PRIMARYNATO</t>
        </is>
      </c>
      <c r="L1081" s="6" t="n">
        <v>40000</v>
      </c>
      <c r="M1081" s="6" t="n">
        <v>129</v>
      </c>
      <c r="N1081" s="6" t="n">
        <v>3</v>
      </c>
      <c r="O1081" s="6" t="n"/>
      <c r="P1081" s="6" t="n">
        <v>6464</v>
      </c>
      <c r="Q1081" s="6" t="n">
        <v>1.125</v>
      </c>
      <c r="R1081">
        <f>M1081+IF(N1081&gt;1,N(O1081)*(N1081-1),0)</f>
        <v/>
      </c>
      <c r="S1081">
        <f>IFERROR(L1081*MAX(N1081,1)/R1081*Q1081*IF(ISBLANK(K1079),1,K1079),0)</f>
        <v/>
      </c>
      <c r="AB1081" s="7" t="inlineStr">
        <is>
          <t>^HeavyMissile, ^ShrapnelWeapon, ^CryoMissileProjectile</t>
        </is>
      </c>
    </row>
    <row r="1082">
      <c r="B1082" s="7" t="inlineStr">
        <is>
          <t xml:space="preserve">  ↳ SandmarineTuskCryo</t>
        </is>
      </c>
      <c r="C1082" s="7" t="inlineStr">
        <is>
          <t>Armament@SECONDARYNATO</t>
        </is>
      </c>
      <c r="L1082" s="6" t="n">
        <v>40000</v>
      </c>
      <c r="M1082" s="6" t="n">
        <v>129</v>
      </c>
      <c r="N1082" s="6" t="n">
        <v>3</v>
      </c>
      <c r="O1082" s="6" t="n"/>
      <c r="P1082" s="6" t="n">
        <v>6464</v>
      </c>
      <c r="Q1082" s="6" t="n">
        <v>1.125</v>
      </c>
      <c r="R1082">
        <f>M1082+IF(N1082&gt;1,N(O1082)*(N1082-1),0)</f>
        <v/>
      </c>
      <c r="S1082">
        <f>IFERROR(L1082*MAX(N1082,1)/R1082*Q1082*IF(ISBLANK(K1079),1,K1079),0)</f>
        <v/>
      </c>
      <c r="AB1082" s="7" t="inlineStr">
        <is>
          <t>^HeavyMissile, ^ShrapnelWeapon, ^CryoMissileProjectile</t>
        </is>
      </c>
    </row>
    <row r="1083">
      <c r="B1083" s="7" t="inlineStr">
        <is>
          <t xml:space="preserve">  ↳ SandmarineTuskTwin</t>
        </is>
      </c>
      <c r="C1083" s="7" t="inlineStr">
        <is>
          <t>Armament@PRIMARYBEREZKA</t>
        </is>
      </c>
      <c r="L1083" s="6" t="n">
        <v>40000</v>
      </c>
      <c r="M1083" s="6" t="n">
        <v>54</v>
      </c>
      <c r="N1083" s="6" t="n">
        <v>8</v>
      </c>
      <c r="O1083" s="6" t="n"/>
      <c r="P1083" s="6" t="n">
        <v>6102</v>
      </c>
      <c r="Q1083" s="6" t="n">
        <v>1.083333333333333</v>
      </c>
      <c r="R1083">
        <f>M1083+IF(N1083&gt;1,N(O1083)*(N1083-1),0)</f>
        <v/>
      </c>
      <c r="S1083">
        <f>IFERROR(L1083*MAX(N1083,1)/R1083*Q1083*IF(ISBLANK(K1079),1,K1079),0)</f>
        <v/>
      </c>
      <c r="AB1083" s="7" t="inlineStr">
        <is>
          <t>^HeavyMissile, ^ShrapnelWeapon, ^MediumMissile</t>
        </is>
      </c>
    </row>
    <row r="1084">
      <c r="B1084" s="7" t="inlineStr">
        <is>
          <t xml:space="preserve">  ↳ SandmarineTuskTwin</t>
        </is>
      </c>
      <c r="C1084" s="7" t="inlineStr">
        <is>
          <t>Armament@SECONDARYBEREZKA</t>
        </is>
      </c>
      <c r="L1084" s="6" t="n">
        <v>40000</v>
      </c>
      <c r="M1084" s="6" t="n">
        <v>54</v>
      </c>
      <c r="N1084" s="6" t="n">
        <v>8</v>
      </c>
      <c r="O1084" s="6" t="n"/>
      <c r="P1084" s="6" t="n">
        <v>6102</v>
      </c>
      <c r="Q1084" s="6" t="n">
        <v>1.083333333333333</v>
      </c>
      <c r="R1084">
        <f>M1084+IF(N1084&gt;1,N(O1084)*(N1084-1),0)</f>
        <v/>
      </c>
      <c r="S1084">
        <f>IFERROR(L1084*MAX(N1084,1)/R1084*Q1084*IF(ISBLANK(K1079),1,K1079),0)</f>
        <v/>
      </c>
      <c r="AB1084" s="7" t="inlineStr">
        <is>
          <t>^HeavyMissile, ^ShrapnelWeapon, ^MediumMissile</t>
        </is>
      </c>
    </row>
    <row r="1085">
      <c r="B1085" s="7" t="inlineStr">
        <is>
          <t xml:space="preserve">  ↳ SandmarineTuskFire</t>
        </is>
      </c>
      <c r="C1085" s="7" t="inlineStr">
        <is>
          <t>Armament@PRIMARYTITAN</t>
        </is>
      </c>
      <c r="L1085" s="6" t="n">
        <v>40000</v>
      </c>
      <c r="M1085" s="6" t="n">
        <v>25</v>
      </c>
      <c r="N1085" s="6" t="n">
        <v>3</v>
      </c>
      <c r="O1085" s="6" t="n"/>
      <c r="P1085" s="6" t="n">
        <v>5120</v>
      </c>
      <c r="Q1085" s="6" t="n">
        <v>0.9375</v>
      </c>
      <c r="R1085">
        <f>M1085+IF(N1085&gt;1,N(O1085)*(N1085-1),0)</f>
        <v/>
      </c>
      <c r="S1085">
        <f>IFERROR(L1085*MAX(N1085,1)/R1085*Q1085*IF(ISBLANK(K1079),1,K1079),0)</f>
        <v/>
      </c>
      <c r="AB1085" s="7" t="inlineStr">
        <is>
          <t>^HeavyMissile, ^ShrapnelWeapon, ^LightFlameWeapon, ^LightMissile</t>
        </is>
      </c>
    </row>
    <row r="1086">
      <c r="B1086" s="7" t="inlineStr">
        <is>
          <t xml:space="preserve">  ↳ SandmarineTuskFire</t>
        </is>
      </c>
      <c r="C1086" s="7" t="inlineStr">
        <is>
          <t>Armament@SECONDARYTITAN</t>
        </is>
      </c>
      <c r="L1086" s="6" t="n">
        <v>40000</v>
      </c>
      <c r="M1086" s="6" t="n">
        <v>25</v>
      </c>
      <c r="N1086" s="6" t="n">
        <v>3</v>
      </c>
      <c r="O1086" s="6" t="n"/>
      <c r="P1086" s="6" t="n">
        <v>5120</v>
      </c>
      <c r="Q1086" s="6" t="n">
        <v>0.9375</v>
      </c>
      <c r="R1086">
        <f>M1086+IF(N1086&gt;1,N(O1086)*(N1086-1),0)</f>
        <v/>
      </c>
      <c r="S1086">
        <f>IFERROR(L1086*MAX(N1086,1)/R1086*Q1086*IF(ISBLANK(K1079),1,K1079),0)</f>
        <v/>
      </c>
      <c r="AB1086" s="7" t="inlineStr">
        <is>
          <t>^HeavyMissile, ^ShrapnelWeapon, ^LightFlameWeapon, ^LightMissile</t>
        </is>
      </c>
    </row>
    <row r="1087">
      <c r="B1087" s="7" t="inlineStr">
        <is>
          <t xml:space="preserve">  ↳ bigshieemortar</t>
        </is>
      </c>
      <c r="C1087" s="7" t="inlineStr">
        <is>
          <t>Armament@Mortar</t>
        </is>
      </c>
      <c r="L1087" s="6" t="n">
        <v>80000</v>
      </c>
      <c r="M1087" s="6" t="n">
        <v>86</v>
      </c>
      <c r="N1087" s="6" t="n">
        <v>1</v>
      </c>
      <c r="O1087" s="6" t="n"/>
      <c r="P1087" s="6" t="n">
        <v>7238</v>
      </c>
      <c r="Q1087" s="6" t="n">
        <v>1.125</v>
      </c>
      <c r="R1087">
        <f>M1087+IF(N1087&gt;1,N(O1087)*(N1087-1),0)</f>
        <v/>
      </c>
      <c r="S1087">
        <f>IFERROR(L1087*MAX(N1087,1)/R1087*Q1087*IF(ISBLANK(K1079),1,K1079),0)</f>
        <v/>
      </c>
      <c r="AB1087" s="7" t="inlineStr">
        <is>
          <t>^HeavyBomb, ^MediumFlameWeapon</t>
        </is>
      </c>
    </row>
    <row r="1088">
      <c r="A1088" t="inlineStr">
        <is>
          <t>redalert2mod</t>
        </is>
      </c>
      <c r="B1088" t="inlineStr">
        <is>
          <t>tkm_sandmarine</t>
        </is>
      </c>
      <c r="C1088" t="inlineStr">
        <is>
          <t>Sand Marine</t>
        </is>
      </c>
      <c r="D1088" s="6" t="inlineStr">
        <is>
          <t>EpicVehicle</t>
        </is>
      </c>
      <c r="E1088" s="6" t="n">
        <v>800000</v>
      </c>
      <c r="F1088" s="6" t="n">
        <v>30</v>
      </c>
      <c r="G1088" t="inlineStr">
        <is>
          <t>Superheavy</t>
        </is>
      </c>
      <c r="H1088" s="6" t="n">
        <v>1</v>
      </c>
      <c r="I1088" s="6" t="n">
        <v>1</v>
      </c>
      <c r="J1088" s="6" t="n">
        <v>1</v>
      </c>
      <c r="K1088" s="6" t="n"/>
      <c r="P1088">
        <f>MAX(P1089,P1090,P1091,P1092,P1093,P1094,P1095,P1096)</f>
        <v/>
      </c>
      <c r="S1088">
        <f>S1089+S1090+S1091+S1092+S1093+S1094+S1095+S1096</f>
        <v/>
      </c>
      <c r="T1088">
        <f>(E1088/100000+F1088/100+(P1088/1000)*J1088/5+S1088/200)*200*I1088*H1088</f>
        <v/>
      </c>
      <c r="U1088">
        <f>((E1088*F1088/25000)+((P1088/1000)*J1088*S1088/2.5))*I1088*H1088</f>
        <v/>
      </c>
      <c r="V1088">
        <f>(E1088*F1088*(P1088/1000)*J1088*S1088*I1088*H1088)/12500000</f>
        <v/>
      </c>
      <c r="W1088">
        <f>(T1088+U1088+V1088)/3</f>
        <v/>
      </c>
      <c r="X1088" s="6" t="n">
        <v>5000</v>
      </c>
      <c r="Y1088">
        <f>IFERROR(W1088-X1088,"")</f>
        <v/>
      </c>
      <c r="Z1088">
        <f>IFERROR(ABS(Y1088)/MAX(X1088,1),"")</f>
        <v/>
      </c>
      <c r="AA1088">
        <f>IFERROR((X1088-(((E1088/100000+F1088/100+S1088/200)*200*I1088*H1088)+((E1088*F1088/25000)*I1088*H1088))/3)/(((J1088/5)*200*I1088*H1088)+((J1088*S1088/2.5)*I1088*H1088)+((E1088*F1088*J1088*S1088*I1088*H1088)/12500000))/3*1000,"")</f>
        <v/>
      </c>
    </row>
    <row r="1089">
      <c r="B1089" s="7" t="inlineStr">
        <is>
          <t xml:space="preserve">  ↳ SandmarineTusk</t>
        </is>
      </c>
      <c r="C1089" s="7" t="inlineStr">
        <is>
          <t>Armament@PRIMARY</t>
        </is>
      </c>
      <c r="L1089" s="6" t="n">
        <v>40000</v>
      </c>
      <c r="M1089" s="6" t="n">
        <v>129</v>
      </c>
      <c r="N1089" s="6" t="n">
        <v>3</v>
      </c>
      <c r="O1089" s="6" t="n"/>
      <c r="P1089" s="6" t="n">
        <v>6464</v>
      </c>
      <c r="Q1089" s="6" t="n">
        <v>1.125</v>
      </c>
      <c r="R1089">
        <f>M1089+IF(N1089&gt;1,N(O1089)*(N1089-1),0)</f>
        <v/>
      </c>
      <c r="S1089">
        <f>IFERROR(L1089*MAX(N1089,1)/R1089*Q1089*IF(ISBLANK(K1088),1,K1088),0)</f>
        <v/>
      </c>
      <c r="AB1089" s="7" t="inlineStr">
        <is>
          <t>^HeavyMissile, ^ShrapnelWeapon</t>
        </is>
      </c>
    </row>
    <row r="1090">
      <c r="B1090" s="7" t="inlineStr">
        <is>
          <t xml:space="preserve">  ↳ SandmarineTuskCryo</t>
        </is>
      </c>
      <c r="C1090" s="7" t="inlineStr">
        <is>
          <t>Armament@PRIMARYNATO</t>
        </is>
      </c>
      <c r="L1090" s="6" t="n">
        <v>40000</v>
      </c>
      <c r="M1090" s="6" t="n">
        <v>129</v>
      </c>
      <c r="N1090" s="6" t="n">
        <v>3</v>
      </c>
      <c r="O1090" s="6" t="n"/>
      <c r="P1090" s="6" t="n">
        <v>6464</v>
      </c>
      <c r="Q1090" s="6" t="n">
        <v>1.125</v>
      </c>
      <c r="R1090">
        <f>M1090+IF(N1090&gt;1,N(O1090)*(N1090-1),0)</f>
        <v/>
      </c>
      <c r="S1090">
        <f>IFERROR(L1090*MAX(N1090,1)/R1090*Q1090*IF(ISBLANK(K1088),1,K1088),0)</f>
        <v/>
      </c>
      <c r="AB1090" s="7" t="inlineStr">
        <is>
          <t>^HeavyMissile, ^ShrapnelWeapon, ^CryoMissileProjectile</t>
        </is>
      </c>
    </row>
    <row r="1091">
      <c r="B1091" s="7" t="inlineStr">
        <is>
          <t xml:space="preserve">  ↳ SandmarineTuskCryo</t>
        </is>
      </c>
      <c r="C1091" s="7" t="inlineStr">
        <is>
          <t>Armament@SECONDARYNATO</t>
        </is>
      </c>
      <c r="L1091" s="6" t="n">
        <v>40000</v>
      </c>
      <c r="M1091" s="6" t="n">
        <v>129</v>
      </c>
      <c r="N1091" s="6" t="n">
        <v>3</v>
      </c>
      <c r="O1091" s="6" t="n"/>
      <c r="P1091" s="6" t="n">
        <v>6464</v>
      </c>
      <c r="Q1091" s="6" t="n">
        <v>1.125</v>
      </c>
      <c r="R1091">
        <f>M1091+IF(N1091&gt;1,N(O1091)*(N1091-1),0)</f>
        <v/>
      </c>
      <c r="S1091">
        <f>IFERROR(L1091*MAX(N1091,1)/R1091*Q1091*IF(ISBLANK(K1088),1,K1088),0)</f>
        <v/>
      </c>
      <c r="AB1091" s="7" t="inlineStr">
        <is>
          <t>^HeavyMissile, ^ShrapnelWeapon, ^CryoMissileProjectile</t>
        </is>
      </c>
    </row>
    <row r="1092">
      <c r="B1092" s="7" t="inlineStr">
        <is>
          <t xml:space="preserve">  ↳ SandmarineTuskTwin</t>
        </is>
      </c>
      <c r="C1092" s="7" t="inlineStr">
        <is>
          <t>Armament@PRIMARYBEREZKA</t>
        </is>
      </c>
      <c r="L1092" s="6" t="n">
        <v>40000</v>
      </c>
      <c r="M1092" s="6" t="n">
        <v>54</v>
      </c>
      <c r="N1092" s="6" t="n">
        <v>8</v>
      </c>
      <c r="O1092" s="6" t="n"/>
      <c r="P1092" s="6" t="n">
        <v>6102</v>
      </c>
      <c r="Q1092" s="6" t="n">
        <v>1.083333333333333</v>
      </c>
      <c r="R1092">
        <f>M1092+IF(N1092&gt;1,N(O1092)*(N1092-1),0)</f>
        <v/>
      </c>
      <c r="S1092">
        <f>IFERROR(L1092*MAX(N1092,1)/R1092*Q1092*IF(ISBLANK(K1088),1,K1088),0)</f>
        <v/>
      </c>
      <c r="AB1092" s="7" t="inlineStr">
        <is>
          <t>^HeavyMissile, ^ShrapnelWeapon, ^MediumMissile</t>
        </is>
      </c>
    </row>
    <row r="1093">
      <c r="B1093" s="7" t="inlineStr">
        <is>
          <t xml:space="preserve">  ↳ SandmarineTuskTwin</t>
        </is>
      </c>
      <c r="C1093" s="7" t="inlineStr">
        <is>
          <t>Armament@SECONDARYBEREZKA</t>
        </is>
      </c>
      <c r="L1093" s="6" t="n">
        <v>40000</v>
      </c>
      <c r="M1093" s="6" t="n">
        <v>54</v>
      </c>
      <c r="N1093" s="6" t="n">
        <v>8</v>
      </c>
      <c r="O1093" s="6" t="n"/>
      <c r="P1093" s="6" t="n">
        <v>6102</v>
      </c>
      <c r="Q1093" s="6" t="n">
        <v>1.083333333333333</v>
      </c>
      <c r="R1093">
        <f>M1093+IF(N1093&gt;1,N(O1093)*(N1093-1),0)</f>
        <v/>
      </c>
      <c r="S1093">
        <f>IFERROR(L1093*MAX(N1093,1)/R1093*Q1093*IF(ISBLANK(K1088),1,K1088),0)</f>
        <v/>
      </c>
      <c r="AB1093" s="7" t="inlineStr">
        <is>
          <t>^HeavyMissile, ^ShrapnelWeapon, ^MediumMissile</t>
        </is>
      </c>
    </row>
    <row r="1094">
      <c r="B1094" s="7" t="inlineStr">
        <is>
          <t xml:space="preserve">  ↳ SandmarineTuskFire</t>
        </is>
      </c>
      <c r="C1094" s="7" t="inlineStr">
        <is>
          <t>Armament@PRIMARYTITAN</t>
        </is>
      </c>
      <c r="L1094" s="6" t="n">
        <v>40000</v>
      </c>
      <c r="M1094" s="6" t="n">
        <v>25</v>
      </c>
      <c r="N1094" s="6" t="n">
        <v>3</v>
      </c>
      <c r="O1094" s="6" t="n"/>
      <c r="P1094" s="6" t="n">
        <v>5120</v>
      </c>
      <c r="Q1094" s="6" t="n">
        <v>0.9375</v>
      </c>
      <c r="R1094">
        <f>M1094+IF(N1094&gt;1,N(O1094)*(N1094-1),0)</f>
        <v/>
      </c>
      <c r="S1094">
        <f>IFERROR(L1094*MAX(N1094,1)/R1094*Q1094*IF(ISBLANK(K1088),1,K1088),0)</f>
        <v/>
      </c>
      <c r="AB1094" s="7" t="inlineStr">
        <is>
          <t>^HeavyMissile, ^ShrapnelWeapon, ^LightFlameWeapon, ^LightMissile</t>
        </is>
      </c>
    </row>
    <row r="1095">
      <c r="B1095" s="7" t="inlineStr">
        <is>
          <t xml:space="preserve">  ↳ SandmarineTuskFire</t>
        </is>
      </c>
      <c r="C1095" s="7" t="inlineStr">
        <is>
          <t>Armament@SECONDARYTITAN</t>
        </is>
      </c>
      <c r="L1095" s="6" t="n">
        <v>40000</v>
      </c>
      <c r="M1095" s="6" t="n">
        <v>25</v>
      </c>
      <c r="N1095" s="6" t="n">
        <v>3</v>
      </c>
      <c r="O1095" s="6" t="n"/>
      <c r="P1095" s="6" t="n">
        <v>5120</v>
      </c>
      <c r="Q1095" s="6" t="n">
        <v>0.9375</v>
      </c>
      <c r="R1095">
        <f>M1095+IF(N1095&gt;1,N(O1095)*(N1095-1),0)</f>
        <v/>
      </c>
      <c r="S1095">
        <f>IFERROR(L1095*MAX(N1095,1)/R1095*Q1095*IF(ISBLANK(K1088),1,K1088),0)</f>
        <v/>
      </c>
      <c r="AB1095" s="7" t="inlineStr">
        <is>
          <t>^HeavyMissile, ^ShrapnelWeapon, ^LightFlameWeapon, ^LightMissile</t>
        </is>
      </c>
    </row>
    <row r="1096">
      <c r="B1096" s="7" t="inlineStr">
        <is>
          <t xml:space="preserve">  ↳ sandmarinemortar</t>
        </is>
      </c>
      <c r="C1096" s="7" t="inlineStr">
        <is>
          <t>Armament@Mortar</t>
        </is>
      </c>
      <c r="L1096" s="6" t="n">
        <v>120000</v>
      </c>
      <c r="M1096" s="6" t="n">
        <v>135</v>
      </c>
      <c r="N1096" s="6" t="n">
        <v>1</v>
      </c>
      <c r="O1096" s="6" t="n"/>
      <c r="P1096" s="6" t="n">
        <v>6464</v>
      </c>
      <c r="Q1096" s="6" t="n">
        <v>1.125</v>
      </c>
      <c r="R1096">
        <f>M1096+IF(N1096&gt;1,N(O1096)*(N1096-1),0)</f>
        <v/>
      </c>
      <c r="S1096">
        <f>IFERROR(L1096*MAX(N1096,1)/R1096*Q1096*IF(ISBLANK(K1088),1,K1088),0)</f>
        <v/>
      </c>
      <c r="AB1096" s="7" t="inlineStr">
        <is>
          <t>^HeavyBomb, ^MediumFlameWeapon</t>
        </is>
      </c>
    </row>
    <row r="1097">
      <c r="A1097" t="inlineStr">
        <is>
          <t>redalert2mod</t>
        </is>
      </c>
      <c r="B1097" t="inlineStr">
        <is>
          <t>tkm_t30</t>
        </is>
      </c>
      <c r="C1097" t="inlineStr">
        <is>
          <t>T-30</t>
        </is>
      </c>
      <c r="D1097" s="6" t="inlineStr">
        <is>
          <t>EpicVehicle</t>
        </is>
      </c>
      <c r="E1097" s="6" t="n">
        <v>400000</v>
      </c>
      <c r="F1097" s="6" t="n">
        <v>50</v>
      </c>
      <c r="G1097" t="inlineStr">
        <is>
          <t>Superheavy</t>
        </is>
      </c>
      <c r="H1097" s="6" t="n">
        <v>1</v>
      </c>
      <c r="I1097" s="6" t="n">
        <v>1</v>
      </c>
      <c r="J1097" s="6" t="n">
        <v>1</v>
      </c>
      <c r="K1097" s="6" t="n"/>
      <c r="P1097">
        <f>MAX(P1098)</f>
        <v/>
      </c>
      <c r="S1097">
        <f>S1098</f>
        <v/>
      </c>
      <c r="T1097">
        <f>(E1097/100000+F1097/100+(P1097/1000)*J1097/5+S1097/200)*200*I1097*H1097</f>
        <v/>
      </c>
      <c r="U1097">
        <f>((E1097*F1097/25000)+((P1097/1000)*J1097*S1097/2.5))*I1097*H1097</f>
        <v/>
      </c>
      <c r="V1097">
        <f>(E1097*F1097*(P1097/1000)*J1097*S1097*I1097*H1097)/12500000</f>
        <v/>
      </c>
      <c r="W1097">
        <f>(T1097+U1097+V1097)/3</f>
        <v/>
      </c>
      <c r="X1097" s="6" t="n">
        <v>5000</v>
      </c>
      <c r="Y1097">
        <f>IFERROR(W1097-X1097,"")</f>
        <v/>
      </c>
      <c r="Z1097">
        <f>IFERROR(ABS(Y1097)/MAX(X1097,1),"")</f>
        <v/>
      </c>
      <c r="AA1097">
        <f>IFERROR((X1097-(((E1097/100000+F1097/100+S1097/200)*200*I1097*H1097)+((E1097*F1097/25000)*I1097*H1097))/3)/(((J1097/5)*200*I1097*H1097)+((J1097*S1097/2.5)*I1097*H1097)+((E1097*F1097*J1097*S1097*I1097*H1097)/12500000))/3*1000,"")</f>
        <v/>
      </c>
    </row>
    <row r="1098">
      <c r="B1098" s="7" t="inlineStr">
        <is>
          <t xml:space="preserve">  ↳ t30shell</t>
        </is>
      </c>
      <c r="C1098" s="7" t="inlineStr">
        <is>
          <t>Armament</t>
        </is>
      </c>
      <c r="L1098" s="6" t="n">
        <v>40000</v>
      </c>
      <c r="M1098" s="6" t="n">
        <v>80</v>
      </c>
      <c r="N1098" s="6" t="n">
        <v>1</v>
      </c>
      <c r="O1098" s="6" t="n"/>
      <c r="P1098" s="6" t="n">
        <v>22000</v>
      </c>
      <c r="Q1098" s="6" t="n">
        <v>1.25</v>
      </c>
      <c r="R1098">
        <f>M1098+IF(N1098&gt;1,N(O1098)*(N1098-1),0)</f>
        <v/>
      </c>
      <c r="S1098">
        <f>IFERROR(L1098*MAX(N1098,1)/R1098*Q1098*IF(ISBLANK(K1097),1,K1097),0)</f>
        <v/>
      </c>
      <c r="AB1098" s="7" t="inlineStr">
        <is>
          <t>^HeavyBomb, ^RailgunWeapon</t>
        </is>
      </c>
    </row>
    <row r="1099">
      <c r="A1099" t="inlineStr">
        <is>
          <t>d2k</t>
        </is>
      </c>
      <c r="B1099" t="inlineStr">
        <is>
          <t>ixian_ixprojector</t>
        </is>
      </c>
      <c r="C1099" t="inlineStr">
        <is>
          <t>Ix Projector</t>
        </is>
      </c>
      <c r="D1099" s="6" t="inlineStr">
        <is>
          <t>EpicVehicle</t>
        </is>
      </c>
      <c r="E1099" s="6" t="n">
        <v>100000</v>
      </c>
      <c r="F1099" s="6" t="n">
        <v>100</v>
      </c>
      <c r="G1099" t="inlineStr">
        <is>
          <t>Medium</t>
        </is>
      </c>
      <c r="H1099" s="6" t="n">
        <v>1</v>
      </c>
      <c r="I1099" s="6" t="n">
        <v>1</v>
      </c>
      <c r="J1099" s="6" t="n">
        <v>1</v>
      </c>
      <c r="K1099" s="6" t="n"/>
      <c r="P1099">
        <f>MAX(P1100,P1101)</f>
        <v/>
      </c>
      <c r="S1099">
        <f>S1100+S1101</f>
        <v/>
      </c>
      <c r="T1099">
        <f>(E1099/100000+F1099/100+(P1099/1000)*J1099/5+S1099/200)*200*I1099*H1099</f>
        <v/>
      </c>
      <c r="U1099">
        <f>((E1099*F1099/25000)+((P1099/1000)*J1099*S1099/2.5))*I1099*H1099</f>
        <v/>
      </c>
      <c r="V1099">
        <f>(E1099*F1099*(P1099/1000)*J1099*S1099*I1099*H1099)/12500000</f>
        <v/>
      </c>
      <c r="W1099">
        <f>(T1099+U1099+V1099)/3</f>
        <v/>
      </c>
      <c r="X1099" s="6" t="n">
        <v>5000</v>
      </c>
      <c r="Y1099">
        <f>IFERROR(W1099-X1099,"")</f>
        <v/>
      </c>
      <c r="Z1099">
        <f>IFERROR(ABS(Y1099)/MAX(X1099,1),"")</f>
        <v/>
      </c>
      <c r="AA1099">
        <f>IFERROR((X1099-(((E1099/100000+F1099/100+S1099/200)*200*I1099*H1099)+((E1099*F1099/25000)*I1099*H1099))/3)/(((J1099/5)*200*I1099*H1099)+((J1099*S1099/2.5)*I1099*H1099)+((E1099*F1099*J1099*S1099*I1099*H1099)/12500000))/3*1000,"")</f>
        <v/>
      </c>
    </row>
    <row r="1100">
      <c r="B1100" s="7" t="inlineStr">
        <is>
          <t xml:space="preserve">  ↳ empdisable.anim</t>
        </is>
      </c>
      <c r="C1100" s="7" t="inlineStr">
        <is>
          <t>Armament@Anim</t>
        </is>
      </c>
      <c r="L1100" s="6" t="n">
        <v>1</v>
      </c>
      <c r="M1100" s="6" t="n">
        <v>3</v>
      </c>
      <c r="N1100" s="6" t="n">
        <v>1</v>
      </c>
      <c r="O1100" s="6" t="n"/>
      <c r="P1100" s="6" t="n">
        <v>20000</v>
      </c>
      <c r="Q1100" s="6" t="n">
        <v>1</v>
      </c>
      <c r="R1100">
        <f>M1100+IF(N1100&gt;1,N(O1100)*(N1100-1),0)</f>
        <v/>
      </c>
      <c r="S1100">
        <f>IFERROR(L1100*MAX(N1100,1)/R1100*Q1100*IF(ISBLANK(K1099),1,K1099),0)</f>
        <v/>
      </c>
      <c r="AB1100" s="7" t="inlineStr"/>
    </row>
    <row r="1101">
      <c r="B1101" s="7" t="inlineStr">
        <is>
          <t xml:space="preserve">  ↳ empdisable.end</t>
        </is>
      </c>
      <c r="C1101" s="7" t="inlineStr">
        <is>
          <t>Armament@End</t>
        </is>
      </c>
      <c r="L1101" s="6" t="n">
        <v>2000</v>
      </c>
      <c r="M1101" s="6" t="n">
        <v>4</v>
      </c>
      <c r="N1101" s="6" t="n">
        <v>1</v>
      </c>
      <c r="O1101" s="6" t="n"/>
      <c r="P1101" s="6" t="n">
        <v>20000</v>
      </c>
      <c r="Q1101" s="6" t="n">
        <v>1</v>
      </c>
      <c r="R1101">
        <f>M1101+IF(N1101&gt;1,N(O1101)*(N1101-1),0)</f>
        <v/>
      </c>
      <c r="S1101">
        <f>IFERROR(L1101*MAX(N1101,1)/R1101*Q1101*IF(ISBLANK(K1099),1,K1099),0)</f>
        <v/>
      </c>
      <c r="AB1101" s="7" t="inlineStr">
        <is>
          <t>^TeslaChargedWeapon</t>
        </is>
      </c>
    </row>
    <row r="1102">
      <c r="A1102" t="inlineStr">
        <is>
          <t>starcraft</t>
        </is>
      </c>
      <c r="B1102" t="inlineStr">
        <is>
          <t>protoss_idol</t>
        </is>
      </c>
      <c r="C1102" t="inlineStr">
        <is>
          <t>Idol</t>
        </is>
      </c>
      <c r="D1102" s="6" t="inlineStr">
        <is>
          <t>EpicVehicle</t>
        </is>
      </c>
      <c r="E1102" s="6" t="n">
        <v>350000</v>
      </c>
      <c r="F1102" s="6" t="n">
        <v>40</v>
      </c>
      <c r="G1102" t="inlineStr">
        <is>
          <t>Medium</t>
        </is>
      </c>
      <c r="H1102" s="6" t="n">
        <v>0.75</v>
      </c>
      <c r="I1102" s="6" t="n">
        <v>0.4</v>
      </c>
      <c r="J1102" s="6" t="n">
        <v>1.25</v>
      </c>
      <c r="K1102" s="6" t="n">
        <v>2.23</v>
      </c>
      <c r="P1102">
        <f>MAX(P1103,P1104,P1105)</f>
        <v/>
      </c>
      <c r="S1102">
        <f>S1103+S1104+S1105</f>
        <v/>
      </c>
      <c r="T1102">
        <f>(E1102/100000+F1102/100+(P1102/1000)*J1102/5+S1102/200)*200*I1102*H1102</f>
        <v/>
      </c>
      <c r="U1102">
        <f>((E1102*F1102/25000)+((P1102/1000)*J1102*S1102/2.5))*I1102*H1102</f>
        <v/>
      </c>
      <c r="V1102">
        <f>(E1102*F1102*(P1102/1000)*J1102*S1102*I1102*H1102)/12500000</f>
        <v/>
      </c>
      <c r="W1102">
        <f>(T1102+U1102+V1102)/3</f>
        <v/>
      </c>
      <c r="X1102" s="6" t="n">
        <v>2800</v>
      </c>
      <c r="Y1102">
        <f>IFERROR(W1102-X1102,"")</f>
        <v/>
      </c>
      <c r="Z1102">
        <f>IFERROR(ABS(Y1102)/MAX(X1102,1),"")</f>
        <v/>
      </c>
      <c r="AA1102">
        <f>IFERROR((X1102-(((E1102/100000+F1102/100+S1102/200)*200*I1102*H1102)+((E1102*F1102/25000)*I1102*H1102))/3)/(((J1102/5)*200*I1102*H1102)+((J1102*S1102/2.5)*I1102*H1102)+((E1102*F1102*J1102*S1102*I1102*H1102)/12500000))/3*1000,"")</f>
        <v/>
      </c>
    </row>
    <row r="1103">
      <c r="B1103" s="7" t="inlineStr">
        <is>
          <t xml:space="preserve">  ↳ WaveforceCannonChargedLaser</t>
        </is>
      </c>
      <c r="C1103" s="7" t="inlineStr">
        <is>
          <t>Armament@Upgrade1</t>
        </is>
      </c>
      <c r="L1103" s="6" t="n">
        <v>10000</v>
      </c>
      <c r="M1103" s="6" t="n">
        <v>120</v>
      </c>
      <c r="N1103" s="6" t="n">
        <v>1</v>
      </c>
      <c r="O1103" s="6" t="n"/>
      <c r="P1103" s="6" t="n">
        <v>9343</v>
      </c>
      <c r="Q1103" s="6" t="n">
        <v>1.25</v>
      </c>
      <c r="R1103">
        <f>M1103+IF(N1103&gt;1,N(O1103)*(N1103-1),0)</f>
        <v/>
      </c>
      <c r="S1103">
        <f>IFERROR(L1103*MAX(N1103,1)/R1103*Q1103*IF(ISBLANK(K1102),1,K1102),0)</f>
        <v/>
      </c>
      <c r="AB1103" s="7" t="inlineStr">
        <is>
          <t>^HeavyMissile, ^RailgunWeapon</t>
        </is>
      </c>
    </row>
    <row r="1104">
      <c r="B1104" s="7" t="inlineStr">
        <is>
          <t xml:space="preserve">  ↳ WaveforceCannonDistortedBeam1</t>
        </is>
      </c>
      <c r="C1104" s="7" t="inlineStr">
        <is>
          <t>Armament@Upgrade2</t>
        </is>
      </c>
      <c r="L1104" s="6" t="n">
        <v>10000</v>
      </c>
      <c r="M1104" s="6" t="n">
        <v>120</v>
      </c>
      <c r="N1104" s="6" t="n">
        <v>1</v>
      </c>
      <c r="O1104" s="6" t="n"/>
      <c r="P1104" s="6" t="n">
        <v>9343</v>
      </c>
      <c r="Q1104" s="6" t="n">
        <v>1.125</v>
      </c>
      <c r="R1104">
        <f>M1104+IF(N1104&gt;1,N(O1104)*(N1104-1),0)</f>
        <v/>
      </c>
      <c r="S1104">
        <f>IFERROR(L1104*MAX(N1104,1)/R1104*Q1104*IF(ISBLANK(K1102),1,K1102),0)</f>
        <v/>
      </c>
      <c r="AB1104" s="7" t="inlineStr">
        <is>
          <t>^TeslaWeapon, ^HeavyCannon</t>
        </is>
      </c>
    </row>
    <row r="1105">
      <c r="B1105" s="7" t="inlineStr">
        <is>
          <t xml:space="preserve">  ↳ WaveforceCannonDistortedBeam2</t>
        </is>
      </c>
      <c r="C1105" s="7" t="inlineStr">
        <is>
          <t>Armament@Upgrade3</t>
        </is>
      </c>
      <c r="L1105" s="6" t="n">
        <v>10000</v>
      </c>
      <c r="M1105" s="6" t="n">
        <v>120</v>
      </c>
      <c r="N1105" s="6" t="n">
        <v>1</v>
      </c>
      <c r="O1105" s="6" t="n"/>
      <c r="P1105" s="6" t="n">
        <v>9343</v>
      </c>
      <c r="Q1105" s="6" t="n">
        <v>1.25</v>
      </c>
      <c r="R1105">
        <f>M1105+IF(N1105&gt;1,N(O1105)*(N1105-1),0)</f>
        <v/>
      </c>
      <c r="S1105">
        <f>IFERROR(L1105*MAX(N1105,1)/R1105*Q1105*IF(ISBLANK(K1102),1,K1102),0)</f>
        <v/>
      </c>
      <c r="AB1105" s="7" t="inlineStr">
        <is>
          <t>^HeavyChemicalWeapon, ^HeavyFlameWeapon</t>
        </is>
      </c>
    </row>
    <row r="1106">
      <c r="A1106" t="inlineStr">
        <is>
          <t>starcraft</t>
        </is>
      </c>
      <c r="B1106" t="inlineStr">
        <is>
          <t>zerg_hermit</t>
        </is>
      </c>
      <c r="C1106" t="inlineStr">
        <is>
          <t>Hermit</t>
        </is>
      </c>
      <c r="D1106" s="6" t="inlineStr">
        <is>
          <t>EpicVehicle</t>
        </is>
      </c>
      <c r="E1106" s="6" t="n">
        <v>375000</v>
      </c>
      <c r="F1106" s="6" t="n">
        <v>50</v>
      </c>
      <c r="G1106" t="inlineStr">
        <is>
          <t>Superheavy</t>
        </is>
      </c>
      <c r="H1106" s="6" t="n">
        <v>0.75</v>
      </c>
      <c r="I1106" s="6" t="n">
        <v>0.4</v>
      </c>
      <c r="J1106" s="6" t="n">
        <v>1</v>
      </c>
      <c r="K1106" s="6" t="n">
        <v>0.4</v>
      </c>
      <c r="P1106">
        <f>MAX(P1107)</f>
        <v/>
      </c>
      <c r="S1106">
        <f>S1107</f>
        <v/>
      </c>
      <c r="T1106">
        <f>(E1106/100000+F1106/100+(P1106/1000)*J1106/5+S1106/200)*200*I1106*H1106</f>
        <v/>
      </c>
      <c r="U1106">
        <f>((E1106*F1106/25000)+((P1106/1000)*J1106*S1106/2.5))*I1106*H1106</f>
        <v/>
      </c>
      <c r="V1106">
        <f>(E1106*F1106*(P1106/1000)*J1106*S1106*I1106*H1106)/12500000</f>
        <v/>
      </c>
      <c r="W1106">
        <f>(T1106+U1106+V1106)/3</f>
        <v/>
      </c>
      <c r="X1106" s="6" t="n">
        <v>6000</v>
      </c>
      <c r="Y1106">
        <f>IFERROR(W1106-X1106,"")</f>
        <v/>
      </c>
      <c r="Z1106">
        <f>IFERROR(ABS(Y1106)/MAX(X1106,1),"")</f>
        <v/>
      </c>
      <c r="AA1106">
        <f>IFERROR((X1106-(((E1106/100000+F1106/100+S1106/200)*200*I1106*H1106)+((E1106*F1106/25000)*I1106*H1106))/3)/(((J1106/5)*200*I1106*H1106)+((J1106*S1106/2.5)*I1106*H1106)+((E1106*F1106*J1106*S1106*I1106*H1106)/12500000))/3*1000,"")</f>
        <v/>
      </c>
    </row>
    <row r="1107">
      <c r="B1107" s="7" t="inlineStr">
        <is>
          <t xml:space="preserve">  ↳ HermitShoot</t>
        </is>
      </c>
      <c r="C1107" s="7" t="inlineStr">
        <is>
          <t>Armament</t>
        </is>
      </c>
      <c r="L1107" s="6" t="n">
        <v>2000</v>
      </c>
      <c r="M1107" s="6" t="n">
        <v>30</v>
      </c>
      <c r="N1107" s="6" t="n">
        <v>5</v>
      </c>
      <c r="O1107" s="6" t="n">
        <v>0</v>
      </c>
      <c r="P1107" s="6" t="n">
        <v>7120</v>
      </c>
      <c r="Q1107" s="6" t="n">
        <v>1.041666666666667</v>
      </c>
      <c r="R1107">
        <f>M1107+IF(N1107&gt;1,N(O1107)*(N1107-1),0)</f>
        <v/>
      </c>
      <c r="S1107">
        <f>IFERROR(L1107*MAX(N1107,1)/R1107*Q1107*IF(ISBLANK(K1106),1,K1106),0)</f>
        <v/>
      </c>
      <c r="AB1107" s="7" t="inlineStr">
        <is>
          <t>^Grenade, ^ShrapnelWeapon, ^HeavyBomb, ^MediumMissile, ^Chaingun, ^FlakWeapon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108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Fighter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tiberiandawn</t>
        </is>
      </c>
      <c r="B3" t="inlineStr">
        <is>
          <t>gdirigdrone</t>
        </is>
      </c>
      <c r="C3" t="inlineStr">
        <is>
          <t>Scalpel</t>
        </is>
      </c>
      <c r="D3" s="6" t="inlineStr">
        <is>
          <t>Fighter</t>
        </is>
      </c>
      <c r="E3" s="6" t="n">
        <v>25000</v>
      </c>
      <c r="F3" s="6" t="n">
        <v>120</v>
      </c>
      <c r="G3" t="inlineStr">
        <is>
          <t>Fighter</t>
        </is>
      </c>
      <c r="H3" s="6" t="n">
        <v>1</v>
      </c>
      <c r="I3" s="6" t="n">
        <v>1</v>
      </c>
      <c r="J3" s="6" t="n">
        <v>1</v>
      </c>
      <c r="K3" s="6" t="n"/>
      <c r="P3">
        <f>MAX(P4,P5)</f>
        <v/>
      </c>
      <c r="S3">
        <f>S4+S5</f>
        <v/>
      </c>
      <c r="T3">
        <f>(E3/100000+F3/100+(P3/1000)*J3/5+S3/200)*200*I3*H3</f>
        <v/>
      </c>
      <c r="U3">
        <f>((E3*F3/25000)+((P3/1000)*J3*S3/2.5))*I3*H3</f>
        <v/>
      </c>
      <c r="V3">
        <f>(E3*F3*(P3/1000)*J3*S3*I3*H3)/12500000</f>
        <v/>
      </c>
      <c r="W3">
        <f>(T3+U3+V3)/3</f>
        <v/>
      </c>
      <c r="X3" s="6" t="n">
        <v>500</v>
      </c>
      <c r="Y3">
        <f>IFERROR(W3-X3,"")</f>
        <v/>
      </c>
      <c r="Z3">
        <f>IFERROR(ABS(Y3)/MAX(X3,1),"")</f>
        <v/>
      </c>
      <c r="AA3">
        <f>IFERROR((X3-(((E3/100000+F3/100+S3/200)*200*I3*H3)+((E3*F3/25000)*I3*H3))/3)/(((J3/5)*200*I3*H3)+((J3*S3/2.5)*I3*H3)+((E3*F3*J3*S3*I3*H3)/12500000))/3*1000,"")</f>
        <v/>
      </c>
    </row>
    <row r="4">
      <c r="B4" s="7" t="inlineStr">
        <is>
          <t xml:space="preserve">  ↳ GDIRigPDLaser</t>
        </is>
      </c>
      <c r="C4" s="7" t="inlineStr">
        <is>
          <t>Armament@pointdefense</t>
        </is>
      </c>
      <c r="L4" s="6" t="n">
        <v>2000</v>
      </c>
      <c r="M4" s="6" t="n">
        <v>25</v>
      </c>
      <c r="N4" s="6" t="n">
        <v>1</v>
      </c>
      <c r="O4" s="6" t="n"/>
      <c r="P4" s="6" t="n">
        <v>6000</v>
      </c>
      <c r="Q4" s="6" t="n">
        <v>1</v>
      </c>
      <c r="R4">
        <f>M4+IF(N4&gt;1,N(O4)*(N4-1),0)</f>
        <v/>
      </c>
      <c r="S4">
        <f>IFERROR(L4*MAX(N4,1)/R4*Q4*IF(ISBLANK(K3),1,K3),0)</f>
        <v/>
      </c>
      <c r="AB4" s="7" t="inlineStr">
        <is>
          <t>^LaserWeapon</t>
        </is>
      </c>
    </row>
    <row r="5">
      <c r="B5" s="7" t="inlineStr">
        <is>
          <t xml:space="preserve">  ↳ GDIRigDroneRepair</t>
        </is>
      </c>
      <c r="C5" s="7" t="inlineStr">
        <is>
          <t>Armament@PRIMARY</t>
        </is>
      </c>
      <c r="L5" s="6" t="n">
        <v>-1</v>
      </c>
      <c r="M5" s="6" t="n">
        <v>5</v>
      </c>
      <c r="N5" s="6" t="n">
        <v>1</v>
      </c>
      <c r="O5" s="6" t="n">
        <v>1</v>
      </c>
      <c r="P5" s="6" t="n">
        <v>6000</v>
      </c>
      <c r="Q5" s="6" t="n">
        <v>1.5</v>
      </c>
      <c r="R5">
        <f>M5+IF(N5&gt;1,N(O5)*(N5-1),0)</f>
        <v/>
      </c>
      <c r="S5">
        <f>IFERROR(L5*MAX(N5,1)/R5*Q5*IF(ISBLANK(K3),1,K3),0)</f>
        <v/>
      </c>
      <c r="AB5" s="7" t="inlineStr">
        <is>
          <t>^RepairWeapon</t>
        </is>
      </c>
    </row>
    <row r="6">
      <c r="A6" t="inlineStr">
        <is>
          <t>redalert</t>
        </is>
      </c>
      <c r="B6" t="inlineStr">
        <is>
          <t>japan_zerofighter</t>
        </is>
      </c>
      <c r="C6" t="inlineStr">
        <is>
          <t>Zero Fighter</t>
        </is>
      </c>
      <c r="D6" s="6" t="inlineStr">
        <is>
          <t>Fighter</t>
        </is>
      </c>
      <c r="E6" s="6" t="n">
        <v>30000</v>
      </c>
      <c r="F6" s="6" t="n">
        <v>175</v>
      </c>
      <c r="G6" t="inlineStr">
        <is>
          <t>Fighter</t>
        </is>
      </c>
      <c r="H6" s="6" t="n">
        <v>1</v>
      </c>
      <c r="I6" s="6" t="n">
        <v>1</v>
      </c>
      <c r="J6" s="6" t="n">
        <v>1</v>
      </c>
      <c r="K6" s="6" t="n">
        <v>0.5</v>
      </c>
      <c r="P6">
        <f>MAX(P7,P8,P9,P10)</f>
        <v/>
      </c>
      <c r="S6">
        <f>S7+S8+S9+S10</f>
        <v/>
      </c>
      <c r="T6">
        <f>(E6/100000+F6/100+(P6/1000)*J6/5+S6/200)*200*I6*H6</f>
        <v/>
      </c>
      <c r="U6">
        <f>((E6*F6/25000)+((P6/1000)*J6*S6/2.5))*I6*H6</f>
        <v/>
      </c>
      <c r="V6">
        <f>(E6*F6*(P6/1000)*J6*S6*I6*H6)/12500000</f>
        <v/>
      </c>
      <c r="W6">
        <f>(T6+U6+V6)/3</f>
        <v/>
      </c>
      <c r="X6" s="6" t="n">
        <v>1200</v>
      </c>
      <c r="Y6">
        <f>IFERROR(W6-X6,"")</f>
        <v/>
      </c>
      <c r="Z6">
        <f>IFERROR(ABS(Y6)/MAX(X6,1),"")</f>
        <v/>
      </c>
      <c r="AA6">
        <f>IFERROR((X6-(((E6/100000+F6/100+S6/200)*200*I6*H6)+((E6*F6/25000)*I6*H6))/3)/(((J6/5)*200*I6*H6)+((J6*S6/2.5)*I6*H6)+((E6*F6*J6*S6*I6*H6)/12500000))/3*1000,"")</f>
        <v/>
      </c>
    </row>
    <row r="7">
      <c r="B7" s="7" t="inlineStr">
        <is>
          <t xml:space="preserve">  ↳ ZeroFighterArrows</t>
        </is>
      </c>
      <c r="C7" s="7" t="inlineStr">
        <is>
          <t>Armament@Missiles</t>
        </is>
      </c>
      <c r="L7" s="6" t="n">
        <v>18000</v>
      </c>
      <c r="M7" s="6" t="n">
        <v>110</v>
      </c>
      <c r="N7" s="6" t="n">
        <v>2</v>
      </c>
      <c r="O7" s="6" t="n">
        <v>9</v>
      </c>
      <c r="P7" s="6" t="n">
        <v>6615</v>
      </c>
      <c r="Q7" s="6" t="n">
        <v>1</v>
      </c>
      <c r="R7">
        <f>M7+IF(N7&gt;1,N(O7)*(N7-1),0)</f>
        <v/>
      </c>
      <c r="S7">
        <f>IFERROR(L7*MAX(N7,1)/R7*Q7*IF(ISBLANK(K6),1,K6),0)</f>
        <v/>
      </c>
      <c r="AB7" s="7" t="inlineStr">
        <is>
          <t>^MediumMissile, ^ArrowWeapon</t>
        </is>
      </c>
    </row>
    <row r="8">
      <c r="B8" s="7" t="inlineStr">
        <is>
          <t xml:space="preserve">  ↳ ZeroFighterArrowsEnergized</t>
        </is>
      </c>
      <c r="C8" s="7" t="inlineStr">
        <is>
          <t>Armament@MissilesUpgrade</t>
        </is>
      </c>
      <c r="L8" s="6" t="n">
        <v>8000</v>
      </c>
      <c r="M8" s="6" t="n">
        <v>110</v>
      </c>
      <c r="N8" s="6" t="n">
        <v>2</v>
      </c>
      <c r="O8" s="6" t="n">
        <v>9</v>
      </c>
      <c r="P8" s="6" t="n">
        <v>6615</v>
      </c>
      <c r="Q8" s="6" t="n">
        <v>1</v>
      </c>
      <c r="R8">
        <f>M8+IF(N8&gt;1,N(O8)*(N8-1),0)</f>
        <v/>
      </c>
      <c r="S8">
        <f>IFERROR(L8*MAX(N8,1)/R8*Q8*IF(ISBLANK(K6),1,K6),0)</f>
        <v/>
      </c>
      <c r="AB8" s="7" t="inlineStr">
        <is>
          <t>^MediumFlameWeapon, ^TeslaWeapon, ^MediumMissile, ^ArrowWeapon</t>
        </is>
      </c>
    </row>
    <row r="9">
      <c r="B9" s="7" t="inlineStr">
        <is>
          <t xml:space="preserve">  ↳ ZeroFighterChainGun</t>
        </is>
      </c>
      <c r="C9" s="7" t="inlineStr">
        <is>
          <t>Armament@PRIMARY</t>
        </is>
      </c>
      <c r="L9" s="6" t="n">
        <v>6000</v>
      </c>
      <c r="M9" s="6" t="n">
        <v>92</v>
      </c>
      <c r="N9" s="6" t="n">
        <v>12</v>
      </c>
      <c r="O9" s="6" t="n">
        <v>4</v>
      </c>
      <c r="P9" s="6" t="n">
        <v>6615</v>
      </c>
      <c r="Q9" s="6" t="n">
        <v>1</v>
      </c>
      <c r="R9">
        <f>M9+IF(N9&gt;1,N(O9)*(N9-1),0)</f>
        <v/>
      </c>
      <c r="S9">
        <f>IFERROR(L9*MAX(N9,1)/R9*Q9*IF(ISBLANK(K6),1,K6),0)</f>
        <v/>
      </c>
      <c r="AB9" s="7" t="inlineStr">
        <is>
          <t>^Chaingun</t>
        </is>
      </c>
    </row>
    <row r="10">
      <c r="B10" s="7" t="inlineStr">
        <is>
          <t xml:space="preserve">  ↳ ZeroFighterChainGunWaveforce</t>
        </is>
      </c>
      <c r="C10" s="7" t="inlineStr">
        <is>
          <t>Armament@Upgrade</t>
        </is>
      </c>
      <c r="L10" s="6" t="n">
        <v>4000</v>
      </c>
      <c r="M10" s="6" t="n">
        <v>92</v>
      </c>
      <c r="N10" s="6" t="n">
        <v>12</v>
      </c>
      <c r="O10" s="6" t="n">
        <v>4</v>
      </c>
      <c r="P10" s="6" t="n">
        <v>6615</v>
      </c>
      <c r="Q10" s="6" t="n">
        <v>1</v>
      </c>
      <c r="R10">
        <f>M10+IF(N10&gt;1,N(O10)*(N10-1),0)</f>
        <v/>
      </c>
      <c r="S10">
        <f>IFERROR(L10*MAX(N10,1)/R10*Q10*IF(ISBLANK(K6),1,K6),0)</f>
        <v/>
      </c>
      <c r="AB10" s="7" t="inlineStr">
        <is>
          <t>^WaveforceBulletWarhead, ^Grenade, ^Chaingun, ^WaveforceBulletProjectile</t>
        </is>
      </c>
    </row>
    <row r="11">
      <c r="A11" t="inlineStr">
        <is>
          <t>redalert</t>
        </is>
      </c>
      <c r="B11" t="inlineStr">
        <is>
          <t>ra1_soviets_armoredyak</t>
        </is>
      </c>
      <c r="C11" t="inlineStr">
        <is>
          <t>Armored Yak</t>
        </is>
      </c>
      <c r="D11" s="6" t="inlineStr">
        <is>
          <t>Fighter</t>
        </is>
      </c>
      <c r="E11" s="6" t="n">
        <v>80000</v>
      </c>
      <c r="F11" s="6" t="n">
        <v>135</v>
      </c>
      <c r="G11" t="inlineStr">
        <is>
          <t>Fighter</t>
        </is>
      </c>
      <c r="H11" s="6" t="n">
        <v>1</v>
      </c>
      <c r="I11" s="6" t="n">
        <v>1</v>
      </c>
      <c r="J11" s="6" t="n">
        <v>1</v>
      </c>
      <c r="K11" s="6" t="n"/>
      <c r="P11">
        <f>MAX(P12,P13,P14,P15)</f>
        <v/>
      </c>
      <c r="S11">
        <f>S12+S13+S14+S15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(T11+U11+V11)/3</f>
        <v/>
      </c>
      <c r="X11" s="6" t="n">
        <v>1600</v>
      </c>
      <c r="Y11">
        <f>IFERROR(W11-X11,"")</f>
        <v/>
      </c>
      <c r="Z11">
        <f>IFERROR(ABS(Y11)/MAX(X11,1),"")</f>
        <v/>
      </c>
      <c r="AA11">
        <f>IFERROR((X11-(((E11/100000+F11/100+S11/200)*200*I11*H11)+((E11*F11/25000)*I11*H11))/3)/(((J11/5)*200*I11*H11)+((J11*S11/2.5)*I11*H11)+((E11*F11*J11*S11*I11*H11)/12500000))/3*1000,"")</f>
        <v/>
      </c>
    </row>
    <row r="12">
      <c r="B12" s="7" t="inlineStr">
        <is>
          <t xml:space="preserve">  ↳ ArmoredYakChainGun</t>
        </is>
      </c>
      <c r="C12" s="7" t="inlineStr">
        <is>
          <t>Armament@PRIMARY</t>
        </is>
      </c>
      <c r="L12" s="6" t="n">
        <v>4000</v>
      </c>
      <c r="M12" s="6" t="n">
        <v>148</v>
      </c>
      <c r="N12" s="6" t="n">
        <v>10</v>
      </c>
      <c r="O12" s="6" t="n">
        <v>3</v>
      </c>
      <c r="P12" s="6" t="n">
        <v>6460</v>
      </c>
      <c r="Q12" s="6" t="n">
        <v>1</v>
      </c>
      <c r="R12">
        <f>M12+IF(N12&gt;1,N(O12)*(N12-1),0)</f>
        <v/>
      </c>
      <c r="S12">
        <f>IFERROR(L12*MAX(N12,1)/R12*Q12*IF(ISBLANK(K11),1,K11),0)</f>
        <v/>
      </c>
      <c r="AB12" s="7" t="inlineStr">
        <is>
          <t>^Chaingun</t>
        </is>
      </c>
    </row>
    <row r="13">
      <c r="B13" s="7" t="inlineStr">
        <is>
          <t xml:space="preserve">  ↳ ArmoredYakChainGun</t>
        </is>
      </c>
      <c r="C13" s="7" t="inlineStr">
        <is>
          <t>Armament@SECONDARY</t>
        </is>
      </c>
      <c r="L13" s="6" t="n">
        <v>4000</v>
      </c>
      <c r="M13" s="6" t="n">
        <v>148</v>
      </c>
      <c r="N13" s="6" t="n">
        <v>10</v>
      </c>
      <c r="O13" s="6" t="n">
        <v>3</v>
      </c>
      <c r="P13" s="6" t="n">
        <v>6460</v>
      </c>
      <c r="Q13" s="6" t="n">
        <v>1</v>
      </c>
      <c r="R13">
        <f>M13+IF(N13&gt;1,N(O13)*(N13-1),0)</f>
        <v/>
      </c>
      <c r="S13">
        <f>IFERROR(L13*MAX(N13,1)/R13*Q13*IF(ISBLANK(K11),1,K11),0)</f>
        <v/>
      </c>
      <c r="AB13" s="7" t="inlineStr">
        <is>
          <t>^Chaingun</t>
        </is>
      </c>
    </row>
    <row r="14">
      <c r="B14" s="7" t="inlineStr">
        <is>
          <t xml:space="preserve">  ↳ IncendiaryArmoredYakChainGun</t>
        </is>
      </c>
      <c r="C14" s="7" t="inlineStr">
        <is>
          <t>Armament@Upgrade1</t>
        </is>
      </c>
      <c r="L14" s="6" t="n">
        <v>4000</v>
      </c>
      <c r="M14" s="6" t="n">
        <v>148</v>
      </c>
      <c r="N14" s="6" t="n">
        <v>10</v>
      </c>
      <c r="O14" s="6" t="n">
        <v>3</v>
      </c>
      <c r="P14" s="6" t="n">
        <v>6460</v>
      </c>
      <c r="Q14" s="6" t="n">
        <v>0.875</v>
      </c>
      <c r="R14">
        <f>M14+IF(N14&gt;1,N(O14)*(N14-1),0)</f>
        <v/>
      </c>
      <c r="S14">
        <f>IFERROR(L14*MAX(N14,1)/R14*Q14*IF(ISBLANK(K11),1,K11),0)</f>
        <v/>
      </c>
      <c r="AB14" s="7" t="inlineStr">
        <is>
          <t>^Chaingun, ^LightFlameWeapon, ^IncendiaryBulletProjectile</t>
        </is>
      </c>
    </row>
    <row r="15">
      <c r="B15" s="7" t="inlineStr">
        <is>
          <t xml:space="preserve">  ↳ IncendiaryArmoredYakChainGun</t>
        </is>
      </c>
      <c r="C15" s="7" t="inlineStr">
        <is>
          <t>Armament@Upgrade2</t>
        </is>
      </c>
      <c r="L15" s="6" t="n">
        <v>4000</v>
      </c>
      <c r="M15" s="6" t="n">
        <v>148</v>
      </c>
      <c r="N15" s="6" t="n">
        <v>10</v>
      </c>
      <c r="O15" s="6" t="n">
        <v>3</v>
      </c>
      <c r="P15" s="6" t="n">
        <v>6460</v>
      </c>
      <c r="Q15" s="6" t="n">
        <v>0.875</v>
      </c>
      <c r="R15">
        <f>M15+IF(N15&gt;1,N(O15)*(N15-1),0)</f>
        <v/>
      </c>
      <c r="S15">
        <f>IFERROR(L15*MAX(N15,1)/R15*Q15*IF(ISBLANK(K11),1,K11),0)</f>
        <v/>
      </c>
      <c r="AB15" s="7" t="inlineStr">
        <is>
          <t>^Chaingun, ^LightFlameWeapon, ^IncendiaryBulletProjectile</t>
        </is>
      </c>
    </row>
    <row r="16">
      <c r="A16" t="inlineStr">
        <is>
          <t>redalert</t>
        </is>
      </c>
      <c r="B16" t="inlineStr">
        <is>
          <t>ra1_soviets_nuclearyak</t>
        </is>
      </c>
      <c r="C16" t="inlineStr">
        <is>
          <t>Nuclear Yak</t>
        </is>
      </c>
      <c r="D16" s="6" t="inlineStr">
        <is>
          <t>Fighter</t>
        </is>
      </c>
      <c r="E16" s="6" t="n">
        <v>64000</v>
      </c>
      <c r="F16" s="6" t="n">
        <v>190</v>
      </c>
      <c r="G16" t="inlineStr">
        <is>
          <t>Fighter</t>
        </is>
      </c>
      <c r="H16" s="6" t="n">
        <v>1</v>
      </c>
      <c r="I16" s="6" t="n">
        <v>1</v>
      </c>
      <c r="J16" s="6" t="n">
        <v>1</v>
      </c>
      <c r="K16" s="6" t="n">
        <v>0.5</v>
      </c>
      <c r="P16">
        <f>MAX(P17,P18,P19,P20,P21)</f>
        <v/>
      </c>
      <c r="S16">
        <f>S17+S18+S19+S20+S21</f>
        <v/>
      </c>
      <c r="T16">
        <f>(E16/100000+F16/100+(P16/1000)*J16/5+S16/200)*200*I16*H16</f>
        <v/>
      </c>
      <c r="U16">
        <f>((E16*F16/25000)+((P16/1000)*J16*S16/2.5))*I16*H16</f>
        <v/>
      </c>
      <c r="V16">
        <f>(E16*F16*(P16/1000)*J16*S16*I16*H16)/12500000</f>
        <v/>
      </c>
      <c r="W16">
        <f>(T16+U16+V16)/3</f>
        <v/>
      </c>
      <c r="X16" s="6" t="n">
        <v>2000</v>
      </c>
      <c r="Y16">
        <f>IFERROR(W16-X16,"")</f>
        <v/>
      </c>
      <c r="Z16">
        <f>IFERROR(ABS(Y16)/MAX(X16,1),"")</f>
        <v/>
      </c>
      <c r="AA16">
        <f>IFERROR((X16-(((E16/100000+F16/100+S16/200)*200*I16*H16)+((E16*F16/25000)*I16*H16))/3)/(((J16/5)*200*I16*H16)+((J16*S16/2.5)*I16*H16)+((E16*F16*J16*S16*I16*H16)/12500000))/3*1000,"")</f>
        <v/>
      </c>
    </row>
    <row r="17">
      <c r="B17" s="7" t="inlineStr">
        <is>
          <t xml:space="preserve">  ↳ YakNuclearBomb</t>
        </is>
      </c>
      <c r="C17" s="7" t="inlineStr">
        <is>
          <t>Armament@BOMBS</t>
        </is>
      </c>
      <c r="L17" s="6" t="n">
        <v>50000</v>
      </c>
      <c r="M17" s="6" t="n">
        <v>125</v>
      </c>
      <c r="N17" s="6" t="n">
        <v>1</v>
      </c>
      <c r="O17" s="6" t="n"/>
      <c r="P17" s="6" t="n">
        <v>1250</v>
      </c>
      <c r="Q17" s="6" t="n">
        <v>2.1875</v>
      </c>
      <c r="R17">
        <f>M17+IF(N17&gt;1,N(O17)*(N17-1),0)</f>
        <v/>
      </c>
      <c r="S17">
        <f>IFERROR(L17*MAX(N17,1)/R17*Q17*IF(ISBLANK(K16),1,K16),0)</f>
        <v/>
      </c>
      <c r="AB17" s="7" t="inlineStr">
        <is>
          <t>^HeavyBomb, ^HeavyChemicalWeapon, ^HeavyFlameWeapon, ^NuclearWarhead</t>
        </is>
      </c>
    </row>
    <row r="18">
      <c r="B18" s="7" t="inlineStr">
        <is>
          <t xml:space="preserve">  ↳ YakChainGun</t>
        </is>
      </c>
      <c r="C18" s="7" t="inlineStr">
        <is>
          <t>Armament@PRIMARY</t>
        </is>
      </c>
      <c r="L18" s="6" t="n">
        <v>4000</v>
      </c>
      <c r="M18" s="6" t="n">
        <v>100</v>
      </c>
      <c r="N18" s="6" t="n">
        <v>8</v>
      </c>
      <c r="O18" s="6" t="n">
        <v>3</v>
      </c>
      <c r="P18" s="6" t="n">
        <v>7000</v>
      </c>
      <c r="Q18" s="6" t="n">
        <v>1</v>
      </c>
      <c r="R18">
        <f>M18+IF(N18&gt;1,N(O18)*(N18-1),0)</f>
        <v/>
      </c>
      <c r="S18">
        <f>IFERROR(L18*MAX(N18,1)/R18*Q18*IF(ISBLANK(K16),1,K16),0)</f>
        <v/>
      </c>
      <c r="AB18" s="7" t="inlineStr">
        <is>
          <t>^Chaingun</t>
        </is>
      </c>
    </row>
    <row r="19">
      <c r="B19" s="7" t="inlineStr">
        <is>
          <t xml:space="preserve">  ↳ YakChainGun</t>
        </is>
      </c>
      <c r="C19" s="7" t="inlineStr">
        <is>
          <t>Armament@SECONDARY</t>
        </is>
      </c>
      <c r="L19" s="6" t="n">
        <v>4000</v>
      </c>
      <c r="M19" s="6" t="n">
        <v>100</v>
      </c>
      <c r="N19" s="6" t="n">
        <v>8</v>
      </c>
      <c r="O19" s="6" t="n">
        <v>3</v>
      </c>
      <c r="P19" s="6" t="n">
        <v>7000</v>
      </c>
      <c r="Q19" s="6" t="n">
        <v>1</v>
      </c>
      <c r="R19">
        <f>M19+IF(N19&gt;1,N(O19)*(N19-1),0)</f>
        <v/>
      </c>
      <c r="S19">
        <f>IFERROR(L19*MAX(N19,1)/R19*Q19*IF(ISBLANK(K16),1,K16),0)</f>
        <v/>
      </c>
      <c r="AB19" s="7" t="inlineStr">
        <is>
          <t>^Chaingun</t>
        </is>
      </c>
    </row>
    <row r="20">
      <c r="B20" s="7" t="inlineStr">
        <is>
          <t xml:space="preserve">  ↳ IncendiaryYakChainGun</t>
        </is>
      </c>
      <c r="C20" s="7" t="inlineStr">
        <is>
          <t>Armament@Upgrade1</t>
        </is>
      </c>
      <c r="L20" s="6" t="n">
        <v>4000</v>
      </c>
      <c r="M20" s="6" t="n">
        <v>100</v>
      </c>
      <c r="N20" s="6" t="n">
        <v>8</v>
      </c>
      <c r="O20" s="6" t="n">
        <v>3</v>
      </c>
      <c r="P20" s="6" t="n">
        <v>7000</v>
      </c>
      <c r="Q20" s="6" t="n">
        <v>0.875</v>
      </c>
      <c r="R20">
        <f>M20+IF(N20&gt;1,N(O20)*(N20-1),0)</f>
        <v/>
      </c>
      <c r="S20">
        <f>IFERROR(L20*MAX(N20,1)/R20*Q20*IF(ISBLANK(K16),1,K16),0)</f>
        <v/>
      </c>
      <c r="AB20" s="7" t="inlineStr">
        <is>
          <t>^Chaingun, ^LightFlameWeapon, ^IncendiaryBulletProjectile</t>
        </is>
      </c>
    </row>
    <row r="21">
      <c r="B21" s="7" t="inlineStr">
        <is>
          <t xml:space="preserve">  ↳ IncendiaryYakChainGun</t>
        </is>
      </c>
      <c r="C21" s="7" t="inlineStr">
        <is>
          <t>Armament@Upgrade2</t>
        </is>
      </c>
      <c r="L21" s="6" t="n">
        <v>4000</v>
      </c>
      <c r="M21" s="6" t="n">
        <v>100</v>
      </c>
      <c r="N21" s="6" t="n">
        <v>8</v>
      </c>
      <c r="O21" s="6" t="n">
        <v>3</v>
      </c>
      <c r="P21" s="6" t="n">
        <v>7000</v>
      </c>
      <c r="Q21" s="6" t="n">
        <v>0.875</v>
      </c>
      <c r="R21">
        <f>M21+IF(N21&gt;1,N(O21)*(N21-1),0)</f>
        <v/>
      </c>
      <c r="S21">
        <f>IFERROR(L21*MAX(N21,1)/R21*Q21*IF(ISBLANK(K16),1,K16),0)</f>
        <v/>
      </c>
      <c r="AB21" s="7" t="inlineStr">
        <is>
          <t>^Chaingun, ^LightFlameWeapon, ^IncendiaryBulletProjectile</t>
        </is>
      </c>
    </row>
    <row r="22">
      <c r="A22" t="inlineStr">
        <is>
          <t>redalert</t>
        </is>
      </c>
      <c r="B22" t="inlineStr">
        <is>
          <t>ra1_soviets_teslayak</t>
        </is>
      </c>
      <c r="C22" t="inlineStr">
        <is>
          <t>Tesla Yak</t>
        </is>
      </c>
      <c r="D22" s="6" t="inlineStr">
        <is>
          <t>Fighter</t>
        </is>
      </c>
      <c r="E22" s="6" t="n">
        <v>64000</v>
      </c>
      <c r="F22" s="6" t="n">
        <v>190</v>
      </c>
      <c r="G22" t="inlineStr">
        <is>
          <t>Fighter</t>
        </is>
      </c>
      <c r="H22" s="6" t="n">
        <v>1</v>
      </c>
      <c r="I22" s="6" t="n">
        <v>1</v>
      </c>
      <c r="J22" s="6" t="n">
        <v>1</v>
      </c>
      <c r="K22" s="6" t="n">
        <v>0.25</v>
      </c>
      <c r="P22">
        <f>MAX(P23,P24,P25,P26,P27,P28,P29)</f>
        <v/>
      </c>
      <c r="S22">
        <f>S23+S24+S25+S26+S27+S28+S29</f>
        <v/>
      </c>
      <c r="T22">
        <f>(E22/100000+F22/100+(P22/1000)*J22/5+S22/200)*200*I22*H22</f>
        <v/>
      </c>
      <c r="U22">
        <f>((E22*F22/25000)+((P22/1000)*J22*S22/2.5))*I22*H22</f>
        <v/>
      </c>
      <c r="V22">
        <f>(E22*F22*(P22/1000)*J22*S22*I22*H22)/12500000</f>
        <v/>
      </c>
      <c r="W22">
        <f>(T22+U22+V22)/3</f>
        <v/>
      </c>
      <c r="X22" s="6" t="n">
        <v>2000</v>
      </c>
      <c r="Y22">
        <f>IFERROR(W22-X22,"")</f>
        <v/>
      </c>
      <c r="Z22">
        <f>IFERROR(ABS(Y22)/MAX(X22,1),"")</f>
        <v/>
      </c>
      <c r="AA22">
        <f>IFERROR((X22-(((E22/100000+F22/100+S22/200)*200*I22*H22)+((E22*F22/25000)*I22*H22))/3)/(((J22/5)*200*I22*H22)+((J22*S22/2.5)*I22*H22)+((E22*F22*J22*S22*I22*H22)/12500000))/3*1000,"")</f>
        <v/>
      </c>
    </row>
    <row r="23">
      <c r="B23" s="7" t="inlineStr">
        <is>
          <t xml:space="preserve">  ↳ YakTeslaBomb</t>
        </is>
      </c>
      <c r="C23" s="7" t="inlineStr">
        <is>
          <t>Armament@BOMBS</t>
        </is>
      </c>
      <c r="L23" s="6" t="n">
        <v>40000</v>
      </c>
      <c r="M23" s="6" t="n">
        <v>125</v>
      </c>
      <c r="N23" s="6" t="n">
        <v>1</v>
      </c>
      <c r="O23" s="6" t="n"/>
      <c r="P23" s="6" t="n">
        <v>1250</v>
      </c>
      <c r="Q23" s="6" t="n">
        <v>1.1875</v>
      </c>
      <c r="R23">
        <f>M23+IF(N23&gt;1,N(O23)*(N23-1),0)</f>
        <v/>
      </c>
      <c r="S23">
        <f>IFERROR(L23*MAX(N23,1)/R23*Q23*IF(ISBLANK(K22),1,K22),0)</f>
        <v/>
      </c>
      <c r="AB23" s="7" t="inlineStr">
        <is>
          <t>^TeslaWeapon, ^HeavyBomb, ^HeavyChemicalWeapon, ^HeavyFlameWeapon</t>
        </is>
      </c>
    </row>
    <row r="24">
      <c r="B24" s="7" t="inlineStr">
        <is>
          <t xml:space="preserve">  ↳ YakTeslaGun</t>
        </is>
      </c>
      <c r="C24" s="7" t="inlineStr">
        <is>
          <t>Armament@Tesla</t>
        </is>
      </c>
      <c r="L24" s="6" t="n">
        <v>8000</v>
      </c>
      <c r="M24" s="6" t="n">
        <v>100</v>
      </c>
      <c r="N24" s="6" t="n">
        <v>8</v>
      </c>
      <c r="O24" s="6" t="n">
        <v>3</v>
      </c>
      <c r="P24" s="6" t="n">
        <v>7000</v>
      </c>
      <c r="Q24" s="6" t="n">
        <v>0.875</v>
      </c>
      <c r="R24">
        <f>M24+IF(N24&gt;1,N(O24)*(N24-1),0)</f>
        <v/>
      </c>
      <c r="S24">
        <f>IFERROR(L24*MAX(N24,1)/R24*Q24*IF(ISBLANK(K22),1,K22),0)</f>
        <v/>
      </c>
      <c r="AB24" s="7" t="inlineStr">
        <is>
          <t>^LightMissile, ^TeslaWeapon</t>
        </is>
      </c>
    </row>
    <row r="25">
      <c r="B25" s="7" t="inlineStr">
        <is>
          <t xml:space="preserve">  ↳ YakTeslaGunArc</t>
        </is>
      </c>
      <c r="C25" s="7" t="inlineStr">
        <is>
          <t>Armament@Arcing</t>
        </is>
      </c>
      <c r="L25" s="6" t="n">
        <v>8000</v>
      </c>
      <c r="M25" s="6" t="n">
        <v>100</v>
      </c>
      <c r="N25" s="6" t="n">
        <v>8</v>
      </c>
      <c r="O25" s="6" t="n">
        <v>3</v>
      </c>
      <c r="P25" s="6" t="n">
        <v>7000</v>
      </c>
      <c r="Q25" s="6" t="n">
        <v>0.875</v>
      </c>
      <c r="R25">
        <f>M25+IF(N25&gt;1,N(O25)*(N25-1),0)</f>
        <v/>
      </c>
      <c r="S25">
        <f>IFERROR(L25*MAX(N25,1)/R25*Q25*IF(ISBLANK(K22),1,K22),0)</f>
        <v/>
      </c>
      <c r="AB25" s="7" t="inlineStr">
        <is>
          <t>^LightMissile, ^TeslaWeapon</t>
        </is>
      </c>
    </row>
    <row r="26">
      <c r="B26" s="7" t="inlineStr">
        <is>
          <t xml:space="preserve">  ↳ YakChainGun</t>
        </is>
      </c>
      <c r="C26" s="7" t="inlineStr">
        <is>
          <t>Armament@PRIMARY</t>
        </is>
      </c>
      <c r="L26" s="6" t="n">
        <v>4000</v>
      </c>
      <c r="M26" s="6" t="n">
        <v>100</v>
      </c>
      <c r="N26" s="6" t="n">
        <v>8</v>
      </c>
      <c r="O26" s="6" t="n">
        <v>3</v>
      </c>
      <c r="P26" s="6" t="n">
        <v>7000</v>
      </c>
      <c r="Q26" s="6" t="n">
        <v>1</v>
      </c>
      <c r="R26">
        <f>M26+IF(N26&gt;1,N(O26)*(N26-1),0)</f>
        <v/>
      </c>
      <c r="S26">
        <f>IFERROR(L26*MAX(N26,1)/R26*Q26*IF(ISBLANK(K22),1,K22),0)</f>
        <v/>
      </c>
      <c r="AB26" s="7" t="inlineStr">
        <is>
          <t>^Chaingun</t>
        </is>
      </c>
    </row>
    <row r="27">
      <c r="B27" s="7" t="inlineStr">
        <is>
          <t xml:space="preserve">  ↳ YakChainGun</t>
        </is>
      </c>
      <c r="C27" s="7" t="inlineStr">
        <is>
          <t>Armament@SECONDARY</t>
        </is>
      </c>
      <c r="L27" s="6" t="n">
        <v>4000</v>
      </c>
      <c r="M27" s="6" t="n">
        <v>100</v>
      </c>
      <c r="N27" s="6" t="n">
        <v>8</v>
      </c>
      <c r="O27" s="6" t="n">
        <v>3</v>
      </c>
      <c r="P27" s="6" t="n">
        <v>7000</v>
      </c>
      <c r="Q27" s="6" t="n">
        <v>1</v>
      </c>
      <c r="R27">
        <f>M27+IF(N27&gt;1,N(O27)*(N27-1),0)</f>
        <v/>
      </c>
      <c r="S27">
        <f>IFERROR(L27*MAX(N27,1)/R27*Q27*IF(ISBLANK(K22),1,K22),0)</f>
        <v/>
      </c>
      <c r="AB27" s="7" t="inlineStr">
        <is>
          <t>^Chaingun</t>
        </is>
      </c>
    </row>
    <row r="28">
      <c r="B28" s="7" t="inlineStr">
        <is>
          <t xml:space="preserve">  ↳ IncendiaryYakChainGun</t>
        </is>
      </c>
      <c r="C28" s="7" t="inlineStr">
        <is>
          <t>Armament@Upgrade1</t>
        </is>
      </c>
      <c r="L28" s="6" t="n">
        <v>4000</v>
      </c>
      <c r="M28" s="6" t="n">
        <v>100</v>
      </c>
      <c r="N28" s="6" t="n">
        <v>8</v>
      </c>
      <c r="O28" s="6" t="n">
        <v>3</v>
      </c>
      <c r="P28" s="6" t="n">
        <v>7000</v>
      </c>
      <c r="Q28" s="6" t="n">
        <v>0.875</v>
      </c>
      <c r="R28">
        <f>M28+IF(N28&gt;1,N(O28)*(N28-1),0)</f>
        <v/>
      </c>
      <c r="S28">
        <f>IFERROR(L28*MAX(N28,1)/R28*Q28*IF(ISBLANK(K22),1,K22),0)</f>
        <v/>
      </c>
      <c r="AB28" s="7" t="inlineStr">
        <is>
          <t>^Chaingun, ^LightFlameWeapon, ^IncendiaryBulletProjectile</t>
        </is>
      </c>
    </row>
    <row r="29">
      <c r="B29" s="7" t="inlineStr">
        <is>
          <t xml:space="preserve">  ↳ IncendiaryYakChainGun</t>
        </is>
      </c>
      <c r="C29" s="7" t="inlineStr">
        <is>
          <t>Armament@Upgrade2</t>
        </is>
      </c>
      <c r="L29" s="6" t="n">
        <v>4000</v>
      </c>
      <c r="M29" s="6" t="n">
        <v>100</v>
      </c>
      <c r="N29" s="6" t="n">
        <v>8</v>
      </c>
      <c r="O29" s="6" t="n">
        <v>3</v>
      </c>
      <c r="P29" s="6" t="n">
        <v>7000</v>
      </c>
      <c r="Q29" s="6" t="n">
        <v>0.875</v>
      </c>
      <c r="R29">
        <f>M29+IF(N29&gt;1,N(O29)*(N29-1),0)</f>
        <v/>
      </c>
      <c r="S29">
        <f>IFERROR(L29*MAX(N29,1)/R29*Q29*IF(ISBLANK(K22),1,K22),0)</f>
        <v/>
      </c>
      <c r="AB29" s="7" t="inlineStr">
        <is>
          <t>^Chaingun, ^LightFlameWeapon, ^IncendiaryBulletProjectile</t>
        </is>
      </c>
    </row>
    <row r="30">
      <c r="A30" t="inlineStr">
        <is>
          <t>redalert</t>
        </is>
      </c>
      <c r="B30" t="inlineStr">
        <is>
          <t>ra1_soviets_yakscoutplane</t>
        </is>
      </c>
      <c r="C30" t="inlineStr">
        <is>
          <t>Yak Scout Plane</t>
        </is>
      </c>
      <c r="D30" s="6" t="inlineStr">
        <is>
          <t>Fighter</t>
        </is>
      </c>
      <c r="E30" s="6" t="n">
        <v>32000</v>
      </c>
      <c r="F30" s="6" t="n">
        <v>170</v>
      </c>
      <c r="G30" t="inlineStr">
        <is>
          <t>Fighter</t>
        </is>
      </c>
      <c r="H30" s="6" t="n">
        <v>1</v>
      </c>
      <c r="I30" s="6" t="n">
        <v>1</v>
      </c>
      <c r="J30" s="6" t="n">
        <v>1</v>
      </c>
      <c r="K30" s="6" t="n">
        <v>0.25</v>
      </c>
      <c r="P30">
        <f>MAX(P31,P32,P33,P34,P35)</f>
        <v/>
      </c>
      <c r="S30">
        <f>S31+S32+S33+S34+S35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800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YakNapalm</t>
        </is>
      </c>
      <c r="C31" s="7" t="inlineStr">
        <is>
          <t>Armament@BOMBS</t>
        </is>
      </c>
      <c r="L31" s="6" t="n">
        <v>10000</v>
      </c>
      <c r="M31" s="6" t="n">
        <v>110</v>
      </c>
      <c r="N31" s="6" t="n">
        <v>4</v>
      </c>
      <c r="O31" s="6" t="n">
        <v>3</v>
      </c>
      <c r="P31" s="6" t="n">
        <v>1840</v>
      </c>
      <c r="Q31" s="6" t="n">
        <v>1.125</v>
      </c>
      <c r="R31">
        <f>M31+IF(N31&gt;1,N(O31)*(N31-1),0)</f>
        <v/>
      </c>
      <c r="S31">
        <f>IFERROR(L31*MAX(N31,1)/R31*Q31*IF(ISBLANK(K30),1,K30),0)</f>
        <v/>
      </c>
      <c r="AB31" s="7" t="inlineStr">
        <is>
          <t>^ShrapnelWeapon, ^HeavyBomb, ^MediumFlameWeapon, ^HeavyFlameWeapon</t>
        </is>
      </c>
    </row>
    <row r="32">
      <c r="B32" s="7" t="inlineStr">
        <is>
          <t xml:space="preserve">  ↳ YakChainGun</t>
        </is>
      </c>
      <c r="C32" s="7" t="inlineStr">
        <is>
          <t>Armament@PRIMARY</t>
        </is>
      </c>
      <c r="L32" s="6" t="n">
        <v>4000</v>
      </c>
      <c r="M32" s="6" t="n">
        <v>100</v>
      </c>
      <c r="N32" s="6" t="n">
        <v>8</v>
      </c>
      <c r="O32" s="6" t="n">
        <v>3</v>
      </c>
      <c r="P32" s="6" t="n">
        <v>7000</v>
      </c>
      <c r="Q32" s="6" t="n">
        <v>1</v>
      </c>
      <c r="R32">
        <f>M32+IF(N32&gt;1,N(O32)*(N32-1),0)</f>
        <v/>
      </c>
      <c r="S32">
        <f>IFERROR(L32*MAX(N32,1)/R32*Q32*IF(ISBLANK(K30),1,K30),0)</f>
        <v/>
      </c>
      <c r="AB32" s="7" t="inlineStr">
        <is>
          <t>^Chaingun</t>
        </is>
      </c>
    </row>
    <row r="33">
      <c r="B33" s="7" t="inlineStr">
        <is>
          <t xml:space="preserve">  ↳ YakChainGun</t>
        </is>
      </c>
      <c r="C33" s="7" t="inlineStr">
        <is>
          <t>Armament@SECONDARY</t>
        </is>
      </c>
      <c r="L33" s="6" t="n">
        <v>4000</v>
      </c>
      <c r="M33" s="6" t="n">
        <v>100</v>
      </c>
      <c r="N33" s="6" t="n">
        <v>8</v>
      </c>
      <c r="O33" s="6" t="n">
        <v>3</v>
      </c>
      <c r="P33" s="6" t="n">
        <v>7000</v>
      </c>
      <c r="Q33" s="6" t="n">
        <v>1</v>
      </c>
      <c r="R33">
        <f>M33+IF(N33&gt;1,N(O33)*(N33-1),0)</f>
        <v/>
      </c>
      <c r="S33">
        <f>IFERROR(L33*MAX(N33,1)/R33*Q33*IF(ISBLANK(K30),1,K30),0)</f>
        <v/>
      </c>
      <c r="AB33" s="7" t="inlineStr">
        <is>
          <t>^Chaingun</t>
        </is>
      </c>
    </row>
    <row r="34">
      <c r="B34" s="7" t="inlineStr">
        <is>
          <t xml:space="preserve">  ↳ IncendiaryYakChainGun</t>
        </is>
      </c>
      <c r="C34" s="7" t="inlineStr">
        <is>
          <t>Armament@Upgrade1</t>
        </is>
      </c>
      <c r="L34" s="6" t="n">
        <v>4000</v>
      </c>
      <c r="M34" s="6" t="n">
        <v>100</v>
      </c>
      <c r="N34" s="6" t="n">
        <v>8</v>
      </c>
      <c r="O34" s="6" t="n">
        <v>3</v>
      </c>
      <c r="P34" s="6" t="n">
        <v>7000</v>
      </c>
      <c r="Q34" s="6" t="n">
        <v>0.875</v>
      </c>
      <c r="R34">
        <f>M34+IF(N34&gt;1,N(O34)*(N34-1),0)</f>
        <v/>
      </c>
      <c r="S34">
        <f>IFERROR(L34*MAX(N34,1)/R34*Q34*IF(ISBLANK(K30),1,K30),0)</f>
        <v/>
      </c>
      <c r="AB34" s="7" t="inlineStr">
        <is>
          <t>^Chaingun, ^LightFlameWeapon, ^IncendiaryBulletProjectile</t>
        </is>
      </c>
    </row>
    <row r="35">
      <c r="B35" s="7" t="inlineStr">
        <is>
          <t xml:space="preserve">  ↳ IncendiaryYakChainGun</t>
        </is>
      </c>
      <c r="C35" s="7" t="inlineStr">
        <is>
          <t>Armament@Upgrade2</t>
        </is>
      </c>
      <c r="L35" s="6" t="n">
        <v>4000</v>
      </c>
      <c r="M35" s="6" t="n">
        <v>100</v>
      </c>
      <c r="N35" s="6" t="n">
        <v>8</v>
      </c>
      <c r="O35" s="6" t="n">
        <v>3</v>
      </c>
      <c r="P35" s="6" t="n">
        <v>7000</v>
      </c>
      <c r="Q35" s="6" t="n">
        <v>0.875</v>
      </c>
      <c r="R35">
        <f>M35+IF(N35&gt;1,N(O35)*(N35-1),0)</f>
        <v/>
      </c>
      <c r="S35">
        <f>IFERROR(L35*MAX(N35,1)/R35*Q35*IF(ISBLANK(K30),1,K30),0)</f>
        <v/>
      </c>
      <c r="AB35" s="7" t="inlineStr">
        <is>
          <t>^Chaingun, ^LightFlameWeapon, ^IncendiaryBulletProjectile</t>
        </is>
      </c>
    </row>
    <row r="36">
      <c r="A36" t="inlineStr">
        <is>
          <t>redalert2</t>
        </is>
      </c>
      <c r="B36" t="inlineStr">
        <is>
          <t>ra2_allies_harrier</t>
        </is>
      </c>
      <c r="C36" t="inlineStr">
        <is>
          <t>Harrier</t>
        </is>
      </c>
      <c r="D36" s="6" t="inlineStr">
        <is>
          <t>Fighter</t>
        </is>
      </c>
      <c r="E36" s="6" t="n">
        <v>72000</v>
      </c>
      <c r="F36" s="6" t="n">
        <v>180</v>
      </c>
      <c r="G36" t="inlineStr">
        <is>
          <t>Fighter</t>
        </is>
      </c>
      <c r="H36" s="6" t="n">
        <v>1</v>
      </c>
      <c r="I36" s="6" t="n">
        <v>1</v>
      </c>
      <c r="J36" s="6" t="n">
        <v>1</v>
      </c>
      <c r="K36" s="6" t="n">
        <v>0.75</v>
      </c>
      <c r="P36">
        <f>MAX(P37,P38)</f>
        <v/>
      </c>
      <c r="S36">
        <f>S37+S38</f>
        <v/>
      </c>
      <c r="T36">
        <f>(E36/100000+F36/100+(P36/1000)*J36/5+S36/200)*200*I36*H36</f>
        <v/>
      </c>
      <c r="U36">
        <f>((E36*F36/25000)+((P36/1000)*J36*S36/2.5))*I36*H36</f>
        <v/>
      </c>
      <c r="V36">
        <f>(E36*F36*(P36/1000)*J36*S36*I36*H36)/12500000</f>
        <v/>
      </c>
      <c r="W36">
        <f>(T36+U36+V36)/3</f>
        <v/>
      </c>
      <c r="X36" s="6" t="n">
        <v>2100</v>
      </c>
      <c r="Y36">
        <f>IFERROR(W36-X36,"")</f>
        <v/>
      </c>
      <c r="Z36">
        <f>IFERROR(ABS(Y36)/MAX(X36,1),"")</f>
        <v/>
      </c>
      <c r="AA36">
        <f>IFERROR((X36-(((E36/100000+F36/100+S36/200)*200*I36*H36)+((E36*F36/25000)*I36*H36))/3)/(((J36/5)*200*I36*H36)+((J36*S36/2.5)*I36*H36)+((E36*F36*J36*S36*I36*H36)/12500000))/3*1000,"")</f>
        <v/>
      </c>
    </row>
    <row r="37">
      <c r="B37" s="7" t="inlineStr">
        <is>
          <t xml:space="preserve">  ↳ HarrierMissiles</t>
        </is>
      </c>
      <c r="C37" s="7" t="inlineStr">
        <is>
          <t>Armament@PRIMARY</t>
        </is>
      </c>
      <c r="L37" s="6" t="n">
        <v>4000</v>
      </c>
      <c r="M37" s="6" t="n">
        <v>104</v>
      </c>
      <c r="N37" s="6" t="n">
        <v>4</v>
      </c>
      <c r="O37" s="6" t="n">
        <v>2</v>
      </c>
      <c r="P37" s="6" t="n">
        <v>5555</v>
      </c>
      <c r="Q37" s="6" t="n">
        <v>1.041666666666667</v>
      </c>
      <c r="R37">
        <f>M37+IF(N37&gt;1,N(O37)*(N37-1),0)</f>
        <v/>
      </c>
      <c r="S37">
        <f>IFERROR(L37*MAX(N37,1)/R37*Q37*IF(ISBLANK(K36),1,K36),0)</f>
        <v/>
      </c>
      <c r="AB37" s="7" t="inlineStr">
        <is>
          <t>^LightFlameWeapon, ^Grenade, ^HeavyChemicalWeapon, ^HeavyAAWeapon, ^FlakWeapon, ^RA2MediumMissile</t>
        </is>
      </c>
    </row>
    <row r="38">
      <c r="B38" s="7" t="inlineStr">
        <is>
          <t xml:space="preserve">  ↳ HarrierMissiles_elite</t>
        </is>
      </c>
      <c r="C38" s="7" t="inlineStr">
        <is>
          <t>Armament@PRIMARYELITE</t>
        </is>
      </c>
      <c r="L38" s="6" t="n">
        <v>4000</v>
      </c>
      <c r="M38" s="6" t="n">
        <v>104</v>
      </c>
      <c r="N38" s="6" t="n">
        <v>8</v>
      </c>
      <c r="O38" s="6" t="n">
        <v>2</v>
      </c>
      <c r="P38" s="6" t="n">
        <v>6666</v>
      </c>
      <c r="Q38" s="6" t="n">
        <v>1.041666666666667</v>
      </c>
      <c r="R38">
        <f>M38+IF(N38&gt;1,N(O38)*(N38-1),0)</f>
        <v/>
      </c>
      <c r="S38">
        <f>IFERROR(L38*MAX(N38,1)/R38*Q38*IF(ISBLANK(K36),1,K36),0)</f>
        <v/>
      </c>
      <c r="AB38" s="7" t="inlineStr">
        <is>
          <t>^LightFlameWeapon, ^Grenade, ^HeavyChemicalWeapon, ^HeavyAAWeapon, ^FlakWeapon, ^RA2MediumMissile</t>
        </is>
      </c>
    </row>
    <row r="39">
      <c r="A39" t="inlineStr">
        <is>
          <t>redalert2mod</t>
        </is>
      </c>
      <c r="B39" t="inlineStr">
        <is>
          <t>scalpelAA.steel</t>
        </is>
      </c>
      <c r="C39" t="inlineStr">
        <is>
          <t>Anti Air Scalpel</t>
        </is>
      </c>
      <c r="D39" s="6" t="inlineStr">
        <is>
          <t>Fighter</t>
        </is>
      </c>
      <c r="E39" s="6" t="n">
        <v>10000</v>
      </c>
      <c r="F39" s="6" t="n">
        <v>80</v>
      </c>
      <c r="G39" t="inlineStr">
        <is>
          <t>Fighter</t>
        </is>
      </c>
      <c r="H39" s="6" t="n">
        <v>1</v>
      </c>
      <c r="I39" s="6" t="n">
        <v>1</v>
      </c>
      <c r="J39" s="6" t="n">
        <v>1</v>
      </c>
      <c r="K39" s="6" t="n"/>
      <c r="P39">
        <f>MAX(P40,P41)</f>
        <v/>
      </c>
      <c r="S39">
        <f>S40+S41</f>
        <v/>
      </c>
      <c r="T39">
        <f>(E39/100000+F39/100+(P39/1000)*J39/5+S39/200)*200*I39*H39</f>
        <v/>
      </c>
      <c r="U39">
        <f>((E39*F39/25000)+((P39/1000)*J39*S39/2.5))*I39*H39</f>
        <v/>
      </c>
      <c r="V39">
        <f>(E39*F39*(P39/1000)*J39*S39*I39*H39)/12500000</f>
        <v/>
      </c>
      <c r="W39">
        <f>(T39+U39+V39)/3</f>
        <v/>
      </c>
      <c r="X39" s="6" t="n">
        <v>750</v>
      </c>
      <c r="Y39">
        <f>IFERROR(W39-X39,"")</f>
        <v/>
      </c>
      <c r="Z39">
        <f>IFERROR(ABS(Y39)/MAX(X39,1),"")</f>
        <v/>
      </c>
      <c r="AA39">
        <f>IFERROR((X39-(((E39/100000+F39/100+S39/200)*200*I39*H39)+((E39*F39/25000)*I39*H39))/3)/(((J39/5)*200*I39*H39)+((J39*S39/2.5)*I39*H39)+((E39*F39*J39*S39*I39*H39)/12500000))/3*1000,"")</f>
        <v/>
      </c>
    </row>
    <row r="40">
      <c r="B40" s="7" t="inlineStr">
        <is>
          <t xml:space="preserve">  ↳ SteelScalpelRailgunAA</t>
        </is>
      </c>
      <c r="C40" s="7" t="inlineStr">
        <is>
          <t>Armament@PRIMARY</t>
        </is>
      </c>
      <c r="L40" s="6" t="n">
        <v>4000</v>
      </c>
      <c r="M40" s="6" t="n">
        <v>48</v>
      </c>
      <c r="N40" s="6" t="n">
        <v>4</v>
      </c>
      <c r="O40" s="6" t="n">
        <v>0</v>
      </c>
      <c r="P40" s="6" t="n">
        <v>9000</v>
      </c>
      <c r="Q40" s="6" t="n">
        <v>1</v>
      </c>
      <c r="R40">
        <f>M40+IF(N40&gt;1,N(O40)*(N40-1),0)</f>
        <v/>
      </c>
      <c r="S40">
        <f>IFERROR(L40*MAX(N40,1)/R40*Q40*IF(ISBLANK(K39),1,K39),0)</f>
        <v/>
      </c>
      <c r="AB40" s="7" t="inlineStr">
        <is>
          <t>^RA2RailgunWeapon, ^RA2FlakWeapon, ^SteelChaingun, ^SteelLightMissile</t>
        </is>
      </c>
    </row>
    <row r="41">
      <c r="B41" s="7" t="inlineStr">
        <is>
          <t xml:space="preserve">  ↳ SteelScalpelRailgunEMPAA</t>
        </is>
      </c>
      <c r="C41" s="7" t="inlineStr">
        <is>
          <t>Armament@Upgrade</t>
        </is>
      </c>
      <c r="L41" s="6" t="n">
        <v>2000</v>
      </c>
      <c r="M41" s="6" t="n">
        <v>50</v>
      </c>
      <c r="N41" s="6" t="n">
        <v>4</v>
      </c>
      <c r="O41" s="6" t="n">
        <v>0</v>
      </c>
      <c r="P41" s="6" t="n">
        <v>9000</v>
      </c>
      <c r="Q41" s="6" t="n">
        <v>1</v>
      </c>
      <c r="R41">
        <f>M41+IF(N41&gt;1,N(O41)*(N41-1),0)</f>
        <v/>
      </c>
      <c r="S41">
        <f>IFERROR(L41*MAX(N41,1)/R41*Q41*IF(ISBLANK(K39),1,K39),0)</f>
        <v/>
      </c>
      <c r="AB41" s="7" t="inlineStr">
        <is>
          <t>^Grenade, ^MediumFlameWeapon, ^MediumChemicalWeapon, ^ShrapnelWeapon, ^MediumCannon, ^TeslaWeapon, ^RA2RailgunWeapon, ^RA2FlakWeapon, ^SteelChaingun, ^SteelLightMissile</t>
        </is>
      </c>
    </row>
    <row r="42">
      <c r="A42" t="inlineStr">
        <is>
          <t>redalert2mod</t>
        </is>
      </c>
      <c r="B42" t="inlineStr">
        <is>
          <t>scalpelMG.steel</t>
        </is>
      </c>
      <c r="C42" t="inlineStr">
        <is>
          <t>Scalpel</t>
        </is>
      </c>
      <c r="D42" s="6" t="inlineStr">
        <is>
          <t>Fighter</t>
        </is>
      </c>
      <c r="E42" s="6" t="n">
        <v>10000</v>
      </c>
      <c r="F42" s="6" t="n">
        <v>80</v>
      </c>
      <c r="G42" t="inlineStr">
        <is>
          <t>Fighter</t>
        </is>
      </c>
      <c r="H42" s="6" t="n">
        <v>1</v>
      </c>
      <c r="I42" s="6" t="n">
        <v>1</v>
      </c>
      <c r="J42" s="6" t="n">
        <v>1</v>
      </c>
      <c r="K42" s="6" t="n"/>
      <c r="P42">
        <f>MAX(P43)</f>
        <v/>
      </c>
      <c r="S42">
        <f>S43</f>
        <v/>
      </c>
      <c r="T42">
        <f>(E42/100000+F42/100+(P42/1000)*J42/5+S42/200)*200*I42*H42</f>
        <v/>
      </c>
      <c r="U42">
        <f>((E42*F42/25000)+((P42/1000)*J42*S42/2.5))*I42*H42</f>
        <v/>
      </c>
      <c r="V42">
        <f>(E42*F42*(P42/1000)*J42*S42*I42*H42)/12500000</f>
        <v/>
      </c>
      <c r="W42">
        <f>(T42+U42+V42)/3</f>
        <v/>
      </c>
      <c r="X42" s="6" t="n">
        <v>500</v>
      </c>
      <c r="Y42">
        <f>IFERROR(W42-X42,"")</f>
        <v/>
      </c>
      <c r="Z42">
        <f>IFERROR(ABS(Y42)/MAX(X42,1),"")</f>
        <v/>
      </c>
      <c r="AA42">
        <f>IFERROR((X42-(((E42/100000+F42/100+S42/200)*200*I42*H42)+((E42*F42/25000)*I42*H42))/3)/(((J42/5)*200*I42*H42)+((J42*S42/2.5)*I42*H42)+((E42*F42*J42*S42*I42*H42)/12500000))/3*1000,"")</f>
        <v/>
      </c>
    </row>
    <row r="43">
      <c r="B43" s="7" t="inlineStr">
        <is>
          <t xml:space="preserve">  ↳ SteelMantaAG</t>
        </is>
      </c>
      <c r="C43" s="7" t="inlineStr">
        <is>
          <t>Armament@PRIMARY</t>
        </is>
      </c>
      <c r="L43" s="6" t="n">
        <v>2000</v>
      </c>
      <c r="M43" s="6" t="n">
        <v>20</v>
      </c>
      <c r="N43" s="6" t="n">
        <v>1</v>
      </c>
      <c r="O43" s="6" t="n"/>
      <c r="P43" s="6" t="n">
        <v>6666</v>
      </c>
      <c r="Q43" s="6" t="n">
        <v>0.875</v>
      </c>
      <c r="R43">
        <f>M43+IF(N43&gt;1,N(O43)*(N43-1),0)</f>
        <v/>
      </c>
      <c r="S43">
        <f>IFERROR(L43*MAX(N43,1)/R43*Q43*IF(ISBLANK(K42),1,K42),0)</f>
        <v/>
      </c>
      <c r="AB43" s="7" t="inlineStr">
        <is>
          <t>^SteelLightMissile, ^SteelSmallArms, ^RA2FlakWeapon, ^SteelChaingun</t>
        </is>
      </c>
    </row>
    <row r="44">
      <c r="A44" t="inlineStr">
        <is>
          <t>redalert2mod</t>
        </is>
      </c>
      <c r="B44" t="inlineStr">
        <is>
          <t>scalpelQuantumCannon.steel</t>
        </is>
      </c>
      <c r="C44" t="inlineStr">
        <is>
          <t>Quantum Scalpel</t>
        </is>
      </c>
      <c r="D44" s="6" t="inlineStr">
        <is>
          <t>Fighter</t>
        </is>
      </c>
      <c r="E44" s="6" t="n">
        <v>10000</v>
      </c>
      <c r="F44" s="6" t="n">
        <v>80</v>
      </c>
      <c r="G44" t="inlineStr">
        <is>
          <t>Fighter</t>
        </is>
      </c>
      <c r="H44" s="6" t="n">
        <v>1</v>
      </c>
      <c r="I44" s="6" t="n">
        <v>1</v>
      </c>
      <c r="J44" s="6" t="n">
        <v>1</v>
      </c>
      <c r="K44" s="6" t="n"/>
      <c r="P44">
        <f>MAX(P45,P46)</f>
        <v/>
      </c>
      <c r="S44">
        <f>S45+S46</f>
        <v/>
      </c>
      <c r="T44">
        <f>(E44/100000+F44/100+(P44/1000)*J44/5+S44/200)*200*I44*H44</f>
        <v/>
      </c>
      <c r="U44">
        <f>((E44*F44/25000)+((P44/1000)*J44*S44/2.5))*I44*H44</f>
        <v/>
      </c>
      <c r="V44">
        <f>(E44*F44*(P44/1000)*J44*S44*I44*H44)/12500000</f>
        <v/>
      </c>
      <c r="W44">
        <f>(T44+U44+V44)/3</f>
        <v/>
      </c>
      <c r="X44" s="6" t="n">
        <v>1000</v>
      </c>
      <c r="Y44">
        <f>IFERROR(W44-X44,"")</f>
        <v/>
      </c>
      <c r="Z44">
        <f>IFERROR(ABS(Y44)/MAX(X44,1),"")</f>
        <v/>
      </c>
      <c r="AA44">
        <f>IFERROR((X44-(((E44/100000+F44/100+S44/200)*200*I44*H44)+((E44*F44/25000)*I44*H44))/3)/(((J44/5)*200*I44*H44)+((J44*S44/2.5)*I44*H44)+((E44*F44*J44*S44*I44*H44)/12500000))/3*1000,"")</f>
        <v/>
      </c>
    </row>
    <row r="45">
      <c r="B45" s="7" t="inlineStr">
        <is>
          <t xml:space="preserve">  ↳ SteelQuantumTurretRail</t>
        </is>
      </c>
      <c r="C45" s="7" t="inlineStr">
        <is>
          <t>Armament@PRIMARY</t>
        </is>
      </c>
      <c r="L45" s="6" t="n">
        <v>2000</v>
      </c>
      <c r="M45" s="6" t="n">
        <v>38</v>
      </c>
      <c r="N45" s="6" t="n">
        <v>1</v>
      </c>
      <c r="O45" s="6" t="n"/>
      <c r="P45" s="6" t="n">
        <v>8888</v>
      </c>
      <c r="Q45" s="6" t="n">
        <v>1.166666666666667</v>
      </c>
      <c r="R45">
        <f>M45+IF(N45&gt;1,N(O45)*(N45-1),0)</f>
        <v/>
      </c>
      <c r="S45">
        <f>IFERROR(L45*MAX(N45,1)/R45*Q45*IF(ISBLANK(K44),1,K44),0)</f>
        <v/>
      </c>
      <c r="AB45" s="7" t="inlineStr">
        <is>
          <t>^TeslaWeapon, ^HeavyChemicalWeapon, ^HeavyFlameWeapon, ^LaserWeapon, ^RailgunWeapon, ^SteelHeavyCannon</t>
        </is>
      </c>
    </row>
    <row r="46">
      <c r="B46" s="7" t="inlineStr">
        <is>
          <t xml:space="preserve">  ↳ SteelQuantumTurretRailEMP</t>
        </is>
      </c>
      <c r="C46" s="7" t="inlineStr">
        <is>
          <t>Armament@Upgrade</t>
        </is>
      </c>
      <c r="L46" s="6" t="n">
        <v>2000</v>
      </c>
      <c r="M46" s="6" t="n">
        <v>38</v>
      </c>
      <c r="N46" s="6" t="n">
        <v>1</v>
      </c>
      <c r="O46" s="6" t="n"/>
      <c r="P46" s="6" t="n">
        <v>8888</v>
      </c>
      <c r="Q46" s="6" t="n">
        <v>1.166666666666667</v>
      </c>
      <c r="R46">
        <f>M46+IF(N46&gt;1,N(O46)*(N46-1),0)</f>
        <v/>
      </c>
      <c r="S46">
        <f>IFERROR(L46*MAX(N46,1)/R46*Q46*IF(ISBLANK(K44),1,K44),0)</f>
        <v/>
      </c>
      <c r="AB46" s="7" t="inlineStr">
        <is>
          <t>^TeslaWeapon, ^HeavyChemicalWeapon, ^HeavyFlameWeapon, ^LaserWeapon, ^RailgunWeapon, ^SteelHeavyCannon</t>
        </is>
      </c>
    </row>
    <row r="47">
      <c r="A47" t="inlineStr">
        <is>
          <t>redalert2mod</t>
        </is>
      </c>
      <c r="B47" t="inlineStr">
        <is>
          <t>steelconsortium_twister</t>
        </is>
      </c>
      <c r="C47" t="inlineStr">
        <is>
          <t>Twister</t>
        </is>
      </c>
      <c r="D47" s="6" t="inlineStr">
        <is>
          <t>Fighter</t>
        </is>
      </c>
      <c r="E47" s="6" t="n">
        <v>50000</v>
      </c>
      <c r="F47" s="6" t="n">
        <v>150</v>
      </c>
      <c r="G47" t="inlineStr">
        <is>
          <t>Fighter</t>
        </is>
      </c>
      <c r="H47" s="6" t="n">
        <v>1</v>
      </c>
      <c r="I47" s="6" t="n">
        <v>1</v>
      </c>
      <c r="J47" s="6" t="n">
        <v>1</v>
      </c>
      <c r="K47" s="6" t="n"/>
      <c r="P47">
        <f>MAX(P48,P49)</f>
        <v/>
      </c>
      <c r="S47">
        <f>S48+S49</f>
        <v/>
      </c>
      <c r="T47">
        <f>(E47/100000+F47/100+(P47/1000)*J47/5+S47/200)*200*I47*H47</f>
        <v/>
      </c>
      <c r="U47">
        <f>((E47*F47/25000)+((P47/1000)*J47*S47/2.5))*I47*H47</f>
        <v/>
      </c>
      <c r="V47">
        <f>(E47*F47*(P47/1000)*J47*S47*I47*H47)/12500000</f>
        <v/>
      </c>
      <c r="W47">
        <f>(T47+U47+V47)/3</f>
        <v/>
      </c>
      <c r="X47" s="6" t="n">
        <v>1000</v>
      </c>
      <c r="Y47">
        <f>IFERROR(W47-X47,"")</f>
        <v/>
      </c>
      <c r="Z47">
        <f>IFERROR(ABS(Y47)/MAX(X47,1),"")</f>
        <v/>
      </c>
      <c r="AA47">
        <f>IFERROR((X47-(((E47/100000+F47/100+S47/200)*200*I47*H47)+((E47*F47/25000)*I47*H47))/3)/(((J47/5)*200*I47*H47)+((J47*S47/2.5)*I47*H47)+((E47*F47*J47*S47*I47*H47)/12500000))/3*1000,"")</f>
        <v/>
      </c>
    </row>
    <row r="48">
      <c r="B48" s="7" t="inlineStr">
        <is>
          <t xml:space="preserve">  ↳ SteelTwisterMissiles</t>
        </is>
      </c>
      <c r="C48" s="7" t="inlineStr">
        <is>
          <t>Armament@PRIMARY</t>
        </is>
      </c>
      <c r="L48" s="6" t="n">
        <v>2000</v>
      </c>
      <c r="M48" s="6" t="n">
        <v>105</v>
      </c>
      <c r="N48" s="6" t="n">
        <v>5</v>
      </c>
      <c r="O48" s="6" t="n">
        <v>5</v>
      </c>
      <c r="P48" s="6" t="n">
        <v>5000</v>
      </c>
      <c r="Q48" s="6" t="n">
        <v>1.05</v>
      </c>
      <c r="R48">
        <f>M48+IF(N48&gt;1,N(O48)*(N48-1),0)</f>
        <v/>
      </c>
      <c r="S48">
        <f>IFERROR(L48*MAX(N48,1)/R48*Q48*IF(ISBLANK(K47),1,K47),0)</f>
        <v/>
      </c>
      <c r="AB48" s="7" t="inlineStr">
        <is>
          <t>^Grenade, ^MediumFlameWeapon, ^FlakWeapon, ^HeavyAAWeapon, ^SteelMediumMissile</t>
        </is>
      </c>
    </row>
    <row r="49">
      <c r="B49" s="7" t="inlineStr">
        <is>
          <t xml:space="preserve">  ↳ SteelTwisterMissilesE</t>
        </is>
      </c>
      <c r="C49" s="7" t="inlineStr">
        <is>
          <t>Armament@PRIMARYELITE</t>
        </is>
      </c>
      <c r="L49" s="6" t="n">
        <v>2000</v>
      </c>
      <c r="M49" s="6" t="n">
        <v>105</v>
      </c>
      <c r="N49" s="6" t="n">
        <v>10</v>
      </c>
      <c r="O49" s="6" t="n">
        <v>5</v>
      </c>
      <c r="P49" s="6" t="n">
        <v>6000</v>
      </c>
      <c r="Q49" s="6" t="n">
        <v>1.05</v>
      </c>
      <c r="R49">
        <f>M49+IF(N49&gt;1,N(O49)*(N49-1),0)</f>
        <v/>
      </c>
      <c r="S49">
        <f>IFERROR(L49*MAX(N49,1)/R49*Q49*IF(ISBLANK(K47),1,K47),0)</f>
        <v/>
      </c>
      <c r="AB49" s="7" t="inlineStr">
        <is>
          <t>^Grenade, ^MediumFlameWeapon, ^FlakWeapon, ^HeavyAAWeapon, ^SteelMediumMissile</t>
        </is>
      </c>
    </row>
    <row r="50">
      <c r="A50" t="inlineStr">
        <is>
          <t>redalert2mod</t>
        </is>
      </c>
      <c r="B50" t="inlineStr">
        <is>
          <t>latinsyndicate_yakovlev</t>
        </is>
      </c>
      <c r="C50" t="inlineStr">
        <is>
          <t>Yakovlev</t>
        </is>
      </c>
      <c r="D50" s="6" t="inlineStr">
        <is>
          <t>Fighter</t>
        </is>
      </c>
      <c r="E50" s="6" t="n">
        <v>40000</v>
      </c>
      <c r="F50" s="6" t="n">
        <v>165</v>
      </c>
      <c r="G50" t="inlineStr">
        <is>
          <t>Fighter</t>
        </is>
      </c>
      <c r="H50" s="6" t="n">
        <v>1</v>
      </c>
      <c r="I50" s="6" t="n">
        <v>1</v>
      </c>
      <c r="J50" s="6" t="n">
        <v>1</v>
      </c>
      <c r="K50" s="6" t="n"/>
      <c r="P50">
        <f>MAX(P51,P52,P53)</f>
        <v/>
      </c>
      <c r="S50">
        <f>S51+S52+S53</f>
        <v/>
      </c>
      <c r="T50">
        <f>(E50/100000+F50/100+(P50/1000)*J50/5+S50/200)*200*I50*H50</f>
        <v/>
      </c>
      <c r="U50">
        <f>((E50*F50/25000)+((P50/1000)*J50*S50/2.5))*I50*H50</f>
        <v/>
      </c>
      <c r="V50">
        <f>(E50*F50*(P50/1000)*J50*S50*I50*H50)/12500000</f>
        <v/>
      </c>
      <c r="W50">
        <f>(T50+U50+V50)/3</f>
        <v/>
      </c>
      <c r="X50" s="6" t="n">
        <v>900</v>
      </c>
      <c r="Y50">
        <f>IFERROR(W50-X50,"")</f>
        <v/>
      </c>
      <c r="Z50">
        <f>IFERROR(ABS(Y50)/MAX(X50,1),"")</f>
        <v/>
      </c>
      <c r="AA50">
        <f>IFERROR((X50-(((E50/100000+F50/100+S50/200)*200*I50*H50)+((E50*F50/25000)*I50*H50))/3)/(((J50/5)*200*I50*H50)+((J50*S50/2.5)*I50*H50)+((E50*F50*J50*S50*I50*H50)/12500000))/3*1000,"")</f>
        <v/>
      </c>
    </row>
    <row r="51">
      <c r="B51" s="7" t="inlineStr">
        <is>
          <t xml:space="preserve">  ↳ YakovlevCannon</t>
        </is>
      </c>
      <c r="C51" s="7" t="inlineStr">
        <is>
          <t>Armament</t>
        </is>
      </c>
      <c r="L51" s="6" t="n">
        <v>2000</v>
      </c>
      <c r="M51" s="6" t="n">
        <v>80</v>
      </c>
      <c r="N51" s="6" t="n">
        <v>4</v>
      </c>
      <c r="O51" s="6" t="n">
        <v>5</v>
      </c>
      <c r="P51" s="6" t="n">
        <v>4444</v>
      </c>
      <c r="Q51" s="6" t="n">
        <v>1.083333333333333</v>
      </c>
      <c r="R51">
        <f>M51+IF(N51&gt;1,N(O51)*(N51-1),0)</f>
        <v/>
      </c>
      <c r="S51">
        <f>IFERROR(L51*MAX(N51,1)/R51*Q51*IF(ISBLANK(K50),1,K50),0)</f>
        <v/>
      </c>
      <c r="AB51" s="7" t="inlineStr">
        <is>
          <t>^TankDestroyerCannon, ^FlakWeapon, ^HeavyCannon, ^RA2Chaingun</t>
        </is>
      </c>
    </row>
    <row r="52">
      <c r="B52" s="7" t="inlineStr">
        <is>
          <t xml:space="preserve">  ↳ YakovlevCannonE</t>
        </is>
      </c>
      <c r="C52" s="7" t="inlineStr">
        <is>
          <t>Armament@ELITE</t>
        </is>
      </c>
      <c r="L52" s="6" t="n">
        <v>2000</v>
      </c>
      <c r="M52" s="6" t="n">
        <v>5</v>
      </c>
      <c r="N52" s="6" t="n">
        <v>1</v>
      </c>
      <c r="O52" s="6" t="n"/>
      <c r="P52" s="6" t="n">
        <v>5555</v>
      </c>
      <c r="Q52" s="6" t="n">
        <v>1.083333333333333</v>
      </c>
      <c r="R52">
        <f>M52+IF(N52&gt;1,N(O52)*(N52-1),0)</f>
        <v/>
      </c>
      <c r="S52">
        <f>IFERROR(L52*MAX(N52,1)/R52*Q52*IF(ISBLANK(K50),1,K50),0)</f>
        <v/>
      </c>
      <c r="AB52" s="7" t="inlineStr">
        <is>
          <t>^TankDestroyerCannon, ^FlakWeapon, ^HeavyCannon, ^RA2Chaingun</t>
        </is>
      </c>
    </row>
    <row r="53">
      <c r="B53" s="7" t="inlineStr">
        <is>
          <t xml:space="preserve">  ↳ YakovlevCannonE</t>
        </is>
      </c>
      <c r="C53" s="7" t="inlineStr">
        <is>
          <t>Armament@latinsyndicate_upgrade_yuristolentechchainguns</t>
        </is>
      </c>
      <c r="L53" s="6" t="n">
        <v>2000</v>
      </c>
      <c r="M53" s="6" t="n">
        <v>5</v>
      </c>
      <c r="N53" s="6" t="n">
        <v>1</v>
      </c>
      <c r="O53" s="6" t="n"/>
      <c r="P53" s="6" t="n">
        <v>5555</v>
      </c>
      <c r="Q53" s="6" t="n">
        <v>1.083333333333333</v>
      </c>
      <c r="R53">
        <f>M53+IF(N53&gt;1,N(O53)*(N53-1),0)</f>
        <v/>
      </c>
      <c r="S53">
        <f>IFERROR(L53*MAX(N53,1)/R53*Q53*IF(ISBLANK(K50),1,K50),0)</f>
        <v/>
      </c>
      <c r="AB53" s="7" t="inlineStr">
        <is>
          <t>^TankDestroyerCannon, ^FlakWeapon, ^HeavyCannon, ^RA2Chaingun</t>
        </is>
      </c>
    </row>
    <row r="54">
      <c r="A54" t="inlineStr">
        <is>
          <t>redalert2mod</t>
        </is>
      </c>
      <c r="B54" t="inlineStr">
        <is>
          <t>naxis_bf109</t>
        </is>
      </c>
      <c r="C54" t="inlineStr">
        <is>
          <t>BF 109</t>
        </is>
      </c>
      <c r="D54" s="6" t="inlineStr">
        <is>
          <t>Fighter</t>
        </is>
      </c>
      <c r="E54" s="6" t="n">
        <v>60000</v>
      </c>
      <c r="F54" s="6" t="n">
        <v>115</v>
      </c>
      <c r="G54" t="inlineStr">
        <is>
          <t>Fighter</t>
        </is>
      </c>
      <c r="H54" s="6" t="n">
        <v>1</v>
      </c>
      <c r="I54" s="6" t="n">
        <v>1</v>
      </c>
      <c r="J54" s="6" t="n">
        <v>1</v>
      </c>
      <c r="K54" s="6" t="n"/>
      <c r="P54">
        <f>MAX(P55,P56)</f>
        <v/>
      </c>
      <c r="S54">
        <f>S55+S56</f>
        <v/>
      </c>
      <c r="T54">
        <f>(E54/100000+F54/100+(P54/1000)*J54/5+S54/200)*200*I54*H54</f>
        <v/>
      </c>
      <c r="U54">
        <f>((E54*F54/25000)+((P54/1000)*J54*S54/2.5))*I54*H54</f>
        <v/>
      </c>
      <c r="V54">
        <f>(E54*F54*(P54/1000)*J54*S54*I54*H54)/12500000</f>
        <v/>
      </c>
      <c r="W54">
        <f>(T54+U54+V54)/3</f>
        <v/>
      </c>
      <c r="X54" s="6" t="n">
        <v>1100</v>
      </c>
      <c r="Y54">
        <f>IFERROR(W54-X54,"")</f>
        <v/>
      </c>
      <c r="Z54">
        <f>IFERROR(ABS(Y54)/MAX(X54,1),"")</f>
        <v/>
      </c>
      <c r="AA54">
        <f>IFERROR((X54-(((E54/100000+F54/100+S54/200)*200*I54*H54)+((E54*F54/25000)*I54*H54))/3)/(((J54/5)*200*I54*H54)+((J54*S54/2.5)*I54*H54)+((E54*F54*J54*S54*I54*H54)/12500000))/3*1000,"")</f>
        <v/>
      </c>
    </row>
    <row r="55">
      <c r="B55" s="7" t="inlineStr">
        <is>
          <t xml:space="preserve">  ↳ NaxPlanegunE</t>
        </is>
      </c>
      <c r="C55" s="7" t="inlineStr">
        <is>
          <t>Armament</t>
        </is>
      </c>
      <c r="L55" s="6" t="n">
        <v>2000</v>
      </c>
      <c r="M55" s="6" t="n">
        <v>127</v>
      </c>
      <c r="N55" s="6" t="n">
        <v>10</v>
      </c>
      <c r="O55" s="6" t="n">
        <v>2</v>
      </c>
      <c r="P55" s="6" t="n">
        <v>6090</v>
      </c>
      <c r="Q55" s="6" t="n">
        <v>1.083333333333333</v>
      </c>
      <c r="R55">
        <f>M55+IF(N55&gt;1,N(O55)*(N55-1),0)</f>
        <v/>
      </c>
      <c r="S55">
        <f>IFERROR(L55*MAX(N55,1)/R55*Q55*IF(ISBLANK(K54),1,K54),0)</f>
        <v/>
      </c>
      <c r="AB55" s="7" t="inlineStr">
        <is>
          <t>^Grenade, ^HeavyCannon, ^RA2Chaingun</t>
        </is>
      </c>
    </row>
    <row r="56">
      <c r="B56" s="7" t="inlineStr">
        <is>
          <t xml:space="preserve">  ↳ NaxPlanegunE</t>
        </is>
      </c>
      <c r="C56" s="7" t="inlineStr">
        <is>
          <t>Armament@ELITE</t>
        </is>
      </c>
      <c r="L56" s="6" t="n">
        <v>2000</v>
      </c>
      <c r="M56" s="6" t="n">
        <v>127</v>
      </c>
      <c r="N56" s="6" t="n">
        <v>10</v>
      </c>
      <c r="O56" s="6" t="n">
        <v>2</v>
      </c>
      <c r="P56" s="6" t="n">
        <v>6090</v>
      </c>
      <c r="Q56" s="6" t="n">
        <v>1.083333333333333</v>
      </c>
      <c r="R56">
        <f>M56+IF(N56&gt;1,N(O56)*(N56-1),0)</f>
        <v/>
      </c>
      <c r="S56">
        <f>IFERROR(L56*MAX(N56,1)/R56*Q56*IF(ISBLANK(K54),1,K54),0)</f>
        <v/>
      </c>
      <c r="AB56" s="7" t="inlineStr">
        <is>
          <t>^Grenade, ^HeavyCannon, ^RA2Chaingun</t>
        </is>
      </c>
    </row>
    <row r="57">
      <c r="A57" t="inlineStr">
        <is>
          <t>redalert2mod</t>
        </is>
      </c>
      <c r="B57" t="inlineStr">
        <is>
          <t>naxis_interceptor</t>
        </is>
      </c>
      <c r="C57" t="inlineStr">
        <is>
          <t>Interceptor</t>
        </is>
      </c>
      <c r="D57" s="6" t="inlineStr">
        <is>
          <t>Fighter</t>
        </is>
      </c>
      <c r="E57" s="6" t="n">
        <v>10000</v>
      </c>
      <c r="F57" s="6" t="n">
        <v>160</v>
      </c>
      <c r="G57" t="inlineStr">
        <is>
          <t>Fighter</t>
        </is>
      </c>
      <c r="H57" s="6" t="n">
        <v>1</v>
      </c>
      <c r="I57" s="6" t="n">
        <v>1</v>
      </c>
      <c r="J57" s="6" t="n">
        <v>1</v>
      </c>
      <c r="K57" s="6" t="n">
        <v>0.5</v>
      </c>
      <c r="P57">
        <f>MAX(P58,P59)</f>
        <v/>
      </c>
      <c r="S57">
        <f>S58+S59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1000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NaxiInterceptorGun</t>
        </is>
      </c>
      <c r="C58" s="7" t="inlineStr">
        <is>
          <t>Armament@PRIMARY</t>
        </is>
      </c>
      <c r="L58" s="6" t="n">
        <v>6000</v>
      </c>
      <c r="M58" s="6" t="n">
        <v>100</v>
      </c>
      <c r="N58" s="6" t="n">
        <v>4</v>
      </c>
      <c r="O58" s="6" t="n">
        <v>3</v>
      </c>
      <c r="P58" s="6" t="n">
        <v>6090</v>
      </c>
      <c r="Q58" s="6" t="n">
        <v>1</v>
      </c>
      <c r="R58">
        <f>M58+IF(N58&gt;1,N(O58)*(N58-1),0)</f>
        <v/>
      </c>
      <c r="S58">
        <f>IFERROR(L58*MAX(N58,1)/R58*Q58*IF(ISBLANK(K57),1,K57),0)</f>
        <v/>
      </c>
      <c r="AB58" s="7" t="inlineStr">
        <is>
          <t>^HeavyCannon, ^FlakWeapon, ^Chaingun, ^SmallArms</t>
        </is>
      </c>
    </row>
    <row r="59">
      <c r="B59" s="7" t="inlineStr">
        <is>
          <t xml:space="preserve">  ↳ NaxPlaneRocketsE</t>
        </is>
      </c>
      <c r="C59" s="7" t="inlineStr">
        <is>
          <t>Armament@Rockets</t>
        </is>
      </c>
      <c r="L59" s="6" t="n">
        <v>10000</v>
      </c>
      <c r="M59" s="6" t="n">
        <v>100</v>
      </c>
      <c r="N59" s="6" t="n">
        <v>2</v>
      </c>
      <c r="O59" s="6" t="n">
        <v>9</v>
      </c>
      <c r="P59" s="6" t="n">
        <v>6090</v>
      </c>
      <c r="Q59" s="6" t="n">
        <v>1</v>
      </c>
      <c r="R59">
        <f>M59+IF(N59&gt;1,N(O59)*(N59-1),0)</f>
        <v/>
      </c>
      <c r="S59">
        <f>IFERROR(L59*MAX(N59,1)/R59*Q59*IF(ISBLANK(K57),1,K57),0)</f>
        <v/>
      </c>
      <c r="AB59" s="7" t="inlineStr">
        <is>
          <t>^MediumMissile, ^D2KRocket</t>
        </is>
      </c>
    </row>
    <row r="60">
      <c r="A60" t="inlineStr">
        <is>
          <t>redalert2mod</t>
        </is>
      </c>
      <c r="B60" t="inlineStr">
        <is>
          <t>naxis_me262</t>
        </is>
      </c>
      <c r="C60" t="inlineStr">
        <is>
          <t>Me 262</t>
        </is>
      </c>
      <c r="D60" s="6" t="inlineStr">
        <is>
          <t>Fighter</t>
        </is>
      </c>
      <c r="E60" s="6" t="n">
        <v>75000</v>
      </c>
      <c r="F60" s="6" t="n">
        <v>155</v>
      </c>
      <c r="G60" t="inlineStr">
        <is>
          <t>Fighter</t>
        </is>
      </c>
      <c r="H60" s="6" t="n">
        <v>1</v>
      </c>
      <c r="I60" s="6" t="n">
        <v>1</v>
      </c>
      <c r="J60" s="6" t="n">
        <v>1</v>
      </c>
      <c r="K60" s="6" t="n">
        <v>0.5</v>
      </c>
      <c r="P60">
        <f>MAX(P61,P62,P63,P64)</f>
        <v/>
      </c>
      <c r="S60">
        <f>S61+S62+S63+S64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(T60+U60+V60)/3</f>
        <v/>
      </c>
      <c r="X60" s="6" t="n">
        <v>1500</v>
      </c>
      <c r="Y60">
        <f>IFERROR(W60-X60,"")</f>
        <v/>
      </c>
      <c r="Z60">
        <f>IFERROR(ABS(Y60)/MAX(X60,1),"")</f>
        <v/>
      </c>
      <c r="AA60">
        <f>IFERROR((X60-(((E60/100000+F60/100+S60/200)*200*I60*H60)+((E60*F60/25000)*I60*H60))/3)/(((J60/5)*200*I60*H60)+((J60*S60/2.5)*I60*H60)+((E60*F60*J60*S60*I60*H60)/12500000))/3*1000,"")</f>
        <v/>
      </c>
    </row>
    <row r="61">
      <c r="B61" s="7" t="inlineStr">
        <is>
          <t xml:space="preserve">  ↳ NaxPlaneRocketsE</t>
        </is>
      </c>
      <c r="C61" s="7" t="inlineStr">
        <is>
          <t>Armament@Rockets</t>
        </is>
      </c>
      <c r="L61" s="6" t="n">
        <v>10000</v>
      </c>
      <c r="M61" s="6" t="n">
        <v>100</v>
      </c>
      <c r="N61" s="6" t="n">
        <v>2</v>
      </c>
      <c r="O61" s="6" t="n">
        <v>9</v>
      </c>
      <c r="P61" s="6" t="n">
        <v>6090</v>
      </c>
      <c r="Q61" s="6" t="n">
        <v>1</v>
      </c>
      <c r="R61">
        <f>M61+IF(N61&gt;1,N(O61)*(N61-1),0)</f>
        <v/>
      </c>
      <c r="S61">
        <f>IFERROR(L61*MAX(N61,1)/R61*Q61*IF(ISBLANK(K60),1,K60),0)</f>
        <v/>
      </c>
      <c r="AB61" s="7" t="inlineStr">
        <is>
          <t>^MediumMissile, ^D2KRocket</t>
        </is>
      </c>
    </row>
    <row r="62">
      <c r="B62" s="7" t="inlineStr">
        <is>
          <t xml:space="preserve">  ↳ NaxPlaneRocketsE</t>
        </is>
      </c>
      <c r="C62" s="7" t="inlineStr">
        <is>
          <t>Armament@RocketsELITE</t>
        </is>
      </c>
      <c r="L62" s="6" t="n">
        <v>10000</v>
      </c>
      <c r="M62" s="6" t="n">
        <v>100</v>
      </c>
      <c r="N62" s="6" t="n">
        <v>2</v>
      </c>
      <c r="O62" s="6" t="n">
        <v>9</v>
      </c>
      <c r="P62" s="6" t="n">
        <v>6090</v>
      </c>
      <c r="Q62" s="6" t="n">
        <v>1</v>
      </c>
      <c r="R62">
        <f>M62+IF(N62&gt;1,N(O62)*(N62-1),0)</f>
        <v/>
      </c>
      <c r="S62">
        <f>IFERROR(L62*MAX(N62,1)/R62*Q62*IF(ISBLANK(K60),1,K60),0)</f>
        <v/>
      </c>
      <c r="AB62" s="7" t="inlineStr">
        <is>
          <t>^MediumMissile, ^D2KRocket</t>
        </is>
      </c>
    </row>
    <row r="63">
      <c r="B63" s="7" t="inlineStr">
        <is>
          <t xml:space="preserve">  ↳ NaxPlanegunE</t>
        </is>
      </c>
      <c r="C63" s="7" t="inlineStr">
        <is>
          <t>Armament@MG</t>
        </is>
      </c>
      <c r="L63" s="6" t="n">
        <v>2000</v>
      </c>
      <c r="M63" s="6" t="n">
        <v>127</v>
      </c>
      <c r="N63" s="6" t="n">
        <v>10</v>
      </c>
      <c r="O63" s="6" t="n">
        <v>2</v>
      </c>
      <c r="P63" s="6" t="n">
        <v>6090</v>
      </c>
      <c r="Q63" s="6" t="n">
        <v>1.083333333333333</v>
      </c>
      <c r="R63">
        <f>M63+IF(N63&gt;1,N(O63)*(N63-1),0)</f>
        <v/>
      </c>
      <c r="S63">
        <f>IFERROR(L63*MAX(N63,1)/R63*Q63*IF(ISBLANK(K60),1,K60),0)</f>
        <v/>
      </c>
      <c r="AB63" s="7" t="inlineStr">
        <is>
          <t>^Grenade, ^HeavyCannon, ^RA2Chaingun</t>
        </is>
      </c>
    </row>
    <row r="64">
      <c r="B64" s="7" t="inlineStr">
        <is>
          <t xml:space="preserve">  ↳ NaxPlanegunE</t>
        </is>
      </c>
      <c r="C64" s="7" t="inlineStr">
        <is>
          <t>Armament@ELITE</t>
        </is>
      </c>
      <c r="L64" s="6" t="n">
        <v>2000</v>
      </c>
      <c r="M64" s="6" t="n">
        <v>127</v>
      </c>
      <c r="N64" s="6" t="n">
        <v>10</v>
      </c>
      <c r="O64" s="6" t="n">
        <v>2</v>
      </c>
      <c r="P64" s="6" t="n">
        <v>6090</v>
      </c>
      <c r="Q64" s="6" t="n">
        <v>1.083333333333333</v>
      </c>
      <c r="R64">
        <f>M64+IF(N64&gt;1,N(O64)*(N64-1),0)</f>
        <v/>
      </c>
      <c r="S64">
        <f>IFERROR(L64*MAX(N64,1)/R64*Q64*IF(ISBLANK(K60),1,K60),0)</f>
        <v/>
      </c>
      <c r="AB64" s="7" t="inlineStr">
        <is>
          <t>^Grenade, ^HeavyCannon, ^RA2Chaingun</t>
        </is>
      </c>
    </row>
    <row r="65">
      <c r="A65" t="inlineStr">
        <is>
          <t>redalert2mod</t>
        </is>
      </c>
      <c r="B65" t="inlineStr">
        <is>
          <t>schwarzermond_blackbomb</t>
        </is>
      </c>
      <c r="C65" t="inlineStr">
        <is>
          <t>Black Bomb</t>
        </is>
      </c>
      <c r="D65" s="6" t="inlineStr">
        <is>
          <t>Fighter</t>
        </is>
      </c>
      <c r="E65" s="6" t="n">
        <v>37500</v>
      </c>
      <c r="F65" s="6" t="n">
        <v>75</v>
      </c>
      <c r="G65" t="inlineStr">
        <is>
          <t>Fighter</t>
        </is>
      </c>
      <c r="H65" s="6" t="n">
        <v>1</v>
      </c>
      <c r="I65" s="6" t="n">
        <v>1</v>
      </c>
      <c r="J65" s="6" t="n">
        <v>1</v>
      </c>
      <c r="K65" s="6" t="n"/>
      <c r="P65">
        <f>MAX(P66)</f>
        <v/>
      </c>
      <c r="S65">
        <f>S66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(T65+U65+V65)/3</f>
        <v/>
      </c>
      <c r="X65" s="6" t="n">
        <v>3500</v>
      </c>
      <c r="Y65">
        <f>IFERROR(W65-X65,"")</f>
        <v/>
      </c>
      <c r="Z65">
        <f>IFERROR(ABS(Y65)/MAX(X65,1),"")</f>
        <v/>
      </c>
      <c r="AA65">
        <f>IFERROR((X65-(((E65/100000+F65/100+S65/200)*200*I65*H65)+((E65*F65/25000)*I65*H65))/3)/(((J65/5)*200*I65*H65)+((J65*S65/2.5)*I65*H65)+((E65*F65*J65*S65*I65*H65)/12500000))/3*1000,"")</f>
        <v/>
      </c>
    </row>
    <row r="66">
      <c r="B66" s="7" t="inlineStr">
        <is>
          <t xml:space="preserve">  ↳ DemoTruckTargeting</t>
        </is>
      </c>
      <c r="C66" s="7" t="inlineStr">
        <is>
          <t>Armament@PRIMARY</t>
        </is>
      </c>
      <c r="L66" s="6" t="n"/>
      <c r="M66" s="6" t="n"/>
      <c r="N66" s="6" t="n">
        <v>1</v>
      </c>
      <c r="O66" s="6" t="n"/>
      <c r="P66" s="6" t="n">
        <v>2000</v>
      </c>
      <c r="Q66" s="6" t="n">
        <v>1</v>
      </c>
      <c r="R66">
        <f>M66+IF(N66&gt;1,N(O66)*(N66-1),0)</f>
        <v/>
      </c>
      <c r="S66">
        <f>IFERROR(L66*MAX(N66,1)/R66*Q66*IF(ISBLANK(K65),1,K65),0)</f>
        <v/>
      </c>
      <c r="AB66" s="7" t="inlineStr"/>
    </row>
    <row r="67">
      <c r="A67" t="inlineStr">
        <is>
          <t>redalert2mod</t>
        </is>
      </c>
      <c r="B67" t="inlineStr">
        <is>
          <t>schwarzermond_corruptorpiercer</t>
        </is>
      </c>
      <c r="C67" t="inlineStr">
        <is>
          <t>Corruptor Piercer</t>
        </is>
      </c>
      <c r="D67" s="6" t="inlineStr">
        <is>
          <t>Fighter</t>
        </is>
      </c>
      <c r="E67" s="6" t="n">
        <v>37500</v>
      </c>
      <c r="F67" s="6" t="n">
        <v>150</v>
      </c>
      <c r="G67" t="inlineStr">
        <is>
          <t>Fighter</t>
        </is>
      </c>
      <c r="H67" s="6" t="n">
        <v>1</v>
      </c>
      <c r="I67" s="6" t="n">
        <v>1</v>
      </c>
      <c r="J67" s="6" t="n">
        <v>1</v>
      </c>
      <c r="K67" s="6" t="n"/>
      <c r="P67">
        <f>MAX(P68)</f>
        <v/>
      </c>
      <c r="S67">
        <f>S68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2500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NaxCorrosionRocket</t>
        </is>
      </c>
      <c r="C68" s="7" t="inlineStr">
        <is>
          <t>Armament</t>
        </is>
      </c>
      <c r="L68" s="6" t="n">
        <v>2000</v>
      </c>
      <c r="M68" s="6" t="n">
        <v>50</v>
      </c>
      <c r="N68" s="6" t="n">
        <v>2</v>
      </c>
      <c r="O68" s="6" t="n">
        <v>2</v>
      </c>
      <c r="P68" s="6" t="n">
        <v>8000</v>
      </c>
      <c r="Q68" s="6" t="n">
        <v>1.083333333333333</v>
      </c>
      <c r="R68">
        <f>M68+IF(N68&gt;1,N(O68)*(N68-1),0)</f>
        <v/>
      </c>
      <c r="S68">
        <f>IFERROR(L68*MAX(N68,1)/R68*Q68*IF(ISBLANK(K67),1,K67),0)</f>
        <v/>
      </c>
      <c r="AB68" s="7" t="inlineStr">
        <is>
          <t>^Grenade, ^HeavyMissile, ^RA2MediumMissile</t>
        </is>
      </c>
    </row>
    <row r="69">
      <c r="A69" t="inlineStr">
        <is>
          <t>redalert2mod</t>
        </is>
      </c>
      <c r="B69" t="inlineStr">
        <is>
          <t>schwarzermond_drone</t>
        </is>
      </c>
      <c r="C69" t="inlineStr">
        <is>
          <t>Drone</t>
        </is>
      </c>
      <c r="D69" s="6" t="inlineStr">
        <is>
          <t>Fighter</t>
        </is>
      </c>
      <c r="E69" s="6" t="n">
        <v>7500</v>
      </c>
      <c r="F69" s="6" t="n">
        <v>150</v>
      </c>
      <c r="G69" t="inlineStr">
        <is>
          <t>Fighter</t>
        </is>
      </c>
      <c r="H69" s="6" t="n">
        <v>1</v>
      </c>
      <c r="I69" s="6" t="n">
        <v>1</v>
      </c>
      <c r="J69" s="6" t="n">
        <v>1</v>
      </c>
      <c r="K69" s="6" t="n"/>
      <c r="P69">
        <f>MAX(P70,P71)</f>
        <v/>
      </c>
      <c r="S69">
        <f>S70+S71</f>
        <v/>
      </c>
      <c r="T69">
        <f>(E69/100000+F69/100+(P69/1000)*J69/5+S69/200)*200*I69*H69</f>
        <v/>
      </c>
      <c r="U69">
        <f>((E69*F69/25000)+((P69/1000)*J69*S69/2.5))*I69*H69</f>
        <v/>
      </c>
      <c r="V69">
        <f>(E69*F69*(P69/1000)*J69*S69*I69*H69)/12500000</f>
        <v/>
      </c>
      <c r="W69">
        <f>(T69+U69+V69)/3</f>
        <v/>
      </c>
      <c r="X69" s="6" t="n">
        <v>750</v>
      </c>
      <c r="Y69">
        <f>IFERROR(W69-X69,"")</f>
        <v/>
      </c>
      <c r="Z69">
        <f>IFERROR(ABS(Y69)/MAX(X69,1),"")</f>
        <v/>
      </c>
      <c r="AA69">
        <f>IFERROR((X69-(((E69/100000+F69/100+S69/200)*200*I69*H69)+((E69*F69/25000)*I69*H69))/3)/(((J69/5)*200*I69*H69)+((J69*S69/2.5)*I69*H69)+((E69*F69*J69*S69*I69*H69)/12500000))/3*1000,"")</f>
        <v/>
      </c>
    </row>
    <row r="70">
      <c r="B70" s="7" t="inlineStr">
        <is>
          <t xml:space="preserve">  ↳ LunarNaxiDroneLaser</t>
        </is>
      </c>
      <c r="C70" s="7" t="inlineStr">
        <is>
          <t>Armament@PRIMARY</t>
        </is>
      </c>
      <c r="L70" s="6" t="n">
        <v>2000</v>
      </c>
      <c r="M70" s="6" t="n">
        <v>100</v>
      </c>
      <c r="N70" s="6" t="n">
        <v>4</v>
      </c>
      <c r="O70" s="6" t="n">
        <v>3</v>
      </c>
      <c r="P70" s="6" t="n">
        <v>5760</v>
      </c>
      <c r="Q70" s="6" t="n">
        <v>0.9375</v>
      </c>
      <c r="R70">
        <f>M70+IF(N70&gt;1,N(O70)*(N70-1),0)</f>
        <v/>
      </c>
      <c r="S70">
        <f>IFERROR(L70*MAX(N70,1)/R70*Q70*IF(ISBLANK(K69),1,K69),0)</f>
        <v/>
      </c>
      <c r="AB70" s="7" t="inlineStr">
        <is>
          <t>^SmallArms, ^Chaingun, ^MediumMissile, ^LaserWeapon</t>
        </is>
      </c>
    </row>
    <row r="71">
      <c r="B71" s="7" t="inlineStr">
        <is>
          <t xml:space="preserve">  ↳ LunarNaxiDroneMissile</t>
        </is>
      </c>
      <c r="C71" s="7" t="inlineStr">
        <is>
          <t>Armament@Rockets</t>
        </is>
      </c>
      <c r="L71" s="6" t="n">
        <v>2000</v>
      </c>
      <c r="M71" s="6" t="n">
        <v>100</v>
      </c>
      <c r="N71" s="6" t="n">
        <v>2</v>
      </c>
      <c r="O71" s="6" t="n">
        <v>9</v>
      </c>
      <c r="P71" s="6" t="n">
        <v>5760</v>
      </c>
      <c r="Q71" s="6" t="n">
        <v>1.05</v>
      </c>
      <c r="R71">
        <f>M71+IF(N71&gt;1,N(O71)*(N71-1),0)</f>
        <v/>
      </c>
      <c r="S71">
        <f>IFERROR(L71*MAX(N71,1)/R71*Q71*IF(ISBLANK(K69),1,K69),0)</f>
        <v/>
      </c>
      <c r="AB71" s="7" t="inlineStr">
        <is>
          <t>^HeavyMissile, ^HeavyAAWeapon, ^MediumMissile, ^FlakWeapon, ^ArrowWeapon, ^RA2LightMissile</t>
        </is>
      </c>
    </row>
    <row r="72">
      <c r="A72" t="inlineStr">
        <is>
          <t>redalert2mod</t>
        </is>
      </c>
      <c r="B72" t="inlineStr">
        <is>
          <t>futuretech_twister</t>
        </is>
      </c>
      <c r="C72" t="inlineStr">
        <is>
          <t>Twister</t>
        </is>
      </c>
      <c r="D72" s="6" t="inlineStr">
        <is>
          <t>Fighter</t>
        </is>
      </c>
      <c r="E72" s="6" t="n">
        <v>50000</v>
      </c>
      <c r="F72" s="6" t="n">
        <v>150</v>
      </c>
      <c r="G72" t="inlineStr">
        <is>
          <t>Fighter</t>
        </is>
      </c>
      <c r="H72" s="6" t="n">
        <v>1</v>
      </c>
      <c r="I72" s="6" t="n">
        <v>1</v>
      </c>
      <c r="J72" s="6" t="n">
        <v>1</v>
      </c>
      <c r="K72" s="6" t="n"/>
      <c r="P72">
        <f>MAX(P73,P74)</f>
        <v/>
      </c>
      <c r="S72">
        <f>S73+S74</f>
        <v/>
      </c>
      <c r="T72">
        <f>(E72/100000+F72/100+(P72/1000)*J72/5+S72/200)*200*I72*H72</f>
        <v/>
      </c>
      <c r="U72">
        <f>((E72*F72/25000)+((P72/1000)*J72*S72/2.5))*I72*H72</f>
        <v/>
      </c>
      <c r="V72">
        <f>(E72*F72*(P72/1000)*J72*S72*I72*H72)/12500000</f>
        <v/>
      </c>
      <c r="W72">
        <f>(T72+U72+V72)/3</f>
        <v/>
      </c>
      <c r="X72" s="6" t="n">
        <v>1000</v>
      </c>
      <c r="Y72">
        <f>IFERROR(W72-X72,"")</f>
        <v/>
      </c>
      <c r="Z72">
        <f>IFERROR(ABS(Y72)/MAX(X72,1),"")</f>
        <v/>
      </c>
      <c r="AA72">
        <f>IFERROR((X72-(((E72/100000+F72/100+S72/200)*200*I72*H72)+((E72*F72/25000)*I72*H72))/3)/(((J72/5)*200*I72*H72)+((J72*S72/2.5)*I72*H72)+((E72*F72*J72*S72*I72*H72)/12500000))/3*1000,"")</f>
        <v/>
      </c>
    </row>
    <row r="73">
      <c r="B73" s="7" t="inlineStr">
        <is>
          <t xml:space="preserve">  ↳ SteelTwisterMissiles</t>
        </is>
      </c>
      <c r="C73" s="7" t="inlineStr">
        <is>
          <t>Armament@PRIMARY</t>
        </is>
      </c>
      <c r="L73" s="6" t="n">
        <v>2000</v>
      </c>
      <c r="M73" s="6" t="n">
        <v>105</v>
      </c>
      <c r="N73" s="6" t="n">
        <v>5</v>
      </c>
      <c r="O73" s="6" t="n">
        <v>5</v>
      </c>
      <c r="P73" s="6" t="n">
        <v>5000</v>
      </c>
      <c r="Q73" s="6" t="n">
        <v>1.05</v>
      </c>
      <c r="R73">
        <f>M73+IF(N73&gt;1,N(O73)*(N73-1),0)</f>
        <v/>
      </c>
      <c r="S73">
        <f>IFERROR(L73*MAX(N73,1)/R73*Q73*IF(ISBLANK(K72),1,K72),0)</f>
        <v/>
      </c>
      <c r="AB73" s="7" t="inlineStr">
        <is>
          <t>^Grenade, ^MediumFlameWeapon, ^FlakWeapon, ^HeavyAAWeapon, ^SteelMediumMissile</t>
        </is>
      </c>
    </row>
    <row r="74">
      <c r="B74" s="7" t="inlineStr">
        <is>
          <t xml:space="preserve">  ↳ SteelTwisterMissilesE</t>
        </is>
      </c>
      <c r="C74" s="7" t="inlineStr">
        <is>
          <t>Armament@PRIMARYELITE</t>
        </is>
      </c>
      <c r="L74" s="6" t="n">
        <v>2000</v>
      </c>
      <c r="M74" s="6" t="n">
        <v>105</v>
      </c>
      <c r="N74" s="6" t="n">
        <v>10</v>
      </c>
      <c r="O74" s="6" t="n">
        <v>5</v>
      </c>
      <c r="P74" s="6" t="n">
        <v>6000</v>
      </c>
      <c r="Q74" s="6" t="n">
        <v>1.05</v>
      </c>
      <c r="R74">
        <f>M74+IF(N74&gt;1,N(O74)*(N74-1),0)</f>
        <v/>
      </c>
      <c r="S74">
        <f>IFERROR(L74*MAX(N74,1)/R74*Q74*IF(ISBLANK(K72),1,K72),0)</f>
        <v/>
      </c>
      <c r="AB74" s="7" t="inlineStr">
        <is>
          <t>^Grenade, ^MediumFlameWeapon, ^FlakWeapon, ^HeavyAAWeapon, ^SteelMediumMissile</t>
        </is>
      </c>
    </row>
    <row r="75">
      <c r="A75" t="inlineStr">
        <is>
          <t>d2k</t>
        </is>
      </c>
      <c r="B75" t="inlineStr">
        <is>
          <t>ordos_swarmerdrone</t>
        </is>
      </c>
      <c r="C75" t="inlineStr">
        <is>
          <t>Swarmer Drone</t>
        </is>
      </c>
      <c r="D75" s="6" t="inlineStr">
        <is>
          <t>Fighter</t>
        </is>
      </c>
      <c r="E75" s="6" t="n">
        <v>20000</v>
      </c>
      <c r="F75" s="6" t="n">
        <v>260</v>
      </c>
      <c r="G75" t="inlineStr">
        <is>
          <t>Fighter</t>
        </is>
      </c>
      <c r="H75" s="6" t="n">
        <v>1</v>
      </c>
      <c r="I75" s="6" t="n">
        <v>1</v>
      </c>
      <c r="J75" s="6" t="n">
        <v>1</v>
      </c>
      <c r="K75" s="6" t="n"/>
      <c r="P75">
        <f>MAX(P76,P77)</f>
        <v/>
      </c>
      <c r="S75">
        <f>S76+S77</f>
        <v/>
      </c>
      <c r="T75">
        <f>(E75/100000+F75/100+(P75/1000)*J75/5+S75/200)*200*I75*H75</f>
        <v/>
      </c>
      <c r="U75">
        <f>((E75*F75/25000)+((P75/1000)*J75*S75/2.5))*I75*H75</f>
        <v/>
      </c>
      <c r="V75">
        <f>(E75*F75*(P75/1000)*J75*S75*I75*H75)/12500000</f>
        <v/>
      </c>
      <c r="W75">
        <f>(T75+U75+V75)/3</f>
        <v/>
      </c>
      <c r="X75" s="6" t="n">
        <v>800</v>
      </c>
      <c r="Y75">
        <f>IFERROR(W75-X75,"")</f>
        <v/>
      </c>
      <c r="Z75">
        <f>IFERROR(ABS(Y75)/MAX(X75,1),"")</f>
        <v/>
      </c>
      <c r="AA75">
        <f>IFERROR((X75-(((E75/100000+F75/100+S75/200)*200*I75*H75)+((E75*F75/25000)*I75*H75))/3)/(((J75/5)*200*I75*H75)+((J75*S75/2.5)*I75*H75)+((E75*F75*J75*S75*I75*H75)/12500000))/3*1000,"")</f>
        <v/>
      </c>
    </row>
    <row r="76">
      <c r="B76" s="7" t="inlineStr">
        <is>
          <t xml:space="preserve">  ↳ d2kChainGun</t>
        </is>
      </c>
      <c r="C76" s="7" t="inlineStr">
        <is>
          <t>Armament@PRIMARY</t>
        </is>
      </c>
      <c r="L76" s="6" t="n">
        <v>4000</v>
      </c>
      <c r="M76" s="6" t="n">
        <v>60</v>
      </c>
      <c r="N76" s="6" t="n">
        <v>5</v>
      </c>
      <c r="O76" s="6" t="n">
        <v>2</v>
      </c>
      <c r="P76" s="6" t="n">
        <v>6184</v>
      </c>
      <c r="Q76" s="6" t="n">
        <v>1</v>
      </c>
      <c r="R76">
        <f>M76+IF(N76&gt;1,N(O76)*(N76-1),0)</f>
        <v/>
      </c>
      <c r="S76">
        <f>IFERROR(L76*MAX(N76,1)/R76*Q76*IF(ISBLANK(K75),1,K75),0)</f>
        <v/>
      </c>
      <c r="AB76" s="7" t="inlineStr">
        <is>
          <t>^Chaingun</t>
        </is>
      </c>
    </row>
    <row r="77">
      <c r="B77" s="7" t="inlineStr">
        <is>
          <t xml:space="preserve">  ↳ d2kChainGun_upgrade</t>
        </is>
      </c>
      <c r="C77" s="7" t="inlineStr">
        <is>
          <t>Armament@PRIMARYLaser</t>
        </is>
      </c>
      <c r="L77" s="6" t="n">
        <v>4000</v>
      </c>
      <c r="M77" s="6" t="n">
        <v>60</v>
      </c>
      <c r="N77" s="6" t="n">
        <v>5</v>
      </c>
      <c r="O77" s="6" t="n">
        <v>2</v>
      </c>
      <c r="P77" s="6" t="n">
        <v>6184</v>
      </c>
      <c r="Q77" s="6" t="n">
        <v>1</v>
      </c>
      <c r="R77">
        <f>M77+IF(N77&gt;1,N(O77)*(N77-1),0)</f>
        <v/>
      </c>
      <c r="S77">
        <f>IFERROR(L77*MAX(N77,1)/R77*Q77*IF(ISBLANK(K75),1,K75),0)</f>
        <v/>
      </c>
      <c r="AB77" s="7" t="inlineStr">
        <is>
          <t>^LaserWeapon, ^Chaingun</t>
        </is>
      </c>
    </row>
    <row r="78">
      <c r="A78" t="inlineStr">
        <is>
          <t>starcraft</t>
        </is>
      </c>
      <c r="B78" t="inlineStr">
        <is>
          <t>zerg_scourge</t>
        </is>
      </c>
      <c r="C78" t="inlineStr">
        <is>
          <t>Scourge</t>
        </is>
      </c>
      <c r="D78" s="6" t="inlineStr">
        <is>
          <t>Fighter</t>
        </is>
      </c>
      <c r="E78" s="6" t="n">
        <v>25000</v>
      </c>
      <c r="F78" s="6" t="n">
        <v>200</v>
      </c>
      <c r="G78" t="inlineStr">
        <is>
          <t>Fighter</t>
        </is>
      </c>
      <c r="H78" s="6" t="n">
        <v>1</v>
      </c>
      <c r="I78" s="6" t="n">
        <v>1</v>
      </c>
      <c r="J78" s="6" t="n">
        <v>1</v>
      </c>
      <c r="K78" s="6" t="n"/>
      <c r="P78">
        <f>MAX(P79)</f>
        <v/>
      </c>
      <c r="S78">
        <f>S79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(T78+U78+V78)/3</f>
        <v/>
      </c>
      <c r="X78" s="6" t="n">
        <v>700</v>
      </c>
      <c r="Y78">
        <f>IFERROR(W78-X78,"")</f>
        <v/>
      </c>
      <c r="Z78">
        <f>IFERROR(ABS(Y78)/MAX(X78,1),"")</f>
        <v/>
      </c>
      <c r="AA78">
        <f>IFERROR((X78-(((E78/100000+F78/100+S78/200)*200*I78*H78)+((E78*F78/25000)*I78*H78))/3)/(((J78/5)*200*I78*H78)+((J78*S78/2.5)*I78*H78)+((E78*F78*J78*S78*I78*H78)/12500000))/3*1000,"")</f>
        <v/>
      </c>
    </row>
    <row r="79">
      <c r="B79" s="7" t="inlineStr">
        <is>
          <t xml:space="preserve">  ↳ ScourgeExplosion</t>
        </is>
      </c>
      <c r="C79" s="7" t="inlineStr">
        <is>
          <t>Armament@PRIMARY</t>
        </is>
      </c>
      <c r="L79" s="6" t="n">
        <v>50000</v>
      </c>
      <c r="M79" s="6" t="n">
        <v>25</v>
      </c>
      <c r="N79" s="6" t="n">
        <v>1</v>
      </c>
      <c r="O79" s="6" t="n"/>
      <c r="P79" s="6" t="n">
        <v>2000</v>
      </c>
      <c r="Q79" s="6" t="n">
        <v>1.083333333333333</v>
      </c>
      <c r="R79">
        <f>M79+IF(N79&gt;1,N(O79)*(N79-1),0)</f>
        <v/>
      </c>
      <c r="S79">
        <f>IFERROR(L79*MAX(N79,1)/R79*Q79*IF(ISBLANK(K78),1,K78),0)</f>
        <v/>
      </c>
      <c r="AB79" s="7" t="inlineStr">
        <is>
          <t>^HeavyBomb, ^ShrapnelWeapon, ^RA2Grenade</t>
        </is>
      </c>
    </row>
    <row r="80">
      <c r="A80" s="4" t="inlineStr">
        <is>
          <t>Bomber</t>
        </is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</row>
    <row r="81">
      <c r="A81" t="inlineStr">
        <is>
          <t>tiberiandawn</t>
        </is>
      </c>
      <c r="B81" t="inlineStr">
        <is>
          <t>A10</t>
        </is>
      </c>
      <c r="C81" t="inlineStr">
        <is>
          <t>A10 Bomber</t>
        </is>
      </c>
      <c r="D81" s="6" t="inlineStr">
        <is>
          <t>Bomber</t>
        </is>
      </c>
      <c r="E81" s="6" t="n">
        <v>50000</v>
      </c>
      <c r="F81" s="6" t="n">
        <v>250</v>
      </c>
      <c r="G81" t="inlineStr">
        <is>
          <t>Bomber</t>
        </is>
      </c>
      <c r="H81" s="6" t="n">
        <v>1</v>
      </c>
      <c r="I81" s="6" t="n">
        <v>1</v>
      </c>
      <c r="J81" s="6" t="n">
        <v>1</v>
      </c>
      <c r="K81" s="6" t="n"/>
      <c r="P81">
        <f>MAX(P82,P83)</f>
        <v/>
      </c>
      <c r="S81">
        <f>S82+S83</f>
        <v/>
      </c>
      <c r="T81">
        <f>(E81/100000+F81/100+(P81/1000)*J81/5+S81/200)*200*I81*H81</f>
        <v/>
      </c>
      <c r="U81">
        <f>((E81*F81/25000)+((P81/1000)*J81*S81/2.5))*I81*H81</f>
        <v/>
      </c>
      <c r="V81">
        <f>(E81*F81*(P81/1000)*J81*S81*I81*H81)/12500000</f>
        <v/>
      </c>
      <c r="W81">
        <f>(T81+U81+V81)/3</f>
        <v/>
      </c>
      <c r="X81" s="6" t="n">
        <v>2500</v>
      </c>
      <c r="Y81">
        <f>IFERROR(W81-X81,"")</f>
        <v/>
      </c>
      <c r="Z81">
        <f>IFERROR(ABS(Y81)/MAX(X81,1),"")</f>
        <v/>
      </c>
      <c r="AA81">
        <f>IFERROR((X81-(((E81/100000+F81/100+S81/200)*200*I81*H81)+((E81*F81/25000)*I81*H81))/3)/(((J81/5)*200*I81*H81)+((J81*S81/2.5)*I81*H81)+((E81*F81*J81*S81*I81*H81)/12500000))/3*1000,"")</f>
        <v/>
      </c>
    </row>
    <row r="82">
      <c r="B82" s="7" t="inlineStr">
        <is>
          <t xml:space="preserve">  ↳ Vulcan</t>
        </is>
      </c>
      <c r="C82" s="7" t="inlineStr">
        <is>
          <t>Armament@GUNS</t>
        </is>
      </c>
      <c r="L82" s="6" t="n">
        <v>12000</v>
      </c>
      <c r="M82" s="6" t="n">
        <v>125</v>
      </c>
      <c r="N82" s="6" t="n">
        <v>10</v>
      </c>
      <c r="O82" s="6" t="n">
        <v>2</v>
      </c>
      <c r="P82" s="6" t="n">
        <v>10000</v>
      </c>
      <c r="Q82" s="6" t="n">
        <v>1</v>
      </c>
      <c r="R82">
        <f>M82+IF(N82&gt;1,N(O82)*(N82-1),0)</f>
        <v/>
      </c>
      <c r="S82">
        <f>IFERROR(L82*MAX(N82,1)/R82*Q82*IF(ISBLANK(K81),1,K81),0)</f>
        <v/>
      </c>
      <c r="AB82" s="7" t="inlineStr">
        <is>
          <t>^Chaingun</t>
        </is>
      </c>
    </row>
    <row r="83">
      <c r="B83" s="7" t="inlineStr">
        <is>
          <t xml:space="preserve">  ↳ Napalm</t>
        </is>
      </c>
      <c r="C83" s="7" t="inlineStr">
        <is>
          <t>Armament@BOMBS</t>
        </is>
      </c>
      <c r="L83" s="6" t="n">
        <v>6000</v>
      </c>
      <c r="M83" s="6" t="n">
        <v>2</v>
      </c>
      <c r="N83" s="6" t="n">
        <v>1</v>
      </c>
      <c r="O83" s="6" t="n"/>
      <c r="P83" s="6" t="n">
        <v>2000</v>
      </c>
      <c r="Q83" s="6" t="n">
        <v>1.25</v>
      </c>
      <c r="R83">
        <f>M83+IF(N83&gt;1,N(O83)*(N83-1),0)</f>
        <v/>
      </c>
      <c r="S83">
        <f>IFERROR(L83*MAX(N83,1)/R83*Q83*IF(ISBLANK(K81),1,K81),0)</f>
        <v/>
      </c>
      <c r="AB83" s="7" t="inlineStr">
        <is>
          <t>^HeavyBomb, ^HeavyFlameWeapon</t>
        </is>
      </c>
    </row>
    <row r="84">
      <c r="A84" t="inlineStr">
        <is>
          <t>tiberiandawn</t>
        </is>
      </c>
      <c r="B84" t="inlineStr">
        <is>
          <t>A10Carrier</t>
        </is>
      </c>
      <c r="C84" t="inlineStr">
        <is>
          <t>A10 Bomber</t>
        </is>
      </c>
      <c r="D84" s="6" t="inlineStr">
        <is>
          <t>Bomber</t>
        </is>
      </c>
      <c r="E84" s="6" t="n">
        <v>10000</v>
      </c>
      <c r="F84" s="6" t="n">
        <v>200</v>
      </c>
      <c r="G84" t="inlineStr">
        <is>
          <t>Bomber</t>
        </is>
      </c>
      <c r="H84" s="6" t="n">
        <v>1</v>
      </c>
      <c r="I84" s="6" t="n">
        <v>1</v>
      </c>
      <c r="J84" s="6" t="n">
        <v>1</v>
      </c>
      <c r="K84" s="6" t="n"/>
      <c r="P84">
        <f>MAX(P85,P86,P87)</f>
        <v/>
      </c>
      <c r="S84">
        <f>S85+S86+S87</f>
        <v/>
      </c>
      <c r="T84">
        <f>(E84/100000+F84/100+(P84/1000)*J84/5+S84/200)*200*I84*H84</f>
        <v/>
      </c>
      <c r="U84">
        <f>((E84*F84/25000)+((P84/1000)*J84*S84/2.5))*I84*H84</f>
        <v/>
      </c>
      <c r="V84">
        <f>(E84*F84*(P84/1000)*J84*S84*I84*H84)/12500000</f>
        <v/>
      </c>
      <c r="W84">
        <f>(T84+U84+V84)/3</f>
        <v/>
      </c>
      <c r="X84" s="6" t="n">
        <v>2000</v>
      </c>
      <c r="Y84">
        <f>IFERROR(W84-X84,"")</f>
        <v/>
      </c>
      <c r="Z84">
        <f>IFERROR(ABS(Y84)/MAX(X84,1),"")</f>
        <v/>
      </c>
      <c r="AA84">
        <f>IFERROR((X84-(((E84/100000+F84/100+S84/200)*200*I84*H84)+((E84*F84/25000)*I84*H84))/3)/(((J84/5)*200*I84*H84)+((J84*S84/2.5)*I84*H84)+((E84*F84*J84*S84*I84*H84)/12500000))/3*1000,"")</f>
        <v/>
      </c>
    </row>
    <row r="85">
      <c r="B85" s="7" t="inlineStr">
        <is>
          <t xml:space="preserve">  ↳ VulcanA10Carrier</t>
        </is>
      </c>
      <c r="C85" s="7" t="inlineStr">
        <is>
          <t>Armament@GUNS</t>
        </is>
      </c>
      <c r="L85" s="6" t="n">
        <v>6000</v>
      </c>
      <c r="M85" s="6" t="n">
        <v>125</v>
      </c>
      <c r="N85" s="6" t="n">
        <v>10</v>
      </c>
      <c r="O85" s="6" t="n">
        <v>2</v>
      </c>
      <c r="P85" s="6" t="n">
        <v>5000</v>
      </c>
      <c r="Q85" s="6" t="n">
        <v>1</v>
      </c>
      <c r="R85">
        <f>M85+IF(N85&gt;1,N(O85)*(N85-1),0)</f>
        <v/>
      </c>
      <c r="S85">
        <f>IFERROR(L85*MAX(N85,1)/R85*Q85*IF(ISBLANK(K84),1,K84),0)</f>
        <v/>
      </c>
      <c r="AB85" s="7" t="inlineStr">
        <is>
          <t>^Chaingun</t>
        </is>
      </c>
    </row>
    <row r="86">
      <c r="B86" s="7" t="inlineStr">
        <is>
          <t xml:space="preserve">  ↳ NapalmA10Carrier</t>
        </is>
      </c>
      <c r="C86" s="7" t="inlineStr">
        <is>
          <t>Armament@BOMBS</t>
        </is>
      </c>
      <c r="L86" s="6" t="n">
        <v>4000</v>
      </c>
      <c r="M86" s="6" t="n">
        <v>2</v>
      </c>
      <c r="N86" s="6" t="n">
        <v>1</v>
      </c>
      <c r="O86" s="6" t="n"/>
      <c r="P86" s="6" t="n">
        <v>1000</v>
      </c>
      <c r="Q86" s="6" t="n">
        <v>1.25</v>
      </c>
      <c r="R86">
        <f>M86+IF(N86&gt;1,N(O86)*(N86-1),0)</f>
        <v/>
      </c>
      <c r="S86">
        <f>IFERROR(L86*MAX(N86,1)/R86*Q86*IF(ISBLANK(K84),1,K84),0)</f>
        <v/>
      </c>
      <c r="AB86" s="7" t="inlineStr">
        <is>
          <t>^HeavyBomb, ^HeavyFlameWeapon</t>
        </is>
      </c>
    </row>
    <row r="87">
      <c r="B87" s="7" t="inlineStr">
        <is>
          <t xml:space="preserve">  ↳ A10CarrierMissiles</t>
        </is>
      </c>
      <c r="C87" s="7" t="inlineStr">
        <is>
          <t>Armament@AA</t>
        </is>
      </c>
      <c r="L87" s="6" t="n">
        <v>12000</v>
      </c>
      <c r="M87" s="6" t="n">
        <v>100</v>
      </c>
      <c r="N87" s="6" t="n">
        <v>2</v>
      </c>
      <c r="O87" s="6" t="n">
        <v>2</v>
      </c>
      <c r="P87" s="6" t="n">
        <v>5000</v>
      </c>
      <c r="Q87" s="6" t="n">
        <v>1.25</v>
      </c>
      <c r="R87">
        <f>M87+IF(N87&gt;1,N(O87)*(N87-1),0)</f>
        <v/>
      </c>
      <c r="S87">
        <f>IFERROR(L87*MAX(N87,1)/R87*Q87*IF(ISBLANK(K84),1,K84),0)</f>
        <v/>
      </c>
      <c r="AB87" s="7" t="inlineStr">
        <is>
          <t>^HeavyMissile, ^ImpactGlow</t>
        </is>
      </c>
    </row>
    <row r="88">
      <c r="A88" t="inlineStr">
        <is>
          <t>tiberiandawn</t>
        </is>
      </c>
      <c r="B88" t="inlineStr">
        <is>
          <t>td_gdi_firehawk</t>
        </is>
      </c>
      <c r="C88" t="inlineStr">
        <is>
          <t>Firehawk</t>
        </is>
      </c>
      <c r="D88" s="6" t="inlineStr">
        <is>
          <t>Bomber</t>
        </is>
      </c>
      <c r="E88" s="6" t="n">
        <v>180000</v>
      </c>
      <c r="F88" s="6" t="n">
        <v>180</v>
      </c>
      <c r="G88" t="inlineStr">
        <is>
          <t>Bomber</t>
        </is>
      </c>
      <c r="H88" s="6" t="n">
        <v>0.75</v>
      </c>
      <c r="I88" s="6" t="n">
        <v>1</v>
      </c>
      <c r="J88" s="6" t="n">
        <v>1</v>
      </c>
      <c r="K88" s="6" t="n">
        <v>1.2</v>
      </c>
      <c r="P88">
        <f>MAX(P89,P90,P91)</f>
        <v/>
      </c>
      <c r="S88">
        <f>S89+S90+S91</f>
        <v/>
      </c>
      <c r="T88">
        <f>(E88/100000+F88/100+(P88/1000)*J88/5+S88/200)*200*I88*H88</f>
        <v/>
      </c>
      <c r="U88">
        <f>((E88*F88/25000)+((P88/1000)*J88*S88/2.5))*I88*H88</f>
        <v/>
      </c>
      <c r="V88">
        <f>(E88*F88*(P88/1000)*J88*S88*I88*H88)/12500000</f>
        <v/>
      </c>
      <c r="W88">
        <f>(T88+U88+V88)/3</f>
        <v/>
      </c>
      <c r="X88" s="6" t="n">
        <v>2000</v>
      </c>
      <c r="Y88">
        <f>IFERROR(W88-X88,"")</f>
        <v/>
      </c>
      <c r="Z88">
        <f>IFERROR(ABS(Y88)/MAX(X88,1),"")</f>
        <v/>
      </c>
      <c r="AA88">
        <f>IFERROR((X88-(((E88/100000+F88/100+S88/200)*200*I88*H88)+((E88*F88/25000)*I88*H88))/3)/(((J88/5)*200*I88*H88)+((J88*S88/2.5)*I88*H88)+((E88*F88*J88*S88*I88*H88)/12500000))/3*1000,"")</f>
        <v/>
      </c>
    </row>
    <row r="89">
      <c r="B89" s="7" t="inlineStr">
        <is>
          <t xml:space="preserve">  ↳ FirehawkMissiles</t>
        </is>
      </c>
      <c r="C89" s="7" t="inlineStr">
        <is>
          <t>Armament</t>
        </is>
      </c>
      <c r="L89" s="6" t="n">
        <v>20000</v>
      </c>
      <c r="M89" s="6" t="n">
        <v>50</v>
      </c>
      <c r="N89" s="6" t="n">
        <v>2</v>
      </c>
      <c r="O89" s="6" t="n">
        <v>5</v>
      </c>
      <c r="P89" s="6" t="n">
        <v>12500</v>
      </c>
      <c r="Q89" s="6" t="n">
        <v>1.25</v>
      </c>
      <c r="R89">
        <f>M89+IF(N89&gt;1,N(O89)*(N89-1),0)</f>
        <v/>
      </c>
      <c r="S89">
        <f>IFERROR(L89*MAX(N89,1)/R89*Q89*IF(ISBLANK(K88),1,K88),0)</f>
        <v/>
      </c>
      <c r="AB89" s="7" t="inlineStr">
        <is>
          <t>^HeavyMissile, ^ImpactGlow</t>
        </is>
      </c>
    </row>
    <row r="90">
      <c r="B90" s="7" t="inlineStr">
        <is>
          <t xml:space="preserve">  ↳ FirehawkMissiles</t>
        </is>
      </c>
      <c r="C90" s="7" t="inlineStr">
        <is>
          <t>Armament@td_gdi_upgrade_advancedmissiletargeting</t>
        </is>
      </c>
      <c r="L90" s="6" t="n">
        <v>20000</v>
      </c>
      <c r="M90" s="6" t="n">
        <v>50</v>
      </c>
      <c r="N90" s="6" t="n">
        <v>2</v>
      </c>
      <c r="O90" s="6" t="n">
        <v>5</v>
      </c>
      <c r="P90" s="6" t="n">
        <v>12500</v>
      </c>
      <c r="Q90" s="6" t="n">
        <v>1.25</v>
      </c>
      <c r="R90">
        <f>M90+IF(N90&gt;1,N(O90)*(N90-1),0)</f>
        <v/>
      </c>
      <c r="S90">
        <f>IFERROR(L90*MAX(N90,1)/R90*Q90*IF(ISBLANK(K88),1,K88),0)</f>
        <v/>
      </c>
      <c r="AB90" s="7" t="inlineStr">
        <is>
          <t>^HeavyMissile, ^ImpactGlow</t>
        </is>
      </c>
    </row>
    <row r="91">
      <c r="B91" s="7" t="inlineStr">
        <is>
          <t xml:space="preserve">  ↳ FirehawkBomb</t>
        </is>
      </c>
      <c r="C91" s="7" t="inlineStr">
        <is>
          <t>Armament@BOMBS</t>
        </is>
      </c>
      <c r="L91" s="6" t="n">
        <v>10000</v>
      </c>
      <c r="M91" s="6" t="n">
        <v>50</v>
      </c>
      <c r="N91" s="6" t="n">
        <v>2</v>
      </c>
      <c r="O91" s="6" t="n">
        <v>2</v>
      </c>
      <c r="P91" s="6" t="n">
        <v>1250</v>
      </c>
      <c r="Q91" s="6" t="n">
        <v>2.0625</v>
      </c>
      <c r="R91">
        <f>M91+IF(N91&gt;1,N(O91)*(N91-1),0)</f>
        <v/>
      </c>
      <c r="S91">
        <f>IFERROR(L91*MAX(N91,1)/R91*Q91*IF(ISBLANK(K88),1,K88),0)</f>
        <v/>
      </c>
      <c r="AB91" s="7" t="inlineStr">
        <is>
          <t>^HeavyBomb, ^NuclearWarhead, ^ShrapnelWeapon, ^MediumFlameWeapon</t>
        </is>
      </c>
    </row>
    <row r="92">
      <c r="A92" t="inlineStr">
        <is>
          <t>shared</t>
        </is>
      </c>
      <c r="B92" t="inlineStr">
        <is>
          <t>japan_zerofighter_slave</t>
        </is>
      </c>
      <c r="C92" t="inlineStr">
        <is>
          <t>Zero Fighter</t>
        </is>
      </c>
      <c r="D92" s="6" t="inlineStr">
        <is>
          <t>Bomber</t>
        </is>
      </c>
      <c r="E92" s="6" t="n">
        <v>7500</v>
      </c>
      <c r="F92" s="6" t="n">
        <v>175</v>
      </c>
      <c r="G92" t="inlineStr">
        <is>
          <t>Bomber</t>
        </is>
      </c>
      <c r="H92" s="6" t="n">
        <v>1</v>
      </c>
      <c r="I92" s="6" t="n">
        <v>1</v>
      </c>
      <c r="J92" s="6" t="n">
        <v>1</v>
      </c>
      <c r="K92" s="6" t="n">
        <v>0.5</v>
      </c>
      <c r="P92">
        <f>MAX(P93,P94,P95,P96,P97)</f>
        <v/>
      </c>
      <c r="S92">
        <f>S93+S94+S95+S96+S97</f>
        <v/>
      </c>
      <c r="T92">
        <f>(E92/100000+F92/100+(P92/1000)*J92/5+S92/200)*200*I92*H92</f>
        <v/>
      </c>
      <c r="U92">
        <f>((E92*F92/25000)+((P92/1000)*J92*S92/2.5))*I92*H92</f>
        <v/>
      </c>
      <c r="V92">
        <f>(E92*F92*(P92/1000)*J92*S92*I92*H92)/12500000</f>
        <v/>
      </c>
      <c r="W92">
        <f>(T92+U92+V92)/3</f>
        <v/>
      </c>
      <c r="X92" s="6" t="n">
        <v>1500</v>
      </c>
      <c r="Y92">
        <f>IFERROR(W92-X92,"")</f>
        <v/>
      </c>
      <c r="Z92">
        <f>IFERROR(ABS(Y92)/MAX(X92,1),"")</f>
        <v/>
      </c>
      <c r="AA92">
        <f>IFERROR((X92-(((E92/100000+F92/100+S92/200)*200*I92*H92)+((E92*F92/25000)*I92*H92))/3)/(((J92/5)*200*I92*H92)+((J92*S92/2.5)*I92*H92)+((E92*F92*J92*S92*I92*H92)/12500000))/3*1000,"")</f>
        <v/>
      </c>
    </row>
    <row r="93">
      <c r="B93" s="7" t="inlineStr">
        <is>
          <t xml:space="preserve">  ↳ ZeroFighterChainGun</t>
        </is>
      </c>
      <c r="C93" s="7" t="inlineStr">
        <is>
          <t>Armament@PRIMARY</t>
        </is>
      </c>
      <c r="L93" s="6" t="n">
        <v>6000</v>
      </c>
      <c r="M93" s="6" t="n">
        <v>92</v>
      </c>
      <c r="N93" s="6" t="n">
        <v>12</v>
      </c>
      <c r="O93" s="6" t="n">
        <v>4</v>
      </c>
      <c r="P93" s="6" t="n">
        <v>6615</v>
      </c>
      <c r="Q93" s="6" t="n">
        <v>1</v>
      </c>
      <c r="R93">
        <f>M93+IF(N93&gt;1,N(O93)*(N93-1),0)</f>
        <v/>
      </c>
      <c r="S93">
        <f>IFERROR(L93*MAX(N93,1)/R93*Q93*IF(ISBLANK(K92),1,K92),0)</f>
        <v/>
      </c>
      <c r="AB93" s="7" t="inlineStr">
        <is>
          <t>^Chaingun</t>
        </is>
      </c>
    </row>
    <row r="94">
      <c r="B94" s="7" t="inlineStr">
        <is>
          <t xml:space="preserve">  ↳ ZeroFighterChainGun</t>
        </is>
      </c>
      <c r="C94" s="7" t="inlineStr">
        <is>
          <t>Armament@SECONDARY</t>
        </is>
      </c>
      <c r="L94" s="6" t="n">
        <v>6000</v>
      </c>
      <c r="M94" s="6" t="n">
        <v>92</v>
      </c>
      <c r="N94" s="6" t="n">
        <v>12</v>
      </c>
      <c r="O94" s="6" t="n">
        <v>4</v>
      </c>
      <c r="P94" s="6" t="n">
        <v>6615</v>
      </c>
      <c r="Q94" s="6" t="n">
        <v>1</v>
      </c>
      <c r="R94">
        <f>M94+IF(N94&gt;1,N(O94)*(N94-1),0)</f>
        <v/>
      </c>
      <c r="S94">
        <f>IFERROR(L94*MAX(N94,1)/R94*Q94*IF(ISBLANK(K92),1,K92),0)</f>
        <v/>
      </c>
      <c r="AB94" s="7" t="inlineStr">
        <is>
          <t>^Chaingun</t>
        </is>
      </c>
    </row>
    <row r="95">
      <c r="B95" s="7" t="inlineStr">
        <is>
          <t xml:space="preserve">  ↳ ZeroFighterChainGunWaveforce</t>
        </is>
      </c>
      <c r="C95" s="7" t="inlineStr">
        <is>
          <t>Armament@Upgrade</t>
        </is>
      </c>
      <c r="L95" s="6" t="n">
        <v>4000</v>
      </c>
      <c r="M95" s="6" t="n">
        <v>92</v>
      </c>
      <c r="N95" s="6" t="n">
        <v>12</v>
      </c>
      <c r="O95" s="6" t="n">
        <v>4</v>
      </c>
      <c r="P95" s="6" t="n">
        <v>6615</v>
      </c>
      <c r="Q95" s="6" t="n">
        <v>1</v>
      </c>
      <c r="R95">
        <f>M95+IF(N95&gt;1,N(O95)*(N95-1),0)</f>
        <v/>
      </c>
      <c r="S95">
        <f>IFERROR(L95*MAX(N95,1)/R95*Q95*IF(ISBLANK(K92),1,K92),0)</f>
        <v/>
      </c>
      <c r="AB95" s="7" t="inlineStr">
        <is>
          <t>^WaveforceBulletWarhead, ^Grenade, ^Chaingun, ^WaveforceBulletProjectile</t>
        </is>
      </c>
    </row>
    <row r="96">
      <c r="B96" s="7" t="inlineStr">
        <is>
          <t xml:space="preserve">  ↳ ZeroFighterChainGunWaveforce</t>
        </is>
      </c>
      <c r="C96" s="7" t="inlineStr">
        <is>
          <t>Armament@UpgradeSECONDARY</t>
        </is>
      </c>
      <c r="L96" s="6" t="n">
        <v>4000</v>
      </c>
      <c r="M96" s="6" t="n">
        <v>92</v>
      </c>
      <c r="N96" s="6" t="n">
        <v>12</v>
      </c>
      <c r="O96" s="6" t="n">
        <v>4</v>
      </c>
      <c r="P96" s="6" t="n">
        <v>6615</v>
      </c>
      <c r="Q96" s="6" t="n">
        <v>1</v>
      </c>
      <c r="R96">
        <f>M96+IF(N96&gt;1,N(O96)*(N96-1),0)</f>
        <v/>
      </c>
      <c r="S96">
        <f>IFERROR(L96*MAX(N96,1)/R96*Q96*IF(ISBLANK(K92),1,K92),0)</f>
        <v/>
      </c>
      <c r="AB96" s="7" t="inlineStr">
        <is>
          <t>^WaveforceBulletWarhead, ^Grenade, ^Chaingun, ^WaveforceBulletProjectile</t>
        </is>
      </c>
    </row>
    <row r="97">
      <c r="B97" s="7" t="inlineStr">
        <is>
          <t xml:space="preserve">  ↳ JapanCarrierFighterBomb</t>
        </is>
      </c>
      <c r="C97" s="7" t="inlineStr">
        <is>
          <t>Armament</t>
        </is>
      </c>
      <c r="L97" s="6" t="n">
        <v>10000</v>
      </c>
      <c r="M97" s="6" t="n">
        <v>5</v>
      </c>
      <c r="N97" s="6" t="n">
        <v>1</v>
      </c>
      <c r="O97" s="6" t="n"/>
      <c r="P97" s="6" t="n">
        <v>3000</v>
      </c>
      <c r="Q97" s="6" t="n">
        <v>1.25</v>
      </c>
      <c r="R97">
        <f>M97+IF(N97&gt;1,N(O97)*(N97-1),0)</f>
        <v/>
      </c>
      <c r="S97">
        <f>IFERROR(L97*MAX(N97,1)/R97*Q97*IF(ISBLANK(K92),1,K92),0)</f>
        <v/>
      </c>
      <c r="AB97" s="7" t="inlineStr">
        <is>
          <t>^HeavyBomb</t>
        </is>
      </c>
    </row>
    <row r="98">
      <c r="A98" t="inlineStr">
        <is>
          <t>redalert</t>
        </is>
      </c>
      <c r="B98" t="inlineStr">
        <is>
          <t>japan_japanesebomber</t>
        </is>
      </c>
      <c r="C98" t="inlineStr">
        <is>
          <t>Japanese Bomber</t>
        </is>
      </c>
      <c r="D98" s="6" t="inlineStr">
        <is>
          <t>Bomber</t>
        </is>
      </c>
      <c r="E98" s="6" t="n">
        <v>122500</v>
      </c>
      <c r="F98" s="6" t="n">
        <v>165</v>
      </c>
      <c r="G98" t="inlineStr">
        <is>
          <t>Bomber</t>
        </is>
      </c>
      <c r="H98" s="6" t="n">
        <v>0.75</v>
      </c>
      <c r="I98" s="6" t="n">
        <v>1</v>
      </c>
      <c r="J98" s="6" t="n">
        <v>1</v>
      </c>
      <c r="K98" s="6" t="n"/>
      <c r="P98">
        <f>MAX(P99,P100,P101,P102)</f>
        <v/>
      </c>
      <c r="S98">
        <f>S99+S100+S101+S102</f>
        <v/>
      </c>
      <c r="T98">
        <f>(E98/100000+F98/100+(P98/1000)*J98/5+S98/200)*200*I98*H98</f>
        <v/>
      </c>
      <c r="U98">
        <f>((E98*F98/25000)+((P98/1000)*J98*S98/2.5))*I98*H98</f>
        <v/>
      </c>
      <c r="V98">
        <f>(E98*F98*(P98/1000)*J98*S98*I98*H98)/12500000</f>
        <v/>
      </c>
      <c r="W98">
        <f>(T98+U98+V98)/3</f>
        <v/>
      </c>
      <c r="X98" s="6" t="n">
        <v>1500</v>
      </c>
      <c r="Y98">
        <f>IFERROR(W98-X98,"")</f>
        <v/>
      </c>
      <c r="Z98">
        <f>IFERROR(ABS(Y98)/MAX(X98,1),"")</f>
        <v/>
      </c>
      <c r="AA98">
        <f>IFERROR((X98-(((E98/100000+F98/100+S98/200)*200*I98*H98)+((E98*F98/25000)*I98*H98))/3)/(((J98/5)*200*I98*H98)+((J98*S98/2.5)*I98*H98)+((E98*F98*J98*S98*I98*H98)/12500000))/3*1000,"")</f>
        <v/>
      </c>
    </row>
    <row r="99">
      <c r="B99" s="7" t="inlineStr">
        <is>
          <t xml:space="preserve">  ↳ ZeroFighterChainGun</t>
        </is>
      </c>
      <c r="C99" s="7" t="inlineStr">
        <is>
          <t>Armament@Guns</t>
        </is>
      </c>
      <c r="L99" s="6" t="n">
        <v>6000</v>
      </c>
      <c r="M99" s="6" t="n">
        <v>92</v>
      </c>
      <c r="N99" s="6" t="n">
        <v>12</v>
      </c>
      <c r="O99" s="6" t="n">
        <v>4</v>
      </c>
      <c r="P99" s="6" t="n">
        <v>6615</v>
      </c>
      <c r="Q99" s="6" t="n">
        <v>1</v>
      </c>
      <c r="R99">
        <f>M99+IF(N99&gt;1,N(O99)*(N99-1),0)</f>
        <v/>
      </c>
      <c r="S99">
        <f>IFERROR(L99*MAX(N99,1)/R99*Q99*IF(ISBLANK(K98),1,K98),0)</f>
        <v/>
      </c>
      <c r="AB99" s="7" t="inlineStr">
        <is>
          <t>^Chaingun</t>
        </is>
      </c>
    </row>
    <row r="100">
      <c r="B100" s="7" t="inlineStr">
        <is>
          <t xml:space="preserve">  ↳ ZeroFighterChainGunWaveforce</t>
        </is>
      </c>
      <c r="C100" s="7" t="inlineStr">
        <is>
          <t>Armament@UpgradeGuns</t>
        </is>
      </c>
      <c r="L100" s="6" t="n">
        <v>4000</v>
      </c>
      <c r="M100" s="6" t="n">
        <v>92</v>
      </c>
      <c r="N100" s="6" t="n">
        <v>12</v>
      </c>
      <c r="O100" s="6" t="n">
        <v>4</v>
      </c>
      <c r="P100" s="6" t="n">
        <v>6615</v>
      </c>
      <c r="Q100" s="6" t="n">
        <v>1</v>
      </c>
      <c r="R100">
        <f>M100+IF(N100&gt;1,N(O100)*(N100-1),0)</f>
        <v/>
      </c>
      <c r="S100">
        <f>IFERROR(L100*MAX(N100,1)/R100*Q100*IF(ISBLANK(K98),1,K98),0)</f>
        <v/>
      </c>
      <c r="AB100" s="7" t="inlineStr">
        <is>
          <t>^WaveforceBulletWarhead, ^Grenade, ^Chaingun, ^WaveforceBulletProjectile</t>
        </is>
      </c>
    </row>
    <row r="101">
      <c r="B101" s="7" t="inlineStr">
        <is>
          <t xml:space="preserve">  ↳ JapaneseHeavyBomb</t>
        </is>
      </c>
      <c r="C101" s="7" t="inlineStr">
        <is>
          <t>Armament@Bombs</t>
        </is>
      </c>
      <c r="L101" s="6" t="n">
        <v>20000</v>
      </c>
      <c r="M101" s="6" t="n">
        <v>100</v>
      </c>
      <c r="N101" s="6" t="n">
        <v>4</v>
      </c>
      <c r="O101" s="6" t="n">
        <v>3</v>
      </c>
      <c r="P101" s="6" t="n">
        <v>6000</v>
      </c>
      <c r="Q101" s="6" t="n">
        <v>1.25</v>
      </c>
      <c r="R101">
        <f>M101+IF(N101&gt;1,N(O101)*(N101-1),0)</f>
        <v/>
      </c>
      <c r="S101">
        <f>IFERROR(L101*MAX(N101,1)/R101*Q101*IF(ISBLANK(K98),1,K98),0)</f>
        <v/>
      </c>
      <c r="AB101" s="7" t="inlineStr">
        <is>
          <t>^HeavyBomb, ^ImpactGlow</t>
        </is>
      </c>
    </row>
    <row r="102">
      <c r="B102" s="7" t="inlineStr">
        <is>
          <t xml:space="preserve">  ↳ JapanesePlasmaBomb</t>
        </is>
      </c>
      <c r="C102" s="7" t="inlineStr">
        <is>
          <t>Armament@UpgradeBombs</t>
        </is>
      </c>
      <c r="L102" s="6" t="n">
        <v>10000</v>
      </c>
      <c r="M102" s="6" t="n">
        <v>100</v>
      </c>
      <c r="N102" s="6" t="n">
        <v>4</v>
      </c>
      <c r="O102" s="6" t="n">
        <v>5</v>
      </c>
      <c r="P102" s="6" t="n">
        <v>6000</v>
      </c>
      <c r="Q102" s="6" t="n">
        <v>1.25</v>
      </c>
      <c r="R102">
        <f>M102+IF(N102&gt;1,N(O102)*(N102-1),0)</f>
        <v/>
      </c>
      <c r="S102">
        <f>IFERROR(L102*MAX(N102,1)/R102*Q102*IF(ISBLANK(K98),1,K98),0)</f>
        <v/>
      </c>
      <c r="AB102" s="7" t="inlineStr">
        <is>
          <t>^HeavyChemicalWeapon, ^HeavyFlameWeapon, ^HeavyBomb</t>
        </is>
      </c>
    </row>
    <row r="103">
      <c r="A103" t="inlineStr">
        <is>
          <t>redalert</t>
        </is>
      </c>
      <c r="B103" t="inlineStr">
        <is>
          <t>ra1_soviets_migattackbomber</t>
        </is>
      </c>
      <c r="C103" t="inlineStr">
        <is>
          <t>Mig Attack Bomber</t>
        </is>
      </c>
      <c r="D103" s="6" t="inlineStr">
        <is>
          <t>Bomber</t>
        </is>
      </c>
      <c r="E103" s="6" t="n">
        <v>40000</v>
      </c>
      <c r="F103" s="6" t="n">
        <v>200</v>
      </c>
      <c r="G103" t="inlineStr">
        <is>
          <t>Bomber</t>
        </is>
      </c>
      <c r="H103" s="6" t="n">
        <v>1</v>
      </c>
      <c r="I103" s="6" t="n">
        <v>1</v>
      </c>
      <c r="J103" s="6" t="n">
        <v>1</v>
      </c>
      <c r="K103" s="6" t="n"/>
      <c r="P103">
        <f>MAX(P104,P105,P106,P107,P108,P109)</f>
        <v/>
      </c>
      <c r="S103">
        <f>S104+S105+S106+S107+S108+S109</f>
        <v/>
      </c>
      <c r="T103">
        <f>(E103/100000+F103/100+(P103/1000)*J103/5+S103/200)*200*I103*H103</f>
        <v/>
      </c>
      <c r="U103">
        <f>((E103*F103/25000)+((P103/1000)*J103*S103/2.5))*I103*H103</f>
        <v/>
      </c>
      <c r="V103">
        <f>(E103*F103*(P103/1000)*J103*S103*I103*H103)/12500000</f>
        <v/>
      </c>
      <c r="W103">
        <f>(T103+U103+V103)/3</f>
        <v/>
      </c>
      <c r="X103" s="6" t="n">
        <v>1400</v>
      </c>
      <c r="Y103">
        <f>IFERROR(W103-X103,"")</f>
        <v/>
      </c>
      <c r="Z103">
        <f>IFERROR(ABS(Y103)/MAX(X103,1),"")</f>
        <v/>
      </c>
      <c r="AA103">
        <f>IFERROR((X103-(((E103/100000+F103/100+S103/200)*200*I103*H103)+((E103*F103/25000)*I103*H103))/3)/(((J103/5)*200*I103*H103)+((J103*S103/2.5)*I103*H103)+((E103*F103*J103*S103*I103*H103)/12500000))/3*1000,"")</f>
        <v/>
      </c>
    </row>
    <row r="104">
      <c r="B104" s="7" t="inlineStr">
        <is>
          <t xml:space="preserve">  ↳ Maverick</t>
        </is>
      </c>
      <c r="C104" s="7" t="inlineStr">
        <is>
          <t>Armament@Rockets1</t>
        </is>
      </c>
      <c r="L104" s="6" t="n">
        <v>40000</v>
      </c>
      <c r="M104" s="6" t="n">
        <v>50</v>
      </c>
      <c r="N104" s="6" t="n">
        <v>2</v>
      </c>
      <c r="O104" s="6" t="n">
        <v>4</v>
      </c>
      <c r="P104" s="6" t="n">
        <v>5900</v>
      </c>
      <c r="Q104" s="6" t="n">
        <v>1</v>
      </c>
      <c r="R104">
        <f>M104+IF(N104&gt;1,N(O104)*(N104-1),0)</f>
        <v/>
      </c>
      <c r="S104">
        <f>IFERROR(L104*MAX(N104,1)/R104*Q104*IF(ISBLANK(K103),1,K103),0)</f>
        <v/>
      </c>
      <c r="AB104" s="7" t="inlineStr">
        <is>
          <t>^MediumMissile</t>
        </is>
      </c>
    </row>
    <row r="105">
      <c r="B105" s="7" t="inlineStr">
        <is>
          <t xml:space="preserve">  ↳ Maverick</t>
        </is>
      </c>
      <c r="C105" s="7" t="inlineStr">
        <is>
          <t>Armament@Rockets2</t>
        </is>
      </c>
      <c r="L105" s="6" t="n">
        <v>40000</v>
      </c>
      <c r="M105" s="6" t="n">
        <v>50</v>
      </c>
      <c r="N105" s="6" t="n">
        <v>2</v>
      </c>
      <c r="O105" s="6" t="n">
        <v>4</v>
      </c>
      <c r="P105" s="6" t="n">
        <v>5900</v>
      </c>
      <c r="Q105" s="6" t="n">
        <v>1</v>
      </c>
      <c r="R105">
        <f>M105+IF(N105&gt;1,N(O105)*(N105-1),0)</f>
        <v/>
      </c>
      <c r="S105">
        <f>IFERROR(L105*MAX(N105,1)/R105*Q105*IF(ISBLANK(K103),1,K103),0)</f>
        <v/>
      </c>
      <c r="AB105" s="7" t="inlineStr">
        <is>
          <t>^MediumMissile</t>
        </is>
      </c>
    </row>
    <row r="106">
      <c r="B106" s="7" t="inlineStr">
        <is>
          <t xml:space="preserve">  ↳ TeslaMaverick</t>
        </is>
      </c>
      <c r="C106" s="7" t="inlineStr">
        <is>
          <t>Armament@TeslaUpgrade1</t>
        </is>
      </c>
      <c r="L106" s="6" t="n">
        <v>16000</v>
      </c>
      <c r="M106" s="6" t="n">
        <v>50</v>
      </c>
      <c r="N106" s="6" t="n">
        <v>2</v>
      </c>
      <c r="O106" s="6" t="n">
        <v>4</v>
      </c>
      <c r="P106" s="6" t="n">
        <v>5900</v>
      </c>
      <c r="Q106" s="6" t="n">
        <v>1</v>
      </c>
      <c r="R106">
        <f>M106+IF(N106&gt;1,N(O106)*(N106-1),0)</f>
        <v/>
      </c>
      <c r="S106">
        <f>IFERROR(L106*MAX(N106,1)/R106*Q106*IF(ISBLANK(K103),1,K103),0)</f>
        <v/>
      </c>
      <c r="AB106" s="7" t="inlineStr">
        <is>
          <t>^TeslaWeapon, ^MediumMissile</t>
        </is>
      </c>
    </row>
    <row r="107">
      <c r="B107" s="7" t="inlineStr">
        <is>
          <t xml:space="preserve">  ↳ TeslaMaverick</t>
        </is>
      </c>
      <c r="C107" s="7" t="inlineStr">
        <is>
          <t>Armament@TeslaUpgrade2</t>
        </is>
      </c>
      <c r="L107" s="6" t="n">
        <v>16000</v>
      </c>
      <c r="M107" s="6" t="n">
        <v>50</v>
      </c>
      <c r="N107" s="6" t="n">
        <v>2</v>
      </c>
      <c r="O107" s="6" t="n">
        <v>4</v>
      </c>
      <c r="P107" s="6" t="n">
        <v>5900</v>
      </c>
      <c r="Q107" s="6" t="n">
        <v>1</v>
      </c>
      <c r="R107">
        <f>M107+IF(N107&gt;1,N(O107)*(N107-1),0)</f>
        <v/>
      </c>
      <c r="S107">
        <f>IFERROR(L107*MAX(N107,1)/R107*Q107*IF(ISBLANK(K103),1,K103),0)</f>
        <v/>
      </c>
      <c r="AB107" s="7" t="inlineStr">
        <is>
          <t>^TeslaWeapon, ^MediumMissile</t>
        </is>
      </c>
    </row>
    <row r="108">
      <c r="B108" s="7" t="inlineStr">
        <is>
          <t xml:space="preserve">  ↳ ThermobaricMaverick</t>
        </is>
      </c>
      <c r="C108" s="7" t="inlineStr">
        <is>
          <t>Armament@NuclearUpgrade1</t>
        </is>
      </c>
      <c r="L108" s="6" t="n">
        <v>12000</v>
      </c>
      <c r="M108" s="6" t="n">
        <v>50</v>
      </c>
      <c r="N108" s="6" t="n">
        <v>2</v>
      </c>
      <c r="O108" s="6" t="n">
        <v>4</v>
      </c>
      <c r="P108" s="6" t="n">
        <v>5900</v>
      </c>
      <c r="Q108" s="6" t="n">
        <v>2.0625</v>
      </c>
      <c r="R108">
        <f>M108+IF(N108&gt;1,N(O108)*(N108-1),0)</f>
        <v/>
      </c>
      <c r="S108">
        <f>IFERROR(L108*MAX(N108,1)/R108*Q108*IF(ISBLANK(K103),1,K103),0)</f>
        <v/>
      </c>
      <c r="AB108" s="7" t="inlineStr">
        <is>
          <t>^NuclearWarhead, ^HeavyMissile, ^MediumFlameWeapon, ^MediumMissile</t>
        </is>
      </c>
    </row>
    <row r="109">
      <c r="B109" s="7" t="inlineStr">
        <is>
          <t xml:space="preserve">  ↳ ThermobaricMaverick</t>
        </is>
      </c>
      <c r="C109" s="7" t="inlineStr">
        <is>
          <t>Armament@NuclearUpgrade2</t>
        </is>
      </c>
      <c r="L109" s="6" t="n">
        <v>12000</v>
      </c>
      <c r="M109" s="6" t="n">
        <v>50</v>
      </c>
      <c r="N109" s="6" t="n">
        <v>2</v>
      </c>
      <c r="O109" s="6" t="n">
        <v>4</v>
      </c>
      <c r="P109" s="6" t="n">
        <v>5900</v>
      </c>
      <c r="Q109" s="6" t="n">
        <v>2.0625</v>
      </c>
      <c r="R109">
        <f>M109+IF(N109&gt;1,N(O109)*(N109-1),0)</f>
        <v/>
      </c>
      <c r="S109">
        <f>IFERROR(L109*MAX(N109,1)/R109*Q109*IF(ISBLANK(K103),1,K103),0)</f>
        <v/>
      </c>
      <c r="AB109" s="7" t="inlineStr">
        <is>
          <t>^NuclearWarhead, ^HeavyMissile, ^MediumFlameWeapon, ^MediumMissile</t>
        </is>
      </c>
    </row>
    <row r="110">
      <c r="A110" t="inlineStr">
        <is>
          <t>redalert</t>
        </is>
      </c>
      <c r="B110" t="inlineStr">
        <is>
          <t>ra1_soviets_su57attackbomber</t>
        </is>
      </c>
      <c r="C110" t="inlineStr">
        <is>
          <t>Su-57 Attack Bomber</t>
        </is>
      </c>
      <c r="D110" s="6" t="inlineStr">
        <is>
          <t>Bomber</t>
        </is>
      </c>
      <c r="E110" s="6" t="n">
        <v>65000</v>
      </c>
      <c r="F110" s="6" t="n">
        <v>220</v>
      </c>
      <c r="G110" t="inlineStr">
        <is>
          <t>Bomber</t>
        </is>
      </c>
      <c r="H110" s="6" t="n">
        <v>1</v>
      </c>
      <c r="I110" s="6" t="n">
        <v>1</v>
      </c>
      <c r="J110" s="6" t="n">
        <v>1</v>
      </c>
      <c r="K110" s="6" t="n">
        <v>1.15</v>
      </c>
      <c r="P110">
        <f>MAX(P111,P112,P113,P114,P115,P116)</f>
        <v/>
      </c>
      <c r="S110">
        <f>S111+S112+S113+S114+S115+S116</f>
        <v/>
      </c>
      <c r="T110">
        <f>(E110/100000+F110/100+(P110/1000)*J110/5+S110/200)*200*I110*H110</f>
        <v/>
      </c>
      <c r="U110">
        <f>((E110*F110/25000)+((P110/1000)*J110*S110/2.5))*I110*H110</f>
        <v/>
      </c>
      <c r="V110">
        <f>(E110*F110*(P110/1000)*J110*S110*I110*H110)/12500000</f>
        <v/>
      </c>
      <c r="W110">
        <f>(T110+U110+V110)/3</f>
        <v/>
      </c>
      <c r="X110" s="6" t="n">
        <v>3000</v>
      </c>
      <c r="Y110">
        <f>IFERROR(W110-X110,"")</f>
        <v/>
      </c>
      <c r="Z110">
        <f>IFERROR(ABS(Y110)/MAX(X110,1),"")</f>
        <v/>
      </c>
      <c r="AA110">
        <f>IFERROR((X110-(((E110/100000+F110/100+S110/200)*200*I110*H110)+((E110*F110/25000)*I110*H110))/3)/(((J110/5)*200*I110*H110)+((J110*S110/2.5)*I110*H110)+((E110*F110*J110*S110*I110*H110)/12500000))/3*1000,"")</f>
        <v/>
      </c>
    </row>
    <row r="111">
      <c r="B111" s="7" t="inlineStr">
        <is>
          <t xml:space="preserve">  ↳ NuclearMaverick</t>
        </is>
      </c>
      <c r="C111" s="7" t="inlineStr">
        <is>
          <t>Armament</t>
        </is>
      </c>
      <c r="L111" s="6" t="n">
        <v>20000</v>
      </c>
      <c r="M111" s="6" t="n">
        <v>50</v>
      </c>
      <c r="N111" s="6" t="n">
        <v>2</v>
      </c>
      <c r="O111" s="6" t="n">
        <v>4</v>
      </c>
      <c r="P111" s="6" t="n">
        <v>7890</v>
      </c>
      <c r="Q111" s="6" t="n">
        <v>3.125</v>
      </c>
      <c r="R111">
        <f>M111+IF(N111&gt;1,N(O111)*(N111-1),0)</f>
        <v/>
      </c>
      <c r="S111">
        <f>IFERROR(L111*MAX(N111,1)/R111*Q111*IF(ISBLANK(K110),1,K110),0)</f>
        <v/>
      </c>
      <c r="AB111" s="7" t="inlineStr">
        <is>
          <t>^NuclearWarhead, ^HeavyMissile</t>
        </is>
      </c>
    </row>
    <row r="112">
      <c r="B112" s="7" t="inlineStr">
        <is>
          <t xml:space="preserve">  ↳ ThermobaricNuclearMaverick</t>
        </is>
      </c>
      <c r="C112" s="7" t="inlineStr">
        <is>
          <t>Armament@HE</t>
        </is>
      </c>
      <c r="L112" s="6" t="n">
        <v>14000</v>
      </c>
      <c r="M112" s="6" t="n">
        <v>50</v>
      </c>
      <c r="N112" s="6" t="n">
        <v>2</v>
      </c>
      <c r="O112" s="6" t="n">
        <v>4</v>
      </c>
      <c r="P112" s="6" t="n">
        <v>7890</v>
      </c>
      <c r="Q112" s="6" t="n">
        <v>2.5</v>
      </c>
      <c r="R112">
        <f>M112+IF(N112&gt;1,N(O112)*(N112-1),0)</f>
        <v/>
      </c>
      <c r="S112">
        <f>IFERROR(L112*MAX(N112,1)/R112*Q112*IF(ISBLANK(K110),1,K110),0)</f>
        <v/>
      </c>
      <c r="AB112" s="7" t="inlineStr">
        <is>
          <t>^HeavyFlameWeapon, ^NuclearWarhead, ^HeavyMissile</t>
        </is>
      </c>
    </row>
    <row r="113">
      <c r="B113" s="7" t="inlineStr">
        <is>
          <t xml:space="preserve">  ↳ YakChainGun</t>
        </is>
      </c>
      <c r="C113" s="7" t="inlineStr">
        <is>
          <t>Armament@PRIMARY</t>
        </is>
      </c>
      <c r="L113" s="6" t="n">
        <v>4000</v>
      </c>
      <c r="M113" s="6" t="n">
        <v>100</v>
      </c>
      <c r="N113" s="6" t="n">
        <v>8</v>
      </c>
      <c r="O113" s="6" t="n">
        <v>3</v>
      </c>
      <c r="P113" s="6" t="n">
        <v>7000</v>
      </c>
      <c r="Q113" s="6" t="n">
        <v>1</v>
      </c>
      <c r="R113">
        <f>M113+IF(N113&gt;1,N(O113)*(N113-1),0)</f>
        <v/>
      </c>
      <c r="S113">
        <f>IFERROR(L113*MAX(N113,1)/R113*Q113*IF(ISBLANK(K110),1,K110),0)</f>
        <v/>
      </c>
      <c r="AB113" s="7" t="inlineStr">
        <is>
          <t>^Chaingun</t>
        </is>
      </c>
    </row>
    <row r="114">
      <c r="B114" s="7" t="inlineStr">
        <is>
          <t xml:space="preserve">  ↳ YakChainGun</t>
        </is>
      </c>
      <c r="C114" s="7" t="inlineStr">
        <is>
          <t>Armament@SECONDARY</t>
        </is>
      </c>
      <c r="L114" s="6" t="n">
        <v>4000</v>
      </c>
      <c r="M114" s="6" t="n">
        <v>100</v>
      </c>
      <c r="N114" s="6" t="n">
        <v>8</v>
      </c>
      <c r="O114" s="6" t="n">
        <v>3</v>
      </c>
      <c r="P114" s="6" t="n">
        <v>7000</v>
      </c>
      <c r="Q114" s="6" t="n">
        <v>1</v>
      </c>
      <c r="R114">
        <f>M114+IF(N114&gt;1,N(O114)*(N114-1),0)</f>
        <v/>
      </c>
      <c r="S114">
        <f>IFERROR(L114*MAX(N114,1)/R114*Q114*IF(ISBLANK(K110),1,K110),0)</f>
        <v/>
      </c>
      <c r="AB114" s="7" t="inlineStr">
        <is>
          <t>^Chaingun</t>
        </is>
      </c>
    </row>
    <row r="115">
      <c r="B115" s="7" t="inlineStr">
        <is>
          <t xml:space="preserve">  ↳ IncendiaryYakChainGun</t>
        </is>
      </c>
      <c r="C115" s="7" t="inlineStr">
        <is>
          <t>Armament@Upgrade1</t>
        </is>
      </c>
      <c r="L115" s="6" t="n">
        <v>4000</v>
      </c>
      <c r="M115" s="6" t="n">
        <v>100</v>
      </c>
      <c r="N115" s="6" t="n">
        <v>8</v>
      </c>
      <c r="O115" s="6" t="n">
        <v>3</v>
      </c>
      <c r="P115" s="6" t="n">
        <v>7000</v>
      </c>
      <c r="Q115" s="6" t="n">
        <v>0.875</v>
      </c>
      <c r="R115">
        <f>M115+IF(N115&gt;1,N(O115)*(N115-1),0)</f>
        <v/>
      </c>
      <c r="S115">
        <f>IFERROR(L115*MAX(N115,1)/R115*Q115*IF(ISBLANK(K110),1,K110),0)</f>
        <v/>
      </c>
      <c r="AB115" s="7" t="inlineStr">
        <is>
          <t>^Chaingun, ^LightFlameWeapon, ^IncendiaryBulletProjectile</t>
        </is>
      </c>
    </row>
    <row r="116">
      <c r="B116" s="7" t="inlineStr">
        <is>
          <t xml:space="preserve">  ↳ IncendiaryYakChainGun</t>
        </is>
      </c>
      <c r="C116" s="7" t="inlineStr">
        <is>
          <t>Armament@Upgrade2</t>
        </is>
      </c>
      <c r="L116" s="6" t="n">
        <v>4000</v>
      </c>
      <c r="M116" s="6" t="n">
        <v>100</v>
      </c>
      <c r="N116" s="6" t="n">
        <v>8</v>
      </c>
      <c r="O116" s="6" t="n">
        <v>3</v>
      </c>
      <c r="P116" s="6" t="n">
        <v>7000</v>
      </c>
      <c r="Q116" s="6" t="n">
        <v>0.875</v>
      </c>
      <c r="R116">
        <f>M116+IF(N116&gt;1,N(O116)*(N116-1),0)</f>
        <v/>
      </c>
      <c r="S116">
        <f>IFERROR(L116*MAX(N116,1)/R116*Q116*IF(ISBLANK(K110),1,K110),0)</f>
        <v/>
      </c>
      <c r="AB116" s="7" t="inlineStr">
        <is>
          <t>^Chaingun, ^LightFlameWeapon, ^IncendiaryBulletProjectile</t>
        </is>
      </c>
    </row>
    <row r="117">
      <c r="A117" t="inlineStr">
        <is>
          <t>redalert</t>
        </is>
      </c>
      <c r="B117" t="inlineStr">
        <is>
          <t>ra1_soviets_supersonicnuclearbomber</t>
        </is>
      </c>
      <c r="C117" t="inlineStr">
        <is>
          <t>Supersonic Nuclear Bomber</t>
        </is>
      </c>
      <c r="D117" s="6" t="inlineStr">
        <is>
          <t>Bomber</t>
        </is>
      </c>
      <c r="E117" s="6" t="n">
        <v>125000</v>
      </c>
      <c r="F117" s="6" t="n">
        <v>200</v>
      </c>
      <c r="G117" t="inlineStr">
        <is>
          <t>Bomber</t>
        </is>
      </c>
      <c r="H117" s="6" t="n">
        <v>1</v>
      </c>
      <c r="I117" s="6" t="n">
        <v>1</v>
      </c>
      <c r="J117" s="6" t="n">
        <v>1</v>
      </c>
      <c r="K117" s="6" t="n"/>
      <c r="P117">
        <f>MAX(P118)</f>
        <v/>
      </c>
      <c r="S117">
        <f>S118</f>
        <v/>
      </c>
      <c r="T117">
        <f>(E117/100000+F117/100+(P117/1000)*J117/5+S117/200)*200*I117*H117</f>
        <v/>
      </c>
      <c r="U117">
        <f>((E117*F117/25000)+((P117/1000)*J117*S117/2.5))*I117*H117</f>
        <v/>
      </c>
      <c r="V117">
        <f>(E117*F117*(P117/1000)*J117*S117*I117*H117)/12500000</f>
        <v/>
      </c>
      <c r="W117">
        <f>(T117+U117+V117)/3</f>
        <v/>
      </c>
      <c r="X117" s="6" t="n">
        <v>7000</v>
      </c>
      <c r="Y117">
        <f>IFERROR(W117-X117,"")</f>
        <v/>
      </c>
      <c r="Z117">
        <f>IFERROR(ABS(Y117)/MAX(X117,1),"")</f>
        <v/>
      </c>
      <c r="AA117">
        <f>IFERROR((X117-(((E117/100000+F117/100+S117/200)*200*I117*H117)+((E117*F117/25000)*I117*H117))/3)/(((J117/5)*200*I117*H117)+((J117*S117/2.5)*I117*H117)+((E117*F117*J117*S117*I117*H117)/12500000))/3*1000,"")</f>
        <v/>
      </c>
    </row>
    <row r="118">
      <c r="B118" s="7" t="inlineStr">
        <is>
          <t xml:space="preserve">  ↳ ParaBombNuke</t>
        </is>
      </c>
      <c r="C118" s="7" t="inlineStr">
        <is>
          <t>Armament@Nuke</t>
        </is>
      </c>
      <c r="L118" s="6" t="n">
        <v>100000</v>
      </c>
      <c r="M118" s="6" t="n">
        <v>50</v>
      </c>
      <c r="N118" s="6" t="n">
        <v>1</v>
      </c>
      <c r="O118" s="6" t="n"/>
      <c r="P118" s="6" t="n">
        <v>750</v>
      </c>
      <c r="Q118" s="6" t="n">
        <v>2.1875</v>
      </c>
      <c r="R118">
        <f>M118+IF(N118&gt;1,N(O118)*(N118-1),0)</f>
        <v/>
      </c>
      <c r="S118">
        <f>IFERROR(L118*MAX(N118,1)/R118*Q118*IF(ISBLANK(K117),1,K117),0)</f>
        <v/>
      </c>
      <c r="AB118" s="7" t="inlineStr">
        <is>
          <t>^HeavyBomb, ^HeavyChemicalWeapon, ^HeavyFlameWeapon, ^NuclearWarhead</t>
        </is>
      </c>
    </row>
    <row r="119">
      <c r="A119" t="inlineStr">
        <is>
          <t>redalert</t>
        </is>
      </c>
      <c r="B119" t="inlineStr">
        <is>
          <t>ra1_allies_rapierjumpjet</t>
        </is>
      </c>
      <c r="C119" t="inlineStr">
        <is>
          <t>Rapier Jumpjet</t>
        </is>
      </c>
      <c r="D119" s="6" t="inlineStr">
        <is>
          <t>Bomber</t>
        </is>
      </c>
      <c r="E119" s="6" t="n">
        <v>77500</v>
      </c>
      <c r="F119" s="6" t="n">
        <v>210</v>
      </c>
      <c r="G119" t="inlineStr">
        <is>
          <t>Bomber</t>
        </is>
      </c>
      <c r="H119" s="6" t="n">
        <v>0.75</v>
      </c>
      <c r="I119" s="6" t="n">
        <v>1</v>
      </c>
      <c r="J119" s="6" t="n">
        <v>1</v>
      </c>
      <c r="K119" s="6" t="n">
        <v>0.5</v>
      </c>
      <c r="P119">
        <f>MAX(P120,P121,P122,P123)</f>
        <v/>
      </c>
      <c r="S119">
        <f>S120+S121+S122+S123</f>
        <v/>
      </c>
      <c r="T119">
        <f>(E119/100000+F119/100+(P119/1000)*J119/5+S119/200)*200*I119*H119</f>
        <v/>
      </c>
      <c r="U119">
        <f>((E119*F119/25000)+((P119/1000)*J119*S119/2.5))*I119*H119</f>
        <v/>
      </c>
      <c r="V119">
        <f>(E119*F119*(P119/1000)*J119*S119*I119*H119)/12500000</f>
        <v/>
      </c>
      <c r="W119">
        <f>(T119+U119+V119)/3</f>
        <v/>
      </c>
      <c r="X119" s="6" t="n">
        <v>1300</v>
      </c>
      <c r="Y119">
        <f>IFERROR(W119-X119,"")</f>
        <v/>
      </c>
      <c r="Z119">
        <f>IFERROR(ABS(Y119)/MAX(X119,1),"")</f>
        <v/>
      </c>
      <c r="AA119">
        <f>IFERROR((X119-(((E119/100000+F119/100+S119/200)*200*I119*H119)+((E119*F119/25000)*I119*H119))/3)/(((J119/5)*200*I119*H119)+((J119*S119/2.5)*I119*H119)+((E119*F119*J119*S119*I119*H119)/12500000))/3*1000,"")</f>
        <v/>
      </c>
    </row>
    <row r="120">
      <c r="B120" s="7" t="inlineStr">
        <is>
          <t xml:space="preserve">  ↳ RapierBombs</t>
        </is>
      </c>
      <c r="C120" s="7" t="inlineStr">
        <is>
          <t>Armament@PRIMARY</t>
        </is>
      </c>
      <c r="L120" s="6" t="n">
        <v>10000</v>
      </c>
      <c r="M120" s="6" t="n">
        <v>60</v>
      </c>
      <c r="N120" s="6" t="n">
        <v>4</v>
      </c>
      <c r="O120" s="6" t="n">
        <v>2</v>
      </c>
      <c r="P120" s="6" t="n">
        <v>2000</v>
      </c>
      <c r="Q120" s="6" t="n">
        <v>1.25</v>
      </c>
      <c r="R120">
        <f>M120+IF(N120&gt;1,N(O120)*(N120-1),0)</f>
        <v/>
      </c>
      <c r="S120">
        <f>IFERROR(L120*MAX(N120,1)/R120*Q120*IF(ISBLANK(K119),1,K119),0)</f>
        <v/>
      </c>
      <c r="AB120" s="7" t="inlineStr">
        <is>
          <t>^HeavyBomb</t>
        </is>
      </c>
    </row>
    <row r="121">
      <c r="B121" s="7" t="inlineStr">
        <is>
          <t xml:space="preserve">  ↳ RapierBombsCryo</t>
        </is>
      </c>
      <c r="C121" s="7" t="inlineStr">
        <is>
          <t>Armament@Upgrade</t>
        </is>
      </c>
      <c r="L121" s="6" t="n">
        <v>10000</v>
      </c>
      <c r="M121" s="6" t="n">
        <v>60</v>
      </c>
      <c r="N121" s="6" t="n">
        <v>4</v>
      </c>
      <c r="O121" s="6" t="n">
        <v>2</v>
      </c>
      <c r="P121" s="6" t="n">
        <v>2000</v>
      </c>
      <c r="Q121" s="6" t="n">
        <v>1.25</v>
      </c>
      <c r="R121">
        <f>M121+IF(N121&gt;1,N(O121)*(N121-1),0)</f>
        <v/>
      </c>
      <c r="S121">
        <f>IFERROR(L121*MAX(N121,1)/R121*Q121*IF(ISBLANK(K119),1,K119),0)</f>
        <v/>
      </c>
      <c r="AB121" s="7" t="inlineStr">
        <is>
          <t>^HeavyBomb, ^CryoMissileProjectile</t>
        </is>
      </c>
    </row>
    <row r="122">
      <c r="B122" s="7" t="inlineStr">
        <is>
          <t xml:space="preserve">  ↳ Aphid</t>
        </is>
      </c>
      <c r="C122" s="7" t="inlineStr">
        <is>
          <t>Armament@SECONDARY</t>
        </is>
      </c>
      <c r="L122" s="6" t="n">
        <v>8000</v>
      </c>
      <c r="M122" s="6" t="n">
        <v>62</v>
      </c>
      <c r="N122" s="6" t="n">
        <v>2</v>
      </c>
      <c r="O122" s="6" t="n">
        <v>4</v>
      </c>
      <c r="P122" s="6" t="n">
        <v>7000</v>
      </c>
      <c r="Q122" s="6" t="n">
        <v>1.125</v>
      </c>
      <c r="R122">
        <f>M122+IF(N122&gt;1,N(O122)*(N122-1),0)</f>
        <v/>
      </c>
      <c r="S122">
        <f>IFERROR(L122*MAX(N122,1)/R122*Q122*IF(ISBLANK(K119),1,K119),0)</f>
        <v/>
      </c>
      <c r="AB122" s="7" t="inlineStr">
        <is>
          <t>^ShrapnelWeapon, ^ImpactGlow, ^HeavyMissile</t>
        </is>
      </c>
    </row>
    <row r="123">
      <c r="B123" s="7" t="inlineStr">
        <is>
          <t xml:space="preserve">  ↳ AphidCryo</t>
        </is>
      </c>
      <c r="C123" s="7" t="inlineStr">
        <is>
          <t>Armament@SECONDARYUpgrade</t>
        </is>
      </c>
      <c r="L123" s="6" t="n">
        <v>8000</v>
      </c>
      <c r="M123" s="6" t="n">
        <v>62</v>
      </c>
      <c r="N123" s="6" t="n">
        <v>2</v>
      </c>
      <c r="O123" s="6" t="n">
        <v>4</v>
      </c>
      <c r="P123" s="6" t="n">
        <v>7000</v>
      </c>
      <c r="Q123" s="6" t="n">
        <v>1.125</v>
      </c>
      <c r="R123">
        <f>M123+IF(N123&gt;1,N(O123)*(N123-1),0)</f>
        <v/>
      </c>
      <c r="S123">
        <f>IFERROR(L123*MAX(N123,1)/R123*Q123*IF(ISBLANK(K119),1,K119),0)</f>
        <v/>
      </c>
      <c r="AB123" s="7" t="inlineStr">
        <is>
          <t>^ShrapnelWeapon, ^ImpactGlow, ^HeavyMissile, ^CryoMissileProjectile</t>
        </is>
      </c>
    </row>
    <row r="124">
      <c r="A124" t="inlineStr">
        <is>
          <t>tiberiansun</t>
        </is>
      </c>
      <c r="B124" t="inlineStr">
        <is>
          <t>cabal_hunter_drone</t>
        </is>
      </c>
      <c r="C124" t="inlineStr">
        <is>
          <t>Hunter Drone</t>
        </is>
      </c>
      <c r="D124" s="6" t="inlineStr">
        <is>
          <t>Bomber</t>
        </is>
      </c>
      <c r="E124" s="6" t="n">
        <v>15000</v>
      </c>
      <c r="F124" s="6" t="n">
        <v>180</v>
      </c>
      <c r="G124" t="inlineStr">
        <is>
          <t>Bomber</t>
        </is>
      </c>
      <c r="H124" s="6" t="n">
        <v>0.75</v>
      </c>
      <c r="I124" s="6" t="n">
        <v>1</v>
      </c>
      <c r="J124" s="6" t="n">
        <v>1</v>
      </c>
      <c r="K124" s="6" t="n"/>
      <c r="P124">
        <f>MAX(P125)</f>
        <v/>
      </c>
      <c r="S124">
        <f>S125</f>
        <v/>
      </c>
      <c r="T124">
        <f>(E124/100000+F124/100+(P124/1000)*J124/5+S124/200)*200*I124*H124</f>
        <v/>
      </c>
      <c r="U124">
        <f>((E124*F124/25000)+((P124/1000)*J124*S124/2.5))*I124*H124</f>
        <v/>
      </c>
      <c r="V124">
        <f>(E124*F124*(P124/1000)*J124*S124*I124*H124)/12500000</f>
        <v/>
      </c>
      <c r="W124">
        <f>(T124+U124+V124)/3</f>
        <v/>
      </c>
      <c r="X124" s="6" t="n">
        <v>500</v>
      </c>
      <c r="Y124">
        <f>IFERROR(W124-X124,"")</f>
        <v/>
      </c>
      <c r="Z124">
        <f>IFERROR(ABS(Y124)/MAX(X124,1),"")</f>
        <v/>
      </c>
      <c r="AA124">
        <f>IFERROR((X124-(((E124/100000+F124/100+S124/200)*200*I124*H124)+((E124*F124/25000)*I124*H124))/3)/(((J124/5)*200*I124*H124)+((J124*S124/2.5)*I124*H124)+((E124*F124*J124*S124*I124*H124)/12500000))/3*1000,"")</f>
        <v/>
      </c>
    </row>
    <row r="125">
      <c r="B125" s="7" t="inlineStr">
        <is>
          <t xml:space="preserve">  ↳ CabalOverkillDroneLaser</t>
        </is>
      </c>
      <c r="C125" s="7" t="inlineStr">
        <is>
          <t>Armament@PRIMARY</t>
        </is>
      </c>
      <c r="L125" s="6" t="n">
        <v>4000</v>
      </c>
      <c r="M125" s="6" t="n">
        <v>30</v>
      </c>
      <c r="N125" s="6" t="n">
        <v>1</v>
      </c>
      <c r="O125" s="6" t="n"/>
      <c r="P125" s="6" t="n">
        <v>4096</v>
      </c>
      <c r="Q125" s="6" t="n">
        <v>0.875</v>
      </c>
      <c r="R125">
        <f>M125+IF(N125&gt;1,N(O125)*(N125-1),0)</f>
        <v/>
      </c>
      <c r="S125">
        <f>IFERROR(L125*MAX(N125,1)/R125*Q125*IF(ISBLANK(K124),1,K124),0)</f>
        <v/>
      </c>
      <c r="AB125" s="7" t="inlineStr">
        <is>
          <t>^SmallArms, ^LaserWeapon</t>
        </is>
      </c>
    </row>
    <row r="126">
      <c r="A126" t="inlineStr">
        <is>
          <t>tiberiansun</t>
        </is>
      </c>
      <c r="B126" t="inlineStr">
        <is>
          <t>ts_nod_bansheefighter</t>
        </is>
      </c>
      <c r="C126" t="inlineStr">
        <is>
          <t>Banshee Fighter</t>
        </is>
      </c>
      <c r="D126" s="6" t="inlineStr">
        <is>
          <t>Bomber</t>
        </is>
      </c>
      <c r="E126" s="6" t="n">
        <v>60000</v>
      </c>
      <c r="F126" s="6" t="n">
        <v>180</v>
      </c>
      <c r="G126" t="inlineStr">
        <is>
          <t>Bomber</t>
        </is>
      </c>
      <c r="H126" s="6" t="n">
        <v>1</v>
      </c>
      <c r="I126" s="6" t="n">
        <v>1</v>
      </c>
      <c r="J126" s="6" t="n">
        <v>1</v>
      </c>
      <c r="K126" s="6" t="n"/>
      <c r="P126">
        <f>MAX(P127)</f>
        <v/>
      </c>
      <c r="S126">
        <f>S127</f>
        <v/>
      </c>
      <c r="T126">
        <f>(E126/100000+F126/100+(P126/1000)*J126/5+S126/200)*200*I126*H126</f>
        <v/>
      </c>
      <c r="U126">
        <f>((E126*F126/25000)+((P126/1000)*J126*S126/2.5))*I126*H126</f>
        <v/>
      </c>
      <c r="V126">
        <f>(E126*F126*(P126/1000)*J126*S126*I126*H126)/12500000</f>
        <v/>
      </c>
      <c r="W126">
        <f>(T126+U126+V126)/3</f>
        <v/>
      </c>
      <c r="X126" s="6" t="n">
        <v>2400</v>
      </c>
      <c r="Y126">
        <f>IFERROR(W126-X126,"")</f>
        <v/>
      </c>
      <c r="Z126">
        <f>IFERROR(ABS(Y126)/MAX(X126,1),"")</f>
        <v/>
      </c>
      <c r="AA126">
        <f>IFERROR((X126-(((E126/100000+F126/100+S126/200)*200*I126*H126)+((E126*F126/25000)*I126*H126))/3)/(((J126/5)*200*I126*H126)+((J126*S126/2.5)*I126*H126)+((E126*F126*J126*S126*I126*H126)/12500000))/3*1000,"")</f>
        <v/>
      </c>
    </row>
    <row r="127">
      <c r="B127" s="7" t="inlineStr">
        <is>
          <t xml:space="preserve">  ↳ TSProton</t>
        </is>
      </c>
      <c r="C127" s="7" t="inlineStr">
        <is>
          <t>Armament@PRIMARY</t>
        </is>
      </c>
      <c r="L127" s="6" t="n">
        <v>30000</v>
      </c>
      <c r="M127" s="6" t="n">
        <v>50</v>
      </c>
      <c r="N127" s="6" t="n">
        <v>4</v>
      </c>
      <c r="O127" s="6" t="n">
        <v>3</v>
      </c>
      <c r="P127" s="6" t="n">
        <v>5414</v>
      </c>
      <c r="Q127" s="6" t="n">
        <v>1</v>
      </c>
      <c r="R127">
        <f>M127+IF(N127&gt;1,N(O127)*(N127-1),0)</f>
        <v/>
      </c>
      <c r="S127">
        <f>IFERROR(L127*MAX(N127,1)/R127*Q127*IF(ISBLANK(K126),1,K126),0)</f>
        <v/>
      </c>
      <c r="AB127" s="7" t="inlineStr">
        <is>
          <t>^TSEnergyBlast, ^MediumFlameWeapon, ^LaserWeapon</t>
        </is>
      </c>
    </row>
    <row r="128">
      <c r="A128" t="inlineStr">
        <is>
          <t>tiberiansun</t>
        </is>
      </c>
      <c r="B128" t="inlineStr">
        <is>
          <t>ts_gdi_orcabomber</t>
        </is>
      </c>
      <c r="C128" t="inlineStr">
        <is>
          <t>Orca Bomber</t>
        </is>
      </c>
      <c r="D128" s="6" t="inlineStr">
        <is>
          <t>Bomber</t>
        </is>
      </c>
      <c r="E128" s="6" t="n">
        <v>152500</v>
      </c>
      <c r="F128" s="6" t="n">
        <v>160</v>
      </c>
      <c r="G128" t="inlineStr">
        <is>
          <t>Bomber</t>
        </is>
      </c>
      <c r="H128" s="6" t="n">
        <v>0.75</v>
      </c>
      <c r="I128" s="6" t="n">
        <v>1</v>
      </c>
      <c r="J128" s="6" t="n">
        <v>1</v>
      </c>
      <c r="K128" s="6" t="n">
        <v>0.25</v>
      </c>
      <c r="P128">
        <f>MAX(P129,P130)</f>
        <v/>
      </c>
      <c r="S128">
        <f>S129+S130</f>
        <v/>
      </c>
      <c r="T128">
        <f>(E128/100000+F128/100+(P128/1000)*J128/5+S128/200)*200*I128*H128</f>
        <v/>
      </c>
      <c r="U128">
        <f>((E128*F128/25000)+((P128/1000)*J128*S128/2.5))*I128*H128</f>
        <v/>
      </c>
      <c r="V128">
        <f>(E128*F128*(P128/1000)*J128*S128*I128*H128)/12500000</f>
        <v/>
      </c>
      <c r="W128">
        <f>(T128+U128+V128)/3</f>
        <v/>
      </c>
      <c r="X128" s="6" t="n">
        <v>1900</v>
      </c>
      <c r="Y128">
        <f>IFERROR(W128-X128,"")</f>
        <v/>
      </c>
      <c r="Z128">
        <f>IFERROR(ABS(Y128)/MAX(X128,1),"")</f>
        <v/>
      </c>
      <c r="AA128">
        <f>IFERROR((X128-(((E128/100000+F128/100+S128/200)*200*I128*H128)+((E128*F128/25000)*I128*H128))/3)/(((J128/5)*200*I128*H128)+((J128*S128/2.5)*I128*H128)+((E128*F128*J128*S128*I128*H128)/12500000))/3*1000,"")</f>
        <v/>
      </c>
    </row>
    <row r="129">
      <c r="B129" s="7" t="inlineStr">
        <is>
          <t xml:space="preserve">  ↳ TSBomb</t>
        </is>
      </c>
      <c r="C129" s="7" t="inlineStr">
        <is>
          <t>Armament@PRIMARY</t>
        </is>
      </c>
      <c r="L129" s="6" t="n">
        <v>10000</v>
      </c>
      <c r="M129" s="6" t="n">
        <v>38</v>
      </c>
      <c r="N129" s="6" t="n">
        <v>5</v>
      </c>
      <c r="O129" s="6" t="n">
        <v>3</v>
      </c>
      <c r="P129" s="6" t="n">
        <v>1500</v>
      </c>
      <c r="Q129" s="6" t="n">
        <v>1.125</v>
      </c>
      <c r="R129">
        <f>M129+IF(N129&gt;1,N(O129)*(N129-1),0)</f>
        <v/>
      </c>
      <c r="S129">
        <f>IFERROR(L129*MAX(N129,1)/R129*Q129*IF(ISBLANK(K128),1,K128),0)</f>
        <v/>
      </c>
      <c r="AB129" s="7" t="inlineStr">
        <is>
          <t>^ShrapnelWeapon, ^HeavyBomb</t>
        </is>
      </c>
    </row>
    <row r="130">
      <c r="B130" s="7" t="inlineStr">
        <is>
          <t xml:space="preserve">  ↳ TSBombSonic</t>
        </is>
      </c>
      <c r="C130" s="7" t="inlineStr">
        <is>
          <t>Armament@Upgrade</t>
        </is>
      </c>
      <c r="L130" s="6" t="n">
        <v>10000</v>
      </c>
      <c r="M130" s="6" t="n">
        <v>38</v>
      </c>
      <c r="N130" s="6" t="n">
        <v>5</v>
      </c>
      <c r="O130" s="6" t="n">
        <v>3</v>
      </c>
      <c r="P130" s="6" t="n">
        <v>1500</v>
      </c>
      <c r="Q130" s="6" t="n">
        <v>1.083333333333333</v>
      </c>
      <c r="R130">
        <f>M130+IF(N130&gt;1,N(O130)*(N130-1),0)</f>
        <v/>
      </c>
      <c r="S130">
        <f>IFERROR(L130*MAX(N130,1)/R130*Q130*IF(ISBLANK(K128),1,K128),0)</f>
        <v/>
      </c>
      <c r="AB130" s="7" t="inlineStr">
        <is>
          <t>^HeavyBomb, ^TeslaWeapon, ^MagicWeapon, ^TSSonicGrenade</t>
        </is>
      </c>
    </row>
    <row r="131">
      <c r="A131" t="inlineStr">
        <is>
          <t>tiberiansun</t>
        </is>
      </c>
      <c r="B131" t="inlineStr">
        <is>
          <t>forgotten_cropplane</t>
        </is>
      </c>
      <c r="C131" t="inlineStr">
        <is>
          <t>actor_forgotten_cropplane.name</t>
        </is>
      </c>
      <c r="D131" s="6" t="inlineStr">
        <is>
          <t>Bomber</t>
        </is>
      </c>
      <c r="E131" s="6" t="n">
        <v>75000</v>
      </c>
      <c r="F131" s="6" t="n">
        <v>160</v>
      </c>
      <c r="G131" t="inlineStr">
        <is>
          <t>Bomber</t>
        </is>
      </c>
      <c r="H131" s="6" t="n">
        <v>1</v>
      </c>
      <c r="I131" s="6" t="n">
        <v>1</v>
      </c>
      <c r="J131" s="6" t="n">
        <v>1</v>
      </c>
      <c r="K131" s="6" t="n"/>
      <c r="P131">
        <f>MAX(P132,P133)</f>
        <v/>
      </c>
      <c r="S131">
        <f>S132+S133</f>
        <v/>
      </c>
      <c r="T131">
        <f>(E131/100000+F131/100+(P131/1000)*J131/5+S131/200)*200*I131*H131</f>
        <v/>
      </c>
      <c r="U131">
        <f>((E131*F131/25000)+((P131/1000)*J131*S131/2.5))*I131*H131</f>
        <v/>
      </c>
      <c r="V131">
        <f>(E131*F131*(P131/1000)*J131*S131*I131*H131)/12500000</f>
        <v/>
      </c>
      <c r="W131">
        <f>(T131+U131+V131)/3</f>
        <v/>
      </c>
      <c r="X131" s="6" t="n">
        <v>1500</v>
      </c>
      <c r="Y131">
        <f>IFERROR(W131-X131,"")</f>
        <v/>
      </c>
      <c r="Z131">
        <f>IFERROR(ABS(Y131)/MAX(X131,1),"")</f>
        <v/>
      </c>
      <c r="AA131">
        <f>IFERROR((X131-(((E131/100000+F131/100+S131/200)*200*I131*H131)+((E131*F131/25000)*I131*H131))/3)/(((J131/5)*200*I131*H131)+((J131*S131/2.5)*I131*H131)+((E131*F131*J131*S131*I131*H131)/12500000))/3*1000,"")</f>
        <v/>
      </c>
    </row>
    <row r="132">
      <c r="B132" s="7" t="inlineStr">
        <is>
          <t xml:space="preserve">  ↳ TSCropBomb</t>
        </is>
      </c>
      <c r="C132" s="7" t="inlineStr">
        <is>
          <t>Armament@PRIMARY</t>
        </is>
      </c>
      <c r="L132" s="6" t="n">
        <v>120000</v>
      </c>
      <c r="M132" s="6" t="n">
        <v>50</v>
      </c>
      <c r="N132" s="6" t="n">
        <v>1</v>
      </c>
      <c r="O132" s="6" t="n"/>
      <c r="P132" s="6" t="n">
        <v>1250</v>
      </c>
      <c r="Q132" s="6" t="n">
        <v>1.25</v>
      </c>
      <c r="R132">
        <f>M132+IF(N132&gt;1,N(O132)*(N132-1),0)</f>
        <v/>
      </c>
      <c r="S132">
        <f>IFERROR(L132*MAX(N132,1)/R132*Q132*IF(ISBLANK(K131),1,K131),0)</f>
        <v/>
      </c>
      <c r="AB132" s="7" t="inlineStr">
        <is>
          <t>^HeavyBomb</t>
        </is>
      </c>
    </row>
    <row r="133">
      <c r="B133" s="7" t="inlineStr">
        <is>
          <t xml:space="preserve">  ↳ TSCropBombChem</t>
        </is>
      </c>
      <c r="C133" s="7" t="inlineStr">
        <is>
          <t>Armament@UPGRADE</t>
        </is>
      </c>
      <c r="L133" s="6" t="n">
        <v>120000</v>
      </c>
      <c r="M133" s="6" t="n">
        <v>50</v>
      </c>
      <c r="N133" s="6" t="n">
        <v>1</v>
      </c>
      <c r="O133" s="6" t="n"/>
      <c r="P133" s="6" t="n">
        <v>1250</v>
      </c>
      <c r="Q133" s="6" t="n">
        <v>1.25</v>
      </c>
      <c r="R133">
        <f>M133+IF(N133&gt;1,N(O133)*(N133-1),0)</f>
        <v/>
      </c>
      <c r="S133">
        <f>IFERROR(L133*MAX(N133,1)/R133*Q133*IF(ISBLANK(K131),1,K131),0)</f>
        <v/>
      </c>
      <c r="AB133" s="7" t="inlineStr">
        <is>
          <t>^HeavyBomb, ^HeavyChemicalWeapon</t>
        </is>
      </c>
    </row>
    <row r="134">
      <c r="A134" t="inlineStr">
        <is>
          <t>tiberiansun</t>
        </is>
      </c>
      <c r="B134" t="inlineStr">
        <is>
          <t>forgotten_locustbomber</t>
        </is>
      </c>
      <c r="C134" t="inlineStr">
        <is>
          <t>actor_forgotten_locustbomber.name</t>
        </is>
      </c>
      <c r="D134" s="6" t="inlineStr">
        <is>
          <t>Bomber</t>
        </is>
      </c>
      <c r="E134" s="6" t="n">
        <v>115000</v>
      </c>
      <c r="F134" s="6" t="n">
        <v>180</v>
      </c>
      <c r="G134" t="inlineStr">
        <is>
          <t>Bomber</t>
        </is>
      </c>
      <c r="H134" s="6" t="n">
        <v>1</v>
      </c>
      <c r="I134" s="6" t="n">
        <v>1</v>
      </c>
      <c r="J134" s="6" t="n">
        <v>1</v>
      </c>
      <c r="K134" s="6" t="n"/>
      <c r="P134">
        <f>MAX(P135,P136)</f>
        <v/>
      </c>
      <c r="S134">
        <f>S135+S136</f>
        <v/>
      </c>
      <c r="T134">
        <f>(E134/100000+F134/100+(P134/1000)*J134/5+S134/200)*200*I134*H134</f>
        <v/>
      </c>
      <c r="U134">
        <f>((E134*F134/25000)+((P134/1000)*J134*S134/2.5))*I134*H134</f>
        <v/>
      </c>
      <c r="V134">
        <f>(E134*F134*(P134/1000)*J134*S134*I134*H134)/12500000</f>
        <v/>
      </c>
      <c r="W134">
        <f>(T134+U134+V134)/3</f>
        <v/>
      </c>
      <c r="X134" s="6" t="n">
        <v>3000</v>
      </c>
      <c r="Y134">
        <f>IFERROR(W134-X134,"")</f>
        <v/>
      </c>
      <c r="Z134">
        <f>IFERROR(ABS(Y134)/MAX(X134,1),"")</f>
        <v/>
      </c>
      <c r="AA134">
        <f>IFERROR((X134-(((E134/100000+F134/100+S134/200)*200*I134*H134)+((E134*F134/25000)*I134*H134))/3)/(((J134/5)*200*I134*H134)+((J134*S134/2.5)*I134*H134)+((E134*F134*J134*S134*I134*H134)/12500000))/3*1000,"")</f>
        <v/>
      </c>
    </row>
    <row r="135">
      <c r="B135" s="7" t="inlineStr">
        <is>
          <t xml:space="preserve">  ↳ TSLocustBomb</t>
        </is>
      </c>
      <c r="C135" s="7" t="inlineStr">
        <is>
          <t>Armament@PRIMARY</t>
        </is>
      </c>
      <c r="L135" s="6" t="n">
        <v>180000</v>
      </c>
      <c r="M135" s="6" t="n">
        <v>38</v>
      </c>
      <c r="N135" s="6" t="n">
        <v>5</v>
      </c>
      <c r="O135" s="6" t="n">
        <v>3</v>
      </c>
      <c r="P135" s="6" t="n">
        <v>1250</v>
      </c>
      <c r="Q135" s="6" t="n">
        <v>1.25</v>
      </c>
      <c r="R135">
        <f>M135+IF(N135&gt;1,N(O135)*(N135-1),0)</f>
        <v/>
      </c>
      <c r="S135">
        <f>IFERROR(L135*MAX(N135,1)/R135*Q135*IF(ISBLANK(K134),1,K134),0)</f>
        <v/>
      </c>
      <c r="AB135" s="7" t="inlineStr">
        <is>
          <t>^HeavyBomb</t>
        </is>
      </c>
    </row>
    <row r="136">
      <c r="B136" s="7" t="inlineStr">
        <is>
          <t xml:space="preserve">  ↳ TSLocustBombChem</t>
        </is>
      </c>
      <c r="C136" s="7" t="inlineStr">
        <is>
          <t>Armament@UPGRADE</t>
        </is>
      </c>
      <c r="L136" s="6" t="n">
        <v>180000</v>
      </c>
      <c r="M136" s="6" t="n">
        <v>38</v>
      </c>
      <c r="N136" s="6" t="n">
        <v>5</v>
      </c>
      <c r="O136" s="6" t="n">
        <v>3</v>
      </c>
      <c r="P136" s="6" t="n">
        <v>1250</v>
      </c>
      <c r="Q136" s="6" t="n">
        <v>1.25</v>
      </c>
      <c r="R136">
        <f>M136+IF(N136&gt;1,N(O136)*(N136-1),0)</f>
        <v/>
      </c>
      <c r="S136">
        <f>IFERROR(L136*MAX(N136,1)/R136*Q136*IF(ISBLANK(K134),1,K134),0)</f>
        <v/>
      </c>
      <c r="AB136" s="7" t="inlineStr">
        <is>
          <t>^HeavyBomb, ^HeavyChemicalWeapon</t>
        </is>
      </c>
    </row>
    <row r="137">
      <c r="A137" t="inlineStr">
        <is>
          <t>shared</t>
        </is>
      </c>
      <c r="B137" t="inlineStr">
        <is>
          <t>ra2asw</t>
        </is>
      </c>
      <c r="C137" t="inlineStr">
        <is>
          <t>Osprey</t>
        </is>
      </c>
      <c r="D137" s="6" t="inlineStr">
        <is>
          <t>Bomber</t>
        </is>
      </c>
      <c r="E137" s="6" t="n">
        <v>50000</v>
      </c>
      <c r="F137" s="6" t="n">
        <v>210</v>
      </c>
      <c r="G137" t="inlineStr">
        <is>
          <t>Bomber</t>
        </is>
      </c>
      <c r="H137" s="6" t="n">
        <v>1</v>
      </c>
      <c r="I137" s="6" t="n">
        <v>1</v>
      </c>
      <c r="J137" s="6" t="n">
        <v>1</v>
      </c>
      <c r="K137" s="6" t="n">
        <v>0.5</v>
      </c>
      <c r="P137">
        <f>MAX(P138)</f>
        <v/>
      </c>
      <c r="S137">
        <f>S138</f>
        <v/>
      </c>
      <c r="T137">
        <f>(E137/100000+F137/100+(P137/1000)*J137/5+S137/200)*200*I137*H137</f>
        <v/>
      </c>
      <c r="U137">
        <f>((E137*F137/25000)+((P137/1000)*J137*S137/2.5))*I137*H137</f>
        <v/>
      </c>
      <c r="V137">
        <f>(E137*F137*(P137/1000)*J137*S137*I137*H137)/12500000</f>
        <v/>
      </c>
      <c r="W137">
        <f>(T137+U137+V137)/3</f>
        <v/>
      </c>
      <c r="X137" s="6" t="n">
        <v>1000</v>
      </c>
      <c r="Y137">
        <f>IFERROR(W137-X137,"")</f>
        <v/>
      </c>
      <c r="Z137">
        <f>IFERROR(ABS(Y137)/MAX(X137,1),"")</f>
        <v/>
      </c>
      <c r="AA137">
        <f>IFERROR((X137-(((E137/100000+F137/100+S137/200)*200*I137*H137)+((E137*F137/25000)*I137*H137))/3)/(((J137/5)*200*I137*H137)+((J137*S137/2.5)*I137*H137)+((E137*F137*J137*S137*I137*H137)/12500000))/3*1000,"")</f>
        <v/>
      </c>
    </row>
    <row r="138">
      <c r="B138" s="7" t="inlineStr">
        <is>
          <t xml:space="preserve">  ↳ RA2DepthCharge</t>
        </is>
      </c>
      <c r="C138" s="7" t="inlineStr">
        <is>
          <t>Armament@PRIMARY</t>
        </is>
      </c>
      <c r="L138" s="6" t="n">
        <v>60000</v>
      </c>
      <c r="M138" s="6" t="n">
        <v>25</v>
      </c>
      <c r="N138" s="6" t="n">
        <v>5</v>
      </c>
      <c r="O138" s="6" t="n">
        <v>3</v>
      </c>
      <c r="P138" s="6" t="n">
        <v>3000</v>
      </c>
      <c r="Q138" s="6" t="n">
        <v>1</v>
      </c>
      <c r="R138">
        <f>M138+IF(N138&gt;1,N(O138)*(N138-1),0)</f>
        <v/>
      </c>
      <c r="S138">
        <f>IFERROR(L138*MAX(N138,1)/R138*Q138*IF(ISBLANK(K137),1,K137),0)</f>
        <v/>
      </c>
      <c r="AB138" s="7" t="inlineStr">
        <is>
          <t>^Grenade</t>
        </is>
      </c>
    </row>
    <row r="139">
      <c r="A139" t="inlineStr">
        <is>
          <t>shared</t>
        </is>
      </c>
      <c r="B139" t="inlineStr">
        <is>
          <t>ra2hornet</t>
        </is>
      </c>
      <c r="C139" t="inlineStr">
        <is>
          <t>Hornet</t>
        </is>
      </c>
      <c r="D139" s="6" t="inlineStr">
        <is>
          <t>Bomber</t>
        </is>
      </c>
      <c r="E139" s="6" t="n">
        <v>5000</v>
      </c>
      <c r="F139" s="6" t="n">
        <v>225</v>
      </c>
      <c r="G139" t="inlineStr">
        <is>
          <t>Bomber</t>
        </is>
      </c>
      <c r="H139" s="6" t="n">
        <v>1</v>
      </c>
      <c r="I139" s="6" t="n">
        <v>1</v>
      </c>
      <c r="J139" s="6" t="n">
        <v>1</v>
      </c>
      <c r="K139" s="6" t="n">
        <v>0.5</v>
      </c>
      <c r="P139">
        <f>MAX(P140)</f>
        <v/>
      </c>
      <c r="S139">
        <f>S140</f>
        <v/>
      </c>
      <c r="T139">
        <f>(E139/100000+F139/100+(P139/1000)*J139/5+S139/200)*200*I139*H139</f>
        <v/>
      </c>
      <c r="U139">
        <f>((E139*F139/25000)+((P139/1000)*J139*S139/2.5))*I139*H139</f>
        <v/>
      </c>
      <c r="V139">
        <f>(E139*F139*(P139/1000)*J139*S139*I139*H139)/12500000</f>
        <v/>
      </c>
      <c r="W139">
        <f>(T139+U139+V139)/3</f>
        <v/>
      </c>
      <c r="X139" s="6" t="n">
        <v>1250</v>
      </c>
      <c r="Y139">
        <f>IFERROR(W139-X139,"")</f>
        <v/>
      </c>
      <c r="Z139">
        <f>IFERROR(ABS(Y139)/MAX(X139,1),"")</f>
        <v/>
      </c>
      <c r="AA139">
        <f>IFERROR((X139-(((E139/100000+F139/100+S139/200)*200*I139*H139)+((E139*F139/25000)*I139*H139))/3)/(((J139/5)*200*I139*H139)+((J139*S139/2.5)*I139*H139)+((E139*F139*J139*S139*I139*H139)/12500000))/3*1000,"")</f>
        <v/>
      </c>
    </row>
    <row r="140">
      <c r="B140" s="7" t="inlineStr">
        <is>
          <t xml:space="preserve">  ↳ RA2HornetMissile</t>
        </is>
      </c>
      <c r="C140" s="7" t="inlineStr">
        <is>
          <t>Armament@PRIMARY</t>
        </is>
      </c>
      <c r="L140" s="6" t="n">
        <v>2000</v>
      </c>
      <c r="M140" s="6" t="n">
        <v>3</v>
      </c>
      <c r="N140" s="6" t="n">
        <v>1</v>
      </c>
      <c r="O140" s="6" t="n"/>
      <c r="P140" s="6" t="n">
        <v>5000</v>
      </c>
      <c r="Q140" s="6" t="n">
        <v>1.083333333333333</v>
      </c>
      <c r="R140">
        <f>M140+IF(N140&gt;1,N(O140)*(N140-1),0)</f>
        <v/>
      </c>
      <c r="S140">
        <f>IFERROR(L140*MAX(N140,1)/R140*Q140*IF(ISBLANK(K139),1,K139),0)</f>
        <v/>
      </c>
      <c r="AB140" s="7" t="inlineStr">
        <is>
          <t>^Grenade, ^HeavyBomb, ^RA2MediumMissile</t>
        </is>
      </c>
    </row>
    <row r="141">
      <c r="A141" t="inlineStr">
        <is>
          <t>shared</t>
        </is>
      </c>
      <c r="B141" t="inlineStr">
        <is>
          <t>yrbpln</t>
        </is>
      </c>
      <c r="C141" t="inlineStr">
        <is>
          <t>MiG Bomber</t>
        </is>
      </c>
      <c r="D141" s="6" t="inlineStr">
        <is>
          <t>Bomber</t>
        </is>
      </c>
      <c r="E141" s="6" t="n">
        <v>100000</v>
      </c>
      <c r="F141" s="6" t="n">
        <v>250</v>
      </c>
      <c r="G141" t="inlineStr">
        <is>
          <t>Bomber</t>
        </is>
      </c>
      <c r="H141" s="6" t="n">
        <v>1</v>
      </c>
      <c r="I141" s="6" t="n">
        <v>1</v>
      </c>
      <c r="J141" s="6" t="n">
        <v>1</v>
      </c>
      <c r="K141" s="6" t="n">
        <v>1.25</v>
      </c>
      <c r="P141">
        <f>MAX(P142,P143,P144,P145)</f>
        <v/>
      </c>
      <c r="S141">
        <f>S142+S143+S144+S145</f>
        <v/>
      </c>
      <c r="T141">
        <f>(E141/100000+F141/100+(P141/1000)*J141/5+S141/200)*200*I141*H141</f>
        <v/>
      </c>
      <c r="U141">
        <f>((E141*F141/25000)+((P141/1000)*J141*S141/2.5))*I141*H141</f>
        <v/>
      </c>
      <c r="V141">
        <f>(E141*F141*(P141/1000)*J141*S141*I141*H141)/12500000</f>
        <v/>
      </c>
      <c r="W141">
        <f>(T141+U141+V141)/3</f>
        <v/>
      </c>
      <c r="X141" s="6" t="n">
        <v>5000</v>
      </c>
      <c r="Y141">
        <f>IFERROR(W141-X141,"")</f>
        <v/>
      </c>
      <c r="Z141">
        <f>IFERROR(ABS(Y141)/MAX(X141,1),"")</f>
        <v/>
      </c>
      <c r="AA141">
        <f>IFERROR((X141-(((E141/100000+F141/100+S141/200)*200*I141*H141)+((E141*F141/25000)*I141*H141))/3)/(((J141/5)*200*I141*H141)+((J141*S141/2.5)*I141*H141)+((E141*F141*J141*S141*I141*H141)/12500000))/3*1000,"")</f>
        <v/>
      </c>
    </row>
    <row r="142">
      <c r="B142" s="7" t="inlineStr">
        <is>
          <t xml:space="preserve">  ↳ MigMissiles</t>
        </is>
      </c>
      <c r="C142" s="7" t="inlineStr">
        <is>
          <t>Armament</t>
        </is>
      </c>
      <c r="L142" s="6" t="n">
        <v>8000</v>
      </c>
      <c r="M142" s="6" t="n">
        <v>50</v>
      </c>
      <c r="N142" s="6" t="n">
        <v>4</v>
      </c>
      <c r="O142" s="6" t="n">
        <v>2</v>
      </c>
      <c r="P142" s="6" t="n">
        <v>7600</v>
      </c>
      <c r="Q142" s="6" t="n">
        <v>1.125</v>
      </c>
      <c r="R142">
        <f>M142+IF(N142&gt;1,N(O142)*(N142-1),0)</f>
        <v/>
      </c>
      <c r="S142">
        <f>IFERROR(L142*MAX(N142,1)/R142*Q142*IF(ISBLANK(K141),1,K141),0)</f>
        <v/>
      </c>
      <c r="AB142" s="7" t="inlineStr">
        <is>
          <t>^HeavyBomb, ^HeavyAAWeapon, ^FlakWeapon, ^RA2MediumMissile</t>
        </is>
      </c>
    </row>
    <row r="143">
      <c r="B143" s="7" t="inlineStr">
        <is>
          <t xml:space="preserve">  ↳ MigMissiles_rad</t>
        </is>
      </c>
      <c r="C143" s="7" t="inlineStr">
        <is>
          <t>Armament@rad</t>
        </is>
      </c>
      <c r="L143" s="6" t="n">
        <v>8000</v>
      </c>
      <c r="M143" s="6" t="n">
        <v>50</v>
      </c>
      <c r="N143" s="6" t="n">
        <v>4</v>
      </c>
      <c r="O143" s="6" t="n">
        <v>2</v>
      </c>
      <c r="P143" s="6" t="n">
        <v>7600</v>
      </c>
      <c r="Q143" s="6" t="n">
        <v>1.125</v>
      </c>
      <c r="R143">
        <f>M143+IF(N143&gt;1,N(O143)*(N143-1),0)</f>
        <v/>
      </c>
      <c r="S143">
        <f>IFERROR(L143*MAX(N143,1)/R143*Q143*IF(ISBLANK(K141),1,K141),0)</f>
        <v/>
      </c>
      <c r="AB143" s="7" t="inlineStr">
        <is>
          <t>^MediumChemicalWeapon, ^HeavyChemicalWeapon, ^HeavyBomb, ^HeavyAAWeapon, ^FlakWeapon, ^RA2MediumMissile, ^RA2RadShell</t>
        </is>
      </c>
    </row>
    <row r="144">
      <c r="B144" s="7" t="inlineStr">
        <is>
          <t xml:space="preserve">  ↳ MigMissiles_fire</t>
        </is>
      </c>
      <c r="C144" s="7" t="inlineStr">
        <is>
          <t>Armament@fire</t>
        </is>
      </c>
      <c r="L144" s="6" t="n">
        <v>8000</v>
      </c>
      <c r="M144" s="6" t="n">
        <v>50</v>
      </c>
      <c r="N144" s="6" t="n">
        <v>4</v>
      </c>
      <c r="O144" s="6" t="n">
        <v>2</v>
      </c>
      <c r="P144" s="6" t="n">
        <v>7600</v>
      </c>
      <c r="Q144" s="6" t="n">
        <v>1.125</v>
      </c>
      <c r="R144">
        <f>M144+IF(N144&gt;1,N(O144)*(N144-1),0)</f>
        <v/>
      </c>
      <c r="S144">
        <f>IFERROR(L144*MAX(N144,1)/R144*Q144*IF(ISBLANK(K141),1,K141),0)</f>
        <v/>
      </c>
      <c r="AB144" s="7" t="inlineStr">
        <is>
          <t>^HeavyBomb, ^HeavyAAWeapon, ^FlakWeapon, ^RA2MediumMissile</t>
        </is>
      </c>
    </row>
    <row r="145">
      <c r="B145" s="7" t="inlineStr">
        <is>
          <t xml:space="preserve">  ↳ MigMissiles_tesla</t>
        </is>
      </c>
      <c r="C145" s="7" t="inlineStr">
        <is>
          <t>Armament@tesla</t>
        </is>
      </c>
      <c r="L145" s="6" t="n">
        <v>8000</v>
      </c>
      <c r="M145" s="6" t="n">
        <v>50</v>
      </c>
      <c r="N145" s="6" t="n">
        <v>4</v>
      </c>
      <c r="O145" s="6" t="n">
        <v>2</v>
      </c>
      <c r="P145" s="6" t="n">
        <v>7600</v>
      </c>
      <c r="Q145" s="6" t="n">
        <v>1.125</v>
      </c>
      <c r="R145">
        <f>M145+IF(N145&gt;1,N(O145)*(N145-1),0)</f>
        <v/>
      </c>
      <c r="S145">
        <f>IFERROR(L145*MAX(N145,1)/R145*Q145*IF(ISBLANK(K141),1,K141),0)</f>
        <v/>
      </c>
      <c r="AB145" s="7" t="inlineStr">
        <is>
          <t>^HeavyBomb, ^HeavyAAWeapon, ^FlakWeapon, ^RA2MediumMissile</t>
        </is>
      </c>
    </row>
    <row r="146">
      <c r="A146" t="inlineStr">
        <is>
          <t>redalert2</t>
        </is>
      </c>
      <c r="B146" t="inlineStr">
        <is>
          <t>ra2_allies_blackeagle</t>
        </is>
      </c>
      <c r="C146" t="inlineStr">
        <is>
          <t>Black Eagle</t>
        </is>
      </c>
      <c r="D146" s="6" t="inlineStr">
        <is>
          <t>Bomber</t>
        </is>
      </c>
      <c r="E146" s="6" t="n">
        <v>85000</v>
      </c>
      <c r="F146" s="6" t="n">
        <v>150</v>
      </c>
      <c r="G146" t="inlineStr">
        <is>
          <t>Bomber</t>
        </is>
      </c>
      <c r="H146" s="6" t="n">
        <v>0.75</v>
      </c>
      <c r="I146" s="6" t="n">
        <v>1</v>
      </c>
      <c r="J146" s="6" t="n">
        <v>1</v>
      </c>
      <c r="K146" s="6" t="n"/>
      <c r="P146">
        <f>MAX(P147,P148,P149,P150)</f>
        <v/>
      </c>
      <c r="S146">
        <f>S147+S148+S149+S150</f>
        <v/>
      </c>
      <c r="T146">
        <f>(E146/100000+F146/100+(P146/1000)*J146/5+S146/200)*200*I146*H146</f>
        <v/>
      </c>
      <c r="U146">
        <f>((E146*F146/25000)+((P146/1000)*J146*S146/2.5))*I146*H146</f>
        <v/>
      </c>
      <c r="V146">
        <f>(E146*F146*(P146/1000)*J146*S146*I146*H146)/12500000</f>
        <v/>
      </c>
      <c r="W146">
        <f>(T146+U146+V146)/3</f>
        <v/>
      </c>
      <c r="X146" s="6" t="n">
        <v>3000</v>
      </c>
      <c r="Y146">
        <f>IFERROR(W146-X146,"")</f>
        <v/>
      </c>
      <c r="Z146">
        <f>IFERROR(ABS(Y146)/MAX(X146,1),"")</f>
        <v/>
      </c>
      <c r="AA146">
        <f>IFERROR((X146-(((E146/100000+F146/100+S146/200)*200*I146*H146)+((E146*F146/25000)*I146*H146))/3)/(((J146/5)*200*I146*H146)+((J146*S146/2.5)*I146*H146)+((E146*F146*J146*S146*I146*H146)/12500000))/3*1000,"")</f>
        <v/>
      </c>
    </row>
    <row r="147">
      <c r="B147" s="7" t="inlineStr">
        <is>
          <t xml:space="preserve">  ↳ BlackEagleMissiles</t>
        </is>
      </c>
      <c r="C147" s="7" t="inlineStr">
        <is>
          <t>Armament@PRIMARY</t>
        </is>
      </c>
      <c r="L147" s="6" t="n">
        <v>16000</v>
      </c>
      <c r="M147" s="6" t="n">
        <v>50</v>
      </c>
      <c r="N147" s="6" t="n">
        <v>4</v>
      </c>
      <c r="O147" s="6" t="n">
        <v>2</v>
      </c>
      <c r="P147" s="6" t="n">
        <v>9000</v>
      </c>
      <c r="Q147" s="6" t="n">
        <v>1.083333333333333</v>
      </c>
      <c r="R147">
        <f>M147+IF(N147&gt;1,N(O147)*(N147-1),0)</f>
        <v/>
      </c>
      <c r="S147">
        <f>IFERROR(L147*MAX(N147,1)/R147*Q147*IF(ISBLANK(K146),1,K146),0)</f>
        <v/>
      </c>
      <c r="AB147" s="7" t="inlineStr">
        <is>
          <t>^Grenade, ^HeavyBomb, ^RA2MediumMissile</t>
        </is>
      </c>
    </row>
    <row r="148">
      <c r="B148" s="7" t="inlineStr">
        <is>
          <t xml:space="preserve">  ↳ BlackEagleMissiles_elite</t>
        </is>
      </c>
      <c r="C148" s="7" t="inlineStr">
        <is>
          <t>Armament@PRIMARYELITE</t>
        </is>
      </c>
      <c r="L148" s="6" t="n">
        <v>16000</v>
      </c>
      <c r="M148" s="6" t="n">
        <v>50</v>
      </c>
      <c r="N148" s="6" t="n">
        <v>8</v>
      </c>
      <c r="O148" s="6" t="n">
        <v>2</v>
      </c>
      <c r="P148" s="6" t="n">
        <v>10000</v>
      </c>
      <c r="Q148" s="6" t="n">
        <v>1.083333333333333</v>
      </c>
      <c r="R148">
        <f>M148+IF(N148&gt;1,N(O148)*(N148-1),0)</f>
        <v/>
      </c>
      <c r="S148">
        <f>IFERROR(L148*MAX(N148,1)/R148*Q148*IF(ISBLANK(K146),1,K146),0)</f>
        <v/>
      </c>
      <c r="AB148" s="7" t="inlineStr">
        <is>
          <t>^Grenade, ^HeavyBomb, ^RA2MediumMissile</t>
        </is>
      </c>
    </row>
    <row r="149">
      <c r="B149" s="7" t="inlineStr">
        <is>
          <t xml:space="preserve">  ↳ BlackEagleThunderboltMissiles</t>
        </is>
      </c>
      <c r="C149" s="7" t="inlineStr">
        <is>
          <t>Armament@PRIMARYUPGRADE</t>
        </is>
      </c>
      <c r="L149" s="6" t="n">
        <v>6000</v>
      </c>
      <c r="M149" s="6" t="n">
        <v>50</v>
      </c>
      <c r="N149" s="6" t="n">
        <v>4</v>
      </c>
      <c r="O149" s="6" t="n">
        <v>2</v>
      </c>
      <c r="P149" s="6" t="n">
        <v>9000</v>
      </c>
      <c r="Q149" s="6" t="n">
        <v>1.0625</v>
      </c>
      <c r="R149">
        <f>M149+IF(N149&gt;1,N(O149)*(N149-1),0)</f>
        <v/>
      </c>
      <c r="S149">
        <f>IFERROR(L149*MAX(N149,1)/R149*Q149*IF(ISBLANK(K146),1,K146),0)</f>
        <v/>
      </c>
      <c r="AB149" s="7" t="inlineStr">
        <is>
          <t>^Grenade, ^ShrapnelWeapon, ^HeavyBomb, ^HeavyMissile, ^HeavyAAWeapon, ^MediumMissile, ^FlakWeapon, ^ArrowWeapon, ^RA2LightMissile</t>
        </is>
      </c>
    </row>
    <row r="150">
      <c r="B150" s="7" t="inlineStr">
        <is>
          <t xml:space="preserve">  ↳ BlackEagleThunderboltMissiles_elite</t>
        </is>
      </c>
      <c r="C150" s="7" t="inlineStr">
        <is>
          <t>Armament@PRIMARYELITEUpgrade</t>
        </is>
      </c>
      <c r="L150" s="6" t="n">
        <v>6000</v>
      </c>
      <c r="M150" s="6" t="n">
        <v>50</v>
      </c>
      <c r="N150" s="6" t="n">
        <v>8</v>
      </c>
      <c r="O150" s="6" t="n">
        <v>2</v>
      </c>
      <c r="P150" s="6" t="n">
        <v>10000</v>
      </c>
      <c r="Q150" s="6" t="n">
        <v>1.0625</v>
      </c>
      <c r="R150">
        <f>M150+IF(N150&gt;1,N(O150)*(N150-1),0)</f>
        <v/>
      </c>
      <c r="S150">
        <f>IFERROR(L150*MAX(N150,1)/R150*Q150*IF(ISBLANK(K146),1,K146),0)</f>
        <v/>
      </c>
      <c r="AB150" s="7" t="inlineStr">
        <is>
          <t>^Grenade, ^ShrapnelWeapon, ^HeavyBomb, ^HeavyMissile, ^HeavyAAWeapon, ^MediumMissile, ^FlakWeapon, ^ArrowWeapon, ^RA2LightMissile</t>
        </is>
      </c>
    </row>
    <row r="151">
      <c r="A151" t="inlineStr">
        <is>
          <t>redalert2</t>
        </is>
      </c>
      <c r="B151" t="inlineStr">
        <is>
          <t>ra2_soviets_migbomber</t>
        </is>
      </c>
      <c r="C151" t="inlineStr">
        <is>
          <t>MiG Bomber</t>
        </is>
      </c>
      <c r="D151" s="6" t="inlineStr">
        <is>
          <t>Bomber</t>
        </is>
      </c>
      <c r="E151" s="6" t="n">
        <v>57500</v>
      </c>
      <c r="F151" s="6" t="n">
        <v>215</v>
      </c>
      <c r="G151" t="inlineStr">
        <is>
          <t>Bomber</t>
        </is>
      </c>
      <c r="H151" s="6" t="n">
        <v>1</v>
      </c>
      <c r="I151" s="6" t="n">
        <v>1</v>
      </c>
      <c r="J151" s="6" t="n">
        <v>1</v>
      </c>
      <c r="K151" s="6" t="n"/>
      <c r="P151">
        <f>MAX(P152,P153,P154,P155,P156,P157,P158,P159)</f>
        <v/>
      </c>
      <c r="S151">
        <f>S152+S153+S154+S155+S156+S157+S158+S159</f>
        <v/>
      </c>
      <c r="T151">
        <f>(E151/100000+F151/100+(P151/1000)*J151/5+S151/200)*200*I151*H151</f>
        <v/>
      </c>
      <c r="U151">
        <f>((E151*F151/25000)+((P151/1000)*J151*S151/2.5))*I151*H151</f>
        <v/>
      </c>
      <c r="V151">
        <f>(E151*F151*(P151/1000)*J151*S151*I151*H151)/12500000</f>
        <v/>
      </c>
      <c r="W151">
        <f>(T151+U151+V151)/3</f>
        <v/>
      </c>
      <c r="X151" s="6" t="n">
        <v>2000</v>
      </c>
      <c r="Y151">
        <f>IFERROR(W151-X151,"")</f>
        <v/>
      </c>
      <c r="Z151">
        <f>IFERROR(ABS(Y151)/MAX(X151,1),"")</f>
        <v/>
      </c>
      <c r="AA151">
        <f>IFERROR((X151-(((E151/100000+F151/100+S151/200)*200*I151*H151)+((E151*F151/25000)*I151*H151))/3)/(((J151/5)*200*I151*H151)+((J151*S151/2.5)*I151*H151)+((E151*F151*J151*S151*I151*H151)/12500000))/3*1000,"")</f>
        <v/>
      </c>
    </row>
    <row r="152">
      <c r="B152" s="7" t="inlineStr">
        <is>
          <t xml:space="preserve">  ↳ MigMissiles</t>
        </is>
      </c>
      <c r="C152" s="7" t="inlineStr">
        <is>
          <t>Armament</t>
        </is>
      </c>
      <c r="L152" s="6" t="n">
        <v>8000</v>
      </c>
      <c r="M152" s="6" t="n">
        <v>50</v>
      </c>
      <c r="N152" s="6" t="n">
        <v>4</v>
      </c>
      <c r="O152" s="6" t="n">
        <v>2</v>
      </c>
      <c r="P152" s="6" t="n">
        <v>7600</v>
      </c>
      <c r="Q152" s="6" t="n">
        <v>1.125</v>
      </c>
      <c r="R152">
        <f>M152+IF(N152&gt;1,N(O152)*(N152-1),0)</f>
        <v/>
      </c>
      <c r="S152">
        <f>IFERROR(L152*MAX(N152,1)/R152*Q152*IF(ISBLANK(K151),1,K151),0)</f>
        <v/>
      </c>
      <c r="AB152" s="7" t="inlineStr">
        <is>
          <t>^HeavyBomb, ^HeavyAAWeapon, ^FlakWeapon, ^RA2MediumMissile</t>
        </is>
      </c>
    </row>
    <row r="153">
      <c r="B153" s="7" t="inlineStr">
        <is>
          <t xml:space="preserve">  ↳ MigMissiles_rad</t>
        </is>
      </c>
      <c r="C153" s="7" t="inlineStr">
        <is>
          <t>Armament@rad</t>
        </is>
      </c>
      <c r="L153" s="6" t="n">
        <v>8000</v>
      </c>
      <c r="M153" s="6" t="n">
        <v>50</v>
      </c>
      <c r="N153" s="6" t="n">
        <v>4</v>
      </c>
      <c r="O153" s="6" t="n">
        <v>2</v>
      </c>
      <c r="P153" s="6" t="n">
        <v>7600</v>
      </c>
      <c r="Q153" s="6" t="n">
        <v>1.125</v>
      </c>
      <c r="R153">
        <f>M153+IF(N153&gt;1,N(O153)*(N153-1),0)</f>
        <v/>
      </c>
      <c r="S153">
        <f>IFERROR(L153*MAX(N153,1)/R153*Q153*IF(ISBLANK(K151),1,K151),0)</f>
        <v/>
      </c>
      <c r="AB153" s="7" t="inlineStr">
        <is>
          <t>^MediumChemicalWeapon, ^HeavyChemicalWeapon, ^HeavyBomb, ^HeavyAAWeapon, ^FlakWeapon, ^RA2MediumMissile, ^RA2RadShell</t>
        </is>
      </c>
    </row>
    <row r="154">
      <c r="B154" s="7" t="inlineStr">
        <is>
          <t xml:space="preserve">  ↳ MigMissiles_fire</t>
        </is>
      </c>
      <c r="C154" s="7" t="inlineStr">
        <is>
          <t>Armament@fire</t>
        </is>
      </c>
      <c r="L154" s="6" t="n">
        <v>8000</v>
      </c>
      <c r="M154" s="6" t="n">
        <v>50</v>
      </c>
      <c r="N154" s="6" t="n">
        <v>4</v>
      </c>
      <c r="O154" s="6" t="n">
        <v>2</v>
      </c>
      <c r="P154" s="6" t="n">
        <v>7600</v>
      </c>
      <c r="Q154" s="6" t="n">
        <v>1.125</v>
      </c>
      <c r="R154">
        <f>M154+IF(N154&gt;1,N(O154)*(N154-1),0)</f>
        <v/>
      </c>
      <c r="S154">
        <f>IFERROR(L154*MAX(N154,1)/R154*Q154*IF(ISBLANK(K151),1,K151),0)</f>
        <v/>
      </c>
      <c r="AB154" s="7" t="inlineStr">
        <is>
          <t>^HeavyBomb, ^HeavyAAWeapon, ^FlakWeapon, ^RA2MediumMissile</t>
        </is>
      </c>
    </row>
    <row r="155">
      <c r="B155" s="7" t="inlineStr">
        <is>
          <t xml:space="preserve">  ↳ MigMissiles_tesla</t>
        </is>
      </c>
      <c r="C155" s="7" t="inlineStr">
        <is>
          <t>Armament@tesla</t>
        </is>
      </c>
      <c r="L155" s="6" t="n">
        <v>8000</v>
      </c>
      <c r="M155" s="6" t="n">
        <v>50</v>
      </c>
      <c r="N155" s="6" t="n">
        <v>4</v>
      </c>
      <c r="O155" s="6" t="n">
        <v>2</v>
      </c>
      <c r="P155" s="6" t="n">
        <v>7600</v>
      </c>
      <c r="Q155" s="6" t="n">
        <v>1.125</v>
      </c>
      <c r="R155">
        <f>M155+IF(N155&gt;1,N(O155)*(N155-1),0)</f>
        <v/>
      </c>
      <c r="S155">
        <f>IFERROR(L155*MAX(N155,1)/R155*Q155*IF(ISBLANK(K151),1,K151),0)</f>
        <v/>
      </c>
      <c r="AB155" s="7" t="inlineStr">
        <is>
          <t>^HeavyBomb, ^HeavyAAWeapon, ^FlakWeapon, ^RA2MediumMissile</t>
        </is>
      </c>
    </row>
    <row r="156">
      <c r="B156" s="7" t="inlineStr">
        <is>
          <t xml:space="preserve">  ↳ MigMissilesE</t>
        </is>
      </c>
      <c r="C156" s="7" t="inlineStr">
        <is>
          <t>Armament@PRIMARYELITE</t>
        </is>
      </c>
      <c r="L156" s="6" t="n">
        <v>8000</v>
      </c>
      <c r="M156" s="6" t="n">
        <v>50</v>
      </c>
      <c r="N156" s="6" t="n">
        <v>8</v>
      </c>
      <c r="O156" s="6" t="n">
        <v>2</v>
      </c>
      <c r="P156" s="6" t="n">
        <v>8600</v>
      </c>
      <c r="Q156" s="6" t="n">
        <v>1.125</v>
      </c>
      <c r="R156">
        <f>M156+IF(N156&gt;1,N(O156)*(N156-1),0)</f>
        <v/>
      </c>
      <c r="S156">
        <f>IFERROR(L156*MAX(N156,1)/R156*Q156*IF(ISBLANK(K151),1,K151),0)</f>
        <v/>
      </c>
      <c r="AB156" s="7" t="inlineStr">
        <is>
          <t>^HeavyBomb, ^HeavyAAWeapon, ^FlakWeapon, ^RA2MediumMissile</t>
        </is>
      </c>
    </row>
    <row r="157">
      <c r="B157" s="7" t="inlineStr">
        <is>
          <t xml:space="preserve">  ↳ MigMissilesE_tesla</t>
        </is>
      </c>
      <c r="C157" s="7" t="inlineStr">
        <is>
          <t>Armament@PRIMARYELITERad</t>
        </is>
      </c>
      <c r="L157" s="6" t="n">
        <v>8000</v>
      </c>
      <c r="M157" s="6" t="n">
        <v>50</v>
      </c>
      <c r="N157" s="6" t="n">
        <v>8</v>
      </c>
      <c r="O157" s="6" t="n">
        <v>2</v>
      </c>
      <c r="P157" s="6" t="n">
        <v>8600</v>
      </c>
      <c r="Q157" s="6" t="n">
        <v>1.125</v>
      </c>
      <c r="R157">
        <f>M157+IF(N157&gt;1,N(O157)*(N157-1),0)</f>
        <v/>
      </c>
      <c r="S157">
        <f>IFERROR(L157*MAX(N157,1)/R157*Q157*IF(ISBLANK(K151),1,K151),0)</f>
        <v/>
      </c>
      <c r="AB157" s="7" t="inlineStr">
        <is>
          <t>^HeavyBomb, ^HeavyAAWeapon, ^FlakWeapon, ^RA2MediumMissile</t>
        </is>
      </c>
    </row>
    <row r="158">
      <c r="B158" s="7" t="inlineStr">
        <is>
          <t xml:space="preserve">  ↳ MigMissiles_AA</t>
        </is>
      </c>
      <c r="C158" s="7" t="inlineStr">
        <is>
          <t>Armament@AA</t>
        </is>
      </c>
      <c r="L158" s="6" t="n">
        <v>8000</v>
      </c>
      <c r="M158" s="6" t="n">
        <v>50</v>
      </c>
      <c r="N158" s="6" t="n">
        <v>4</v>
      </c>
      <c r="O158" s="6" t="n">
        <v>2</v>
      </c>
      <c r="P158" s="6" t="n">
        <v>7600</v>
      </c>
      <c r="Q158" s="6" t="n">
        <v>1.125</v>
      </c>
      <c r="R158">
        <f>M158+IF(N158&gt;1,N(O158)*(N158-1),0)</f>
        <v/>
      </c>
      <c r="S158">
        <f>IFERROR(L158*MAX(N158,1)/R158*Q158*IF(ISBLANK(K151),1,K151),0)</f>
        <v/>
      </c>
      <c r="AB158" s="7" t="inlineStr">
        <is>
          <t>^HeavyBomb, ^HeavyAAWeapon, ^FlakWeapon, ^RA2MediumMissile</t>
        </is>
      </c>
    </row>
    <row r="159">
      <c r="B159" s="7" t="inlineStr">
        <is>
          <t xml:space="preserve">  ↳ MigMissiles_AA_ELITE</t>
        </is>
      </c>
      <c r="C159" s="7" t="inlineStr">
        <is>
          <t>Armament@AAELITE</t>
        </is>
      </c>
      <c r="L159" s="6" t="n">
        <v>8000</v>
      </c>
      <c r="M159" s="6" t="n">
        <v>50</v>
      </c>
      <c r="N159" s="6" t="n">
        <v>8</v>
      </c>
      <c r="O159" s="6" t="n">
        <v>2</v>
      </c>
      <c r="P159" s="6" t="n">
        <v>8600</v>
      </c>
      <c r="Q159" s="6" t="n">
        <v>1.125</v>
      </c>
      <c r="R159">
        <f>M159+IF(N159&gt;1,N(O159)*(N159-1),0)</f>
        <v/>
      </c>
      <c r="S159">
        <f>IFERROR(L159*MAX(N159,1)/R159*Q159*IF(ISBLANK(K151),1,K151),0)</f>
        <v/>
      </c>
      <c r="AB159" s="7" t="inlineStr">
        <is>
          <t>^HeavyBomb, ^HeavyAAWeapon, ^FlakWeapon, ^RA2MediumMissile</t>
        </is>
      </c>
    </row>
    <row r="160">
      <c r="A160" t="inlineStr">
        <is>
          <t>redalert2mod</t>
        </is>
      </c>
      <c r="B160" t="inlineStr">
        <is>
          <t>asianalliance_phoenix</t>
        </is>
      </c>
      <c r="C160" t="inlineStr">
        <is>
          <t>Phoenix</t>
        </is>
      </c>
      <c r="D160" s="6" t="inlineStr">
        <is>
          <t>Bomber</t>
        </is>
      </c>
      <c r="E160" s="6" t="n">
        <v>90000</v>
      </c>
      <c r="F160" s="6" t="n">
        <v>180</v>
      </c>
      <c r="G160" t="inlineStr">
        <is>
          <t>Bomber</t>
        </is>
      </c>
      <c r="H160" s="6" t="n">
        <v>1</v>
      </c>
      <c r="I160" s="6" t="n">
        <v>1</v>
      </c>
      <c r="J160" s="6" t="n">
        <v>1</v>
      </c>
      <c r="K160" s="6" t="n"/>
      <c r="P160">
        <f>MAX(P161,P162)</f>
        <v/>
      </c>
      <c r="S160">
        <f>S161+S162</f>
        <v/>
      </c>
      <c r="T160">
        <f>(E160/100000+F160/100+(P160/1000)*J160/5+S160/200)*200*I160*H160</f>
        <v/>
      </c>
      <c r="U160">
        <f>((E160*F160/25000)+((P160/1000)*J160*S160/2.5))*I160*H160</f>
        <v/>
      </c>
      <c r="V160">
        <f>(E160*F160*(P160/1000)*J160*S160*I160*H160)/12500000</f>
        <v/>
      </c>
      <c r="W160">
        <f>(T160+U160+V160)/3</f>
        <v/>
      </c>
      <c r="X160" s="6" t="n">
        <v>1800</v>
      </c>
      <c r="Y160">
        <f>IFERROR(W160-X160,"")</f>
        <v/>
      </c>
      <c r="Z160">
        <f>IFERROR(ABS(Y160)/MAX(X160,1),"")</f>
        <v/>
      </c>
      <c r="AA160">
        <f>IFERROR((X160-(((E160/100000+F160/100+S160/200)*200*I160*H160)+((E160*F160/25000)*I160*H160))/3)/(((J160/5)*200*I160*H160)+((J160*S160/2.5)*I160*H160)+((E160*F160*J160*S160*I160*H160)/12500000))/3*1000,"")</f>
        <v/>
      </c>
    </row>
    <row r="161">
      <c r="B161" s="7" t="inlineStr">
        <is>
          <t xml:space="preserve">  ↳ AsianPhoenixRocket</t>
        </is>
      </c>
      <c r="C161" s="7" t="inlineStr">
        <is>
          <t>Armament@PRIMARY</t>
        </is>
      </c>
      <c r="L161" s="6" t="n">
        <v>20000</v>
      </c>
      <c r="M161" s="6" t="n">
        <v>65</v>
      </c>
      <c r="N161" s="6" t="n">
        <v>2</v>
      </c>
      <c r="O161" s="6" t="n">
        <v>2</v>
      </c>
      <c r="P161" s="6" t="n">
        <v>6500</v>
      </c>
      <c r="Q161" s="6" t="n">
        <v>1.083333333333333</v>
      </c>
      <c r="R161">
        <f>M161+IF(N161&gt;1,N(O161)*(N161-1),0)</f>
        <v/>
      </c>
      <c r="S161">
        <f>IFERROR(L161*MAX(N161,1)/R161*Q161*IF(ISBLANK(K160),1,K160),0)</f>
        <v/>
      </c>
      <c r="AB161" s="7" t="inlineStr">
        <is>
          <t>^MediumFlameWeapon, ^Grenade, ^RA2HeavyMissile</t>
        </is>
      </c>
    </row>
    <row r="162">
      <c r="B162" s="7" t="inlineStr">
        <is>
          <t xml:space="preserve">  ↳ AsianPhoenixRocket_elite</t>
        </is>
      </c>
      <c r="C162" s="7" t="inlineStr">
        <is>
          <t>Armament@PRIMARYELITE</t>
        </is>
      </c>
      <c r="L162" s="6" t="n">
        <v>20000</v>
      </c>
      <c r="M162" s="6" t="n">
        <v>65</v>
      </c>
      <c r="N162" s="6" t="n">
        <v>4</v>
      </c>
      <c r="O162" s="6" t="n">
        <v>2</v>
      </c>
      <c r="P162" s="6" t="n">
        <v>7500</v>
      </c>
      <c r="Q162" s="6" t="n">
        <v>1.083333333333333</v>
      </c>
      <c r="R162">
        <f>M162+IF(N162&gt;1,N(O162)*(N162-1),0)</f>
        <v/>
      </c>
      <c r="S162">
        <f>IFERROR(L162*MAX(N162,1)/R162*Q162*IF(ISBLANK(K160),1,K160),0)</f>
        <v/>
      </c>
      <c r="AB162" s="7" t="inlineStr">
        <is>
          <t>^MediumFlameWeapon, ^Grenade, ^RA2HeavyMissile</t>
        </is>
      </c>
    </row>
    <row r="163">
      <c r="A163" t="inlineStr">
        <is>
          <t>redalert2mod</t>
        </is>
      </c>
      <c r="B163" t="inlineStr">
        <is>
          <t>kami.asian</t>
        </is>
      </c>
      <c r="C163" t="inlineStr">
        <is>
          <t>Kamikaze</t>
        </is>
      </c>
      <c r="D163" s="6" t="inlineStr">
        <is>
          <t>Bomber</t>
        </is>
      </c>
      <c r="E163" s="6" t="n">
        <v>7500</v>
      </c>
      <c r="F163" s="6" t="n">
        <v>160</v>
      </c>
      <c r="G163" t="inlineStr">
        <is>
          <t>Bomber</t>
        </is>
      </c>
      <c r="H163" s="6" t="n">
        <v>1</v>
      </c>
      <c r="I163" s="6" t="n">
        <v>1</v>
      </c>
      <c r="J163" s="6" t="n">
        <v>1</v>
      </c>
      <c r="K163" s="6" t="n"/>
      <c r="P163">
        <f>MAX(P164)</f>
        <v/>
      </c>
      <c r="S163">
        <f>S164</f>
        <v/>
      </c>
      <c r="T163">
        <f>(E163/100000+F163/100+(P163/1000)*J163/5+S163/200)*200*I163*H163</f>
        <v/>
      </c>
      <c r="U163">
        <f>((E163*F163/25000)+((P163/1000)*J163*S163/2.5))*I163*H163</f>
        <v/>
      </c>
      <c r="V163">
        <f>(E163*F163*(P163/1000)*J163*S163*I163*H163)/12500000</f>
        <v/>
      </c>
      <c r="W163">
        <f>(T163+U163+V163)/3</f>
        <v/>
      </c>
      <c r="X163" s="6" t="n">
        <v>800</v>
      </c>
      <c r="Y163">
        <f>IFERROR(W163-X163,"")</f>
        <v/>
      </c>
      <c r="Z163">
        <f>IFERROR(ABS(Y163)/MAX(X163,1),"")</f>
        <v/>
      </c>
      <c r="AA163">
        <f>IFERROR((X163-(((E163/100000+F163/100+S163/200)*200*I163*H163)+((E163*F163/25000)*I163*H163))/3)/(((J163/5)*200*I163*H163)+((J163*S163/2.5)*I163*H163)+((E163*F163*J163*S163*I163*H163)/12500000))/3*1000,"")</f>
        <v/>
      </c>
    </row>
    <row r="164">
      <c r="B164" s="7" t="inlineStr">
        <is>
          <t xml:space="preserve">  ↳ AsianKamikazeChaingun</t>
        </is>
      </c>
      <c r="C164" s="7" t="inlineStr">
        <is>
          <t>Armament@PRIMARY</t>
        </is>
      </c>
      <c r="L164" s="6" t="n">
        <v>2000</v>
      </c>
      <c r="M164" s="6" t="n">
        <v>12</v>
      </c>
      <c r="N164" s="6" t="n">
        <v>3</v>
      </c>
      <c r="O164" s="6" t="n">
        <v>2</v>
      </c>
      <c r="P164" s="6" t="n">
        <v>7000</v>
      </c>
      <c r="Q164" s="6" t="n">
        <v>0.875</v>
      </c>
      <c r="R164">
        <f>M164+IF(N164&gt;1,N(O164)*(N164-1),0)</f>
        <v/>
      </c>
      <c r="S164">
        <f>IFERROR(L164*MAX(N164,1)/R164*Q164*IF(ISBLANK(K163),1,K163),0)</f>
        <v/>
      </c>
      <c r="AB164" s="7" t="inlineStr">
        <is>
          <t>^RA2SmallArms, ^RA2Chaingun</t>
        </is>
      </c>
    </row>
    <row r="165">
      <c r="A165" t="inlineStr">
        <is>
          <t>redalert2mod</t>
        </is>
      </c>
      <c r="B165" t="inlineStr">
        <is>
          <t>kami_asdf.asian</t>
        </is>
      </c>
      <c r="C165" t="inlineStr">
        <is>
          <t>Airstrike Kamikaze</t>
        </is>
      </c>
      <c r="D165" s="6" t="inlineStr">
        <is>
          <t>Bomber</t>
        </is>
      </c>
      <c r="E165" s="6" t="n">
        <v>7500</v>
      </c>
      <c r="F165" s="6" t="n">
        <v>160</v>
      </c>
      <c r="G165" t="inlineStr">
        <is>
          <t>Bomber</t>
        </is>
      </c>
      <c r="H165" s="6" t="n">
        <v>1</v>
      </c>
      <c r="I165" s="6" t="n">
        <v>1</v>
      </c>
      <c r="J165" s="6" t="n">
        <v>1</v>
      </c>
      <c r="K165" s="6" t="n"/>
      <c r="P165">
        <f>MAX(P166)</f>
        <v/>
      </c>
      <c r="S165">
        <f>S166</f>
        <v/>
      </c>
      <c r="T165">
        <f>(E165/100000+F165/100+(P165/1000)*J165/5+S165/200)*200*I165*H165</f>
        <v/>
      </c>
      <c r="U165">
        <f>((E165*F165/25000)+((P165/1000)*J165*S165/2.5))*I165*H165</f>
        <v/>
      </c>
      <c r="V165">
        <f>(E165*F165*(P165/1000)*J165*S165*I165*H165)/12500000</f>
        <v/>
      </c>
      <c r="W165">
        <f>(T165+U165+V165)/3</f>
        <v/>
      </c>
      <c r="X165" s="6" t="n">
        <v>500</v>
      </c>
      <c r="Y165">
        <f>IFERROR(W165-X165,"")</f>
        <v/>
      </c>
      <c r="Z165">
        <f>IFERROR(ABS(Y165)/MAX(X165,1),"")</f>
        <v/>
      </c>
      <c r="AA165">
        <f>IFERROR((X165-(((E165/100000+F165/100+S165/200)*200*I165*H165)+((E165*F165/25000)*I165*H165))/3)/(((J165/5)*200*I165*H165)+((J165*S165/2.5)*I165*H165)+((E165*F165*J165*S165*I165*H165)/12500000))/3*1000,"")</f>
        <v/>
      </c>
    </row>
    <row r="166">
      <c r="B166" s="7" t="inlineStr">
        <is>
          <t xml:space="preserve">  ↳ ASDFKamikazeTargeting</t>
        </is>
      </c>
      <c r="C166" s="7" t="inlineStr">
        <is>
          <t>Armament@PRIMARY</t>
        </is>
      </c>
      <c r="L166" s="6" t="n"/>
      <c r="M166" s="6" t="n">
        <v>100</v>
      </c>
      <c r="N166" s="6" t="n">
        <v>1</v>
      </c>
      <c r="O166" s="6" t="n"/>
      <c r="P166" s="6" t="n">
        <v>7250</v>
      </c>
      <c r="Q166" s="6" t="n">
        <v>1</v>
      </c>
      <c r="R166">
        <f>M166+IF(N166&gt;1,N(O166)*(N166-1),0)</f>
        <v/>
      </c>
      <c r="S166">
        <f>IFERROR(L166*MAX(N166,1)/R166*Q166*IF(ISBLANK(K165),1,K165),0)</f>
        <v/>
      </c>
      <c r="AB166" s="7" t="inlineStr"/>
    </row>
    <row r="167">
      <c r="A167" t="inlineStr">
        <is>
          <t>redalert2mod</t>
        </is>
      </c>
      <c r="B167" t="inlineStr">
        <is>
          <t>kami_chemical.asian</t>
        </is>
      </c>
      <c r="C167" t="inlineStr">
        <is>
          <t>Chemical Kamikaze</t>
        </is>
      </c>
      <c r="D167" s="6" t="inlineStr">
        <is>
          <t>Bomber</t>
        </is>
      </c>
      <c r="E167" s="6" t="n">
        <v>15000</v>
      </c>
      <c r="F167" s="6" t="n">
        <v>160</v>
      </c>
      <c r="G167" t="inlineStr">
        <is>
          <t>Bomber</t>
        </is>
      </c>
      <c r="H167" s="6" t="n">
        <v>1</v>
      </c>
      <c r="I167" s="6" t="n">
        <v>1</v>
      </c>
      <c r="J167" s="6" t="n">
        <v>1</v>
      </c>
      <c r="K167" s="6" t="n"/>
      <c r="P167">
        <f>MAX(P168,P169)</f>
        <v/>
      </c>
      <c r="S167">
        <f>S168+S169</f>
        <v/>
      </c>
      <c r="T167">
        <f>(E167/100000+F167/100+(P167/1000)*J167/5+S167/200)*200*I167*H167</f>
        <v/>
      </c>
      <c r="U167">
        <f>((E167*F167/25000)+((P167/1000)*J167*S167/2.5))*I167*H167</f>
        <v/>
      </c>
      <c r="V167">
        <f>(E167*F167*(P167/1000)*J167*S167*I167*H167)/12500000</f>
        <v/>
      </c>
      <c r="W167">
        <f>(T167+U167+V167)/3</f>
        <v/>
      </c>
      <c r="X167" s="6" t="n">
        <v>1600</v>
      </c>
      <c r="Y167">
        <f>IFERROR(W167-X167,"")</f>
        <v/>
      </c>
      <c r="Z167">
        <f>IFERROR(ABS(Y167)/MAX(X167,1),"")</f>
        <v/>
      </c>
      <c r="AA167">
        <f>IFERROR((X167-(((E167/100000+F167/100+S167/200)*200*I167*H167)+((E167*F167/25000)*I167*H167))/3)/(((J167/5)*200*I167*H167)+((J167*S167/2.5)*I167*H167)+((E167*F167*J167*S167*I167*H167)/12500000))/3*1000,"")</f>
        <v/>
      </c>
    </row>
    <row r="168">
      <c r="B168" s="7" t="inlineStr">
        <is>
          <t xml:space="preserve">  ↳ AsianKamikazeChaingun</t>
        </is>
      </c>
      <c r="C168" s="7" t="inlineStr">
        <is>
          <t>Armament@PRIMARY</t>
        </is>
      </c>
      <c r="L168" s="6" t="n">
        <v>2000</v>
      </c>
      <c r="M168" s="6" t="n">
        <v>12</v>
      </c>
      <c r="N168" s="6" t="n">
        <v>3</v>
      </c>
      <c r="O168" s="6" t="n">
        <v>2</v>
      </c>
      <c r="P168" s="6" t="n">
        <v>7000</v>
      </c>
      <c r="Q168" s="6" t="n">
        <v>0.875</v>
      </c>
      <c r="R168">
        <f>M168+IF(N168&gt;1,N(O168)*(N168-1),0)</f>
        <v/>
      </c>
      <c r="S168">
        <f>IFERROR(L168*MAX(N168,1)/R168*Q168*IF(ISBLANK(K167),1,K167),0)</f>
        <v/>
      </c>
      <c r="AB168" s="7" t="inlineStr">
        <is>
          <t>^RA2SmallArms, ^RA2Chaingun</t>
        </is>
      </c>
    </row>
    <row r="169">
      <c r="B169" s="7" t="inlineStr">
        <is>
          <t xml:space="preserve">  ↳ AsianChemicalBombs</t>
        </is>
      </c>
      <c r="C169" s="7" t="inlineStr">
        <is>
          <t>Armament@Secondary</t>
        </is>
      </c>
      <c r="L169" s="6" t="n">
        <v>2000</v>
      </c>
      <c r="M169" s="6" t="n">
        <v>8</v>
      </c>
      <c r="N169" s="6" t="n">
        <v>1</v>
      </c>
      <c r="O169" s="6" t="n"/>
      <c r="P169" s="6" t="n">
        <v>3000</v>
      </c>
      <c r="Q169" s="6" t="n">
        <v>1.125</v>
      </c>
      <c r="R169">
        <f>M169+IF(N169&gt;1,N(O169)*(N169-1),0)</f>
        <v/>
      </c>
      <c r="S169">
        <f>IFERROR(L169*MAX(N169,1)/R169*Q169*IF(ISBLANK(K167),1,K167),0)</f>
        <v/>
      </c>
      <c r="AB169" s="7" t="inlineStr">
        <is>
          <t>^HeavyChemicalWeapon, ^RA2MediumCannon</t>
        </is>
      </c>
    </row>
    <row r="170">
      <c r="A170" t="inlineStr">
        <is>
          <t>redalert2mod</t>
        </is>
      </c>
      <c r="B170" t="inlineStr">
        <is>
          <t>cruiser_f.steel</t>
        </is>
      </c>
      <c r="C170" t="inlineStr">
        <is>
          <t>Cruiser Fighter</t>
        </is>
      </c>
      <c r="D170" s="6" t="inlineStr">
        <is>
          <t>Bomber</t>
        </is>
      </c>
      <c r="E170" s="6" t="n">
        <v>37500</v>
      </c>
      <c r="F170" s="6" t="n">
        <v>225</v>
      </c>
      <c r="G170" t="inlineStr">
        <is>
          <t>Bomber</t>
        </is>
      </c>
      <c r="H170" s="6" t="n">
        <v>1</v>
      </c>
      <c r="I170" s="6" t="n">
        <v>1</v>
      </c>
      <c r="J170" s="6" t="n">
        <v>1</v>
      </c>
      <c r="K170" s="6" t="n">
        <v>0.1</v>
      </c>
      <c r="P170">
        <f>MAX(P171,P172)</f>
        <v/>
      </c>
      <c r="S170">
        <f>S171+S172</f>
        <v/>
      </c>
      <c r="T170">
        <f>(E170/100000+F170/100+(P170/1000)*J170/5+S170/200)*200*I170*H170</f>
        <v/>
      </c>
      <c r="U170">
        <f>((E170*F170/25000)+((P170/1000)*J170*S170/2.5))*I170*H170</f>
        <v/>
      </c>
      <c r="V170">
        <f>(E170*F170*(P170/1000)*J170*S170*I170*H170)/12500000</f>
        <v/>
      </c>
      <c r="W170">
        <f>(T170+U170+V170)/3</f>
        <v/>
      </c>
      <c r="X170" s="6" t="n">
        <v>500</v>
      </c>
      <c r="Y170">
        <f>IFERROR(W170-X170,"")</f>
        <v/>
      </c>
      <c r="Z170">
        <f>IFERROR(ABS(Y170)/MAX(X170,1),"")</f>
        <v/>
      </c>
      <c r="AA170">
        <f>IFERROR((X170-(((E170/100000+F170/100+S170/200)*200*I170*H170)+((E170*F170/25000)*I170*H170))/3)/(((J170/5)*200*I170*H170)+((J170*S170/2.5)*I170*H170)+((E170*F170*J170*S170*I170*H170)/12500000))/3*1000,"")</f>
        <v/>
      </c>
    </row>
    <row r="171">
      <c r="B171" s="7" t="inlineStr">
        <is>
          <t xml:space="preserve">  ↳ SteelFighterRailgun</t>
        </is>
      </c>
      <c r="C171" s="7" t="inlineStr">
        <is>
          <t>Armament@PRIMARY</t>
        </is>
      </c>
      <c r="L171" s="6" t="n">
        <v>2000</v>
      </c>
      <c r="M171" s="6" t="n">
        <v>80</v>
      </c>
      <c r="N171" s="6" t="n">
        <v>2</v>
      </c>
      <c r="O171" s="6" t="n">
        <v>0</v>
      </c>
      <c r="P171" s="6" t="n">
        <v>7000</v>
      </c>
      <c r="Q171" s="6" t="n">
        <v>1</v>
      </c>
      <c r="R171">
        <f>M171+IF(N171&gt;1,N(O171)*(N171-1),0)</f>
        <v/>
      </c>
      <c r="S171">
        <f>IFERROR(L171*MAX(N171,1)/R171*Q171*IF(ISBLANK(K170),1,K170),0)</f>
        <v/>
      </c>
      <c r="AB171" s="7" t="inlineStr">
        <is>
          <t>^LaserWeapon, ^RA2RailgunWeapon, ^SteelMediumCannon, ^TankDestroyerCannon, ^SteelLightMissile</t>
        </is>
      </c>
    </row>
    <row r="172">
      <c r="B172" s="7" t="inlineStr">
        <is>
          <t xml:space="preserve">  ↳ SteelMakoGunEMP</t>
        </is>
      </c>
      <c r="C172" s="7" t="inlineStr">
        <is>
          <t>Armament@Secondary</t>
        </is>
      </c>
      <c r="L172" s="6" t="n">
        <v>2000</v>
      </c>
      <c r="M172" s="6" t="n">
        <v>25</v>
      </c>
      <c r="N172" s="6" t="n">
        <v>1</v>
      </c>
      <c r="O172" s="6" t="n"/>
      <c r="P172" s="6" t="n">
        <v>6050</v>
      </c>
      <c r="Q172" s="6" t="n">
        <v>1</v>
      </c>
      <c r="R172">
        <f>M172+IF(N172&gt;1,N(O172)*(N172-1),0)</f>
        <v/>
      </c>
      <c r="S172">
        <f>IFERROR(L172*MAX(N172,1)/R172*Q172*IF(ISBLANK(K170),1,K170),0)</f>
        <v/>
      </c>
      <c r="AB172" s="7" t="inlineStr">
        <is>
          <t>^LightChemicalWeapon, ^TeslaWeapon, ^MediumFlameWeapon, ^RA2Grenade, ^RA2RailgunWeapon, ^SteelMediumCannon</t>
        </is>
      </c>
    </row>
    <row r="173">
      <c r="A173" t="inlineStr">
        <is>
          <t>redalert2mod</t>
        </is>
      </c>
      <c r="B173" t="inlineStr">
        <is>
          <t>latinsyndicate_mig21</t>
        </is>
      </c>
      <c r="C173" t="inlineStr">
        <is>
          <t>MiG-21</t>
        </is>
      </c>
      <c r="D173" s="6" t="inlineStr">
        <is>
          <t>Bomber</t>
        </is>
      </c>
      <c r="E173" s="6" t="n">
        <v>50000</v>
      </c>
      <c r="F173" s="6" t="n">
        <v>190</v>
      </c>
      <c r="G173" t="inlineStr">
        <is>
          <t>Bomber</t>
        </is>
      </c>
      <c r="H173" s="6" t="n">
        <v>0.75</v>
      </c>
      <c r="I173" s="6" t="n">
        <v>1</v>
      </c>
      <c r="J173" s="6" t="n">
        <v>1</v>
      </c>
      <c r="K173" s="6" t="n"/>
      <c r="P173">
        <f>MAX(P174,P175,P176,P177)</f>
        <v/>
      </c>
      <c r="S173">
        <f>S174+S175+S176+S177</f>
        <v/>
      </c>
      <c r="T173">
        <f>(E173/100000+F173/100+(P173/1000)*J173/5+S173/200)*200*I173*H173</f>
        <v/>
      </c>
      <c r="U173">
        <f>((E173*F173/25000)+((P173/1000)*J173*S173/2.5))*I173*H173</f>
        <v/>
      </c>
      <c r="V173">
        <f>(E173*F173*(P173/1000)*J173*S173*I173*H173)/12500000</f>
        <v/>
      </c>
      <c r="W173">
        <f>(T173+U173+V173)/3</f>
        <v/>
      </c>
      <c r="X173" s="6" t="n">
        <v>1000</v>
      </c>
      <c r="Y173">
        <f>IFERROR(W173-X173,"")</f>
        <v/>
      </c>
      <c r="Z173">
        <f>IFERROR(ABS(Y173)/MAX(X173,1),"")</f>
        <v/>
      </c>
      <c r="AA173">
        <f>IFERROR((X173-(((E173/100000+F173/100+S173/200)*200*I173*H173)+((E173*F173/25000)*I173*H173))/3)/(((J173/5)*200*I173*H173)+((J173*S173/2.5)*I173*H173)+((E173*F173*J173*S173*I173*H173)/12500000))/3*1000,"")</f>
        <v/>
      </c>
    </row>
    <row r="174">
      <c r="B174" s="7" t="inlineStr">
        <is>
          <t xml:space="preserve">  ↳ MigMissiles</t>
        </is>
      </c>
      <c r="C174" s="7" t="inlineStr">
        <is>
          <t>Armament</t>
        </is>
      </c>
      <c r="L174" s="6" t="n">
        <v>8000</v>
      </c>
      <c r="M174" s="6" t="n">
        <v>50</v>
      </c>
      <c r="N174" s="6" t="n">
        <v>4</v>
      </c>
      <c r="O174" s="6" t="n">
        <v>2</v>
      </c>
      <c r="P174" s="6" t="n">
        <v>7600</v>
      </c>
      <c r="Q174" s="6" t="n">
        <v>1.125</v>
      </c>
      <c r="R174">
        <f>M174+IF(N174&gt;1,N(O174)*(N174-1),0)</f>
        <v/>
      </c>
      <c r="S174">
        <f>IFERROR(L174*MAX(N174,1)/R174*Q174*IF(ISBLANK(K173),1,K173),0)</f>
        <v/>
      </c>
      <c r="AB174" s="7" t="inlineStr">
        <is>
          <t>^HeavyBomb, ^HeavyAAWeapon, ^FlakWeapon, ^RA2MediumMissile</t>
        </is>
      </c>
    </row>
    <row r="175">
      <c r="B175" s="7" t="inlineStr">
        <is>
          <t xml:space="preserve">  ↳ MigMissilesE</t>
        </is>
      </c>
      <c r="C175" s="7" t="inlineStr">
        <is>
          <t>Armament@PRIMARYELITE</t>
        </is>
      </c>
      <c r="L175" s="6" t="n">
        <v>8000</v>
      </c>
      <c r="M175" s="6" t="n">
        <v>50</v>
      </c>
      <c r="N175" s="6" t="n">
        <v>8</v>
      </c>
      <c r="O175" s="6" t="n">
        <v>2</v>
      </c>
      <c r="P175" s="6" t="n">
        <v>8600</v>
      </c>
      <c r="Q175" s="6" t="n">
        <v>1.125</v>
      </c>
      <c r="R175">
        <f>M175+IF(N175&gt;1,N(O175)*(N175-1),0)</f>
        <v/>
      </c>
      <c r="S175">
        <f>IFERROR(L175*MAX(N175,1)/R175*Q175*IF(ISBLANK(K173),1,K173),0)</f>
        <v/>
      </c>
      <c r="AB175" s="7" t="inlineStr">
        <is>
          <t>^HeavyBomb, ^HeavyAAWeapon, ^FlakWeapon, ^RA2MediumMissile</t>
        </is>
      </c>
    </row>
    <row r="176">
      <c r="B176" s="7" t="inlineStr">
        <is>
          <t xml:space="preserve">  ↳ MigMissiles_AA</t>
        </is>
      </c>
      <c r="C176" s="7" t="inlineStr">
        <is>
          <t>Armament@AA</t>
        </is>
      </c>
      <c r="L176" s="6" t="n">
        <v>8000</v>
      </c>
      <c r="M176" s="6" t="n">
        <v>50</v>
      </c>
      <c r="N176" s="6" t="n">
        <v>4</v>
      </c>
      <c r="O176" s="6" t="n">
        <v>2</v>
      </c>
      <c r="P176" s="6" t="n">
        <v>7600</v>
      </c>
      <c r="Q176" s="6" t="n">
        <v>1.125</v>
      </c>
      <c r="R176">
        <f>M176+IF(N176&gt;1,N(O176)*(N176-1),0)</f>
        <v/>
      </c>
      <c r="S176">
        <f>IFERROR(L176*MAX(N176,1)/R176*Q176*IF(ISBLANK(K173),1,K173),0)</f>
        <v/>
      </c>
      <c r="AB176" s="7" t="inlineStr">
        <is>
          <t>^HeavyBomb, ^HeavyAAWeapon, ^FlakWeapon, ^RA2MediumMissile</t>
        </is>
      </c>
    </row>
    <row r="177">
      <c r="B177" s="7" t="inlineStr">
        <is>
          <t xml:space="preserve">  ↳ MigMissiles_AA_ELITE</t>
        </is>
      </c>
      <c r="C177" s="7" t="inlineStr">
        <is>
          <t>Armament@AAELITE</t>
        </is>
      </c>
      <c r="L177" s="6" t="n">
        <v>8000</v>
      </c>
      <c r="M177" s="6" t="n">
        <v>50</v>
      </c>
      <c r="N177" s="6" t="n">
        <v>8</v>
      </c>
      <c r="O177" s="6" t="n">
        <v>2</v>
      </c>
      <c r="P177" s="6" t="n">
        <v>8600</v>
      </c>
      <c r="Q177" s="6" t="n">
        <v>1.125</v>
      </c>
      <c r="R177">
        <f>M177+IF(N177&gt;1,N(O177)*(N177-1),0)</f>
        <v/>
      </c>
      <c r="S177">
        <f>IFERROR(L177*MAX(N177,1)/R177*Q177*IF(ISBLANK(K173),1,K173),0)</f>
        <v/>
      </c>
      <c r="AB177" s="7" t="inlineStr">
        <is>
          <t>^HeavyBomb, ^HeavyAAWeapon, ^FlakWeapon, ^RA2MediumMissile</t>
        </is>
      </c>
    </row>
    <row r="178">
      <c r="A178" t="inlineStr">
        <is>
          <t>redalert2mod</t>
        </is>
      </c>
      <c r="B178" t="inlineStr">
        <is>
          <t>landcarr_drone.futu</t>
        </is>
      </c>
      <c r="C178" t="inlineStr">
        <is>
          <t>Hornet</t>
        </is>
      </c>
      <c r="D178" s="6" t="inlineStr">
        <is>
          <t>Bomber</t>
        </is>
      </c>
      <c r="E178" s="6" t="n">
        <v>10000</v>
      </c>
      <c r="F178" s="6" t="n">
        <v>225</v>
      </c>
      <c r="G178" t="inlineStr">
        <is>
          <t>Bomber</t>
        </is>
      </c>
      <c r="H178" s="6" t="n">
        <v>1</v>
      </c>
      <c r="I178" s="6" t="n">
        <v>1</v>
      </c>
      <c r="J178" s="6" t="n">
        <v>1</v>
      </c>
      <c r="K178" s="6" t="n"/>
      <c r="P178">
        <f>MAX(P179)</f>
        <v/>
      </c>
      <c r="S178">
        <f>S179</f>
        <v/>
      </c>
      <c r="T178">
        <f>(E178/100000+F178/100+(P178/1000)*J178/5+S178/200)*200*I178*H178</f>
        <v/>
      </c>
      <c r="U178">
        <f>((E178*F178/25000)+((P178/1000)*J178*S178/2.5))*I178*H178</f>
        <v/>
      </c>
      <c r="V178">
        <f>(E178*F178*(P178/1000)*J178*S178*I178*H178)/12500000</f>
        <v/>
      </c>
      <c r="W178">
        <f>(T178+U178+V178)/3</f>
        <v/>
      </c>
      <c r="X178" s="6" t="n">
        <v>1250</v>
      </c>
      <c r="Y178">
        <f>IFERROR(W178-X178,"")</f>
        <v/>
      </c>
      <c r="Z178">
        <f>IFERROR(ABS(Y178)/MAX(X178,1),"")</f>
        <v/>
      </c>
      <c r="AA178">
        <f>IFERROR((X178-(((E178/100000+F178/100+S178/200)*200*I178*H178)+((E178*F178/25000)*I178*H178))/3)/(((J178/5)*200*I178*H178)+((J178*S178/2.5)*I178*H178)+((E178*F178*J178*S178*I178*H178)/12500000))/3*1000,"")</f>
        <v/>
      </c>
    </row>
    <row r="179">
      <c r="B179" s="7" t="inlineStr">
        <is>
          <t xml:space="preserve">  ↳ RA2HornetMissile</t>
        </is>
      </c>
      <c r="C179" s="7" t="inlineStr">
        <is>
          <t>Armament@PRIMARY</t>
        </is>
      </c>
      <c r="L179" s="6" t="n">
        <v>2000</v>
      </c>
      <c r="M179" s="6" t="n">
        <v>3</v>
      </c>
      <c r="N179" s="6" t="n">
        <v>1</v>
      </c>
      <c r="O179" s="6" t="n"/>
      <c r="P179" s="6" t="n">
        <v>5000</v>
      </c>
      <c r="Q179" s="6" t="n">
        <v>1.083333333333333</v>
      </c>
      <c r="R179">
        <f>M179+IF(N179&gt;1,N(O179)*(N179-1),0)</f>
        <v/>
      </c>
      <c r="S179">
        <f>IFERROR(L179*MAX(N179,1)/R179*Q179*IF(ISBLANK(K178),1,K178),0)</f>
        <v/>
      </c>
      <c r="AB179" s="7" t="inlineStr">
        <is>
          <t>^Grenade, ^HeavyBomb, ^RA2MediumMissile</t>
        </is>
      </c>
    </row>
    <row r="180">
      <c r="A180" t="inlineStr">
        <is>
          <t>redalert2mod</t>
        </is>
      </c>
      <c r="B180" t="inlineStr">
        <is>
          <t>tkm_viper</t>
        </is>
      </c>
      <c r="C180" t="inlineStr">
        <is>
          <t>Viper</t>
        </is>
      </c>
      <c r="D180" s="6" t="inlineStr">
        <is>
          <t>Bomber</t>
        </is>
      </c>
      <c r="E180" s="6" t="n">
        <v>100000</v>
      </c>
      <c r="F180" s="6" t="n">
        <v>150</v>
      </c>
      <c r="G180" t="inlineStr">
        <is>
          <t>Bomber</t>
        </is>
      </c>
      <c r="H180" s="6" t="n">
        <v>1</v>
      </c>
      <c r="I180" s="6" t="n">
        <v>1</v>
      </c>
      <c r="J180" s="6" t="n">
        <v>1</v>
      </c>
      <c r="K180" s="6" t="n"/>
      <c r="P180">
        <f>MAX(P181,P182,P183,P184)</f>
        <v/>
      </c>
      <c r="S180">
        <f>S181+S182+S183+S184</f>
        <v/>
      </c>
      <c r="T180">
        <f>(E180/100000+F180/100+(P180/1000)*J180/5+S180/200)*200*I180*H180</f>
        <v/>
      </c>
      <c r="U180">
        <f>((E180*F180/25000)+((P180/1000)*J180*S180/2.5))*I180*H180</f>
        <v/>
      </c>
      <c r="V180">
        <f>(E180*F180*(P180/1000)*J180*S180*I180*H180)/12500000</f>
        <v/>
      </c>
      <c r="W180">
        <f>(T180+U180+V180)/3</f>
        <v/>
      </c>
      <c r="X180" s="6" t="n">
        <v>1750</v>
      </c>
      <c r="Y180">
        <f>IFERROR(W180-X180,"")</f>
        <v/>
      </c>
      <c r="Z180">
        <f>IFERROR(ABS(Y180)/MAX(X180,1),"")</f>
        <v/>
      </c>
      <c r="AA180">
        <f>IFERROR((X180-(((E180/100000+F180/100+S180/200)*200*I180*H180)+((E180*F180/25000)*I180*H180))/3)/(((J180/5)*200*I180*H180)+((J180*S180/2.5)*I180*H180)+((E180*F180*J180*S180*I180*H180)/12500000))/3*1000,"")</f>
        <v/>
      </c>
    </row>
    <row r="181">
      <c r="B181" s="7" t="inlineStr">
        <is>
          <t xml:space="preserve">  ↳ ViperMissiles</t>
        </is>
      </c>
      <c r="C181" s="7" t="inlineStr">
        <is>
          <t>Armament@BOMBS</t>
        </is>
      </c>
      <c r="L181" s="6" t="n">
        <v>16000</v>
      </c>
      <c r="M181" s="6" t="n">
        <v>50</v>
      </c>
      <c r="N181" s="6" t="n">
        <v>4</v>
      </c>
      <c r="O181" s="6" t="n">
        <v>2</v>
      </c>
      <c r="P181" s="6" t="n">
        <v>6271</v>
      </c>
      <c r="Q181" s="6" t="n">
        <v>1</v>
      </c>
      <c r="R181">
        <f>M181+IF(N181&gt;1,N(O181)*(N181-1),0)</f>
        <v/>
      </c>
      <c r="S181">
        <f>IFERROR(L181*MAX(N181,1)/R181*Q181*IF(ISBLANK(K180),1,K180),0)</f>
        <v/>
      </c>
      <c r="AB181" s="7" t="inlineStr">
        <is>
          <t>^ShrapnelWeapon, ^RA2MediumMissile</t>
        </is>
      </c>
    </row>
    <row r="182">
      <c r="B182" s="7" t="inlineStr">
        <is>
          <t xml:space="preserve">  ↳ ViperMissilesCryo</t>
        </is>
      </c>
      <c r="C182" s="7" t="inlineStr">
        <is>
          <t>Armament@PRIMARYNATO</t>
        </is>
      </c>
      <c r="L182" s="6" t="n">
        <v>16000</v>
      </c>
      <c r="M182" s="6" t="n">
        <v>50</v>
      </c>
      <c r="N182" s="6" t="n">
        <v>4</v>
      </c>
      <c r="O182" s="6" t="n">
        <v>2</v>
      </c>
      <c r="P182" s="6" t="n">
        <v>6271</v>
      </c>
      <c r="Q182" s="6" t="n">
        <v>1</v>
      </c>
      <c r="R182">
        <f>M182+IF(N182&gt;1,N(O182)*(N182-1),0)</f>
        <v/>
      </c>
      <c r="S182">
        <f>IFERROR(L182*MAX(N182,1)/R182*Q182*IF(ISBLANK(K180),1,K180),0)</f>
        <v/>
      </c>
      <c r="AB182" s="7" t="inlineStr">
        <is>
          <t>^ShrapnelWeapon, ^RA2MediumMissile, ^CryoMissileProjectile</t>
        </is>
      </c>
    </row>
    <row r="183">
      <c r="B183" s="7" t="inlineStr">
        <is>
          <t xml:space="preserve">  ↳ ViperMissilesTwin</t>
        </is>
      </c>
      <c r="C183" s="7" t="inlineStr">
        <is>
          <t>Armament@PRIMARYBEREZKA</t>
        </is>
      </c>
      <c r="L183" s="6" t="n">
        <v>16000</v>
      </c>
      <c r="M183" s="6" t="n">
        <v>50</v>
      </c>
      <c r="N183" s="6" t="n">
        <v>8</v>
      </c>
      <c r="O183" s="6" t="n">
        <v>2</v>
      </c>
      <c r="P183" s="6" t="n">
        <v>6271</v>
      </c>
      <c r="Q183" s="6" t="n">
        <v>1</v>
      </c>
      <c r="R183">
        <f>M183+IF(N183&gt;1,N(O183)*(N183-1),0)</f>
        <v/>
      </c>
      <c r="S183">
        <f>IFERROR(L183*MAX(N183,1)/R183*Q183*IF(ISBLANK(K180),1,K180),0)</f>
        <v/>
      </c>
      <c r="AB183" s="7" t="inlineStr">
        <is>
          <t>^ShrapnelWeapon, ^RA2MediumMissile</t>
        </is>
      </c>
    </row>
    <row r="184">
      <c r="B184" s="7" t="inlineStr">
        <is>
          <t xml:space="preserve">  ↳ ViperMissilesFire</t>
        </is>
      </c>
      <c r="C184" s="7" t="inlineStr">
        <is>
          <t>Armament@PRIMARYTITAN</t>
        </is>
      </c>
      <c r="L184" s="6" t="n">
        <v>16000</v>
      </c>
      <c r="M184" s="6" t="n">
        <v>25</v>
      </c>
      <c r="N184" s="6" t="n">
        <v>4</v>
      </c>
      <c r="O184" s="6" t="n">
        <v>2</v>
      </c>
      <c r="P184" s="6" t="n">
        <v>5120</v>
      </c>
      <c r="Q184" s="6" t="n">
        <v>0.875</v>
      </c>
      <c r="R184">
        <f>M184+IF(N184&gt;1,N(O184)*(N184-1),0)</f>
        <v/>
      </c>
      <c r="S184">
        <f>IFERROR(L184*MAX(N184,1)/R184*Q184*IF(ISBLANK(K180),1,K180),0)</f>
        <v/>
      </c>
      <c r="AB184" s="7" t="inlineStr">
        <is>
          <t>^ShrapnelWeapon, ^RA2MediumMissile, ^LightFlameWeapon, ^LightMissile</t>
        </is>
      </c>
    </row>
    <row r="185">
      <c r="A185" t="inlineStr">
        <is>
          <t>redalert2mod</t>
        </is>
      </c>
      <c r="B185" t="inlineStr">
        <is>
          <t>tkmsuicidedrone</t>
        </is>
      </c>
      <c r="C185" t="inlineStr">
        <is>
          <t>Wraith Drone</t>
        </is>
      </c>
      <c r="D185" s="6" t="inlineStr">
        <is>
          <t>Bomber</t>
        </is>
      </c>
      <c r="E185" s="6" t="n">
        <v>25000</v>
      </c>
      <c r="F185" s="6" t="n">
        <v>200</v>
      </c>
      <c r="G185" t="inlineStr">
        <is>
          <t>Bomber</t>
        </is>
      </c>
      <c r="H185" s="6" t="n">
        <v>1</v>
      </c>
      <c r="I185" s="6" t="n">
        <v>1</v>
      </c>
      <c r="J185" s="6" t="n">
        <v>1</v>
      </c>
      <c r="K185" s="6" t="n"/>
      <c r="P185">
        <f>MAX(P186)</f>
        <v/>
      </c>
      <c r="S185">
        <f>S186</f>
        <v/>
      </c>
      <c r="T185">
        <f>(E185/100000+F185/100+(P185/1000)*J185/5+S185/200)*200*I185*H185</f>
        <v/>
      </c>
      <c r="U185">
        <f>((E185*F185/25000)+((P185/1000)*J185*S185/2.5))*I185*H185</f>
        <v/>
      </c>
      <c r="V185">
        <f>(E185*F185*(P185/1000)*J185*S185*I185*H185)/12500000</f>
        <v/>
      </c>
      <c r="W185">
        <f>(T185+U185+V185)/3</f>
        <v/>
      </c>
      <c r="X185" s="6" t="n">
        <v>100</v>
      </c>
      <c r="Y185">
        <f>IFERROR(W185-X185,"")</f>
        <v/>
      </c>
      <c r="Z185">
        <f>IFERROR(ABS(Y185)/MAX(X185,1),"")</f>
        <v/>
      </c>
      <c r="AA185">
        <f>IFERROR((X185-(((E185/100000+F185/100+S185/200)*200*I185*H185)+((E185*F185/25000)*I185*H185))/3)/(((J185/5)*200*I185*H185)+((J185*S185/2.5)*I185*H185)+((E185*F185*J185*S185*I185*H185)/12500000))/3*1000,"")</f>
        <v/>
      </c>
    </row>
    <row r="186">
      <c r="B186" s="7" t="inlineStr">
        <is>
          <t xml:space="preserve">  ↳ TKMDroneExplosion</t>
        </is>
      </c>
      <c r="C186" s="7" t="inlineStr">
        <is>
          <t>Armament@PRIMARY</t>
        </is>
      </c>
      <c r="L186" s="6" t="n">
        <v>40000</v>
      </c>
      <c r="M186" s="6" t="n">
        <v>25</v>
      </c>
      <c r="N186" s="6" t="n">
        <v>1</v>
      </c>
      <c r="O186" s="6" t="n"/>
      <c r="P186" s="6" t="n">
        <v>2000</v>
      </c>
      <c r="Q186" s="6" t="n">
        <v>1</v>
      </c>
      <c r="R186">
        <f>M186+IF(N186&gt;1,N(O186)*(N186-1),0)</f>
        <v/>
      </c>
      <c r="S186">
        <f>IFERROR(L186*MAX(N186,1)/R186*Q186*IF(ISBLANK(K185),1,K185),0)</f>
        <v/>
      </c>
      <c r="AB186" s="7" t="inlineStr">
        <is>
          <t>^ShrapnelWeapon</t>
        </is>
      </c>
    </row>
    <row r="187">
      <c r="A187" t="inlineStr">
        <is>
          <t>d2k</t>
        </is>
      </c>
      <c r="B187" t="inlineStr">
        <is>
          <t>ordos_airmine</t>
        </is>
      </c>
      <c r="C187" t="inlineStr">
        <is>
          <t>Air Mine</t>
        </is>
      </c>
      <c r="D187" s="6" t="inlineStr">
        <is>
          <t>Bomber</t>
        </is>
      </c>
      <c r="E187" s="6" t="n">
        <v>25000</v>
      </c>
      <c r="F187" s="6" t="n">
        <v>35</v>
      </c>
      <c r="G187" t="inlineStr">
        <is>
          <t>Light</t>
        </is>
      </c>
      <c r="H187" s="6" t="n">
        <v>1</v>
      </c>
      <c r="I187" s="6" t="n">
        <v>1</v>
      </c>
      <c r="J187" s="6" t="n">
        <v>1</v>
      </c>
      <c r="K187" s="6" t="n"/>
      <c r="P187">
        <f>MAX(P188)</f>
        <v/>
      </c>
      <c r="S187">
        <f>S188</f>
        <v/>
      </c>
      <c r="T187">
        <f>(E187/100000+F187/100+(P187/1000)*J187/5+S187/200)*200*I187*H187</f>
        <v/>
      </c>
      <c r="U187">
        <f>((E187*F187/25000)+((P187/1000)*J187*S187/2.5))*I187*H187</f>
        <v/>
      </c>
      <c r="V187">
        <f>(E187*F187*(P187/1000)*J187*S187*I187*H187)/12500000</f>
        <v/>
      </c>
      <c r="W187">
        <f>(T187+U187+V187)/3</f>
        <v/>
      </c>
      <c r="X187" s="6" t="n">
        <v>500</v>
      </c>
      <c r="Y187">
        <f>IFERROR(W187-X187,"")</f>
        <v/>
      </c>
      <c r="Z187">
        <f>IFERROR(ABS(Y187)/MAX(X187,1),"")</f>
        <v/>
      </c>
      <c r="AA187">
        <f>IFERROR((X187-(((E187/100000+F187/100+S187/200)*200*I187*H187)+((E187*F187/25000)*I187*H187))/3)/(((J187/5)*200*I187*H187)+((J187*S187/2.5)*I187*H187)+((E187*F187*J187*S187*I187*H187)/12500000))/3*1000,"")</f>
        <v/>
      </c>
    </row>
    <row r="188">
      <c r="B188" s="7" t="inlineStr">
        <is>
          <t xml:space="preserve">  ↳ ordos_airmine</t>
        </is>
      </c>
      <c r="C188" s="7" t="inlineStr">
        <is>
          <t>Armament@PRIMARY</t>
        </is>
      </c>
      <c r="L188" s="6" t="n">
        <v>10000</v>
      </c>
      <c r="M188" s="6" t="n">
        <v>132</v>
      </c>
      <c r="N188" s="6" t="n">
        <v>15</v>
      </c>
      <c r="O188" s="6" t="n">
        <v>0</v>
      </c>
      <c r="P188" s="6" t="n">
        <v>2048</v>
      </c>
      <c r="Q188" s="6" t="n">
        <v>1</v>
      </c>
      <c r="R188">
        <f>M188+IF(N188&gt;1,N(O188)*(N188-1),0)</f>
        <v/>
      </c>
      <c r="S188">
        <f>IFERROR(L188*MAX(N188,1)/R188*Q188*IF(ISBLANK(K187),1,K187),0)</f>
        <v/>
      </c>
      <c r="AB188" s="7" t="inlineStr">
        <is>
          <t>^TankDestroyerCannon, ^LightChemicalWeapon, ^FlakWeapon, ^MediumMissile, ^HeavyBomb, ^D2KMissile</t>
        </is>
      </c>
    </row>
    <row r="189">
      <c r="A189" t="inlineStr">
        <is>
          <t>d2k</t>
        </is>
      </c>
      <c r="B189" t="inlineStr">
        <is>
          <t>ordos_eyeinthesky</t>
        </is>
      </c>
      <c r="C189" t="inlineStr">
        <is>
          <t>Eye In The Sky</t>
        </is>
      </c>
      <c r="D189" s="6" t="inlineStr">
        <is>
          <t>Bomber</t>
        </is>
      </c>
      <c r="E189" s="6" t="n">
        <v>150000</v>
      </c>
      <c r="F189" s="6" t="n">
        <v>180</v>
      </c>
      <c r="G189" t="inlineStr">
        <is>
          <t>Bomber</t>
        </is>
      </c>
      <c r="H189" s="6" t="n">
        <v>0.75</v>
      </c>
      <c r="I189" s="6" t="n">
        <v>1</v>
      </c>
      <c r="J189" s="6" t="n">
        <v>1</v>
      </c>
      <c r="K189" s="6" t="n"/>
      <c r="P189">
        <f>MAX(P190)</f>
        <v/>
      </c>
      <c r="S189">
        <f>S190</f>
        <v/>
      </c>
      <c r="T189">
        <f>(E189/100000+F189/100+(P189/1000)*J189/5+S189/200)*200*I189*H189</f>
        <v/>
      </c>
      <c r="U189">
        <f>((E189*F189/25000)+((P189/1000)*J189*S189/2.5))*I189*H189</f>
        <v/>
      </c>
      <c r="V189">
        <f>(E189*F189*(P189/1000)*J189*S189*I189*H189)/12500000</f>
        <v/>
      </c>
      <c r="W189">
        <f>(T189+U189+V189)/3</f>
        <v/>
      </c>
      <c r="X189" s="6" t="n">
        <v>2500</v>
      </c>
      <c r="Y189">
        <f>IFERROR(W189-X189,"")</f>
        <v/>
      </c>
      <c r="Z189">
        <f>IFERROR(ABS(Y189)/MAX(X189,1),"")</f>
        <v/>
      </c>
      <c r="AA189">
        <f>IFERROR((X189-(((E189/100000+F189/100+S189/200)*200*I189*H189)+((E189*F189/25000)*I189*H189))/3)/(((J189/5)*200*I189*H189)+((J189*S189/2.5)*I189*H189)+((E189*F189*J189*S189*I189*H189)/12500000))/3*1000,"")</f>
        <v/>
      </c>
    </row>
    <row r="190">
      <c r="B190" s="7" t="inlineStr">
        <is>
          <t xml:space="preserve">  ↳ eye_bomberguy</t>
        </is>
      </c>
      <c r="C190" s="7" t="inlineStr">
        <is>
          <t>Armament@PRIMARY</t>
        </is>
      </c>
      <c r="L190" s="6" t="n">
        <v>20000</v>
      </c>
      <c r="M190" s="6" t="n">
        <v>125</v>
      </c>
      <c r="N190" s="6" t="n">
        <v>1</v>
      </c>
      <c r="O190" s="6" t="n"/>
      <c r="P190" s="6" t="n">
        <v>3905</v>
      </c>
      <c r="Q190" s="6" t="n">
        <v>1.05</v>
      </c>
      <c r="R190">
        <f>M190+IF(N190&gt;1,N(O190)*(N190-1),0)</f>
        <v/>
      </c>
      <c r="S190">
        <f>IFERROR(L190*MAX(N190,1)/R190*Q190*IF(ISBLANK(K189),1,K189),0)</f>
        <v/>
      </c>
      <c r="AB190" s="7" t="inlineStr">
        <is>
          <t>^Grenade, ^MediumChemicalWeapon, ^MediumFlameWeapon, ^ShrapnelWeapon, ^HeavyBomb</t>
        </is>
      </c>
    </row>
    <row r="191">
      <c r="A191" t="inlineStr">
        <is>
          <t>d2k</t>
        </is>
      </c>
      <c r="B191" t="inlineStr">
        <is>
          <t>farasha_drone.ixian</t>
        </is>
      </c>
      <c r="C191" t="inlineStr">
        <is>
          <t>Alfayrus</t>
        </is>
      </c>
      <c r="D191" s="6" t="inlineStr">
        <is>
          <t>Bomber</t>
        </is>
      </c>
      <c r="E191" s="6" t="n">
        <v>25000</v>
      </c>
      <c r="F191" s="6" t="n">
        <v>215</v>
      </c>
      <c r="G191" t="inlineStr">
        <is>
          <t>Bomber</t>
        </is>
      </c>
      <c r="H191" s="6" t="n">
        <v>1</v>
      </c>
      <c r="I191" s="6" t="n">
        <v>1</v>
      </c>
      <c r="J191" s="6" t="n">
        <v>1</v>
      </c>
      <c r="K191" s="6" t="n"/>
      <c r="P191">
        <f>MAX(P192)</f>
        <v/>
      </c>
      <c r="S191">
        <f>S192</f>
        <v/>
      </c>
      <c r="T191">
        <f>(E191/100000+F191/100+(P191/1000)*J191/5+S191/200)*200*I191*H191</f>
        <v/>
      </c>
      <c r="U191">
        <f>((E191*F191/25000)+((P191/1000)*J191*S191/2.5))*I191*H191</f>
        <v/>
      </c>
      <c r="V191">
        <f>(E191*F191*(P191/1000)*J191*S191*I191*H191)/12500000</f>
        <v/>
      </c>
      <c r="W191">
        <f>(T191+U191+V191)/3</f>
        <v/>
      </c>
      <c r="X191" s="6" t="n">
        <v>1000</v>
      </c>
      <c r="Y191">
        <f>IFERROR(W191-X191,"")</f>
        <v/>
      </c>
      <c r="Z191">
        <f>IFERROR(ABS(Y191)/MAX(X191,1),"")</f>
        <v/>
      </c>
      <c r="AA191">
        <f>IFERROR((X191-(((E191/100000+F191/100+S191/200)*200*I191*H191)+((E191*F191/25000)*I191*H191))/3)/(((J191/5)*200*I191*H191)+((J191*S191/2.5)*I191*H191)+((E191*F191*J191*S191*I191*H191)/12500000))/3*1000,"")</f>
        <v/>
      </c>
    </row>
    <row r="192">
      <c r="B192" s="7" t="inlineStr">
        <is>
          <t xml:space="preserve">  ↳ farasha_drone.ixian</t>
        </is>
      </c>
      <c r="C192" s="7" t="inlineStr">
        <is>
          <t>Armament@PRIMARY</t>
        </is>
      </c>
      <c r="L192" s="6" t="n">
        <v>2000</v>
      </c>
      <c r="M192" s="6" t="n">
        <v>25</v>
      </c>
      <c r="N192" s="6" t="n">
        <v>5</v>
      </c>
      <c r="O192" s="6" t="n">
        <v>0</v>
      </c>
      <c r="P192" s="6" t="n">
        <v>2500</v>
      </c>
      <c r="Q192" s="6" t="n">
        <v>0.9166666666666666</v>
      </c>
      <c r="R192">
        <f>M192+IF(N192&gt;1,N(O192)*(N192-1),0)</f>
        <v/>
      </c>
      <c r="S192">
        <f>IFERROR(L192*MAX(N192,1)/R192*Q192*IF(ISBLANK(K191),1,K191),0)</f>
        <v/>
      </c>
      <c r="AB192" s="7" t="inlineStr">
        <is>
          <t>^LightFlameWeapon, ^MediumChemicalWeapon, ^LaserWeapon</t>
        </is>
      </c>
    </row>
    <row r="193">
      <c r="A193" t="inlineStr">
        <is>
          <t>d2k</t>
        </is>
      </c>
      <c r="B193" t="inlineStr">
        <is>
          <t>ixian_airdrone</t>
        </is>
      </c>
      <c r="C193" t="inlineStr">
        <is>
          <t>Ixian Air Drone</t>
        </is>
      </c>
      <c r="D193" s="6" t="inlineStr">
        <is>
          <t>Bomber</t>
        </is>
      </c>
      <c r="E193" s="6" t="n">
        <v>62500</v>
      </c>
      <c r="F193" s="6" t="n">
        <v>165</v>
      </c>
      <c r="G193" t="inlineStr">
        <is>
          <t>Bomber</t>
        </is>
      </c>
      <c r="H193" s="6" t="n">
        <v>1</v>
      </c>
      <c r="I193" s="6" t="n">
        <v>1</v>
      </c>
      <c r="J193" s="6" t="n">
        <v>1.25</v>
      </c>
      <c r="K193" s="6" t="n"/>
      <c r="P193">
        <f>MAX(P194,P195,P196)</f>
        <v/>
      </c>
      <c r="S193">
        <f>S194+S195+S196</f>
        <v/>
      </c>
      <c r="T193">
        <f>(E193/100000+F193/100+(P193/1000)*J193/5+S193/200)*200*I193*H193</f>
        <v/>
      </c>
      <c r="U193">
        <f>((E193*F193/25000)+((P193/1000)*J193*S193/2.5))*I193*H193</f>
        <v/>
      </c>
      <c r="V193">
        <f>(E193*F193*(P193/1000)*J193*S193*I193*H193)/12500000</f>
        <v/>
      </c>
      <c r="W193">
        <f>(T193+U193+V193)/3</f>
        <v/>
      </c>
      <c r="X193" s="6" t="n">
        <v>1800</v>
      </c>
      <c r="Y193">
        <f>IFERROR(W193-X193,"")</f>
        <v/>
      </c>
      <c r="Z193">
        <f>IFERROR(ABS(Y193)/MAX(X193,1),"")</f>
        <v/>
      </c>
      <c r="AA193">
        <f>IFERROR((X193-(((E193/100000+F193/100+S193/200)*200*I193*H193)+((E193*F193/25000)*I193*H193))/3)/(((J193/5)*200*I193*H193)+((J193*S193/2.5)*I193*H193)+((E193*F193*J193*S193*I193*H193)/12500000))/3*1000,"")</f>
        <v/>
      </c>
    </row>
    <row r="194">
      <c r="B194" s="7" t="inlineStr">
        <is>
          <t xml:space="preserve">  ↳ ixian_airdrone</t>
        </is>
      </c>
      <c r="C194" s="7" t="inlineStr">
        <is>
          <t>Armament</t>
        </is>
      </c>
      <c r="L194" s="6" t="n">
        <v>2000</v>
      </c>
      <c r="M194" s="6" t="n">
        <v>132</v>
      </c>
      <c r="N194" s="6" t="n">
        <v>4</v>
      </c>
      <c r="O194" s="6" t="n">
        <v>5</v>
      </c>
      <c r="P194" s="6" t="n">
        <v>6500</v>
      </c>
      <c r="Q194" s="6" t="n">
        <v>1</v>
      </c>
      <c r="R194">
        <f>M194+IF(N194&gt;1,N(O194)*(N194-1),0)</f>
        <v/>
      </c>
      <c r="S194">
        <f>IFERROR(L194*MAX(N194,1)/R194*Q194*IF(ISBLANK(K193),1,K193),0)</f>
        <v/>
      </c>
      <c r="AB194" s="7" t="inlineStr">
        <is>
          <t>^TankDestroyerCannon, ^LightChemicalWeapon, ^FlakWeapon, ^MediumMissile, ^HeavyBomb, ^D2KMissile</t>
        </is>
      </c>
    </row>
    <row r="195">
      <c r="B195" s="7" t="inlineStr">
        <is>
          <t xml:space="preserve">  ↳ d2k_air_drone_guns</t>
        </is>
      </c>
      <c r="C195" s="7" t="inlineStr">
        <is>
          <t>Armament@PRIMARY</t>
        </is>
      </c>
      <c r="L195" s="6" t="n">
        <v>4000</v>
      </c>
      <c r="M195" s="6" t="n">
        <v>28</v>
      </c>
      <c r="N195" s="6" t="n">
        <v>4</v>
      </c>
      <c r="O195" s="6" t="n">
        <v>2</v>
      </c>
      <c r="P195" s="6" t="n">
        <v>6500</v>
      </c>
      <c r="Q195" s="6" t="n">
        <v>0.875</v>
      </c>
      <c r="R195">
        <f>M195+IF(N195&gt;1,N(O195)*(N195-1),0)</f>
        <v/>
      </c>
      <c r="S195">
        <f>IFERROR(L195*MAX(N195,1)/R195*Q195*IF(ISBLANK(K193),1,K193),0)</f>
        <v/>
      </c>
      <c r="AB195" s="7" t="inlineStr">
        <is>
          <t>^D2KMissile, ^SmallArms, ^Chaingun</t>
        </is>
      </c>
    </row>
    <row r="196">
      <c r="B196" s="7" t="inlineStr">
        <is>
          <t xml:space="preserve">  ↳ d2k_air_drone_guns_upgrade</t>
        </is>
      </c>
      <c r="C196" s="7" t="inlineStr">
        <is>
          <t>Armament@Upgrade</t>
        </is>
      </c>
      <c r="L196" s="6" t="n">
        <v>4000</v>
      </c>
      <c r="M196" s="6" t="n">
        <v>28</v>
      </c>
      <c r="N196" s="6" t="n">
        <v>4</v>
      </c>
      <c r="O196" s="6" t="n">
        <v>2</v>
      </c>
      <c r="P196" s="6" t="n">
        <v>6500</v>
      </c>
      <c r="Q196" s="6" t="n">
        <v>1.0625</v>
      </c>
      <c r="R196">
        <f>M196+IF(N196&gt;1,N(O196)*(N196-1),0)</f>
        <v/>
      </c>
      <c r="S196">
        <f>IFERROR(L196*MAX(N196,1)/R196*Q196*IF(ISBLANK(K193),1,K193),0)</f>
        <v/>
      </c>
      <c r="AB196" s="7" t="inlineStr">
        <is>
          <t>^HeavyCannon, ^D2KMissile, ^SmallArms, ^Chaingun, ^HeavyMachineGunProjectile</t>
        </is>
      </c>
    </row>
    <row r="197">
      <c r="A197" t="inlineStr">
        <is>
          <t>d2k</t>
        </is>
      </c>
      <c r="B197" t="inlineStr">
        <is>
          <t>ixian_empbomber</t>
        </is>
      </c>
      <c r="C197" t="inlineStr">
        <is>
          <t>Ixian EMP Bomber</t>
        </is>
      </c>
      <c r="D197" s="6" t="inlineStr">
        <is>
          <t>Bomber</t>
        </is>
      </c>
      <c r="E197" s="6" t="n">
        <v>111000</v>
      </c>
      <c r="F197" s="6" t="n">
        <v>145</v>
      </c>
      <c r="G197" t="inlineStr">
        <is>
          <t>Bomber</t>
        </is>
      </c>
      <c r="H197" s="6" t="n">
        <v>0.75</v>
      </c>
      <c r="I197" s="6" t="n">
        <v>1</v>
      </c>
      <c r="J197" s="6" t="n">
        <v>2</v>
      </c>
      <c r="K197" s="6" t="n"/>
      <c r="P197">
        <f>MAX(P198)</f>
        <v/>
      </c>
      <c r="S197">
        <f>S198</f>
        <v/>
      </c>
      <c r="T197">
        <f>(E197/100000+F197/100+(P197/1000)*J197/5+S197/200)*200*I197*H197</f>
        <v/>
      </c>
      <c r="U197">
        <f>((E197*F197/25000)+((P197/1000)*J197*S197/2.5))*I197*H197</f>
        <v/>
      </c>
      <c r="V197">
        <f>(E197*F197*(P197/1000)*J197*S197*I197*H197)/12500000</f>
        <v/>
      </c>
      <c r="W197">
        <f>(T197+U197+V197)/3</f>
        <v/>
      </c>
      <c r="X197" s="6" t="n">
        <v>2400</v>
      </c>
      <c r="Y197">
        <f>IFERROR(W197-X197,"")</f>
        <v/>
      </c>
      <c r="Z197">
        <f>IFERROR(ABS(Y197)/MAX(X197,1),"")</f>
        <v/>
      </c>
      <c r="AA197">
        <f>IFERROR((X197-(((E197/100000+F197/100+S197/200)*200*I197*H197)+((E197*F197/25000)*I197*H197))/3)/(((J197/5)*200*I197*H197)+((J197*S197/2.5)*I197*H197)+((E197*F197*J197*S197*I197*H197)/12500000))/3*1000,"")</f>
        <v/>
      </c>
    </row>
    <row r="198">
      <c r="B198" s="7" t="inlineStr">
        <is>
          <t xml:space="preserve">  ↳ IxianEmpBomb</t>
        </is>
      </c>
      <c r="C198" s="7" t="inlineStr">
        <is>
          <t>Armament@PRIMARY</t>
        </is>
      </c>
      <c r="L198" s="6" t="n">
        <v>30000</v>
      </c>
      <c r="M198" s="6" t="n">
        <v>250</v>
      </c>
      <c r="N198" s="6" t="n">
        <v>1</v>
      </c>
      <c r="O198" s="6" t="n"/>
      <c r="P198" s="6" t="n">
        <v>1250</v>
      </c>
      <c r="Q198" s="6" t="n">
        <v>1.083333333333333</v>
      </c>
      <c r="R198">
        <f>M198+IF(N198&gt;1,N(O198)*(N198-1),0)</f>
        <v/>
      </c>
      <c r="S198">
        <f>IFERROR(L198*MAX(N198,1)/R198*Q198*IF(ISBLANK(K197),1,K197),0)</f>
        <v/>
      </c>
      <c r="AB198" s="7" t="inlineStr">
        <is>
          <t>^MediumFlameWeapon, ^HeavyBomb, ^TeslaChargedWeapon</t>
        </is>
      </c>
    </row>
    <row r="199">
      <c r="A199" s="4" t="inlineStr">
        <is>
          <t>Helicopter</t>
        </is>
      </c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</row>
    <row r="200">
      <c r="A200" t="inlineStr">
        <is>
          <t>tiberiandawn</t>
        </is>
      </c>
      <c r="B200" t="inlineStr">
        <is>
          <t>td_gdi_orca</t>
        </is>
      </c>
      <c r="C200" t="inlineStr">
        <is>
          <t>Orca</t>
        </is>
      </c>
      <c r="D200" s="6" t="inlineStr">
        <is>
          <t>Helicopter</t>
        </is>
      </c>
      <c r="E200" s="6" t="n">
        <v>32500</v>
      </c>
      <c r="F200" s="6" t="n">
        <v>175</v>
      </c>
      <c r="G200" t="inlineStr">
        <is>
          <t>Helicopter</t>
        </is>
      </c>
      <c r="H200" s="6" t="n">
        <v>1</v>
      </c>
      <c r="I200" s="6" t="n">
        <v>1</v>
      </c>
      <c r="J200" s="6" t="n">
        <v>1</v>
      </c>
      <c r="K200" s="6" t="n"/>
      <c r="P200">
        <f>MAX(P201,P202)</f>
        <v/>
      </c>
      <c r="S200">
        <f>S201+S202</f>
        <v/>
      </c>
      <c r="T200">
        <f>(E200/100000+F200/100+(P200/1000)*J200/5+S200/200)*200*I200*H200</f>
        <v/>
      </c>
      <c r="U200">
        <f>((E200*F200/25000)+((P200/1000)*J200*S200/2.5))*I200*H200</f>
        <v/>
      </c>
      <c r="V200">
        <f>(E200*F200*(P200/1000)*J200*S200*I200*H200)/12500000</f>
        <v/>
      </c>
      <c r="W200">
        <f>(T200+U200+V200)/3</f>
        <v/>
      </c>
      <c r="X200" s="6" t="n">
        <v>1700</v>
      </c>
      <c r="Y200">
        <f>IFERROR(W200-X200,"")</f>
        <v/>
      </c>
      <c r="Z200">
        <f>IFERROR(ABS(Y200)/MAX(X200,1),"")</f>
        <v/>
      </c>
      <c r="AA200">
        <f>IFERROR((X200-(((E200/100000+F200/100+S200/200)*200*I200*H200)+((E200*F200/25000)*I200*H200))/3)/(((J200/5)*200*I200*H200)+((J200*S200/2.5)*I200*H200)+((E200*F200*J200*S200*I200*H200)/12500000))/3*1000,"")</f>
        <v/>
      </c>
    </row>
    <row r="201">
      <c r="B201" s="7" t="inlineStr">
        <is>
          <t xml:space="preserve">  ↳ OrcaMissiles</t>
        </is>
      </c>
      <c r="C201" s="7" t="inlineStr">
        <is>
          <t>Armament@PRIMARY</t>
        </is>
      </c>
      <c r="L201" s="6" t="n">
        <v>2000</v>
      </c>
      <c r="M201" s="6" t="n">
        <v>16</v>
      </c>
      <c r="N201" s="6" t="n">
        <v>1</v>
      </c>
      <c r="O201" s="6" t="n"/>
      <c r="P201" s="6" t="n">
        <v>5442</v>
      </c>
      <c r="Q201" s="6" t="n">
        <v>1.1</v>
      </c>
      <c r="R201">
        <f>M201+IF(N201&gt;1,N(O201)*(N201-1),0)</f>
        <v/>
      </c>
      <c r="S201">
        <f>IFERROR(L201*MAX(N201,1)/R201*Q201*IF(ISBLANK(K200),1,K200),0)</f>
        <v/>
      </c>
      <c r="AB201" s="7" t="inlineStr">
        <is>
          <t>^HeavyCannon, ^TankDestroyerCannon, ^ShrapnelWeapon, ^Grenade, ^HeavyMissile, ^MediumMissile</t>
        </is>
      </c>
    </row>
    <row r="202">
      <c r="B202" s="7" t="inlineStr">
        <is>
          <t xml:space="preserve">  ↳ OrcaMissilesAMT</t>
        </is>
      </c>
      <c r="C202" s="7" t="inlineStr">
        <is>
          <t>Armament@AdvancedMissileTargeting</t>
        </is>
      </c>
      <c r="L202" s="6" t="n">
        <v>2000</v>
      </c>
      <c r="M202" s="6" t="n">
        <v>16</v>
      </c>
      <c r="N202" s="6" t="n">
        <v>1</v>
      </c>
      <c r="O202" s="6" t="n"/>
      <c r="P202" s="6" t="n">
        <v>5442</v>
      </c>
      <c r="Q202" s="6" t="n">
        <v>1.1</v>
      </c>
      <c r="R202">
        <f>M202+IF(N202&gt;1,N(O202)*(N202-1),0)</f>
        <v/>
      </c>
      <c r="S202">
        <f>IFERROR(L202*MAX(N202,1)/R202*Q202*IF(ISBLANK(K200),1,K200),0)</f>
        <v/>
      </c>
      <c r="AB202" s="7" t="inlineStr">
        <is>
          <t>^HeavyCannon, ^TankDestroyerCannon, ^ShrapnelWeapon, ^Grenade, ^HeavyMissile, ^MediumMissile, ^AMTProjectile</t>
        </is>
      </c>
    </row>
    <row r="203">
      <c r="A203" t="inlineStr">
        <is>
          <t>tiberiandawn</t>
        </is>
      </c>
      <c r="B203" t="inlineStr">
        <is>
          <t>td_nod_apacheattackhelicopter</t>
        </is>
      </c>
      <c r="C203" t="inlineStr">
        <is>
          <t>Apache Attack Helicopter</t>
        </is>
      </c>
      <c r="D203" s="6" t="inlineStr">
        <is>
          <t>Helicopter</t>
        </is>
      </c>
      <c r="E203" s="6" t="n">
        <v>45000</v>
      </c>
      <c r="F203" s="6" t="n">
        <v>160</v>
      </c>
      <c r="G203" t="inlineStr">
        <is>
          <t>Helicopter</t>
        </is>
      </c>
      <c r="H203" s="6" t="n">
        <v>1</v>
      </c>
      <c r="I203" s="6" t="n">
        <v>1</v>
      </c>
      <c r="J203" s="6" t="n">
        <v>1</v>
      </c>
      <c r="K203" s="6" t="n"/>
      <c r="P203">
        <f>MAX(P204,P205)</f>
        <v/>
      </c>
      <c r="S203">
        <f>S204+S205</f>
        <v/>
      </c>
      <c r="T203">
        <f>(E203/100000+F203/100+(P203/1000)*J203/5+S203/200)*200*I203*H203</f>
        <v/>
      </c>
      <c r="U203">
        <f>((E203*F203/25000)+((P203/1000)*J203*S203/2.5))*I203*H203</f>
        <v/>
      </c>
      <c r="V203">
        <f>(E203*F203*(P203/1000)*J203*S203*I203*H203)/12500000</f>
        <v/>
      </c>
      <c r="W203">
        <f>(T203+U203+V203)/3</f>
        <v/>
      </c>
      <c r="X203" s="6" t="n">
        <v>1600</v>
      </c>
      <c r="Y203">
        <f>IFERROR(W203-X203,"")</f>
        <v/>
      </c>
      <c r="Z203">
        <f>IFERROR(ABS(Y203)/MAX(X203,1),"")</f>
        <v/>
      </c>
      <c r="AA203">
        <f>IFERROR((X203-(((E203/100000+F203/100+S203/200)*200*I203*H203)+((E203*F203/25000)*I203*H203))/3)/(((J203/5)*200*I203*H203)+((J203*S203/2.5)*I203*H203)+((E203*F203*J203*S203*I203*H203)/12500000))/3*1000,"")</f>
        <v/>
      </c>
    </row>
    <row r="204">
      <c r="B204" s="7" t="inlineStr">
        <is>
          <t xml:space="preserve">  ↳ HeliGun</t>
        </is>
      </c>
      <c r="C204" s="7" t="inlineStr">
        <is>
          <t>Armament@PRIMARY</t>
        </is>
      </c>
      <c r="L204" s="6" t="n">
        <v>4000</v>
      </c>
      <c r="M204" s="6" t="n">
        <v>16</v>
      </c>
      <c r="N204" s="6" t="n">
        <v>4</v>
      </c>
      <c r="O204" s="6" t="n">
        <v>2</v>
      </c>
      <c r="P204" s="6" t="n">
        <v>4501</v>
      </c>
      <c r="Q204" s="6" t="n">
        <v>1</v>
      </c>
      <c r="R204">
        <f>M204+IF(N204&gt;1,N(O204)*(N204-1),0)</f>
        <v/>
      </c>
      <c r="S204">
        <f>IFERROR(L204*MAX(N204,1)/R204*Q204*IF(ISBLANK(K203),1,K203),0)</f>
        <v/>
      </c>
      <c r="AB204" s="7" t="inlineStr">
        <is>
          <t>^Chaingun</t>
        </is>
      </c>
    </row>
    <row r="205">
      <c r="B205" s="7" t="inlineStr">
        <is>
          <t xml:space="preserve">  ↳ HeliMissiles</t>
        </is>
      </c>
      <c r="C205" s="7" t="inlineStr">
        <is>
          <t>Armament@Upgrade</t>
        </is>
      </c>
      <c r="L205" s="6" t="n">
        <v>2000</v>
      </c>
      <c r="M205" s="6" t="n">
        <v>16</v>
      </c>
      <c r="N205" s="6" t="n">
        <v>4</v>
      </c>
      <c r="O205" s="6" t="n">
        <v>2</v>
      </c>
      <c r="P205" s="6" t="n">
        <v>4501</v>
      </c>
      <c r="Q205" s="6" t="n">
        <v>1</v>
      </c>
      <c r="R205">
        <f>M205+IF(N205&gt;1,N(O205)*(N205-1),0)</f>
        <v/>
      </c>
      <c r="S205">
        <f>IFERROR(L205*MAX(N205,1)/R205*Q205*IF(ISBLANK(K203),1,K203),0)</f>
        <v/>
      </c>
      <c r="AB205" s="7" t="inlineStr">
        <is>
          <t>^MediumMissile</t>
        </is>
      </c>
    </row>
    <row r="206">
      <c r="A206" t="inlineStr">
        <is>
          <t>tiberiandawn</t>
        </is>
      </c>
      <c r="B206" t="inlineStr">
        <is>
          <t>td_nod_venom</t>
        </is>
      </c>
      <c r="C206" t="inlineStr">
        <is>
          <t>Venom</t>
        </is>
      </c>
      <c r="D206" s="6" t="inlineStr">
        <is>
          <t>Helicopter</t>
        </is>
      </c>
      <c r="E206" s="6" t="n">
        <v>27500</v>
      </c>
      <c r="F206" s="6" t="n">
        <v>200</v>
      </c>
      <c r="G206" t="inlineStr">
        <is>
          <t>Helicopter</t>
        </is>
      </c>
      <c r="H206" s="6" t="n">
        <v>0.75</v>
      </c>
      <c r="I206" s="6" t="n">
        <v>1</v>
      </c>
      <c r="J206" s="6" t="n">
        <v>1.5</v>
      </c>
      <c r="K206" s="6" t="n"/>
      <c r="P206">
        <f>MAX(P207)</f>
        <v/>
      </c>
      <c r="S206">
        <f>S207</f>
        <v/>
      </c>
      <c r="T206">
        <f>(E206/100000+F206/100+(P206/1000)*J206/5+S206/200)*200*I206*H206</f>
        <v/>
      </c>
      <c r="U206">
        <f>((E206*F206/25000)+((P206/1000)*J206*S206/2.5))*I206*H206</f>
        <v/>
      </c>
      <c r="V206">
        <f>(E206*F206*(P206/1000)*J206*S206*I206*H206)/12500000</f>
        <v/>
      </c>
      <c r="W206">
        <f>(T206+U206+V206)/3</f>
        <v/>
      </c>
      <c r="X206" s="6" t="n">
        <v>900</v>
      </c>
      <c r="Y206">
        <f>IFERROR(W206-X206,"")</f>
        <v/>
      </c>
      <c r="Z206">
        <f>IFERROR(ABS(Y206)/MAX(X206,1),"")</f>
        <v/>
      </c>
      <c r="AA206">
        <f>IFERROR((X206-(((E206/100000+F206/100+S206/200)*200*I206*H206)+((E206*F206/25000)*I206*H206))/3)/(((J206/5)*200*I206*H206)+((J206*S206/2.5)*I206*H206)+((E206*F206*J206*S206*I206*H206)/12500000))/3*1000,"")</f>
        <v/>
      </c>
    </row>
    <row r="207">
      <c r="B207" s="7" t="inlineStr">
        <is>
          <t xml:space="preserve">  ↳ VenomLaser</t>
        </is>
      </c>
      <c r="C207" s="7" t="inlineStr">
        <is>
          <t>Armament@PRIMARY</t>
        </is>
      </c>
      <c r="L207" s="6" t="n">
        <v>2000</v>
      </c>
      <c r="M207" s="6" t="n">
        <v>18</v>
      </c>
      <c r="N207" s="6" t="n">
        <v>1</v>
      </c>
      <c r="O207" s="6" t="n"/>
      <c r="P207" s="6" t="n">
        <v>4000</v>
      </c>
      <c r="Q207" s="6" t="n">
        <v>0.9375</v>
      </c>
      <c r="R207">
        <f>M207+IF(N207&gt;1,N(O207)*(N207-1),0)</f>
        <v/>
      </c>
      <c r="S207">
        <f>IFERROR(L207*MAX(N207,1)/R207*Q207*IF(ISBLANK(K206),1,K206),0)</f>
        <v/>
      </c>
      <c r="AB207" s="7" t="inlineStr">
        <is>
          <t>^LightFlameWeapon, ^FlakWeapon, ^Chaingun, ^LaserWeapon</t>
        </is>
      </c>
    </row>
    <row r="208">
      <c r="A208" t="inlineStr">
        <is>
          <t>redalert</t>
        </is>
      </c>
      <c r="B208" t="inlineStr">
        <is>
          <t>japan_skyhawk</t>
        </is>
      </c>
      <c r="C208" t="inlineStr">
        <is>
          <t>Sky Hawk</t>
        </is>
      </c>
      <c r="D208" s="6" t="inlineStr">
        <is>
          <t>Helicopter</t>
        </is>
      </c>
      <c r="E208" s="6" t="n">
        <v>75000</v>
      </c>
      <c r="F208" s="6" t="n">
        <v>125</v>
      </c>
      <c r="G208" t="inlineStr">
        <is>
          <t>Helicopter</t>
        </is>
      </c>
      <c r="H208" s="6" t="n">
        <v>0.75</v>
      </c>
      <c r="I208" s="6" t="n">
        <v>1</v>
      </c>
      <c r="J208" s="6" t="n">
        <v>1.25</v>
      </c>
      <c r="K208" s="6" t="n"/>
      <c r="P208">
        <f>MAX(P209,P210,P211,P212,P213,P214)</f>
        <v/>
      </c>
      <c r="S208">
        <f>S209+S210+S211+S212+S213+S214</f>
        <v/>
      </c>
      <c r="T208">
        <f>(E208/100000+F208/100+(P208/1000)*J208/5+S208/200)*200*I208*H208</f>
        <v/>
      </c>
      <c r="U208">
        <f>((E208*F208/25000)+((P208/1000)*J208*S208/2.5))*I208*H208</f>
        <v/>
      </c>
      <c r="V208">
        <f>(E208*F208*(P208/1000)*J208*S208*I208*H208)/12500000</f>
        <v/>
      </c>
      <c r="W208">
        <f>(T208+U208+V208)/3</f>
        <v/>
      </c>
      <c r="X208" s="6" t="n">
        <v>2000</v>
      </c>
      <c r="Y208">
        <f>IFERROR(W208-X208,"")</f>
        <v/>
      </c>
      <c r="Z208">
        <f>IFERROR(ABS(Y208)/MAX(X208,1),"")</f>
        <v/>
      </c>
      <c r="AA208">
        <f>IFERROR((X208-(((E208/100000+F208/100+S208/200)*200*I208*H208)+((E208*F208/25000)*I208*H208))/3)/(((J208/5)*200*I208*H208)+((J208*S208/2.5)*I208*H208)+((E208*F208*J208*S208*I208*H208)/12500000))/3*1000,"")</f>
        <v/>
      </c>
    </row>
    <row r="209">
      <c r="B209" s="7" t="inlineStr">
        <is>
          <t xml:space="preserve">  ↳ JHindArrows</t>
        </is>
      </c>
      <c r="C209" s="7" t="inlineStr">
        <is>
          <t>Armament@Missiles</t>
        </is>
      </c>
      <c r="L209" s="6" t="n">
        <v>32000</v>
      </c>
      <c r="M209" s="6" t="n">
        <v>128</v>
      </c>
      <c r="N209" s="6" t="n">
        <v>1</v>
      </c>
      <c r="O209" s="6" t="n"/>
      <c r="P209" s="6" t="n">
        <v>3053</v>
      </c>
      <c r="Q209" s="6" t="n">
        <v>1</v>
      </c>
      <c r="R209">
        <f>M209+IF(N209&gt;1,N(O209)*(N209-1),0)</f>
        <v/>
      </c>
      <c r="S209">
        <f>IFERROR(L209*MAX(N209,1)/R209*Q209*IF(ISBLANK(K208),1,K208),0)</f>
        <v/>
      </c>
      <c r="AB209" s="7" t="inlineStr">
        <is>
          <t>^MediumMissile, ^ArrowWeapon</t>
        </is>
      </c>
    </row>
    <row r="210">
      <c r="B210" s="7" t="inlineStr">
        <is>
          <t xml:space="preserve">  ↳ JHindArrowsEnergized</t>
        </is>
      </c>
      <c r="C210" s="7" t="inlineStr">
        <is>
          <t>Armament@MissilesUpgrade</t>
        </is>
      </c>
      <c r="L210" s="6" t="n">
        <v>16000</v>
      </c>
      <c r="M210" s="6" t="n">
        <v>128</v>
      </c>
      <c r="N210" s="6" t="n">
        <v>1</v>
      </c>
      <c r="O210" s="6" t="n"/>
      <c r="P210" s="6" t="n">
        <v>3053</v>
      </c>
      <c r="Q210" s="6" t="n">
        <v>1</v>
      </c>
      <c r="R210">
        <f>M210+IF(N210&gt;1,N(O210)*(N210-1),0)</f>
        <v/>
      </c>
      <c r="S210">
        <f>IFERROR(L210*MAX(N210,1)/R210*Q210*IF(ISBLANK(K208),1,K208),0)</f>
        <v/>
      </c>
      <c r="AB210" s="7" t="inlineStr">
        <is>
          <t>^MediumFlameWeapon, ^TeslaWeapon, ^MediumMissile, ^ArrowWeapon</t>
        </is>
      </c>
    </row>
    <row r="211">
      <c r="B211" s="7" t="inlineStr">
        <is>
          <t xml:space="preserve">  ↳ JHindCannon</t>
        </is>
      </c>
      <c r="C211" s="7" t="inlineStr">
        <is>
          <t>Armament@Cannon</t>
        </is>
      </c>
      <c r="L211" s="6" t="n">
        <v>8000</v>
      </c>
      <c r="M211" s="6" t="n">
        <v>32</v>
      </c>
      <c r="N211" s="6" t="n">
        <v>1</v>
      </c>
      <c r="O211" s="6" t="n"/>
      <c r="P211" s="6" t="n">
        <v>3053</v>
      </c>
      <c r="Q211" s="6" t="n">
        <v>1</v>
      </c>
      <c r="R211">
        <f>M211+IF(N211&gt;1,N(O211)*(N211-1),0)</f>
        <v/>
      </c>
      <c r="S211">
        <f>IFERROR(L211*MAX(N211,1)/R211*Q211*IF(ISBLANK(K208),1,K208),0)</f>
        <v/>
      </c>
      <c r="AB211" s="7" t="inlineStr">
        <is>
          <t>^ShrapnelWeapon, ^TankDestroyerCannon</t>
        </is>
      </c>
    </row>
    <row r="212">
      <c r="B212" s="7" t="inlineStr">
        <is>
          <t xml:space="preserve">  ↳ JHindPlasmaCannon</t>
        </is>
      </c>
      <c r="C212" s="7" t="inlineStr">
        <is>
          <t>Armament@CannonUpgrade</t>
        </is>
      </c>
      <c r="L212" s="6" t="n">
        <v>4000</v>
      </c>
      <c r="M212" s="6" t="n">
        <v>32</v>
      </c>
      <c r="N212" s="6" t="n">
        <v>1</v>
      </c>
      <c r="O212" s="6" t="n"/>
      <c r="P212" s="6" t="n">
        <v>3053</v>
      </c>
      <c r="Q212" s="6" t="n">
        <v>1</v>
      </c>
      <c r="R212">
        <f>M212+IF(N212&gt;1,N(O212)*(N212-1),0)</f>
        <v/>
      </c>
      <c r="S212">
        <f>IFERROR(L212*MAX(N212,1)/R212*Q212*IF(ISBLANK(K208),1,K208),0)</f>
        <v/>
      </c>
      <c r="AB212" s="7" t="inlineStr">
        <is>
          <t>^TeslaWeapon, ^MediumMissile, ^ShrapnelWeapon, ^TankDestroyerCannon</t>
        </is>
      </c>
    </row>
    <row r="213">
      <c r="B213" s="7" t="inlineStr">
        <is>
          <t xml:space="preserve">  ↳ JHindChainGun</t>
        </is>
      </c>
      <c r="C213" s="7" t="inlineStr">
        <is>
          <t>Armament@ChainGun</t>
        </is>
      </c>
      <c r="L213" s="6" t="n">
        <v>2000</v>
      </c>
      <c r="M213" s="6" t="n">
        <v>8</v>
      </c>
      <c r="N213" s="6" t="n">
        <v>1</v>
      </c>
      <c r="O213" s="6" t="n"/>
      <c r="P213" s="6" t="n">
        <v>3053</v>
      </c>
      <c r="Q213" s="6" t="n">
        <v>1</v>
      </c>
      <c r="R213">
        <f>M213+IF(N213&gt;1,N(O213)*(N213-1),0)</f>
        <v/>
      </c>
      <c r="S213">
        <f>IFERROR(L213*MAX(N213,1)/R213*Q213*IF(ISBLANK(K208),1,K208),0)</f>
        <v/>
      </c>
      <c r="AB213" s="7" t="inlineStr">
        <is>
          <t>^Grenade, ^Chaingun</t>
        </is>
      </c>
    </row>
    <row r="214">
      <c r="B214" s="7" t="inlineStr">
        <is>
          <t xml:space="preserve">  ↳ JHindChainGunWaveforce</t>
        </is>
      </c>
      <c r="C214" s="7" t="inlineStr">
        <is>
          <t>Armament@ChainGunUpgrade</t>
        </is>
      </c>
      <c r="L214" s="6" t="n">
        <v>2000</v>
      </c>
      <c r="M214" s="6" t="n">
        <v>8</v>
      </c>
      <c r="N214" s="6" t="n">
        <v>1</v>
      </c>
      <c r="O214" s="6" t="n"/>
      <c r="P214" s="6" t="n">
        <v>3053</v>
      </c>
      <c r="Q214" s="6" t="n">
        <v>1</v>
      </c>
      <c r="R214">
        <f>M214+IF(N214&gt;1,N(O214)*(N214-1),0)</f>
        <v/>
      </c>
      <c r="S214">
        <f>IFERROR(L214*MAX(N214,1)/R214*Q214*IF(ISBLANK(K208),1,K208),0)</f>
        <v/>
      </c>
      <c r="AB214" s="7" t="inlineStr">
        <is>
          <t>^WaveforceBulletWarhead, ^Grenade, ^Chaingun, ^WaveforceBulletProjectile</t>
        </is>
      </c>
    </row>
    <row r="215">
      <c r="A215" t="inlineStr">
        <is>
          <t>redalert</t>
        </is>
      </c>
      <c r="B215" t="inlineStr">
        <is>
          <t>ra1_soviets_hindattackhelicopter</t>
        </is>
      </c>
      <c r="C215" t="inlineStr">
        <is>
          <t>Hind Attack Helicopter</t>
        </is>
      </c>
      <c r="D215" s="6" t="inlineStr">
        <is>
          <t>Helicopter</t>
        </is>
      </c>
      <c r="E215" s="6" t="n">
        <v>100000</v>
      </c>
      <c r="F215" s="6" t="n">
        <v>120</v>
      </c>
      <c r="G215" t="inlineStr">
        <is>
          <t>Helicopter</t>
        </is>
      </c>
      <c r="H215" s="6" t="n">
        <v>1</v>
      </c>
      <c r="I215" s="6" t="n">
        <v>1</v>
      </c>
      <c r="J215" s="6" t="n">
        <v>1</v>
      </c>
      <c r="K215" s="6" t="n">
        <v>0.5</v>
      </c>
      <c r="P215">
        <f>MAX(P216,P217,P218,P219,P220,P221,P222,P223,P224,P225,P226,P227,P228)</f>
        <v/>
      </c>
      <c r="S215">
        <f>S216+S217+S218+S219+S220+S221+S222+S223+S224+S225+S226+S227+S228</f>
        <v/>
      </c>
      <c r="T215">
        <f>(E215/100000+F215/100+(P215/1000)*J215/5+S215/200)*200*I215*H215</f>
        <v/>
      </c>
      <c r="U215">
        <f>((E215*F215/25000)+((P215/1000)*J215*S215/2.5))*I215*H215</f>
        <v/>
      </c>
      <c r="V215">
        <f>(E215*F215*(P215/1000)*J215*S215*I215*H215)/12500000</f>
        <v/>
      </c>
      <c r="W215">
        <f>(T215+U215+V215)/3</f>
        <v/>
      </c>
      <c r="X215" s="6" t="n">
        <v>1800</v>
      </c>
      <c r="Y215">
        <f>IFERROR(W215-X215,"")</f>
        <v/>
      </c>
      <c r="Z215">
        <f>IFERROR(ABS(Y215)/MAX(X215,1),"")</f>
        <v/>
      </c>
      <c r="AA215">
        <f>IFERROR((X215-(((E215/100000+F215/100+S215/200)*200*I215*H215)+((E215*F215/25000)*I215*H215))/3)/(((J215/5)*200*I215*H215)+((J215*S215/2.5)*I215*H215)+((E215*F215*J215*S215*I215*H215)/12500000))/3*1000,"")</f>
        <v/>
      </c>
    </row>
    <row r="216">
      <c r="B216" s="7" t="inlineStr">
        <is>
          <t xml:space="preserve">  ↳ HindMissiles</t>
        </is>
      </c>
      <c r="C216" s="7" t="inlineStr">
        <is>
          <t>Armament@Missiles</t>
        </is>
      </c>
      <c r="L216" s="6" t="n">
        <v>2000</v>
      </c>
      <c r="M216" s="6" t="n">
        <v>16</v>
      </c>
      <c r="N216" s="6" t="n">
        <v>1</v>
      </c>
      <c r="O216" s="6" t="n"/>
      <c r="P216" s="6" t="n">
        <v>5528</v>
      </c>
      <c r="Q216" s="6" t="n">
        <v>1.0625</v>
      </c>
      <c r="R216">
        <f>M216+IF(N216&gt;1,N(O216)*(N216-1),0)</f>
        <v/>
      </c>
      <c r="S216">
        <f>IFERROR(L216*MAX(N216,1)/R216*Q216*IF(ISBLANK(K215),1,K215),0)</f>
        <v/>
      </c>
      <c r="AB216" s="7" t="inlineStr">
        <is>
          <t>^Grenade, ^ShrapnelWeapon, ^HeavyCannon, ^MediumMissile</t>
        </is>
      </c>
    </row>
    <row r="217">
      <c r="B217" s="7" t="inlineStr">
        <is>
          <t xml:space="preserve">  ↳ HindMissiles</t>
        </is>
      </c>
      <c r="C217" s="7" t="inlineStr">
        <is>
          <t>Armament@MissilesRocketPod1</t>
        </is>
      </c>
      <c r="L217" s="6" t="n">
        <v>2000</v>
      </c>
      <c r="M217" s="6" t="n">
        <v>16</v>
      </c>
      <c r="N217" s="6" t="n">
        <v>1</v>
      </c>
      <c r="O217" s="6" t="n"/>
      <c r="P217" s="6" t="n">
        <v>5528</v>
      </c>
      <c r="Q217" s="6" t="n">
        <v>1.0625</v>
      </c>
      <c r="R217">
        <f>M217+IF(N217&gt;1,N(O217)*(N217-1),0)</f>
        <v/>
      </c>
      <c r="S217">
        <f>IFERROR(L217*MAX(N217,1)/R217*Q217*IF(ISBLANK(K215),1,K215),0)</f>
        <v/>
      </c>
      <c r="AB217" s="7" t="inlineStr">
        <is>
          <t>^Grenade, ^ShrapnelWeapon, ^HeavyCannon, ^MediumMissile</t>
        </is>
      </c>
    </row>
    <row r="218">
      <c r="B218" s="7" t="inlineStr">
        <is>
          <t xml:space="preserve">  ↳ HindMissiles</t>
        </is>
      </c>
      <c r="C218" s="7" t="inlineStr">
        <is>
          <t>Armament@MissilesRocketPod2</t>
        </is>
      </c>
      <c r="L218" s="6" t="n">
        <v>2000</v>
      </c>
      <c r="M218" s="6" t="n">
        <v>16</v>
      </c>
      <c r="N218" s="6" t="n">
        <v>1</v>
      </c>
      <c r="O218" s="6" t="n"/>
      <c r="P218" s="6" t="n">
        <v>5528</v>
      </c>
      <c r="Q218" s="6" t="n">
        <v>1.0625</v>
      </c>
      <c r="R218">
        <f>M218+IF(N218&gt;1,N(O218)*(N218-1),0)</f>
        <v/>
      </c>
      <c r="S218">
        <f>IFERROR(L218*MAX(N218,1)/R218*Q218*IF(ISBLANK(K215),1,K215),0)</f>
        <v/>
      </c>
      <c r="AB218" s="7" t="inlineStr">
        <is>
          <t>^Grenade, ^ShrapnelWeapon, ^HeavyCannon, ^MediumMissile</t>
        </is>
      </c>
    </row>
    <row r="219">
      <c r="B219" s="7" t="inlineStr">
        <is>
          <t xml:space="preserve">  ↳ HindMissilesThermobaric</t>
        </is>
      </c>
      <c r="C219" s="7" t="inlineStr">
        <is>
          <t>Armament@MissilesHE</t>
        </is>
      </c>
      <c r="L219" s="6" t="n">
        <v>2000</v>
      </c>
      <c r="M219" s="6" t="n">
        <v>16</v>
      </c>
      <c r="N219" s="6" t="n">
        <v>1</v>
      </c>
      <c r="O219" s="6" t="n"/>
      <c r="P219" s="6" t="n">
        <v>5528</v>
      </c>
      <c r="Q219" s="6" t="n">
        <v>1.05</v>
      </c>
      <c r="R219">
        <f>M219+IF(N219&gt;1,N(O219)*(N219-1),0)</f>
        <v/>
      </c>
      <c r="S219">
        <f>IFERROR(L219*MAX(N219,1)/R219*Q219*IF(ISBLANK(K215),1,K215),0)</f>
        <v/>
      </c>
      <c r="AB219" s="7" t="inlineStr">
        <is>
          <t>^Grenade, ^ShrapnelWeapon, ^MediumFlameWeapon, ^HeavyCannon, ^MediumMissile</t>
        </is>
      </c>
    </row>
    <row r="220">
      <c r="B220" s="7" t="inlineStr">
        <is>
          <t xml:space="preserve">  ↳ HindMissilesThermobaric</t>
        </is>
      </c>
      <c r="C220" s="7" t="inlineStr">
        <is>
          <t>Armament@MissilesHERocketPod1</t>
        </is>
      </c>
      <c r="L220" s="6" t="n">
        <v>2000</v>
      </c>
      <c r="M220" s="6" t="n">
        <v>16</v>
      </c>
      <c r="N220" s="6" t="n">
        <v>1</v>
      </c>
      <c r="O220" s="6" t="n"/>
      <c r="P220" s="6" t="n">
        <v>5528</v>
      </c>
      <c r="Q220" s="6" t="n">
        <v>1.05</v>
      </c>
      <c r="R220">
        <f>M220+IF(N220&gt;1,N(O220)*(N220-1),0)</f>
        <v/>
      </c>
      <c r="S220">
        <f>IFERROR(L220*MAX(N220,1)/R220*Q220*IF(ISBLANK(K215),1,K215),0)</f>
        <v/>
      </c>
      <c r="AB220" s="7" t="inlineStr">
        <is>
          <t>^Grenade, ^ShrapnelWeapon, ^MediumFlameWeapon, ^HeavyCannon, ^MediumMissile</t>
        </is>
      </c>
    </row>
    <row r="221">
      <c r="B221" s="7" t="inlineStr">
        <is>
          <t xml:space="preserve">  ↳ HindMissilesThermobaric</t>
        </is>
      </c>
      <c r="C221" s="7" t="inlineStr">
        <is>
          <t>Armament@MissilesHERocketPod2</t>
        </is>
      </c>
      <c r="L221" s="6" t="n">
        <v>2000</v>
      </c>
      <c r="M221" s="6" t="n">
        <v>16</v>
      </c>
      <c r="N221" s="6" t="n">
        <v>1</v>
      </c>
      <c r="O221" s="6" t="n"/>
      <c r="P221" s="6" t="n">
        <v>5528</v>
      </c>
      <c r="Q221" s="6" t="n">
        <v>1.05</v>
      </c>
      <c r="R221">
        <f>M221+IF(N221&gt;1,N(O221)*(N221-1),0)</f>
        <v/>
      </c>
      <c r="S221">
        <f>IFERROR(L221*MAX(N221,1)/R221*Q221*IF(ISBLANK(K215),1,K215),0)</f>
        <v/>
      </c>
      <c r="AB221" s="7" t="inlineStr">
        <is>
          <t>^Grenade, ^ShrapnelWeapon, ^MediumFlameWeapon, ^HeavyCannon, ^MediumMissile</t>
        </is>
      </c>
    </row>
    <row r="222">
      <c r="B222" s="7" t="inlineStr">
        <is>
          <t xml:space="preserve">  ↳ HindMissilesNuclear</t>
        </is>
      </c>
      <c r="C222" s="7" t="inlineStr">
        <is>
          <t>Armament@MissilesNuke</t>
        </is>
      </c>
      <c r="L222" s="6" t="n">
        <v>2000</v>
      </c>
      <c r="M222" s="6" t="n">
        <v>16</v>
      </c>
      <c r="N222" s="6" t="n">
        <v>1</v>
      </c>
      <c r="O222" s="6" t="n"/>
      <c r="P222" s="6" t="n">
        <v>5528</v>
      </c>
      <c r="Q222" s="6" t="n">
        <v>2.333333333333333</v>
      </c>
      <c r="R222">
        <f>M222+IF(N222&gt;1,N(O222)*(N222-1),0)</f>
        <v/>
      </c>
      <c r="S222">
        <f>IFERROR(L222*MAX(N222,1)/R222*Q222*IF(ISBLANK(K215),1,K215),0)</f>
        <v/>
      </c>
      <c r="AB222" s="7" t="inlineStr">
        <is>
          <t>^TankDestroyerCannon, ^MediumFlameWeapon, ^NuclearWarhead, ^MediumMissile</t>
        </is>
      </c>
    </row>
    <row r="223">
      <c r="B223" s="7" t="inlineStr">
        <is>
          <t xml:space="preserve">  ↳ HindMissilesNuclear</t>
        </is>
      </c>
      <c r="C223" s="7" t="inlineStr">
        <is>
          <t>Armament@MissilesNukeRocketPod1</t>
        </is>
      </c>
      <c r="L223" s="6" t="n">
        <v>2000</v>
      </c>
      <c r="M223" s="6" t="n">
        <v>16</v>
      </c>
      <c r="N223" s="6" t="n">
        <v>1</v>
      </c>
      <c r="O223" s="6" t="n"/>
      <c r="P223" s="6" t="n">
        <v>5528</v>
      </c>
      <c r="Q223" s="6" t="n">
        <v>2.333333333333333</v>
      </c>
      <c r="R223">
        <f>M223+IF(N223&gt;1,N(O223)*(N223-1),0)</f>
        <v/>
      </c>
      <c r="S223">
        <f>IFERROR(L223*MAX(N223,1)/R223*Q223*IF(ISBLANK(K215),1,K215),0)</f>
        <v/>
      </c>
      <c r="AB223" s="7" t="inlineStr">
        <is>
          <t>^TankDestroyerCannon, ^MediumFlameWeapon, ^NuclearWarhead, ^MediumMissile</t>
        </is>
      </c>
    </row>
    <row r="224">
      <c r="B224" s="7" t="inlineStr">
        <is>
          <t xml:space="preserve">  ↳ HindMissilesNuclear</t>
        </is>
      </c>
      <c r="C224" s="7" t="inlineStr">
        <is>
          <t>Armament@MissilesNukeRocketPod2</t>
        </is>
      </c>
      <c r="L224" s="6" t="n">
        <v>2000</v>
      </c>
      <c r="M224" s="6" t="n">
        <v>16</v>
      </c>
      <c r="N224" s="6" t="n">
        <v>1</v>
      </c>
      <c r="O224" s="6" t="n"/>
      <c r="P224" s="6" t="n">
        <v>5528</v>
      </c>
      <c r="Q224" s="6" t="n">
        <v>2.333333333333333</v>
      </c>
      <c r="R224">
        <f>M224+IF(N224&gt;1,N(O224)*(N224-1),0)</f>
        <v/>
      </c>
      <c r="S224">
        <f>IFERROR(L224*MAX(N224,1)/R224*Q224*IF(ISBLANK(K215),1,K215),0)</f>
        <v/>
      </c>
      <c r="AB224" s="7" t="inlineStr">
        <is>
          <t>^TankDestroyerCannon, ^MediumFlameWeapon, ^NuclearWarhead, ^MediumMissile</t>
        </is>
      </c>
    </row>
    <row r="225">
      <c r="B225" s="7" t="inlineStr">
        <is>
          <t xml:space="preserve">  ↳ ChainGun</t>
        </is>
      </c>
      <c r="C225" s="7" t="inlineStr">
        <is>
          <t>Armament@PRIMARY</t>
        </is>
      </c>
      <c r="L225" s="6" t="n">
        <v>2000</v>
      </c>
      <c r="M225" s="6" t="n">
        <v>8</v>
      </c>
      <c r="N225" s="6" t="n">
        <v>1</v>
      </c>
      <c r="O225" s="6" t="n"/>
      <c r="P225" s="6" t="n">
        <v>5528</v>
      </c>
      <c r="Q225" s="6" t="n">
        <v>1</v>
      </c>
      <c r="R225">
        <f>M225+IF(N225&gt;1,N(O225)*(N225-1),0)</f>
        <v/>
      </c>
      <c r="S225">
        <f>IFERROR(L225*MAX(N225,1)/R225*Q225*IF(ISBLANK(K215),1,K215),0)</f>
        <v/>
      </c>
      <c r="AB225" s="7" t="inlineStr">
        <is>
          <t>^Chaingun</t>
        </is>
      </c>
    </row>
    <row r="226">
      <c r="B226" s="7" t="inlineStr">
        <is>
          <t xml:space="preserve">  ↳ ChainGun</t>
        </is>
      </c>
      <c r="C226" s="7" t="inlineStr">
        <is>
          <t>Armament@SECONDARY</t>
        </is>
      </c>
      <c r="L226" s="6" t="n">
        <v>2000</v>
      </c>
      <c r="M226" s="6" t="n">
        <v>8</v>
      </c>
      <c r="N226" s="6" t="n">
        <v>1</v>
      </c>
      <c r="O226" s="6" t="n"/>
      <c r="P226" s="6" t="n">
        <v>5528</v>
      </c>
      <c r="Q226" s="6" t="n">
        <v>1</v>
      </c>
      <c r="R226">
        <f>M226+IF(N226&gt;1,N(O226)*(N226-1),0)</f>
        <v/>
      </c>
      <c r="S226">
        <f>IFERROR(L226*MAX(N226,1)/R226*Q226*IF(ISBLANK(K215),1,K215),0)</f>
        <v/>
      </c>
      <c r="AB226" s="7" t="inlineStr">
        <is>
          <t>^Chaingun</t>
        </is>
      </c>
    </row>
    <row r="227">
      <c r="B227" s="7" t="inlineStr">
        <is>
          <t xml:space="preserve">  ↳ IncendiaryChainGun</t>
        </is>
      </c>
      <c r="C227" s="7" t="inlineStr">
        <is>
          <t>Armament@Upgrade1</t>
        </is>
      </c>
      <c r="L227" s="6" t="n">
        <v>2000</v>
      </c>
      <c r="M227" s="6" t="n">
        <v>8</v>
      </c>
      <c r="N227" s="6" t="n">
        <v>1</v>
      </c>
      <c r="O227" s="6" t="n"/>
      <c r="P227" s="6" t="n">
        <v>5528</v>
      </c>
      <c r="Q227" s="6" t="n">
        <v>0.875</v>
      </c>
      <c r="R227">
        <f>M227+IF(N227&gt;1,N(O227)*(N227-1),0)</f>
        <v/>
      </c>
      <c r="S227">
        <f>IFERROR(L227*MAX(N227,1)/R227*Q227*IF(ISBLANK(K215),1,K215),0)</f>
        <v/>
      </c>
      <c r="AB227" s="7" t="inlineStr">
        <is>
          <t>^Chaingun, ^LightFlameWeapon, ^IncendiaryBulletProjectile</t>
        </is>
      </c>
    </row>
    <row r="228">
      <c r="B228" s="7" t="inlineStr">
        <is>
          <t xml:space="preserve">  ↳ IncendiaryChainGun</t>
        </is>
      </c>
      <c r="C228" s="7" t="inlineStr">
        <is>
          <t>Armament@Upgrade2</t>
        </is>
      </c>
      <c r="L228" s="6" t="n">
        <v>2000</v>
      </c>
      <c r="M228" s="6" t="n">
        <v>8</v>
      </c>
      <c r="N228" s="6" t="n">
        <v>1</v>
      </c>
      <c r="O228" s="6" t="n"/>
      <c r="P228" s="6" t="n">
        <v>5528</v>
      </c>
      <c r="Q228" s="6" t="n">
        <v>0.875</v>
      </c>
      <c r="R228">
        <f>M228+IF(N228&gt;1,N(O228)*(N228-1),0)</f>
        <v/>
      </c>
      <c r="S228">
        <f>IFERROR(L228*MAX(N228,1)/R228*Q228*IF(ISBLANK(K215),1,K215),0)</f>
        <v/>
      </c>
      <c r="AB228" s="7" t="inlineStr">
        <is>
          <t>^Chaingun, ^LightFlameWeapon, ^IncendiaryBulletProjectile</t>
        </is>
      </c>
    </row>
    <row r="229">
      <c r="A229" t="inlineStr">
        <is>
          <t>redalert</t>
        </is>
      </c>
      <c r="B229" t="inlineStr">
        <is>
          <t>ra1_soviets_kamovattackhelicopter</t>
        </is>
      </c>
      <c r="C229" t="inlineStr">
        <is>
          <t>Kamov Attack Helicopter</t>
        </is>
      </c>
      <c r="D229" s="6" t="inlineStr">
        <is>
          <t>Helicopter</t>
        </is>
      </c>
      <c r="E229" s="6" t="n">
        <v>122500</v>
      </c>
      <c r="F229" s="6" t="n">
        <v>125</v>
      </c>
      <c r="G229" t="inlineStr">
        <is>
          <t>Helicopter</t>
        </is>
      </c>
      <c r="H229" s="6" t="n">
        <v>1</v>
      </c>
      <c r="I229" s="6" t="n">
        <v>1</v>
      </c>
      <c r="J229" s="6" t="n">
        <v>1</v>
      </c>
      <c r="K229" s="6" t="n">
        <v>0.25</v>
      </c>
      <c r="P229">
        <f>MAX(P230,P231,P232,P233,P234,P235,P236,P237,P238,P239,P240,P241)</f>
        <v/>
      </c>
      <c r="S229">
        <f>S230+S231+S232+S233+S234+S235+S236+S237+S238+S239+S240+S241</f>
        <v/>
      </c>
      <c r="T229">
        <f>(E229/100000+F229/100+(P229/1000)*J229/5+S229/200)*200*I229*H229</f>
        <v/>
      </c>
      <c r="U229">
        <f>((E229*F229/25000)+((P229/1000)*J229*S229/2.5))*I229*H229</f>
        <v/>
      </c>
      <c r="V229">
        <f>(E229*F229*(P229/1000)*J229*S229*I229*H229)/12500000</f>
        <v/>
      </c>
      <c r="W229">
        <f>(T229+U229+V229)/3</f>
        <v/>
      </c>
      <c r="X229" s="6" t="n">
        <v>2100</v>
      </c>
      <c r="Y229">
        <f>IFERROR(W229-X229,"")</f>
        <v/>
      </c>
      <c r="Z229">
        <f>IFERROR(ABS(Y229)/MAX(X229,1),"")</f>
        <v/>
      </c>
      <c r="AA229">
        <f>IFERROR((X229-(((E229/100000+F229/100+S229/200)*200*I229*H229)+((E229*F229/25000)*I229*H229))/3)/(((J229/5)*200*I229*H229)+((J229*S229/2.5)*I229*H229)+((E229*F229*J229*S229*I229*H229)/12500000))/3*1000,"")</f>
        <v/>
      </c>
    </row>
    <row r="230">
      <c r="B230" s="7" t="inlineStr">
        <is>
          <t xml:space="preserve">  ↳ KamovTesla</t>
        </is>
      </c>
      <c r="C230" s="7" t="inlineStr">
        <is>
          <t>Armament@Tesla</t>
        </is>
      </c>
      <c r="L230" s="6" t="n">
        <v>16000</v>
      </c>
      <c r="M230" s="6" t="n">
        <v>32</v>
      </c>
      <c r="N230" s="6" t="n">
        <v>1</v>
      </c>
      <c r="O230" s="6" t="n"/>
      <c r="P230" s="6" t="n">
        <v>5528</v>
      </c>
      <c r="Q230" s="6" t="n">
        <v>0.875</v>
      </c>
      <c r="R230">
        <f>M230+IF(N230&gt;1,N(O230)*(N230-1),0)</f>
        <v/>
      </c>
      <c r="S230">
        <f>IFERROR(L230*MAX(N230,1)/R230*Q230*IF(ISBLANK(K229),1,K229),0)</f>
        <v/>
      </c>
      <c r="AB230" s="7" t="inlineStr">
        <is>
          <t>^LightMissile, ^TeslaWeapon</t>
        </is>
      </c>
    </row>
    <row r="231">
      <c r="B231" s="7" t="inlineStr">
        <is>
          <t xml:space="preserve">  ↳ KamovTeslaArc</t>
        </is>
      </c>
      <c r="C231" s="7" t="inlineStr">
        <is>
          <t>Armament@Arcing</t>
        </is>
      </c>
      <c r="L231" s="6" t="n">
        <v>16000</v>
      </c>
      <c r="M231" s="6" t="n">
        <v>32</v>
      </c>
      <c r="N231" s="6" t="n">
        <v>1</v>
      </c>
      <c r="O231" s="6" t="n"/>
      <c r="P231" s="6" t="n">
        <v>5528</v>
      </c>
      <c r="Q231" s="6" t="n">
        <v>0.875</v>
      </c>
      <c r="R231">
        <f>M231+IF(N231&gt;1,N(O231)*(N231-1),0)</f>
        <v/>
      </c>
      <c r="S231">
        <f>IFERROR(L231*MAX(N231,1)/R231*Q231*IF(ISBLANK(K229),1,K229),0)</f>
        <v/>
      </c>
      <c r="AB231" s="7" t="inlineStr">
        <is>
          <t>^LightMissile, ^TeslaWeapon</t>
        </is>
      </c>
    </row>
    <row r="232">
      <c r="B232" s="7" t="inlineStr">
        <is>
          <t xml:space="preserve">  ↳ HindMissiles</t>
        </is>
      </c>
      <c r="C232" s="7" t="inlineStr">
        <is>
          <t>Armament@Missiles</t>
        </is>
      </c>
      <c r="L232" s="6" t="n">
        <v>2000</v>
      </c>
      <c r="M232" s="6" t="n">
        <v>16</v>
      </c>
      <c r="N232" s="6" t="n">
        <v>1</v>
      </c>
      <c r="O232" s="6" t="n"/>
      <c r="P232" s="6" t="n">
        <v>5528</v>
      </c>
      <c r="Q232" s="6" t="n">
        <v>1.0625</v>
      </c>
      <c r="R232">
        <f>M232+IF(N232&gt;1,N(O232)*(N232-1),0)</f>
        <v/>
      </c>
      <c r="S232">
        <f>IFERROR(L232*MAX(N232,1)/R232*Q232*IF(ISBLANK(K229),1,K229),0)</f>
        <v/>
      </c>
      <c r="AB232" s="7" t="inlineStr">
        <is>
          <t>^Grenade, ^ShrapnelWeapon, ^HeavyCannon, ^MediumMissile</t>
        </is>
      </c>
    </row>
    <row r="233">
      <c r="B233" s="7" t="inlineStr">
        <is>
          <t xml:space="preserve">  ↳ HindMissiles</t>
        </is>
      </c>
      <c r="C233" s="7" t="inlineStr">
        <is>
          <t>Armament@MissilesRocketPod1</t>
        </is>
      </c>
      <c r="L233" s="6" t="n">
        <v>2000</v>
      </c>
      <c r="M233" s="6" t="n">
        <v>16</v>
      </c>
      <c r="N233" s="6" t="n">
        <v>1</v>
      </c>
      <c r="O233" s="6" t="n"/>
      <c r="P233" s="6" t="n">
        <v>5528</v>
      </c>
      <c r="Q233" s="6" t="n">
        <v>1.0625</v>
      </c>
      <c r="R233">
        <f>M233+IF(N233&gt;1,N(O233)*(N233-1),0)</f>
        <v/>
      </c>
      <c r="S233">
        <f>IFERROR(L233*MAX(N233,1)/R233*Q233*IF(ISBLANK(K229),1,K229),0)</f>
        <v/>
      </c>
      <c r="AB233" s="7" t="inlineStr">
        <is>
          <t>^Grenade, ^ShrapnelWeapon, ^HeavyCannon, ^MediumMissile</t>
        </is>
      </c>
    </row>
    <row r="234">
      <c r="B234" s="7" t="inlineStr">
        <is>
          <t xml:space="preserve">  ↳ HindMissiles</t>
        </is>
      </c>
      <c r="C234" s="7" t="inlineStr">
        <is>
          <t>Armament@MissilesRocketPod2</t>
        </is>
      </c>
      <c r="L234" s="6" t="n">
        <v>2000</v>
      </c>
      <c r="M234" s="6" t="n">
        <v>16</v>
      </c>
      <c r="N234" s="6" t="n">
        <v>1</v>
      </c>
      <c r="O234" s="6" t="n"/>
      <c r="P234" s="6" t="n">
        <v>5528</v>
      </c>
      <c r="Q234" s="6" t="n">
        <v>1.0625</v>
      </c>
      <c r="R234">
        <f>M234+IF(N234&gt;1,N(O234)*(N234-1),0)</f>
        <v/>
      </c>
      <c r="S234">
        <f>IFERROR(L234*MAX(N234,1)/R234*Q234*IF(ISBLANK(K229),1,K229),0)</f>
        <v/>
      </c>
      <c r="AB234" s="7" t="inlineStr">
        <is>
          <t>^Grenade, ^ShrapnelWeapon, ^HeavyCannon, ^MediumMissile</t>
        </is>
      </c>
    </row>
    <row r="235">
      <c r="B235" s="7" t="inlineStr">
        <is>
          <t xml:space="preserve">  ↳ KamovMissilesTesla</t>
        </is>
      </c>
      <c r="C235" s="7" t="inlineStr">
        <is>
          <t>Armament@MissilesUpgrade</t>
        </is>
      </c>
      <c r="L235" s="6" t="n">
        <v>2000</v>
      </c>
      <c r="M235" s="6" t="n">
        <v>16</v>
      </c>
      <c r="N235" s="6" t="n">
        <v>1</v>
      </c>
      <c r="O235" s="6" t="n"/>
      <c r="P235" s="6" t="n">
        <v>5528</v>
      </c>
      <c r="Q235" s="6" t="n">
        <v>1</v>
      </c>
      <c r="R235">
        <f>M235+IF(N235&gt;1,N(O235)*(N235-1),0)</f>
        <v/>
      </c>
      <c r="S235">
        <f>IFERROR(L235*MAX(N235,1)/R235*Q235*IF(ISBLANK(K229),1,K229),0)</f>
        <v/>
      </c>
      <c r="AB235" s="7" t="inlineStr">
        <is>
          <t>^Grenade, ^ShrapnelWeapon, ^MediumFlameWeapon, ^TeslaWeapon, ^MediumMissile</t>
        </is>
      </c>
    </row>
    <row r="236">
      <c r="B236" s="7" t="inlineStr">
        <is>
          <t xml:space="preserve">  ↳ KamovMissilesTesla</t>
        </is>
      </c>
      <c r="C236" s="7" t="inlineStr">
        <is>
          <t>Armament@MissilesUpgradeRocketPod1</t>
        </is>
      </c>
      <c r="L236" s="6" t="n">
        <v>2000</v>
      </c>
      <c r="M236" s="6" t="n">
        <v>16</v>
      </c>
      <c r="N236" s="6" t="n">
        <v>1</v>
      </c>
      <c r="O236" s="6" t="n"/>
      <c r="P236" s="6" t="n">
        <v>5528</v>
      </c>
      <c r="Q236" s="6" t="n">
        <v>1</v>
      </c>
      <c r="R236">
        <f>M236+IF(N236&gt;1,N(O236)*(N236-1),0)</f>
        <v/>
      </c>
      <c r="S236">
        <f>IFERROR(L236*MAX(N236,1)/R236*Q236*IF(ISBLANK(K229),1,K229),0)</f>
        <v/>
      </c>
      <c r="AB236" s="7" t="inlineStr">
        <is>
          <t>^Grenade, ^ShrapnelWeapon, ^MediumFlameWeapon, ^TeslaWeapon, ^MediumMissile</t>
        </is>
      </c>
    </row>
    <row r="237">
      <c r="B237" s="7" t="inlineStr">
        <is>
          <t xml:space="preserve">  ↳ KamovMissilesTesla</t>
        </is>
      </c>
      <c r="C237" s="7" t="inlineStr">
        <is>
          <t>Armament@MissilesUpgradeRocketPod2</t>
        </is>
      </c>
      <c r="L237" s="6" t="n">
        <v>2000</v>
      </c>
      <c r="M237" s="6" t="n">
        <v>16</v>
      </c>
      <c r="N237" s="6" t="n">
        <v>1</v>
      </c>
      <c r="O237" s="6" t="n"/>
      <c r="P237" s="6" t="n">
        <v>5528</v>
      </c>
      <c r="Q237" s="6" t="n">
        <v>1</v>
      </c>
      <c r="R237">
        <f>M237+IF(N237&gt;1,N(O237)*(N237-1),0)</f>
        <v/>
      </c>
      <c r="S237">
        <f>IFERROR(L237*MAX(N237,1)/R237*Q237*IF(ISBLANK(K229),1,K229),0)</f>
        <v/>
      </c>
      <c r="AB237" s="7" t="inlineStr">
        <is>
          <t>^Grenade, ^ShrapnelWeapon, ^MediumFlameWeapon, ^TeslaWeapon, ^MediumMissile</t>
        </is>
      </c>
    </row>
    <row r="238">
      <c r="B238" s="7" t="inlineStr">
        <is>
          <t xml:space="preserve">  ↳ ChainGun</t>
        </is>
      </c>
      <c r="C238" s="7" t="inlineStr">
        <is>
          <t>Armament@PRIMARY</t>
        </is>
      </c>
      <c r="L238" s="6" t="n">
        <v>2000</v>
      </c>
      <c r="M238" s="6" t="n">
        <v>8</v>
      </c>
      <c r="N238" s="6" t="n">
        <v>1</v>
      </c>
      <c r="O238" s="6" t="n"/>
      <c r="P238" s="6" t="n">
        <v>5528</v>
      </c>
      <c r="Q238" s="6" t="n">
        <v>1</v>
      </c>
      <c r="R238">
        <f>M238+IF(N238&gt;1,N(O238)*(N238-1),0)</f>
        <v/>
      </c>
      <c r="S238">
        <f>IFERROR(L238*MAX(N238,1)/R238*Q238*IF(ISBLANK(K229),1,K229),0)</f>
        <v/>
      </c>
      <c r="AB238" s="7" t="inlineStr">
        <is>
          <t>^Chaingun</t>
        </is>
      </c>
    </row>
    <row r="239">
      <c r="B239" s="7" t="inlineStr">
        <is>
          <t xml:space="preserve">  ↳ ChainGun</t>
        </is>
      </c>
      <c r="C239" s="7" t="inlineStr">
        <is>
          <t>Armament@SECONDARY</t>
        </is>
      </c>
      <c r="L239" s="6" t="n">
        <v>2000</v>
      </c>
      <c r="M239" s="6" t="n">
        <v>8</v>
      </c>
      <c r="N239" s="6" t="n">
        <v>1</v>
      </c>
      <c r="O239" s="6" t="n"/>
      <c r="P239" s="6" t="n">
        <v>5528</v>
      </c>
      <c r="Q239" s="6" t="n">
        <v>1</v>
      </c>
      <c r="R239">
        <f>M239+IF(N239&gt;1,N(O239)*(N239-1),0)</f>
        <v/>
      </c>
      <c r="S239">
        <f>IFERROR(L239*MAX(N239,1)/R239*Q239*IF(ISBLANK(K229),1,K229),0)</f>
        <v/>
      </c>
      <c r="AB239" s="7" t="inlineStr">
        <is>
          <t>^Chaingun</t>
        </is>
      </c>
    </row>
    <row r="240">
      <c r="B240" s="7" t="inlineStr">
        <is>
          <t xml:space="preserve">  ↳ IncendiaryChainGun</t>
        </is>
      </c>
      <c r="C240" s="7" t="inlineStr">
        <is>
          <t>Armament@Upgrade1</t>
        </is>
      </c>
      <c r="L240" s="6" t="n">
        <v>2000</v>
      </c>
      <c r="M240" s="6" t="n">
        <v>8</v>
      </c>
      <c r="N240" s="6" t="n">
        <v>1</v>
      </c>
      <c r="O240" s="6" t="n"/>
      <c r="P240" s="6" t="n">
        <v>5528</v>
      </c>
      <c r="Q240" s="6" t="n">
        <v>0.875</v>
      </c>
      <c r="R240">
        <f>M240+IF(N240&gt;1,N(O240)*(N240-1),0)</f>
        <v/>
      </c>
      <c r="S240">
        <f>IFERROR(L240*MAX(N240,1)/R240*Q240*IF(ISBLANK(K229),1,K229),0)</f>
        <v/>
      </c>
      <c r="AB240" s="7" t="inlineStr">
        <is>
          <t>^Chaingun, ^LightFlameWeapon, ^IncendiaryBulletProjectile</t>
        </is>
      </c>
    </row>
    <row r="241">
      <c r="B241" s="7" t="inlineStr">
        <is>
          <t xml:space="preserve">  ↳ IncendiaryChainGun</t>
        </is>
      </c>
      <c r="C241" s="7" t="inlineStr">
        <is>
          <t>Armament@Upgrade2</t>
        </is>
      </c>
      <c r="L241" s="6" t="n">
        <v>2000</v>
      </c>
      <c r="M241" s="6" t="n">
        <v>8</v>
      </c>
      <c r="N241" s="6" t="n">
        <v>1</v>
      </c>
      <c r="O241" s="6" t="n"/>
      <c r="P241" s="6" t="n">
        <v>5528</v>
      </c>
      <c r="Q241" s="6" t="n">
        <v>0.875</v>
      </c>
      <c r="R241">
        <f>M241+IF(N241&gt;1,N(O241)*(N241-1),0)</f>
        <v/>
      </c>
      <c r="S241">
        <f>IFERROR(L241*MAX(N241,1)/R241*Q241*IF(ISBLANK(K229),1,K229),0)</f>
        <v/>
      </c>
      <c r="AB241" s="7" t="inlineStr">
        <is>
          <t>^Chaingun, ^LightFlameWeapon, ^IncendiaryBulletProjectile</t>
        </is>
      </c>
    </row>
    <row r="242">
      <c r="A242" t="inlineStr">
        <is>
          <t>redalert</t>
        </is>
      </c>
      <c r="B242" t="inlineStr">
        <is>
          <t>ra1_allies_blackhawk</t>
        </is>
      </c>
      <c r="C242" t="inlineStr">
        <is>
          <t>Black Hawk</t>
        </is>
      </c>
      <c r="D242" s="6" t="inlineStr">
        <is>
          <t>Helicopter</t>
        </is>
      </c>
      <c r="E242" s="6" t="n">
        <v>50000</v>
      </c>
      <c r="F242" s="6" t="n">
        <v>130</v>
      </c>
      <c r="G242" t="inlineStr">
        <is>
          <t>Helicopter</t>
        </is>
      </c>
      <c r="H242" s="6" t="n">
        <v>1</v>
      </c>
      <c r="I242" s="6" t="n">
        <v>1</v>
      </c>
      <c r="J242" s="6" t="n">
        <v>1</v>
      </c>
      <c r="K242" s="6" t="n">
        <v>0.25</v>
      </c>
      <c r="P242">
        <f>MAX(P243,P244)</f>
        <v/>
      </c>
      <c r="S242">
        <f>S243+S244</f>
        <v/>
      </c>
      <c r="T242">
        <f>(E242/100000+F242/100+(P242/1000)*J242/5+S242/200)*200*I242*H242</f>
        <v/>
      </c>
      <c r="U242">
        <f>((E242*F242/25000)+((P242/1000)*J242*S242/2.5))*I242*H242</f>
        <v/>
      </c>
      <c r="V242">
        <f>(E242*F242*(P242/1000)*J242*S242*I242*H242)/12500000</f>
        <v/>
      </c>
      <c r="W242">
        <f>(T242+U242+V242)/3</f>
        <v/>
      </c>
      <c r="X242" s="6" t="n">
        <v>1000</v>
      </c>
      <c r="Y242">
        <f>IFERROR(W242-X242,"")</f>
        <v/>
      </c>
      <c r="Z242">
        <f>IFERROR(ABS(Y242)/MAX(X242,1),"")</f>
        <v/>
      </c>
      <c r="AA242">
        <f>IFERROR((X242-(((E242/100000+F242/100+S242/200)*200*I242*H242)+((E242*F242/25000)*I242*H242))/3)/(((J242/5)*200*I242*H242)+((J242*S242/2.5)*I242*H242)+((E242*F242*J242*S242*I242*H242)/12500000))/3*1000,"")</f>
        <v/>
      </c>
    </row>
    <row r="243">
      <c r="B243" s="7" t="inlineStr">
        <is>
          <t xml:space="preserve">  ↳ ChainGunMH60</t>
        </is>
      </c>
      <c r="C243" s="7" t="inlineStr">
        <is>
          <t>Armament@PRIMARY</t>
        </is>
      </c>
      <c r="L243" s="6" t="n">
        <v>2000</v>
      </c>
      <c r="M243" s="6" t="n">
        <v>6</v>
      </c>
      <c r="N243" s="6" t="n">
        <v>1</v>
      </c>
      <c r="O243" s="6" t="n"/>
      <c r="P243" s="6" t="n">
        <v>3375</v>
      </c>
      <c r="Q243" s="6" t="n">
        <v>0.9375</v>
      </c>
      <c r="R243">
        <f>M243+IF(N243&gt;1,N(O243)*(N243-1),0)</f>
        <v/>
      </c>
      <c r="S243">
        <f>IFERROR(L243*MAX(N243,1)/R243*Q243*IF(ISBLANK(K242),1,K242),0)</f>
        <v/>
      </c>
      <c r="AB243" s="7" t="inlineStr">
        <is>
          <t>^SmallArms, ^Grenade, ^FlakWeapon, ^Chaingun</t>
        </is>
      </c>
    </row>
    <row r="244">
      <c r="B244" s="7" t="inlineStr">
        <is>
          <t xml:space="preserve">  ↳ ChainGunMH60</t>
        </is>
      </c>
      <c r="C244" s="7" t="inlineStr">
        <is>
          <t>Armament@SECONDARY</t>
        </is>
      </c>
      <c r="L244" s="6" t="n">
        <v>2000</v>
      </c>
      <c r="M244" s="6" t="n">
        <v>6</v>
      </c>
      <c r="N244" s="6" t="n">
        <v>1</v>
      </c>
      <c r="O244" s="6" t="n"/>
      <c r="P244" s="6" t="n">
        <v>3375</v>
      </c>
      <c r="Q244" s="6" t="n">
        <v>0.9375</v>
      </c>
      <c r="R244">
        <f>M244+IF(N244&gt;1,N(O244)*(N244-1),0)</f>
        <v/>
      </c>
      <c r="S244">
        <f>IFERROR(L244*MAX(N244,1)/R244*Q244*IF(ISBLANK(K242),1,K242),0)</f>
        <v/>
      </c>
      <c r="AB244" s="7" t="inlineStr">
        <is>
          <t>^SmallArms, ^Grenade, ^FlakWeapon, ^Chaingun</t>
        </is>
      </c>
    </row>
    <row r="245">
      <c r="A245" t="inlineStr">
        <is>
          <t>redalert</t>
        </is>
      </c>
      <c r="B245" t="inlineStr">
        <is>
          <t>ra1_allies_longbow</t>
        </is>
      </c>
      <c r="C245" t="inlineStr">
        <is>
          <t>Longbow</t>
        </is>
      </c>
      <c r="D245" s="6" t="inlineStr">
        <is>
          <t>Helicopter</t>
        </is>
      </c>
      <c r="E245" s="6" t="n">
        <v>35000</v>
      </c>
      <c r="F245" s="6" t="n">
        <v>150</v>
      </c>
      <c r="G245" t="inlineStr">
        <is>
          <t>Helicopter</t>
        </is>
      </c>
      <c r="H245" s="6" t="n">
        <v>0.75</v>
      </c>
      <c r="I245" s="6" t="n">
        <v>1</v>
      </c>
      <c r="J245" s="6" t="n">
        <v>1</v>
      </c>
      <c r="K245" s="6" t="n"/>
      <c r="P245">
        <f>MAX(P246,P247)</f>
        <v/>
      </c>
      <c r="S245">
        <f>S246+S247</f>
        <v/>
      </c>
      <c r="T245">
        <f>(E245/100000+F245/100+(P245/1000)*J245/5+S245/200)*200*I245*H245</f>
        <v/>
      </c>
      <c r="U245">
        <f>((E245*F245/25000)+((P245/1000)*J245*S245/2.5))*I245*H245</f>
        <v/>
      </c>
      <c r="V245">
        <f>(E245*F245*(P245/1000)*J245*S245*I245*H245)/12500000</f>
        <v/>
      </c>
      <c r="W245">
        <f>(T245+U245+V245)/3</f>
        <v/>
      </c>
      <c r="X245" s="6" t="n">
        <v>2000</v>
      </c>
      <c r="Y245">
        <f>IFERROR(W245-X245,"")</f>
        <v/>
      </c>
      <c r="Z245">
        <f>IFERROR(ABS(Y245)/MAX(X245,1),"")</f>
        <v/>
      </c>
      <c r="AA245">
        <f>IFERROR((X245-(((E245/100000+F245/100+S245/200)*200*I245*H245)+((E245*F245/25000)*I245*H245))/3)/(((J245/5)*200*I245*H245)+((J245*S245/2.5)*I245*H245)+((E245*F245*J245*S245*I245*H245)/12500000))/3*1000,"")</f>
        <v/>
      </c>
    </row>
    <row r="246">
      <c r="B246" s="7" t="inlineStr">
        <is>
          <t xml:space="preserve">  ↳ Hellfire</t>
        </is>
      </c>
      <c r="C246" s="7" t="inlineStr">
        <is>
          <t>Armament</t>
        </is>
      </c>
      <c r="L246" s="6" t="n">
        <v>8000</v>
      </c>
      <c r="M246" s="6" t="n">
        <v>16</v>
      </c>
      <c r="N246" s="6" t="n">
        <v>1</v>
      </c>
      <c r="O246" s="6" t="n"/>
      <c r="P246" s="6" t="n">
        <v>6540</v>
      </c>
      <c r="Q246" s="6" t="n">
        <v>1.125</v>
      </c>
      <c r="R246">
        <f>M246+IF(N246&gt;1,N(O246)*(N246-1),0)</f>
        <v/>
      </c>
      <c r="S246">
        <f>IFERROR(L246*MAX(N246,1)/R246*Q246*IF(ISBLANK(K245),1,K245),0)</f>
        <v/>
      </c>
      <c r="AB246" s="7" t="inlineStr">
        <is>
          <t>^ShrapnelWeapon, ^HeavyMissile</t>
        </is>
      </c>
    </row>
    <row r="247">
      <c r="B247" s="7" t="inlineStr">
        <is>
          <t xml:space="preserve">  ↳ HellfireCryo</t>
        </is>
      </c>
      <c r="C247" s="7" t="inlineStr">
        <is>
          <t>Armament@Upgrade</t>
        </is>
      </c>
      <c r="L247" s="6" t="n">
        <v>8000</v>
      </c>
      <c r="M247" s="6" t="n">
        <v>16</v>
      </c>
      <c r="N247" s="6" t="n">
        <v>1</v>
      </c>
      <c r="O247" s="6" t="n"/>
      <c r="P247" s="6" t="n">
        <v>6540</v>
      </c>
      <c r="Q247" s="6" t="n">
        <v>1.125</v>
      </c>
      <c r="R247">
        <f>M247+IF(N247&gt;1,N(O247)*(N247-1),0)</f>
        <v/>
      </c>
      <c r="S247">
        <f>IFERROR(L247*MAX(N247,1)/R247*Q247*IF(ISBLANK(K245),1,K245),0)</f>
        <v/>
      </c>
      <c r="AB247" s="7" t="inlineStr">
        <is>
          <t>^ShrapnelWeapon, ^HeavyMissile, ^CryoMissileProjectile</t>
        </is>
      </c>
    </row>
    <row r="248">
      <c r="A248" t="inlineStr">
        <is>
          <t>tiberiansun</t>
        </is>
      </c>
      <c r="B248" t="inlineStr">
        <is>
          <t>cabal_hunterkillermk1</t>
        </is>
      </c>
      <c r="C248" t="inlineStr">
        <is>
          <t>Hunter Killer</t>
        </is>
      </c>
      <c r="D248" s="6" t="inlineStr">
        <is>
          <t>Helicopter</t>
        </is>
      </c>
      <c r="E248" s="6" t="n">
        <v>35000</v>
      </c>
      <c r="F248" s="6" t="n">
        <v>160</v>
      </c>
      <c r="G248" t="inlineStr">
        <is>
          <t>Helicopter</t>
        </is>
      </c>
      <c r="H248" s="6" t="n">
        <v>1</v>
      </c>
      <c r="I248" s="6" t="n">
        <v>1</v>
      </c>
      <c r="J248" s="6" t="n">
        <v>1</v>
      </c>
      <c r="K248" s="6" t="n"/>
      <c r="P248">
        <f>MAX(P249,P250)</f>
        <v/>
      </c>
      <c r="S248">
        <f>S249+S250</f>
        <v/>
      </c>
      <c r="T248">
        <f>(E248/100000+F248/100+(P248/1000)*J248/5+S248/200)*200*I248*H248</f>
        <v/>
      </c>
      <c r="U248">
        <f>((E248*F248/25000)+((P248/1000)*J248*S248/2.5))*I248*H248</f>
        <v/>
      </c>
      <c r="V248">
        <f>(E248*F248*(P248/1000)*J248*S248*I248*H248)/12500000</f>
        <v/>
      </c>
      <c r="W248">
        <f>(T248+U248+V248)/3</f>
        <v/>
      </c>
      <c r="X248" s="6" t="n">
        <v>1500</v>
      </c>
      <c r="Y248">
        <f>IFERROR(W248-X248,"")</f>
        <v/>
      </c>
      <c r="Z248">
        <f>IFERROR(ABS(Y248)/MAX(X248,1),"")</f>
        <v/>
      </c>
      <c r="AA248">
        <f>IFERROR((X248-(((E248/100000+F248/100+S248/200)*200*I248*H248)+((E248*F248/25000)*I248*H248))/3)/(((J248/5)*200*I248*H248)+((J248*S248/2.5)*I248*H248)+((E248*F248*J248*S248*I248*H248)/12500000))/3*1000,"")</f>
        <v/>
      </c>
    </row>
    <row r="249">
      <c r="B249" s="7" t="inlineStr">
        <is>
          <t xml:space="preserve">  ↳ CabalHunterKillerLasers</t>
        </is>
      </c>
      <c r="C249" s="7" t="inlineStr">
        <is>
          <t>Armament@PRIMARY</t>
        </is>
      </c>
      <c r="L249" s="6" t="n">
        <v>8000</v>
      </c>
      <c r="M249" s="6" t="n">
        <v>24</v>
      </c>
      <c r="N249" s="6" t="n">
        <v>1</v>
      </c>
      <c r="O249" s="6" t="n"/>
      <c r="P249" s="6" t="n">
        <v>5318</v>
      </c>
      <c r="Q249" s="6" t="n">
        <v>1</v>
      </c>
      <c r="R249">
        <f>M249+IF(N249&gt;1,N(O249)*(N249-1),0)</f>
        <v/>
      </c>
      <c r="S249">
        <f>IFERROR(L249*MAX(N249,1)/R249*Q249*IF(ISBLANK(K248),1,K248),0)</f>
        <v/>
      </c>
      <c r="AB249" s="7" t="inlineStr">
        <is>
          <t>^LaserWeapon, ^MediumMissile</t>
        </is>
      </c>
    </row>
    <row r="250">
      <c r="B250" s="7" t="inlineStr">
        <is>
          <t xml:space="preserve">  ↳ TSHellfireTwin</t>
        </is>
      </c>
      <c r="C250" s="7" t="inlineStr">
        <is>
          <t>Armament@ROCKETS</t>
        </is>
      </c>
      <c r="L250" s="6" t="n">
        <v>4000</v>
      </c>
      <c r="M250" s="6" t="n">
        <v>32</v>
      </c>
      <c r="N250" s="6" t="n">
        <v>2</v>
      </c>
      <c r="O250" s="6" t="n">
        <v>8</v>
      </c>
      <c r="P250" s="6" t="n">
        <v>5740</v>
      </c>
      <c r="Q250" s="6" t="n">
        <v>1.1</v>
      </c>
      <c r="R250">
        <f>M250+IF(N250&gt;1,N(O250)*(N250-1),0)</f>
        <v/>
      </c>
      <c r="S250">
        <f>IFERROR(L250*MAX(N250,1)/R250*Q250*IF(ISBLANK(K248),1,K248),0)</f>
        <v/>
      </c>
      <c r="AB250" s="7" t="inlineStr">
        <is>
          <t>^HeavyCannon, ^TankDestroyerCannon, ^ShrapnelWeapon, ^Grenade, ^HeavyMissile, ^MediumMissile</t>
        </is>
      </c>
    </row>
    <row r="251">
      <c r="A251" t="inlineStr">
        <is>
          <t>tiberiansun</t>
        </is>
      </c>
      <c r="B251" t="inlineStr">
        <is>
          <t>cabal_hunterkillermk1_elite</t>
        </is>
      </c>
      <c r="C251" t="inlineStr">
        <is>
          <t>Super Hunter Killer</t>
        </is>
      </c>
      <c r="D251" s="6" t="inlineStr">
        <is>
          <t>Helicopter</t>
        </is>
      </c>
      <c r="E251" s="6" t="n">
        <v>40000</v>
      </c>
      <c r="F251" s="6" t="n">
        <v>170</v>
      </c>
      <c r="G251" t="inlineStr">
        <is>
          <t>Helicopter</t>
        </is>
      </c>
      <c r="H251" s="6" t="n">
        <v>1</v>
      </c>
      <c r="I251" s="6" t="n">
        <v>1</v>
      </c>
      <c r="J251" s="6" t="n">
        <v>1</v>
      </c>
      <c r="K251" s="6" t="n"/>
      <c r="P251">
        <f>MAX(P252,P253)</f>
        <v/>
      </c>
      <c r="S251">
        <f>S252+S253</f>
        <v/>
      </c>
      <c r="T251">
        <f>(E251/100000+F251/100+(P251/1000)*J251/5+S251/200)*200*I251*H251</f>
        <v/>
      </c>
      <c r="U251">
        <f>((E251*F251/25000)+((P251/1000)*J251*S251/2.5))*I251*H251</f>
        <v/>
      </c>
      <c r="V251">
        <f>(E251*F251*(P251/1000)*J251*S251*I251*H251)/12500000</f>
        <v/>
      </c>
      <c r="W251">
        <f>(T251+U251+V251)/3</f>
        <v/>
      </c>
      <c r="X251" s="6" t="n">
        <v>3000</v>
      </c>
      <c r="Y251">
        <f>IFERROR(W251-X251,"")</f>
        <v/>
      </c>
      <c r="Z251">
        <f>IFERROR(ABS(Y251)/MAX(X251,1),"")</f>
        <v/>
      </c>
      <c r="AA251">
        <f>IFERROR((X251-(((E251/100000+F251/100+S251/200)*200*I251*H251)+((E251*F251/25000)*I251*H251))/3)/(((J251/5)*200*I251*H251)+((J251*S251/2.5)*I251*H251)+((E251*F251*J251*S251*I251*H251)/12500000))/3*1000,"")</f>
        <v/>
      </c>
    </row>
    <row r="252">
      <c r="B252" s="7" t="inlineStr">
        <is>
          <t xml:space="preserve">  ↳ CabalHunterKillerLasersE</t>
        </is>
      </c>
      <c r="C252" s="7" t="inlineStr">
        <is>
          <t>Armament@PRIMARY</t>
        </is>
      </c>
      <c r="L252" s="6" t="n">
        <v>10000</v>
      </c>
      <c r="M252" s="6" t="n">
        <v>20</v>
      </c>
      <c r="N252" s="6" t="n">
        <v>1</v>
      </c>
      <c r="O252" s="6" t="n"/>
      <c r="P252" s="6" t="n">
        <v>6000</v>
      </c>
      <c r="Q252" s="6" t="n">
        <v>1.166666666666667</v>
      </c>
      <c r="R252">
        <f>M252+IF(N252&gt;1,N(O252)*(N252-1),0)</f>
        <v/>
      </c>
      <c r="S252">
        <f>IFERROR(L252*MAX(N252,1)/R252*Q252*IF(ISBLANK(K251),1,K251),0)</f>
        <v/>
      </c>
      <c r="AB252" s="7" t="inlineStr">
        <is>
          <t>^LaserWeapon, ^RailgunWeapon, ^HeavyMissile</t>
        </is>
      </c>
    </row>
    <row r="253">
      <c r="B253" s="7" t="inlineStr">
        <is>
          <t xml:space="preserve">  ↳ TSHellfireTwin</t>
        </is>
      </c>
      <c r="C253" s="7" t="inlineStr">
        <is>
          <t>Armament@ROCKETS</t>
        </is>
      </c>
      <c r="L253" s="6" t="n">
        <v>4000</v>
      </c>
      <c r="M253" s="6" t="n">
        <v>32</v>
      </c>
      <c r="N253" s="6" t="n">
        <v>2</v>
      </c>
      <c r="O253" s="6" t="n">
        <v>8</v>
      </c>
      <c r="P253" s="6" t="n">
        <v>5740</v>
      </c>
      <c r="Q253" s="6" t="n">
        <v>1.1</v>
      </c>
      <c r="R253">
        <f>M253+IF(N253&gt;1,N(O253)*(N253-1),0)</f>
        <v/>
      </c>
      <c r="S253">
        <f>IFERROR(L253*MAX(N253,1)/R253*Q253*IF(ISBLANK(K251),1,K251),0)</f>
        <v/>
      </c>
      <c r="AB253" s="7" t="inlineStr">
        <is>
          <t>^HeavyCannon, ^TankDestroyerCannon, ^ShrapnelWeapon, ^Grenade, ^HeavyMissile, ^MediumMissile</t>
        </is>
      </c>
    </row>
    <row r="254">
      <c r="A254" t="inlineStr">
        <is>
          <t>tiberiansun</t>
        </is>
      </c>
      <c r="B254" t="inlineStr">
        <is>
          <t>cabal_overkill_gunship</t>
        </is>
      </c>
      <c r="C254" t="inlineStr">
        <is>
          <t>Overkill Gunship</t>
        </is>
      </c>
      <c r="D254" s="6" t="inlineStr">
        <is>
          <t>Helicopter</t>
        </is>
      </c>
      <c r="E254" s="6" t="n">
        <v>45000</v>
      </c>
      <c r="F254" s="6" t="n">
        <v>150</v>
      </c>
      <c r="G254" t="inlineStr">
        <is>
          <t>Helicopter</t>
        </is>
      </c>
      <c r="H254" s="6" t="n">
        <v>1</v>
      </c>
      <c r="I254" s="6" t="n">
        <v>1</v>
      </c>
      <c r="J254" s="6" t="n">
        <v>1</v>
      </c>
      <c r="K254" s="6" t="n"/>
      <c r="P254">
        <f>MAX(P255,P256)</f>
        <v/>
      </c>
      <c r="S254">
        <f>S255+S256</f>
        <v/>
      </c>
      <c r="T254">
        <f>(E254/100000+F254/100+(P254/1000)*J254/5+S254/200)*200*I254*H254</f>
        <v/>
      </c>
      <c r="U254">
        <f>((E254*F254/25000)+((P254/1000)*J254*S254/2.5))*I254*H254</f>
        <v/>
      </c>
      <c r="V254">
        <f>(E254*F254*(P254/1000)*J254*S254*I254*H254)/12500000</f>
        <v/>
      </c>
      <c r="W254">
        <f>(T254+U254+V254)/3</f>
        <v/>
      </c>
      <c r="X254" s="6" t="n">
        <v>1000</v>
      </c>
      <c r="Y254">
        <f>IFERROR(W254-X254,"")</f>
        <v/>
      </c>
      <c r="Z254">
        <f>IFERROR(ABS(Y254)/MAX(X254,1),"")</f>
        <v/>
      </c>
      <c r="AA254">
        <f>IFERROR((X254-(((E254/100000+F254/100+S254/200)*200*I254*H254)+((E254*F254/25000)*I254*H254))/3)/(((J254/5)*200*I254*H254)+((J254*S254/2.5)*I254*H254)+((E254*F254*J254*S254*I254*H254)/12500000))/3*1000,"")</f>
        <v/>
      </c>
    </row>
    <row r="255">
      <c r="B255" s="7" t="inlineStr">
        <is>
          <t xml:space="preserve">  ↳ CabalOverkillGunshipLaser</t>
        </is>
      </c>
      <c r="C255" s="7" t="inlineStr">
        <is>
          <t>Armament@LEFT</t>
        </is>
      </c>
      <c r="L255" s="6" t="n">
        <v>12500</v>
      </c>
      <c r="M255" s="6" t="n">
        <v>40</v>
      </c>
      <c r="N255" s="6" t="n">
        <v>1</v>
      </c>
      <c r="O255" s="6" t="n"/>
      <c r="P255" s="6" t="n">
        <v>6000</v>
      </c>
      <c r="Q255" s="6" t="n">
        <v>1</v>
      </c>
      <c r="R255">
        <f>M255+IF(N255&gt;1,N(O255)*(N255-1),0)</f>
        <v/>
      </c>
      <c r="S255">
        <f>IFERROR(L255*MAX(N255,1)/R255*Q255*IF(ISBLANK(K254),1,K254),0)</f>
        <v/>
      </c>
      <c r="AB255" s="7" t="inlineStr">
        <is>
          <t>^LaserWeapon</t>
        </is>
      </c>
    </row>
    <row r="256">
      <c r="B256" s="7" t="inlineStr">
        <is>
          <t xml:space="preserve">  ↳ CabalOverkillGunshipLaser</t>
        </is>
      </c>
      <c r="C256" s="7" t="inlineStr">
        <is>
          <t>Armament@RIGHT</t>
        </is>
      </c>
      <c r="L256" s="6" t="n">
        <v>12500</v>
      </c>
      <c r="M256" s="6" t="n">
        <v>40</v>
      </c>
      <c r="N256" s="6" t="n">
        <v>1</v>
      </c>
      <c r="O256" s="6" t="n"/>
      <c r="P256" s="6" t="n">
        <v>6000</v>
      </c>
      <c r="Q256" s="6" t="n">
        <v>1</v>
      </c>
      <c r="R256">
        <f>M256+IF(N256&gt;1,N(O256)*(N256-1),0)</f>
        <v/>
      </c>
      <c r="S256">
        <f>IFERROR(L256*MAX(N256,1)/R256*Q256*IF(ISBLANK(K254),1,K254),0)</f>
        <v/>
      </c>
      <c r="AB256" s="7" t="inlineStr">
        <is>
          <t>^LaserWeapon</t>
        </is>
      </c>
    </row>
    <row r="257">
      <c r="A257" t="inlineStr">
        <is>
          <t>tiberiansun</t>
        </is>
      </c>
      <c r="B257" t="inlineStr">
        <is>
          <t>cabal_repair_drone</t>
        </is>
      </c>
      <c r="C257" t="inlineStr">
        <is>
          <t>Repair Drone</t>
        </is>
      </c>
      <c r="D257" s="6" t="inlineStr">
        <is>
          <t>Helicopter</t>
        </is>
      </c>
      <c r="E257" s="6" t="n">
        <v>25000</v>
      </c>
      <c r="F257" s="6" t="n">
        <v>140</v>
      </c>
      <c r="G257" t="inlineStr">
        <is>
          <t>Helicopter</t>
        </is>
      </c>
      <c r="H257" s="6" t="n">
        <v>1</v>
      </c>
      <c r="I257" s="6" t="n">
        <v>1</v>
      </c>
      <c r="J257" s="6" t="n">
        <v>1</v>
      </c>
      <c r="K257" s="6" t="n"/>
      <c r="P257">
        <f>MAX(P258)</f>
        <v/>
      </c>
      <c r="S257">
        <f>S258</f>
        <v/>
      </c>
      <c r="T257">
        <f>(E257/100000+F257/100+(P257/1000)*J257/5+S257/200)*200*I257*H257</f>
        <v/>
      </c>
      <c r="U257">
        <f>((E257*F257/25000)+((P257/1000)*J257*S257/2.5))*I257*H257</f>
        <v/>
      </c>
      <c r="V257">
        <f>(E257*F257*(P257/1000)*J257*S257*I257*H257)/12500000</f>
        <v/>
      </c>
      <c r="W257">
        <f>(T257+U257+V257)/3</f>
        <v/>
      </c>
      <c r="X257" s="6" t="n">
        <v>1000</v>
      </c>
      <c r="Y257">
        <f>IFERROR(W257-X257,"")</f>
        <v/>
      </c>
      <c r="Z257">
        <f>IFERROR(ABS(Y257)/MAX(X257,1),"")</f>
        <v/>
      </c>
      <c r="AA257">
        <f>IFERROR((X257-(((E257/100000+F257/100+S257/200)*200*I257*H257)+((E257*F257/25000)*I257*H257))/3)/(((J257/5)*200*I257*H257)+((J257*S257/2.5)*I257*H257)+((E257*F257*J257*S257*I257*H257)/12500000))/3*1000,"")</f>
        <v/>
      </c>
    </row>
    <row r="258">
      <c r="B258" s="7" t="inlineStr">
        <is>
          <t xml:space="preserve">  ↳ CabalEngineerRepairBeam</t>
        </is>
      </c>
      <c r="C258" s="7" t="inlineStr">
        <is>
          <t>Armament@PRIMARY</t>
        </is>
      </c>
      <c r="L258" s="6" t="n">
        <v>-1</v>
      </c>
      <c r="M258" s="6" t="n">
        <v>31</v>
      </c>
      <c r="N258" s="6" t="n">
        <v>10</v>
      </c>
      <c r="O258" s="6" t="n">
        <v>1</v>
      </c>
      <c r="P258" s="6" t="n">
        <v>6128</v>
      </c>
      <c r="Q258" s="6" t="n">
        <v>1.5</v>
      </c>
      <c r="R258">
        <f>M258+IF(N258&gt;1,N(O258)*(N258-1),0)</f>
        <v/>
      </c>
      <c r="S258">
        <f>IFERROR(L258*MAX(N258,1)/R258*Q258*IF(ISBLANK(K257),1,K257),0)</f>
        <v/>
      </c>
      <c r="AB258" s="7" t="inlineStr">
        <is>
          <t>^RepairWeapon</t>
        </is>
      </c>
    </row>
    <row r="259">
      <c r="A259" t="inlineStr">
        <is>
          <t>tiberiansun</t>
        </is>
      </c>
      <c r="B259" t="inlineStr">
        <is>
          <t>ts_nod_harpy</t>
        </is>
      </c>
      <c r="C259" t="inlineStr">
        <is>
          <t>Harpy</t>
        </is>
      </c>
      <c r="D259" s="6" t="inlineStr">
        <is>
          <t>Helicopter</t>
        </is>
      </c>
      <c r="E259" s="6" t="n">
        <v>50000</v>
      </c>
      <c r="F259" s="6" t="n">
        <v>140</v>
      </c>
      <c r="G259" t="inlineStr">
        <is>
          <t>Helicopter</t>
        </is>
      </c>
      <c r="H259" s="6" t="n">
        <v>1</v>
      </c>
      <c r="I259" s="6" t="n">
        <v>1</v>
      </c>
      <c r="J259" s="6" t="n">
        <v>1</v>
      </c>
      <c r="K259" s="6" t="n"/>
      <c r="P259">
        <f>MAX(P260,P261,P262,P263,P264,P265)</f>
        <v/>
      </c>
      <c r="S259">
        <f>S260+S261+S262+S263+S264+S265</f>
        <v/>
      </c>
      <c r="T259">
        <f>(E259/100000+F259/100+(P259/1000)*J259/5+S259/200)*200*I259*H259</f>
        <v/>
      </c>
      <c r="U259">
        <f>((E259*F259/25000)+((P259/1000)*J259*S259/2.5))*I259*H259</f>
        <v/>
      </c>
      <c r="V259">
        <f>(E259*F259*(P259/1000)*J259*S259*I259*H259)/12500000</f>
        <v/>
      </c>
      <c r="W259">
        <f>(T259+U259+V259)/3</f>
        <v/>
      </c>
      <c r="X259" s="6" t="n">
        <v>1800</v>
      </c>
      <c r="Y259">
        <f>IFERROR(W259-X259,"")</f>
        <v/>
      </c>
      <c r="Z259">
        <f>IFERROR(ABS(Y259)/MAX(X259,1),"")</f>
        <v/>
      </c>
      <c r="AA259">
        <f>IFERROR((X259-(((E259/100000+F259/100+S259/200)*200*I259*H259)+((E259*F259/25000)*I259*H259))/3)/(((J259/5)*200*I259*H259)+((J259*S259/2.5)*I259*H259)+((E259*F259*J259*S259*I259*H259)/12500000))/3*1000,"")</f>
        <v/>
      </c>
    </row>
    <row r="260">
      <c r="B260" s="7" t="inlineStr">
        <is>
          <t xml:space="preserve">  ↳ TSHarpyClaw</t>
        </is>
      </c>
      <c r="C260" s="7" t="inlineStr">
        <is>
          <t>Armament@PRIMARY</t>
        </is>
      </c>
      <c r="L260" s="6" t="n">
        <v>4000</v>
      </c>
      <c r="M260" s="6" t="n">
        <v>24</v>
      </c>
      <c r="N260" s="6" t="n">
        <v>5</v>
      </c>
      <c r="O260" s="6" t="n">
        <v>0</v>
      </c>
      <c r="P260" s="6" t="n">
        <v>4882</v>
      </c>
      <c r="Q260" s="6" t="n">
        <v>1</v>
      </c>
      <c r="R260">
        <f>M260+IF(N260&gt;1,N(O260)*(N260-1),0)</f>
        <v/>
      </c>
      <c r="S260">
        <f>IFERROR(L260*MAX(N260,1)/R260*Q260*IF(ISBLANK(K259),1,K259),0)</f>
        <v/>
      </c>
      <c r="AB260" s="7" t="inlineStr">
        <is>
          <t>^Chaingun</t>
        </is>
      </c>
    </row>
    <row r="261">
      <c r="B261" s="7" t="inlineStr">
        <is>
          <t xml:space="preserve">  ↳ TSHarpyMultiClaw</t>
        </is>
      </c>
      <c r="C261" s="7" t="inlineStr">
        <is>
          <t>Armament@SECONDARY</t>
        </is>
      </c>
      <c r="L261" s="6" t="n">
        <v>0</v>
      </c>
      <c r="M261" s="6" t="n">
        <v>24</v>
      </c>
      <c r="N261" s="6" t="n">
        <v>4</v>
      </c>
      <c r="O261" s="6" t="n">
        <v>0</v>
      </c>
      <c r="P261" s="6" t="n">
        <v>4882</v>
      </c>
      <c r="Q261" s="6" t="n">
        <v>1</v>
      </c>
      <c r="R261">
        <f>M261+IF(N261&gt;1,N(O261)*(N261-1),0)</f>
        <v/>
      </c>
      <c r="S261">
        <f>IFERROR(L261*MAX(N261,1)/R261*Q261*IF(ISBLANK(K259),1,K259),0)</f>
        <v/>
      </c>
      <c r="AB261" s="7" t="inlineStr">
        <is>
          <t>^Chaingun</t>
        </is>
      </c>
    </row>
    <row r="262">
      <c r="B262" s="7" t="inlineStr">
        <is>
          <t xml:space="preserve">  ↳ TSHarpyAOEClaw</t>
        </is>
      </c>
      <c r="C262" s="7" t="inlineStr">
        <is>
          <t>Armament@PRIMARYAOE</t>
        </is>
      </c>
      <c r="L262" s="6" t="n">
        <v>4000</v>
      </c>
      <c r="M262" s="6" t="n">
        <v>24</v>
      </c>
      <c r="N262" s="6" t="n">
        <v>5</v>
      </c>
      <c r="O262" s="6" t="n">
        <v>0</v>
      </c>
      <c r="P262" s="6" t="n">
        <v>4882</v>
      </c>
      <c r="Q262" s="6" t="n">
        <v>1</v>
      </c>
      <c r="R262">
        <f>M262+IF(N262&gt;1,N(O262)*(N262-1),0)</f>
        <v/>
      </c>
      <c r="S262">
        <f>IFERROR(L262*MAX(N262,1)/R262*Q262*IF(ISBLANK(K259),1,K259),0)</f>
        <v/>
      </c>
      <c r="AB262" s="7" t="inlineStr">
        <is>
          <t>^Chaingun</t>
        </is>
      </c>
    </row>
    <row r="263">
      <c r="B263" s="7" t="inlineStr">
        <is>
          <t xml:space="preserve">  ↳ TSLaserHarpyClaw</t>
        </is>
      </c>
      <c r="C263" s="7" t="inlineStr">
        <is>
          <t>Armament@UPGRADE</t>
        </is>
      </c>
      <c r="L263" s="6" t="n">
        <v>4000</v>
      </c>
      <c r="M263" s="6" t="n">
        <v>25</v>
      </c>
      <c r="N263" s="6" t="n">
        <v>4</v>
      </c>
      <c r="O263" s="6" t="n">
        <v>0</v>
      </c>
      <c r="P263" s="6" t="n">
        <v>4969</v>
      </c>
      <c r="Q263" s="6" t="n">
        <v>1</v>
      </c>
      <c r="R263">
        <f>M263+IF(N263&gt;1,N(O263)*(N263-1),0)</f>
        <v/>
      </c>
      <c r="S263">
        <f>IFERROR(L263*MAX(N263,1)/R263*Q263*IF(ISBLANK(K259),1,K259),0)</f>
        <v/>
      </c>
      <c r="AB263" s="7" t="inlineStr">
        <is>
          <t>^Chaingun, ^LaserWeapon, ^TSLaserEffect</t>
        </is>
      </c>
    </row>
    <row r="264">
      <c r="B264" s="7" t="inlineStr">
        <is>
          <t xml:space="preserve">  ↳ TSLaserHarpyMultiClaw</t>
        </is>
      </c>
      <c r="C264" s="7" t="inlineStr">
        <is>
          <t>Armament@SECONDARYUPGRADE</t>
        </is>
      </c>
      <c r="L264" s="6" t="n">
        <v>600</v>
      </c>
      <c r="M264" s="6" t="n">
        <v>25</v>
      </c>
      <c r="N264" s="6" t="n">
        <v>4</v>
      </c>
      <c r="O264" s="6" t="n">
        <v>0</v>
      </c>
      <c r="P264" s="6" t="n">
        <v>4969</v>
      </c>
      <c r="Q264" s="6" t="n">
        <v>1</v>
      </c>
      <c r="R264">
        <f>M264+IF(N264&gt;1,N(O264)*(N264-1),0)</f>
        <v/>
      </c>
      <c r="S264">
        <f>IFERROR(L264*MAX(N264,1)/R264*Q264*IF(ISBLANK(K259),1,K259),0)</f>
        <v/>
      </c>
      <c r="AB264" s="7" t="inlineStr">
        <is>
          <t>^Chaingun, ^LaserWeapon, ^TSLaserEffect</t>
        </is>
      </c>
    </row>
    <row r="265">
      <c r="B265" s="7" t="inlineStr">
        <is>
          <t xml:space="preserve">  ↳ TSLaserHarpyAOEClaw</t>
        </is>
      </c>
      <c r="C265" s="7" t="inlineStr">
        <is>
          <t>Armament@UPGRADEAOE</t>
        </is>
      </c>
      <c r="L265" s="6" t="n">
        <v>4000</v>
      </c>
      <c r="M265" s="6" t="n">
        <v>25</v>
      </c>
      <c r="N265" s="6" t="n">
        <v>4</v>
      </c>
      <c r="O265" s="6" t="n">
        <v>0</v>
      </c>
      <c r="P265" s="6" t="n">
        <v>4969</v>
      </c>
      <c r="Q265" s="6" t="n">
        <v>1</v>
      </c>
      <c r="R265">
        <f>M265+IF(N265&gt;1,N(O265)*(N265-1),0)</f>
        <v/>
      </c>
      <c r="S265">
        <f>IFERROR(L265*MAX(N265,1)/R265*Q265*IF(ISBLANK(K259),1,K259),0)</f>
        <v/>
      </c>
      <c r="AB265" s="7" t="inlineStr">
        <is>
          <t>^Chaingun, ^LaserWeapon, ^TSLaserEffect</t>
        </is>
      </c>
    </row>
    <row r="266">
      <c r="A266" t="inlineStr">
        <is>
          <t>tiberiansun</t>
        </is>
      </c>
      <c r="B266" t="inlineStr">
        <is>
          <t>ts_gdi_hammerhead</t>
        </is>
      </c>
      <c r="C266" t="inlineStr">
        <is>
          <t>Hammerhead</t>
        </is>
      </c>
      <c r="D266" s="6" t="inlineStr">
        <is>
          <t>Helicopter</t>
        </is>
      </c>
      <c r="E266" s="6" t="n">
        <v>80000</v>
      </c>
      <c r="F266" s="6" t="n">
        <v>140</v>
      </c>
      <c r="G266" t="inlineStr">
        <is>
          <t>Helicopter</t>
        </is>
      </c>
      <c r="H266" s="6" t="n">
        <v>1</v>
      </c>
      <c r="I266" s="6" t="n">
        <v>1</v>
      </c>
      <c r="J266" s="6" t="n">
        <v>1</v>
      </c>
      <c r="K266" s="6" t="n"/>
      <c r="P266">
        <f>MAX(P267)</f>
        <v/>
      </c>
      <c r="S266">
        <f>S267</f>
        <v/>
      </c>
      <c r="T266">
        <f>(E266/100000+F266/100+(P266/1000)*J266/5+S266/200)*200*I266*H266</f>
        <v/>
      </c>
      <c r="U266">
        <f>((E266*F266/25000)+((P266/1000)*J266*S266/2.5))*I266*H266</f>
        <v/>
      </c>
      <c r="V266">
        <f>(E266*F266*(P266/1000)*J266*S266*I266*H266)/12500000</f>
        <v/>
      </c>
      <c r="W266">
        <f>(T266+U266+V266)/3</f>
        <v/>
      </c>
      <c r="X266" s="6" t="n">
        <v>2400</v>
      </c>
      <c r="Y266">
        <f>IFERROR(W266-X266,"")</f>
        <v/>
      </c>
      <c r="Z266">
        <f>IFERROR(ABS(Y266)/MAX(X266,1),"")</f>
        <v/>
      </c>
      <c r="AA266">
        <f>IFERROR((X266-(((E266/100000+F266/100+S266/200)*200*I266*H266)+((E266*F266/25000)*I266*H266))/3)/(((J266/5)*200*I266*H266)+((J266*S266/2.5)*I266*H266)+((E266*F266*J266*S266*I266*H266)/12500000))/3*1000,"")</f>
        <v/>
      </c>
    </row>
    <row r="267">
      <c r="B267" s="7" t="inlineStr">
        <is>
          <t xml:space="preserve">  ↳ TSHammerheadGun</t>
        </is>
      </c>
      <c r="C267" s="7" t="inlineStr">
        <is>
          <t>Armament@PRIMARY</t>
        </is>
      </c>
      <c r="L267" s="6" t="n">
        <v>4000</v>
      </c>
      <c r="M267" s="6" t="n">
        <v>6</v>
      </c>
      <c r="N267" s="6" t="n">
        <v>1</v>
      </c>
      <c r="O267" s="6" t="n"/>
      <c r="P267" s="6" t="n">
        <v>5451</v>
      </c>
      <c r="Q267" s="6" t="n">
        <v>1</v>
      </c>
      <c r="R267">
        <f>M267+IF(N267&gt;1,N(O267)*(N267-1),0)</f>
        <v/>
      </c>
      <c r="S267">
        <f>IFERROR(L267*MAX(N267,1)/R267*Q267*IF(ISBLANK(K266),1,K266),0)</f>
        <v/>
      </c>
      <c r="AB267" s="7" t="inlineStr">
        <is>
          <t>^Chaingun</t>
        </is>
      </c>
    </row>
    <row r="268">
      <c r="A268" t="inlineStr">
        <is>
          <t>tiberiansun</t>
        </is>
      </c>
      <c r="B268" t="inlineStr">
        <is>
          <t>ts_gdi_orcafighter</t>
        </is>
      </c>
      <c r="C268" t="inlineStr">
        <is>
          <t>Orca Fighter</t>
        </is>
      </c>
      <c r="D268" s="6" t="inlineStr">
        <is>
          <t>Helicopter</t>
        </is>
      </c>
      <c r="E268" s="6" t="n">
        <v>62500</v>
      </c>
      <c r="F268" s="6" t="n">
        <v>145</v>
      </c>
      <c r="G268" t="inlineStr">
        <is>
          <t>Helicopter</t>
        </is>
      </c>
      <c r="H268" s="6" t="n">
        <v>1</v>
      </c>
      <c r="I268" s="6" t="n">
        <v>1</v>
      </c>
      <c r="J268" s="6" t="n">
        <v>1</v>
      </c>
      <c r="K268" s="6" t="n"/>
      <c r="P268">
        <f>MAX(P269,P270)</f>
        <v/>
      </c>
      <c r="S268">
        <f>S269+S270</f>
        <v/>
      </c>
      <c r="T268">
        <f>(E268/100000+F268/100+(P268/1000)*J268/5+S268/200)*200*I268*H268</f>
        <v/>
      </c>
      <c r="U268">
        <f>((E268*F268/25000)+((P268/1000)*J268*S268/2.5))*I268*H268</f>
        <v/>
      </c>
      <c r="V268">
        <f>(E268*F268*(P268/1000)*J268*S268*I268*H268)/12500000</f>
        <v/>
      </c>
      <c r="W268">
        <f>(T268+U268+V268)/3</f>
        <v/>
      </c>
      <c r="X268" s="6" t="n">
        <v>2200</v>
      </c>
      <c r="Y268">
        <f>IFERROR(W268-X268,"")</f>
        <v/>
      </c>
      <c r="Z268">
        <f>IFERROR(ABS(Y268)/MAX(X268,1),"")</f>
        <v/>
      </c>
      <c r="AA268">
        <f>IFERROR((X268-(((E268/100000+F268/100+S268/200)*200*I268*H268)+((E268*F268/25000)*I268*H268))/3)/(((J268/5)*200*I268*H268)+((J268*S268/2.5)*I268*H268)+((E268*F268*J268*S268*I268*H268)/12500000))/3*1000,"")</f>
        <v/>
      </c>
    </row>
    <row r="269">
      <c r="B269" s="7" t="inlineStr">
        <is>
          <t xml:space="preserve">  ↳ TSHellfire</t>
        </is>
      </c>
      <c r="C269" s="7" t="inlineStr">
        <is>
          <t>Armament@PRIMARY</t>
        </is>
      </c>
      <c r="L269" s="6" t="n">
        <v>4000</v>
      </c>
      <c r="M269" s="6" t="n">
        <v>32</v>
      </c>
      <c r="N269" s="6" t="n">
        <v>1</v>
      </c>
      <c r="O269" s="6" t="n"/>
      <c r="P269" s="6" t="n">
        <v>5740</v>
      </c>
      <c r="Q269" s="6" t="n">
        <v>1.1</v>
      </c>
      <c r="R269">
        <f>M269+IF(N269&gt;1,N(O269)*(N269-1),0)</f>
        <v/>
      </c>
      <c r="S269">
        <f>IFERROR(L269*MAX(N269,1)/R269*Q269*IF(ISBLANK(K268),1,K268),0)</f>
        <v/>
      </c>
      <c r="AB269" s="7" t="inlineStr">
        <is>
          <t>^HeavyCannon, ^TankDestroyerCannon, ^ShrapnelWeapon, ^Grenade, ^HeavyMissile, ^MediumMissile</t>
        </is>
      </c>
    </row>
    <row r="270">
      <c r="B270" s="7" t="inlineStr">
        <is>
          <t xml:space="preserve">  ↳ TSHellfireSonic</t>
        </is>
      </c>
      <c r="C270" s="7" t="inlineStr">
        <is>
          <t>Armament@Upgrade</t>
        </is>
      </c>
      <c r="L270" s="6" t="n">
        <v>4000</v>
      </c>
      <c r="M270" s="6" t="n">
        <v>25</v>
      </c>
      <c r="N270" s="6" t="n">
        <v>1</v>
      </c>
      <c r="O270" s="6" t="n"/>
      <c r="P270" s="6" t="n">
        <v>5120</v>
      </c>
      <c r="Q270" s="6" t="n">
        <v>1.071428571428571</v>
      </c>
      <c r="R270">
        <f>M270+IF(N270&gt;1,N(O270)*(N270-1),0)</f>
        <v/>
      </c>
      <c r="S270">
        <f>IFERROR(L270*MAX(N270,1)/R270*Q270*IF(ISBLANK(K268),1,K268),0)</f>
        <v/>
      </c>
      <c r="AB270" s="7" t="inlineStr">
        <is>
          <t>^HeavyCannon, ^TankDestroyerCannon, ^ShrapnelWeapon, ^Grenade, ^HeavyMissile, ^MediumMissile, ^TeslaWeapon, ^MagicWeapon, ^TSSonicGrenade</t>
        </is>
      </c>
    </row>
    <row r="271">
      <c r="A271" t="inlineStr">
        <is>
          <t>tiberiansun</t>
        </is>
      </c>
      <c r="B271" t="inlineStr">
        <is>
          <t>ts_gdi_zoneorcafighter</t>
        </is>
      </c>
      <c r="C271" t="inlineStr">
        <is>
          <t>Zone Orca Fighter</t>
        </is>
      </c>
      <c r="D271" s="6" t="inlineStr">
        <is>
          <t>Helicopter</t>
        </is>
      </c>
      <c r="E271" s="6" t="n">
        <v>70000</v>
      </c>
      <c r="F271" s="6" t="n">
        <v>165</v>
      </c>
      <c r="G271" t="inlineStr">
        <is>
          <t>Helicopter</t>
        </is>
      </c>
      <c r="H271" s="6" t="n">
        <v>1</v>
      </c>
      <c r="I271" s="6" t="n">
        <v>1</v>
      </c>
      <c r="J271" s="6" t="n">
        <v>1</v>
      </c>
      <c r="K271" s="6" t="n"/>
      <c r="P271">
        <f>MAX(P272,P273)</f>
        <v/>
      </c>
      <c r="S271">
        <f>S272+S273</f>
        <v/>
      </c>
      <c r="T271">
        <f>(E271/100000+F271/100+(P271/1000)*J271/5+S271/200)*200*I271*H271</f>
        <v/>
      </c>
      <c r="U271">
        <f>((E271*F271/25000)+((P271/1000)*J271*S271/2.5))*I271*H271</f>
        <v/>
      </c>
      <c r="V271">
        <f>(E271*F271*(P271/1000)*J271*S271*I271*H271)/12500000</f>
        <v/>
      </c>
      <c r="W271">
        <f>(T271+U271+V271)/3</f>
        <v/>
      </c>
      <c r="X271" s="6" t="n">
        <v>3000</v>
      </c>
      <c r="Y271">
        <f>IFERROR(W271-X271,"")</f>
        <v/>
      </c>
      <c r="Z271">
        <f>IFERROR(ABS(Y271)/MAX(X271,1),"")</f>
        <v/>
      </c>
      <c r="AA271">
        <f>IFERROR((X271-(((E271/100000+F271/100+S271/200)*200*I271*H271)+((E271*F271/25000)*I271*H271))/3)/(((J271/5)*200*I271*H271)+((J271*S271/2.5)*I271*H271)+((E271*F271*J271*S271*I271*H271)/12500000))/3*1000,"")</f>
        <v/>
      </c>
    </row>
    <row r="272">
      <c r="B272" s="7" t="inlineStr">
        <is>
          <t xml:space="preserve">  ↳ TSZoneHellfire</t>
        </is>
      </c>
      <c r="C272" s="7" t="inlineStr">
        <is>
          <t>Armament@PRIMARY</t>
        </is>
      </c>
      <c r="L272" s="6" t="n">
        <v>4000</v>
      </c>
      <c r="M272" s="6" t="n">
        <v>28</v>
      </c>
      <c r="N272" s="6" t="n">
        <v>1</v>
      </c>
      <c r="O272" s="6" t="n"/>
      <c r="P272" s="6" t="n">
        <v>6138</v>
      </c>
      <c r="Q272" s="6" t="n">
        <v>1.1</v>
      </c>
      <c r="R272">
        <f>M272+IF(N272&gt;1,N(O272)*(N272-1),0)</f>
        <v/>
      </c>
      <c r="S272">
        <f>IFERROR(L272*MAX(N272,1)/R272*Q272*IF(ISBLANK(K271),1,K271),0)</f>
        <v/>
      </c>
      <c r="AB272" s="7" t="inlineStr">
        <is>
          <t>^HeavyCannon, ^TankDestroyerCannon, ^ShrapnelWeapon, ^Grenade, ^HeavyMissile, ^MediumMissile</t>
        </is>
      </c>
    </row>
    <row r="273">
      <c r="B273" s="7" t="inlineStr">
        <is>
          <t xml:space="preserve">  ↳ TSZoneHellfireSonic</t>
        </is>
      </c>
      <c r="C273" s="7" t="inlineStr">
        <is>
          <t>Armament@Upgrade</t>
        </is>
      </c>
      <c r="L273" s="6" t="n">
        <v>4000</v>
      </c>
      <c r="M273" s="6" t="n">
        <v>28</v>
      </c>
      <c r="N273" s="6" t="n">
        <v>1</v>
      </c>
      <c r="O273" s="6" t="n"/>
      <c r="P273" s="6" t="n">
        <v>6138</v>
      </c>
      <c r="Q273" s="6" t="n">
        <v>1.071428571428571</v>
      </c>
      <c r="R273">
        <f>M273+IF(N273&gt;1,N(O273)*(N273-1),0)</f>
        <v/>
      </c>
      <c r="S273">
        <f>IFERROR(L273*MAX(N273,1)/R273*Q273*IF(ISBLANK(K271),1,K271),0)</f>
        <v/>
      </c>
      <c r="AB273" s="7" t="inlineStr">
        <is>
          <t>^HeavyCannon, ^TankDestroyerCannon, ^ShrapnelWeapon, ^Grenade, ^HeavyMissile, ^MediumMissile, ^TeslaWeapon, ^MagicWeapon, ^TSSonicGrenade</t>
        </is>
      </c>
    </row>
    <row r="274">
      <c r="A274" t="inlineStr">
        <is>
          <t>tiberiansun</t>
        </is>
      </c>
      <c r="B274" t="inlineStr">
        <is>
          <t>forgotten_apache</t>
        </is>
      </c>
      <c r="C274" t="inlineStr">
        <is>
          <t>actor_forgotten_apache.name</t>
        </is>
      </c>
      <c r="D274" s="6" t="inlineStr">
        <is>
          <t>Helicopter</t>
        </is>
      </c>
      <c r="E274" s="6" t="n">
        <v>30000</v>
      </c>
      <c r="F274" s="6" t="n">
        <v>160</v>
      </c>
      <c r="G274" t="inlineStr">
        <is>
          <t>Helicopter</t>
        </is>
      </c>
      <c r="H274" s="6" t="n">
        <v>1</v>
      </c>
      <c r="I274" s="6" t="n">
        <v>1</v>
      </c>
      <c r="J274" s="6" t="n">
        <v>1</v>
      </c>
      <c r="K274" s="6" t="n"/>
      <c r="P274">
        <f>MAX(P275,P276)</f>
        <v/>
      </c>
      <c r="S274">
        <f>S275+S276</f>
        <v/>
      </c>
      <c r="T274">
        <f>(E274/100000+F274/100+(P274/1000)*J274/5+S274/200)*200*I274*H274</f>
        <v/>
      </c>
      <c r="U274">
        <f>((E274*F274/25000)+((P274/1000)*J274*S274/2.5))*I274*H274</f>
        <v/>
      </c>
      <c r="V274">
        <f>(E274*F274*(P274/1000)*J274*S274*I274*H274)/12500000</f>
        <v/>
      </c>
      <c r="W274">
        <f>(T274+U274+V274)/3</f>
        <v/>
      </c>
      <c r="X274" s="6" t="n">
        <v>1500</v>
      </c>
      <c r="Y274">
        <f>IFERROR(W274-X274,"")</f>
        <v/>
      </c>
      <c r="Z274">
        <f>IFERROR(ABS(Y274)/MAX(X274,1),"")</f>
        <v/>
      </c>
      <c r="AA274">
        <f>IFERROR((X274-(((E274/100000+F274/100+S274/200)*200*I274*H274)+((E274*F274/25000)*I274*H274))/3)/(((J274/5)*200*I274*H274)+((J274*S274/2.5)*I274*H274)+((E274*F274*J274*S274*I274*H274)/12500000))/3*1000,"")</f>
        <v/>
      </c>
    </row>
    <row r="275">
      <c r="B275" s="7" t="inlineStr">
        <is>
          <t xml:space="preserve">  ↳ TSApacheMissile</t>
        </is>
      </c>
      <c r="C275" s="7" t="inlineStr">
        <is>
          <t>Armament@PRIMARY</t>
        </is>
      </c>
      <c r="L275" s="6" t="n">
        <v>4000</v>
      </c>
      <c r="M275" s="6" t="n">
        <v>15</v>
      </c>
      <c r="N275" s="6" t="n">
        <v>1</v>
      </c>
      <c r="O275" s="6" t="n"/>
      <c r="P275" s="6" t="n">
        <v>4688</v>
      </c>
      <c r="Q275" s="6" t="n">
        <v>1.1</v>
      </c>
      <c r="R275">
        <f>M275+IF(N275&gt;1,N(O275)*(N275-1),0)</f>
        <v/>
      </c>
      <c r="S275">
        <f>IFERROR(L275*MAX(N275,1)/R275*Q275*IF(ISBLANK(K274),1,K274),0)</f>
        <v/>
      </c>
      <c r="AB275" s="7" t="inlineStr">
        <is>
          <t>^HeavyCannon, ^TankDestroyerCannon, ^ShrapnelWeapon, ^Grenade, ^HeavyMissile, ^MediumMissile</t>
        </is>
      </c>
    </row>
    <row r="276">
      <c r="B276" s="7" t="inlineStr">
        <is>
          <t xml:space="preserve">  ↳ TSChemApacheMissile</t>
        </is>
      </c>
      <c r="C276" s="7" t="inlineStr">
        <is>
          <t>Armament@UPGRADE</t>
        </is>
      </c>
      <c r="L276" s="6" t="n">
        <v>12000</v>
      </c>
      <c r="M276" s="6" t="n">
        <v>15</v>
      </c>
      <c r="N276" s="6" t="n">
        <v>1</v>
      </c>
      <c r="O276" s="6" t="n"/>
      <c r="P276" s="6" t="n">
        <v>4688</v>
      </c>
      <c r="Q276" s="6" t="n">
        <v>1.083333333333333</v>
      </c>
      <c r="R276">
        <f>M276+IF(N276&gt;1,N(O276)*(N276-1),0)</f>
        <v/>
      </c>
      <c r="S276">
        <f>IFERROR(L276*MAX(N276,1)/R276*Q276*IF(ISBLANK(K274),1,K274),0)</f>
        <v/>
      </c>
      <c r="AB276" s="7" t="inlineStr">
        <is>
          <t>^MediumChemicalWeapon, ^HeavyCannon, ^TankDestroyerCannon, ^ShrapnelWeapon, ^Grenade, ^HeavyMissile, ^MediumMissile</t>
        </is>
      </c>
    </row>
    <row r="277">
      <c r="A277" t="inlineStr">
        <is>
          <t>tiberiansun</t>
        </is>
      </c>
      <c r="B277" t="inlineStr">
        <is>
          <t>forgotten_cobracopter</t>
        </is>
      </c>
      <c r="C277" t="inlineStr">
        <is>
          <t>actor_forgotten_cobracopter.name</t>
        </is>
      </c>
      <c r="D277" s="6" t="inlineStr">
        <is>
          <t>Helicopter</t>
        </is>
      </c>
      <c r="E277" s="6" t="n">
        <v>32500</v>
      </c>
      <c r="F277" s="6" t="n">
        <v>165</v>
      </c>
      <c r="G277" t="inlineStr">
        <is>
          <t>Helicopter</t>
        </is>
      </c>
      <c r="H277" s="6" t="n">
        <v>1</v>
      </c>
      <c r="I277" s="6" t="n">
        <v>1</v>
      </c>
      <c r="J277" s="6" t="n">
        <v>1</v>
      </c>
      <c r="K277" s="6" t="n"/>
      <c r="P277">
        <f>MAX(P278,P279)</f>
        <v/>
      </c>
      <c r="S277">
        <f>S278+S279</f>
        <v/>
      </c>
      <c r="T277">
        <f>(E277/100000+F277/100+(P277/1000)*J277/5+S277/200)*200*I277*H277</f>
        <v/>
      </c>
      <c r="U277">
        <f>((E277*F277/25000)+((P277/1000)*J277*S277/2.5))*I277*H277</f>
        <v/>
      </c>
      <c r="V277">
        <f>(E277*F277*(P277/1000)*J277*S277*I277*H277)/12500000</f>
        <v/>
      </c>
      <c r="W277">
        <f>(T277+U277+V277)/3</f>
        <v/>
      </c>
      <c r="X277" s="6" t="n">
        <v>2000</v>
      </c>
      <c r="Y277">
        <f>IFERROR(W277-X277,"")</f>
        <v/>
      </c>
      <c r="Z277">
        <f>IFERROR(ABS(Y277)/MAX(X277,1),"")</f>
        <v/>
      </c>
      <c r="AA277">
        <f>IFERROR((X277-(((E277/100000+F277/100+S277/200)*200*I277*H277)+((E277*F277/25000)*I277*H277))/3)/(((J277/5)*200*I277*H277)+((J277*S277/2.5)*I277*H277)+((E277*F277*J277*S277*I277*H277)/12500000))/3*1000,"")</f>
        <v/>
      </c>
    </row>
    <row r="278">
      <c r="B278" s="7" t="inlineStr">
        <is>
          <t xml:space="preserve">  ↳ TSCobraMissile</t>
        </is>
      </c>
      <c r="C278" s="7" t="inlineStr">
        <is>
          <t>Armament@PRIMARY</t>
        </is>
      </c>
      <c r="L278" s="6" t="n">
        <v>4000</v>
      </c>
      <c r="M278" s="6" t="n">
        <v>12</v>
      </c>
      <c r="N278" s="6" t="n">
        <v>1</v>
      </c>
      <c r="O278" s="6" t="n"/>
      <c r="P278" s="6" t="n">
        <v>5052</v>
      </c>
      <c r="Q278" s="6" t="n">
        <v>1.1</v>
      </c>
      <c r="R278">
        <f>M278+IF(N278&gt;1,N(O278)*(N278-1),0)</f>
        <v/>
      </c>
      <c r="S278">
        <f>IFERROR(L278*MAX(N278,1)/R278*Q278*IF(ISBLANK(K277),1,K277),0)</f>
        <v/>
      </c>
      <c r="AB278" s="7" t="inlineStr">
        <is>
          <t>^HeavyCannon, ^TankDestroyerCannon, ^ShrapnelWeapon, ^Grenade, ^HeavyMissile, ^MediumMissile</t>
        </is>
      </c>
    </row>
    <row r="279">
      <c r="B279" s="7" t="inlineStr">
        <is>
          <t xml:space="preserve">  ↳ TSChemCobraMissile</t>
        </is>
      </c>
      <c r="C279" s="7" t="inlineStr">
        <is>
          <t>Armament@SECONDARY</t>
        </is>
      </c>
      <c r="L279" s="6" t="n">
        <v>12000</v>
      </c>
      <c r="M279" s="6" t="n">
        <v>12</v>
      </c>
      <c r="N279" s="6" t="n">
        <v>1</v>
      </c>
      <c r="O279" s="6" t="n"/>
      <c r="P279" s="6" t="n">
        <v>5052</v>
      </c>
      <c r="Q279" s="6" t="n">
        <v>1.083333333333333</v>
      </c>
      <c r="R279">
        <f>M279+IF(N279&gt;1,N(O279)*(N279-1),0)</f>
        <v/>
      </c>
      <c r="S279">
        <f>IFERROR(L279*MAX(N279,1)/R279*Q279*IF(ISBLANK(K277),1,K277),0)</f>
        <v/>
      </c>
      <c r="AB279" s="7" t="inlineStr">
        <is>
          <t>^MediumChemicalWeapon, ^HeavyCannon, ^TankDestroyerCannon, ^ShrapnelWeapon, ^Grenade, ^HeavyMissile, ^MediumMissile</t>
        </is>
      </c>
    </row>
    <row r="280">
      <c r="A280" t="inlineStr">
        <is>
          <t>tiberiansun</t>
        </is>
      </c>
      <c r="B280" t="inlineStr">
        <is>
          <t>forgotten_wasp</t>
        </is>
      </c>
      <c r="C280" t="inlineStr">
        <is>
          <t>actor_forgotten_wasp.name</t>
        </is>
      </c>
      <c r="D280" s="6" t="inlineStr">
        <is>
          <t>Helicopter</t>
        </is>
      </c>
      <c r="E280" s="6" t="n">
        <v>25000</v>
      </c>
      <c r="F280" s="6" t="n">
        <v>200</v>
      </c>
      <c r="G280" t="inlineStr">
        <is>
          <t>Helicopter</t>
        </is>
      </c>
      <c r="H280" s="6" t="n">
        <v>1</v>
      </c>
      <c r="I280" s="6" t="n">
        <v>1</v>
      </c>
      <c r="J280" s="6" t="n">
        <v>1</v>
      </c>
      <c r="K280" s="6" t="n"/>
      <c r="P280">
        <f>MAX(P281)</f>
        <v/>
      </c>
      <c r="S280">
        <f>S281</f>
        <v/>
      </c>
      <c r="T280">
        <f>(E280/100000+F280/100+(P280/1000)*J280/5+S280/200)*200*I280*H280</f>
        <v/>
      </c>
      <c r="U280">
        <f>((E280*F280/25000)+((P280/1000)*J280*S280/2.5))*I280*H280</f>
        <v/>
      </c>
      <c r="V280">
        <f>(E280*F280*(P280/1000)*J280*S280*I280*H280)/12500000</f>
        <v/>
      </c>
      <c r="W280">
        <f>(T280+U280+V280)/3</f>
        <v/>
      </c>
      <c r="X280" s="6" t="n">
        <v>1000</v>
      </c>
      <c r="Y280">
        <f>IFERROR(W280-X280,"")</f>
        <v/>
      </c>
      <c r="Z280">
        <f>IFERROR(ABS(Y280)/MAX(X280,1),"")</f>
        <v/>
      </c>
      <c r="AA280">
        <f>IFERROR((X280-(((E280/100000+F280/100+S280/200)*200*I280*H280)+((E280*F280/25000)*I280*H280))/3)/(((J280/5)*200*I280*H280)+((J280*S280/2.5)*I280*H280)+((E280*F280*J280*S280*I280*H280)/12500000))/3*1000,"")</f>
        <v/>
      </c>
    </row>
    <row r="281">
      <c r="B281" s="7" t="inlineStr">
        <is>
          <t xml:space="preserve">  ↳ TSWaspClaw</t>
        </is>
      </c>
      <c r="C281" s="7" t="inlineStr">
        <is>
          <t>Armament@PRIMARY</t>
        </is>
      </c>
      <c r="L281" s="6" t="n">
        <v>4000</v>
      </c>
      <c r="M281" s="6" t="n">
        <v>18</v>
      </c>
      <c r="N281" s="6" t="n">
        <v>2</v>
      </c>
      <c r="O281" s="6" t="n">
        <v>0</v>
      </c>
      <c r="P281" s="6" t="n">
        <v>4882</v>
      </c>
      <c r="Q281" s="6" t="n">
        <v>1</v>
      </c>
      <c r="R281">
        <f>M281+IF(N281&gt;1,N(O281)*(N281-1),0)</f>
        <v/>
      </c>
      <c r="S281">
        <f>IFERROR(L281*MAX(N281,1)/R281*Q281*IF(ISBLANK(K280),1,K280),0)</f>
        <v/>
      </c>
      <c r="AB281" s="7" t="inlineStr">
        <is>
          <t>^Chaingun</t>
        </is>
      </c>
    </row>
    <row r="282">
      <c r="A282" t="inlineStr">
        <is>
          <t>redalert2</t>
        </is>
      </c>
      <c r="B282" t="inlineStr">
        <is>
          <t>ra2_allies_nighthawk</t>
        </is>
      </c>
      <c r="C282" t="inlineStr">
        <is>
          <t>Night Hawk</t>
        </is>
      </c>
      <c r="D282" s="6" t="inlineStr">
        <is>
          <t>Helicopter</t>
        </is>
      </c>
      <c r="E282" s="6" t="n">
        <v>87500</v>
      </c>
      <c r="F282" s="6" t="n">
        <v>120</v>
      </c>
      <c r="G282" t="inlineStr">
        <is>
          <t>Helicopter</t>
        </is>
      </c>
      <c r="H282" s="6" t="n">
        <v>1</v>
      </c>
      <c r="I282" s="6" t="n">
        <v>1.25</v>
      </c>
      <c r="J282" s="6" t="n">
        <v>1</v>
      </c>
      <c r="K282" s="6" t="n">
        <v>0.5</v>
      </c>
      <c r="P282">
        <f>MAX(P283)</f>
        <v/>
      </c>
      <c r="S282">
        <f>S283</f>
        <v/>
      </c>
      <c r="T282">
        <f>(E282/100000+F282/100+(P282/1000)*J282/5+S282/200)*200*I282*H282</f>
        <v/>
      </c>
      <c r="U282">
        <f>((E282*F282/25000)+((P282/1000)*J282*S282/2.5))*I282*H282</f>
        <v/>
      </c>
      <c r="V282">
        <f>(E282*F282*(P282/1000)*J282*S282*I282*H282)/12500000</f>
        <v/>
      </c>
      <c r="W282">
        <f>(T282+U282+V282)/3</f>
        <v/>
      </c>
      <c r="X282" s="6" t="n">
        <v>2100</v>
      </c>
      <c r="Y282">
        <f>IFERROR(W282-X282,"")</f>
        <v/>
      </c>
      <c r="Z282">
        <f>IFERROR(ABS(Y282)/MAX(X282,1),"")</f>
        <v/>
      </c>
      <c r="AA282">
        <f>IFERROR((X282-(((E282/100000+F282/100+S282/200)*200*I282*H282)+((E282*F282/25000)*I282*H282))/3)/(((J282/5)*200*I282*H282)+((J282*S282/2.5)*I282*H282)+((E282*F282*J282*S282*I282*H282)/12500000))/3*1000,"")</f>
        <v/>
      </c>
    </row>
    <row r="283">
      <c r="B283" s="7" t="inlineStr">
        <is>
          <t xml:space="preserve">  ↳ BlackHawkCannon</t>
        </is>
      </c>
      <c r="C283" s="7" t="inlineStr">
        <is>
          <t>Armament@PRIMARY</t>
        </is>
      </c>
      <c r="L283" s="6" t="n">
        <v>2000</v>
      </c>
      <c r="M283" s="6" t="n">
        <v>3</v>
      </c>
      <c r="N283" s="6" t="n">
        <v>1</v>
      </c>
      <c r="O283" s="6" t="n"/>
      <c r="P283" s="6" t="n">
        <v>4750</v>
      </c>
      <c r="Q283" s="6" t="n">
        <v>0.875</v>
      </c>
      <c r="R283">
        <f>M283+IF(N283&gt;1,N(O283)*(N283-1),0)</f>
        <v/>
      </c>
      <c r="S283">
        <f>IFERROR(L283*MAX(N283,1)/R283*Q283*IF(ISBLANK(K282),1,K282),0)</f>
        <v/>
      </c>
      <c r="AB283" s="7" t="inlineStr">
        <is>
          <t>^RA2SmallArms, ^RA2Chaingun</t>
        </is>
      </c>
    </row>
    <row r="284">
      <c r="A284" t="inlineStr">
        <is>
          <t>redalert2</t>
        </is>
      </c>
      <c r="B284" t="inlineStr">
        <is>
          <t>ra2_soviets_siegechopper</t>
        </is>
      </c>
      <c r="C284" t="inlineStr">
        <is>
          <t>Siege Chopper</t>
        </is>
      </c>
      <c r="D284" s="6" t="inlineStr">
        <is>
          <t>Helicopter</t>
        </is>
      </c>
      <c r="E284" s="6" t="n">
        <v>55000</v>
      </c>
      <c r="F284" s="6" t="n">
        <v>150</v>
      </c>
      <c r="G284" t="inlineStr">
        <is>
          <t>Helicopter</t>
        </is>
      </c>
      <c r="H284" s="6" t="n">
        <v>1</v>
      </c>
      <c r="I284" s="6" t="n">
        <v>1</v>
      </c>
      <c r="J284" s="6" t="n">
        <v>1</v>
      </c>
      <c r="K284" s="6" t="n">
        <v>0.5</v>
      </c>
      <c r="P284">
        <f>MAX(P285,P286,P287,P288,P289,P290,P291,P292,P293,P294)</f>
        <v/>
      </c>
      <c r="S284">
        <f>S285+S286+S287+S288+S289+S290+S291+S292+S293+S294</f>
        <v/>
      </c>
      <c r="T284">
        <f>(E284/100000+F284/100+(P284/1000)*J284/5+S284/200)*200*I284*H284</f>
        <v/>
      </c>
      <c r="U284">
        <f>((E284*F284/25000)+((P284/1000)*J284*S284/2.5))*I284*H284</f>
        <v/>
      </c>
      <c r="V284">
        <f>(E284*F284*(P284/1000)*J284*S284*I284*H284)/12500000</f>
        <v/>
      </c>
      <c r="W284">
        <f>(T284+U284+V284)/3</f>
        <v/>
      </c>
      <c r="X284" s="6" t="n">
        <v>1500</v>
      </c>
      <c r="Y284">
        <f>IFERROR(W284-X284,"")</f>
        <v/>
      </c>
      <c r="Z284">
        <f>IFERROR(ABS(Y284)/MAX(X284,1),"")</f>
        <v/>
      </c>
      <c r="AA284">
        <f>IFERROR((X284-(((E284/100000+F284/100+S284/200)*200*I284*H284)+((E284*F284/25000)*I284*H284))/3)/(((J284/5)*200*I284*H284)+((J284*S284/2.5)*I284*H284)+((E284*F284*J284*S284*I284*H284)/12500000))/3*1000,"")</f>
        <v/>
      </c>
    </row>
    <row r="285">
      <c r="B285" s="7" t="inlineStr">
        <is>
          <t xml:space="preserve">  ↳ BlackHawkCannon</t>
        </is>
      </c>
      <c r="C285" s="7" t="inlineStr">
        <is>
          <t>Armament@PRIMARY</t>
        </is>
      </c>
      <c r="L285" s="6" t="n">
        <v>2000</v>
      </c>
      <c r="M285" s="6" t="n">
        <v>3</v>
      </c>
      <c r="N285" s="6" t="n">
        <v>1</v>
      </c>
      <c r="O285" s="6" t="n"/>
      <c r="P285" s="6" t="n">
        <v>4750</v>
      </c>
      <c r="Q285" s="6" t="n">
        <v>0.875</v>
      </c>
      <c r="R285">
        <f>M285+IF(N285&gt;1,N(O285)*(N285-1),0)</f>
        <v/>
      </c>
      <c r="S285">
        <f>IFERROR(L285*MAX(N285,1)/R285*Q285*IF(ISBLANK(K284),1,K284),0)</f>
        <v/>
      </c>
      <c r="AB285" s="7" t="inlineStr">
        <is>
          <t>^RA2SmallArms, ^RA2Chaingun</t>
        </is>
      </c>
    </row>
    <row r="286">
      <c r="B286" s="7" t="inlineStr">
        <is>
          <t xml:space="preserve">  ↳ deploytargeting.5c0</t>
        </is>
      </c>
      <c r="C286" s="7" t="inlineStr">
        <is>
          <t>Armament@DeployTargeter</t>
        </is>
      </c>
      <c r="L286" s="6" t="n"/>
      <c r="M286" s="6" t="n">
        <v>50</v>
      </c>
      <c r="N286" s="6" t="n">
        <v>1</v>
      </c>
      <c r="O286" s="6" t="n"/>
      <c r="P286" s="6" t="n">
        <v>5000</v>
      </c>
      <c r="Q286" s="6" t="n">
        <v>1</v>
      </c>
      <c r="R286">
        <f>M286+IF(N286&gt;1,N(O286)*(N286-1),0)</f>
        <v/>
      </c>
      <c r="S286">
        <f>IFERROR(L286*MAX(N286,1)/R286*Q286*IF(ISBLANK(K284),1,K284),0)</f>
        <v/>
      </c>
      <c r="AB286" s="7" t="inlineStr">
        <is>
          <t>^deploytargeting</t>
        </is>
      </c>
    </row>
    <row r="287">
      <c r="B287" s="7" t="inlineStr">
        <is>
          <t xml:space="preserve">  ↳ RA160mm</t>
        </is>
      </c>
      <c r="C287" s="7" t="inlineStr">
        <is>
          <t>Armament@Deployed</t>
        </is>
      </c>
      <c r="L287" s="6" t="n">
        <v>60000</v>
      </c>
      <c r="M287" s="6" t="n">
        <v>88</v>
      </c>
      <c r="N287" s="6" t="n">
        <v>1</v>
      </c>
      <c r="O287" s="6" t="n"/>
      <c r="P287" s="6" t="n">
        <v>11111</v>
      </c>
      <c r="Q287" s="6" t="n">
        <v>1</v>
      </c>
      <c r="R287">
        <f>M287+IF(N287&gt;1,N(O287)*(N287-1),0)</f>
        <v/>
      </c>
      <c r="S287">
        <f>IFERROR(L287*MAX(N287,1)/R287*Q287*IF(ISBLANK(K284),1,K284),0)</f>
        <v/>
      </c>
      <c r="AB287" s="7" t="inlineStr">
        <is>
          <t>^ShrapnelWeapon, ^RA2Grenade</t>
        </is>
      </c>
    </row>
    <row r="288">
      <c r="B288" s="7" t="inlineStr">
        <is>
          <t xml:space="preserve">  ↳ RA160mm_rad</t>
        </is>
      </c>
      <c r="C288" s="7" t="inlineStr">
        <is>
          <t>Armament@DeployedRad</t>
        </is>
      </c>
      <c r="L288" s="6" t="n">
        <v>36000</v>
      </c>
      <c r="M288" s="6" t="n">
        <v>88</v>
      </c>
      <c r="N288" s="6" t="n">
        <v>1</v>
      </c>
      <c r="O288" s="6" t="n"/>
      <c r="P288" s="6" t="n">
        <v>11111</v>
      </c>
      <c r="Q288" s="6" t="n">
        <v>0.9375</v>
      </c>
      <c r="R288">
        <f>M288+IF(N288&gt;1,N(O288)*(N288-1),0)</f>
        <v/>
      </c>
      <c r="S288">
        <f>IFERROR(L288*MAX(N288,1)/R288*Q288*IF(ISBLANK(K284),1,K284),0)</f>
        <v/>
      </c>
      <c r="AB288" s="7" t="inlineStr">
        <is>
          <t>^LightChemicalWeapon, ^MediumChemicalWeapon, ^ShrapnelWeapon, ^RA2Grenade, ^RA2RadShell</t>
        </is>
      </c>
    </row>
    <row r="289">
      <c r="B289" s="7" t="inlineStr">
        <is>
          <t xml:space="preserve">  ↳ RA160mm_fire</t>
        </is>
      </c>
      <c r="C289" s="7" t="inlineStr">
        <is>
          <t>Armament@DeployedFire</t>
        </is>
      </c>
      <c r="L289" s="6" t="n">
        <v>60000</v>
      </c>
      <c r="M289" s="6" t="n">
        <v>88</v>
      </c>
      <c r="N289" s="6" t="n">
        <v>1</v>
      </c>
      <c r="O289" s="6" t="n"/>
      <c r="P289" s="6" t="n">
        <v>11111</v>
      </c>
      <c r="Q289" s="6" t="n">
        <v>1</v>
      </c>
      <c r="R289">
        <f>M289+IF(N289&gt;1,N(O289)*(N289-1),0)</f>
        <v/>
      </c>
      <c r="S289">
        <f>IFERROR(L289*MAX(N289,1)/R289*Q289*IF(ISBLANK(K284),1,K284),0)</f>
        <v/>
      </c>
      <c r="AB289" s="7" t="inlineStr">
        <is>
          <t>^ShrapnelWeapon, ^RA2Grenade</t>
        </is>
      </c>
    </row>
    <row r="290">
      <c r="B290" s="7" t="inlineStr">
        <is>
          <t xml:space="preserve">  ↳ RA160mm_tesla</t>
        </is>
      </c>
      <c r="C290" s="7" t="inlineStr">
        <is>
          <t>Armament@DeployedTesla</t>
        </is>
      </c>
      <c r="L290" s="6" t="n">
        <v>60000</v>
      </c>
      <c r="M290" s="6" t="n">
        <v>88</v>
      </c>
      <c r="N290" s="6" t="n">
        <v>1</v>
      </c>
      <c r="O290" s="6" t="n"/>
      <c r="P290" s="6" t="n">
        <v>11111</v>
      </c>
      <c r="Q290" s="6" t="n">
        <v>1</v>
      </c>
      <c r="R290">
        <f>M290+IF(N290&gt;1,N(O290)*(N290-1),0)</f>
        <v/>
      </c>
      <c r="S290">
        <f>IFERROR(L290*MAX(N290,1)/R290*Q290*IF(ISBLANK(K284),1,K284),0)</f>
        <v/>
      </c>
      <c r="AB290" s="7" t="inlineStr">
        <is>
          <t>^ShrapnelWeapon, ^RA2Grenade</t>
        </is>
      </c>
    </row>
    <row r="291">
      <c r="B291" s="7" t="inlineStr">
        <is>
          <t xml:space="preserve">  ↳ RA160mmE_elite</t>
        </is>
      </c>
      <c r="C291" s="7" t="inlineStr">
        <is>
          <t>Armament@DeployedElite</t>
        </is>
      </c>
      <c r="L291" s="6" t="n">
        <v>60000</v>
      </c>
      <c r="M291" s="6" t="n">
        <v>88</v>
      </c>
      <c r="N291" s="6" t="n">
        <v>2</v>
      </c>
      <c r="O291" s="6" t="n">
        <v>3</v>
      </c>
      <c r="P291" s="6" t="n">
        <v>12345</v>
      </c>
      <c r="Q291" s="6" t="n">
        <v>1</v>
      </c>
      <c r="R291">
        <f>M291+IF(N291&gt;1,N(O291)*(N291-1),0)</f>
        <v/>
      </c>
      <c r="S291">
        <f>IFERROR(L291*MAX(N291,1)/R291*Q291*IF(ISBLANK(K284),1,K284),0)</f>
        <v/>
      </c>
      <c r="AB291" s="7" t="inlineStr">
        <is>
          <t>^ShrapnelWeapon, ^RA2Grenade, ^RA2EliteEffects</t>
        </is>
      </c>
    </row>
    <row r="292">
      <c r="B292" s="7" t="inlineStr">
        <is>
          <t xml:space="preserve">  ↳ RA160mmE_elite_rad</t>
        </is>
      </c>
      <c r="C292" s="7" t="inlineStr">
        <is>
          <t>Armament@DeployedEliteRad</t>
        </is>
      </c>
      <c r="L292" s="6" t="n">
        <v>36000</v>
      </c>
      <c r="M292" s="6" t="n">
        <v>88</v>
      </c>
      <c r="N292" s="6" t="n">
        <v>1</v>
      </c>
      <c r="O292" s="6" t="n"/>
      <c r="P292" s="6" t="n">
        <v>12345</v>
      </c>
      <c r="Q292" s="6" t="n">
        <v>1.75</v>
      </c>
      <c r="R292">
        <f>M292+IF(N292&gt;1,N(O292)*(N292-1),0)</f>
        <v/>
      </c>
      <c r="S292">
        <f>IFERROR(L292*MAX(N292,1)/R292*Q292*IF(ISBLANK(K284),1,K284),0)</f>
        <v/>
      </c>
      <c r="AB292" s="7" t="inlineStr">
        <is>
          <t>^NuclearWarhead, ^LightChemicalWeapon, ^MediumChemicalWeapon, ^ShrapnelWeapon, ^RA2Grenade, ^RA2RadShell, ^RA2EliteEffects</t>
        </is>
      </c>
    </row>
    <row r="293">
      <c r="B293" s="7" t="inlineStr">
        <is>
          <t xml:space="preserve">  ↳ RA160mmE_elite_fire</t>
        </is>
      </c>
      <c r="C293" s="7" t="inlineStr">
        <is>
          <t>Armament@DeployedEliteFire</t>
        </is>
      </c>
      <c r="L293" s="6" t="n">
        <v>60000</v>
      </c>
      <c r="M293" s="6" t="n">
        <v>88</v>
      </c>
      <c r="N293" s="6" t="n">
        <v>1</v>
      </c>
      <c r="O293" s="6" t="n"/>
      <c r="P293" s="6" t="n">
        <v>12345</v>
      </c>
      <c r="Q293" s="6" t="n">
        <v>1</v>
      </c>
      <c r="R293">
        <f>M293+IF(N293&gt;1,N(O293)*(N293-1),0)</f>
        <v/>
      </c>
      <c r="S293">
        <f>IFERROR(L293*MAX(N293,1)/R293*Q293*IF(ISBLANK(K284),1,K284),0)</f>
        <v/>
      </c>
      <c r="AB293" s="7" t="inlineStr">
        <is>
          <t>^ShrapnelWeapon, ^RA2Grenade, ^RA2EliteEffects</t>
        </is>
      </c>
    </row>
    <row r="294">
      <c r="B294" s="7" t="inlineStr">
        <is>
          <t xml:space="preserve">  ↳ RA160mmE_elite_tesla</t>
        </is>
      </c>
      <c r="C294" s="7" t="inlineStr">
        <is>
          <t>Armament@DeployedEliteTesla</t>
        </is>
      </c>
      <c r="L294" s="6" t="n">
        <v>60000</v>
      </c>
      <c r="M294" s="6" t="n">
        <v>88</v>
      </c>
      <c r="N294" s="6" t="n">
        <v>1</v>
      </c>
      <c r="O294" s="6" t="n"/>
      <c r="P294" s="6" t="n">
        <v>12345</v>
      </c>
      <c r="Q294" s="6" t="n">
        <v>1</v>
      </c>
      <c r="R294">
        <f>M294+IF(N294&gt;1,N(O294)*(N294-1),0)</f>
        <v/>
      </c>
      <c r="S294">
        <f>IFERROR(L294*MAX(N294,1)/R294*Q294*IF(ISBLANK(K284),1,K284),0)</f>
        <v/>
      </c>
      <c r="AB294" s="7" t="inlineStr">
        <is>
          <t>^ShrapnelWeapon, ^RA2Grenade, ^RA2EliteEffects</t>
        </is>
      </c>
    </row>
    <row r="295">
      <c r="A295" t="inlineStr">
        <is>
          <t>redalert2</t>
        </is>
      </c>
      <c r="B295" t="inlineStr">
        <is>
          <t>ra2_soviets_transportkirov</t>
        </is>
      </c>
      <c r="C295" t="inlineStr">
        <is>
          <t>Transport Kirov</t>
        </is>
      </c>
      <c r="D295" s="6" t="inlineStr">
        <is>
          <t>Helicopter</t>
        </is>
      </c>
      <c r="E295" s="6" t="n">
        <v>265000</v>
      </c>
      <c r="F295" s="6" t="n">
        <v>35</v>
      </c>
      <c r="G295" t="inlineStr">
        <is>
          <t>Helicopter</t>
        </is>
      </c>
      <c r="H295" s="6" t="n">
        <v>1</v>
      </c>
      <c r="I295" s="6" t="n">
        <v>1.25</v>
      </c>
      <c r="J295" s="6" t="n">
        <v>1</v>
      </c>
      <c r="K295" s="6" t="n"/>
      <c r="P295">
        <f>MAX(P296)</f>
        <v/>
      </c>
      <c r="S295">
        <f>S296</f>
        <v/>
      </c>
      <c r="T295">
        <f>(E295/100000+F295/100+(P295/1000)*J295/5+S295/200)*200*I295*H295</f>
        <v/>
      </c>
      <c r="U295">
        <f>((E295*F295/25000)+((P295/1000)*J295*S295/2.5))*I295*H295</f>
        <v/>
      </c>
      <c r="V295">
        <f>(E295*F295*(P295/1000)*J295*S295*I295*H295)/12500000</f>
        <v/>
      </c>
      <c r="W295">
        <f>(T295+U295+V295)/3</f>
        <v/>
      </c>
      <c r="X295" s="6" t="n">
        <v>3600</v>
      </c>
      <c r="Y295">
        <f>IFERROR(W295-X295,"")</f>
        <v/>
      </c>
      <c r="Z295">
        <f>IFERROR(ABS(Y295)/MAX(X295,1),"")</f>
        <v/>
      </c>
      <c r="AA295">
        <f>IFERROR((X295-(((E295/100000+F295/100+S295/200)*200*I295*H295)+((E295*F295/25000)*I295*H295))/3)/(((J295/5)*200*I295*H295)+((J295*S295/2.5)*I295*H295)+((E295*F295*J295*S295*I295*H295)/12500000))/3*1000,"")</f>
        <v/>
      </c>
    </row>
    <row r="296">
      <c r="B296" s="7" t="inlineStr">
        <is>
          <t xml:space="preserve">  ↳ BlackHawkCannon</t>
        </is>
      </c>
      <c r="C296" s="7" t="inlineStr">
        <is>
          <t>Armament@PRIMARY</t>
        </is>
      </c>
      <c r="L296" s="6" t="n">
        <v>2000</v>
      </c>
      <c r="M296" s="6" t="n">
        <v>3</v>
      </c>
      <c r="N296" s="6" t="n">
        <v>1</v>
      </c>
      <c r="O296" s="6" t="n"/>
      <c r="P296" s="6" t="n">
        <v>4750</v>
      </c>
      <c r="Q296" s="6" t="n">
        <v>0.875</v>
      </c>
      <c r="R296">
        <f>M296+IF(N296&gt;1,N(O296)*(N296-1),0)</f>
        <v/>
      </c>
      <c r="S296">
        <f>IFERROR(L296*MAX(N296,1)/R296*Q296*IF(ISBLANK(K295),1,K295),0)</f>
        <v/>
      </c>
      <c r="AB296" s="7" t="inlineStr">
        <is>
          <t>^RA2SmallArms, ^RA2Chaingun</t>
        </is>
      </c>
    </row>
    <row r="297">
      <c r="A297" t="inlineStr">
        <is>
          <t>redalert2mod</t>
        </is>
      </c>
      <c r="B297" t="inlineStr">
        <is>
          <t>asianalliance_pelican</t>
        </is>
      </c>
      <c r="C297" t="inlineStr">
        <is>
          <t>Pelican</t>
        </is>
      </c>
      <c r="D297" s="6" t="inlineStr">
        <is>
          <t>Helicopter</t>
        </is>
      </c>
      <c r="E297" s="6" t="n">
        <v>40000</v>
      </c>
      <c r="F297" s="6" t="n">
        <v>125</v>
      </c>
      <c r="G297" t="inlineStr">
        <is>
          <t>Helicopter</t>
        </is>
      </c>
      <c r="H297" s="6" t="n">
        <v>1</v>
      </c>
      <c r="I297" s="6" t="n">
        <v>1</v>
      </c>
      <c r="J297" s="6" t="n">
        <v>1</v>
      </c>
      <c r="K297" s="6" t="n"/>
      <c r="P297">
        <f>MAX(P298,P299,P300,P301)</f>
        <v/>
      </c>
      <c r="S297">
        <f>S298+S299+S300+S301</f>
        <v/>
      </c>
      <c r="T297">
        <f>(E297/100000+F297/100+(P297/1000)*J297/5+S297/200)*200*I297*H297</f>
        <v/>
      </c>
      <c r="U297">
        <f>((E297*F297/25000)+((P297/1000)*J297*S297/2.5))*I297*H297</f>
        <v/>
      </c>
      <c r="V297">
        <f>(E297*F297*(P297/1000)*J297*S297*I297*H297)/12500000</f>
        <v/>
      </c>
      <c r="W297">
        <f>(T297+U297+V297)/3</f>
        <v/>
      </c>
      <c r="X297" s="6" t="n">
        <v>2000</v>
      </c>
      <c r="Y297">
        <f>IFERROR(W297-X297,"")</f>
        <v/>
      </c>
      <c r="Z297">
        <f>IFERROR(ABS(Y297)/MAX(X297,1),"")</f>
        <v/>
      </c>
      <c r="AA297">
        <f>IFERROR((X297-(((E297/100000+F297/100+S297/200)*200*I297*H297)+((E297*F297/25000)*I297*H297))/3)/(((J297/5)*200*I297*H297)+((J297*S297/2.5)*I297*H297)+((E297*F297*J297*S297*I297*H297)/12500000))/3*1000,"")</f>
        <v/>
      </c>
    </row>
    <row r="298">
      <c r="B298" s="7" t="inlineStr">
        <is>
          <t xml:space="preserve">  ↳ AsianPelicanMissile</t>
        </is>
      </c>
      <c r="C298" s="7" t="inlineStr">
        <is>
          <t>Armament@PRIMARY</t>
        </is>
      </c>
      <c r="L298" s="6" t="n">
        <v>4000</v>
      </c>
      <c r="M298" s="6" t="n">
        <v>25</v>
      </c>
      <c r="N298" s="6" t="n">
        <v>2</v>
      </c>
      <c r="O298" s="6" t="n">
        <v>2</v>
      </c>
      <c r="P298" s="6" t="n">
        <v>6100</v>
      </c>
      <c r="Q298" s="6" t="n">
        <v>1.083333333333333</v>
      </c>
      <c r="R298">
        <f>M298+IF(N298&gt;1,N(O298)*(N298-1),0)</f>
        <v/>
      </c>
      <c r="S298">
        <f>IFERROR(L298*MAX(N298,1)/R298*Q298*IF(ISBLANK(K297),1,K297),0)</f>
        <v/>
      </c>
      <c r="AB298" s="7" t="inlineStr">
        <is>
          <t>^Grenade, ^HeavyMissile, ^RA2MediumMissile</t>
        </is>
      </c>
    </row>
    <row r="299">
      <c r="B299" s="7" t="inlineStr">
        <is>
          <t xml:space="preserve">  ↳ AsianPelicanMissileE</t>
        </is>
      </c>
      <c r="C299" s="7" t="inlineStr">
        <is>
          <t>Armament@PRIMARYELITE</t>
        </is>
      </c>
      <c r="L299" s="6" t="n">
        <v>4000</v>
      </c>
      <c r="M299" s="6" t="n">
        <v>25</v>
      </c>
      <c r="N299" s="6" t="n">
        <v>4</v>
      </c>
      <c r="O299" s="6" t="n">
        <v>2</v>
      </c>
      <c r="P299" s="6" t="n">
        <v>7100</v>
      </c>
      <c r="Q299" s="6" t="n">
        <v>1.083333333333333</v>
      </c>
      <c r="R299">
        <f>M299+IF(N299&gt;1,N(O299)*(N299-1),0)</f>
        <v/>
      </c>
      <c r="S299">
        <f>IFERROR(L299*MAX(N299,1)/R299*Q299*IF(ISBLANK(K297),1,K297),0)</f>
        <v/>
      </c>
      <c r="AB299" s="7" t="inlineStr">
        <is>
          <t>^Grenade, ^HeavyMissile, ^RA2MediumMissile</t>
        </is>
      </c>
    </row>
    <row r="300">
      <c r="B300" s="7" t="inlineStr">
        <is>
          <t xml:space="preserve">  ↳ AsianPelicanMG</t>
        </is>
      </c>
      <c r="C300" s="7" t="inlineStr">
        <is>
          <t>Armament@MG</t>
        </is>
      </c>
      <c r="L300" s="6" t="n">
        <v>2000</v>
      </c>
      <c r="M300" s="6" t="n">
        <v>18</v>
      </c>
      <c r="N300" s="6" t="n">
        <v>4</v>
      </c>
      <c r="O300" s="6" t="n">
        <v>3</v>
      </c>
      <c r="P300" s="6" t="n">
        <v>6100</v>
      </c>
      <c r="Q300" s="6" t="n">
        <v>1</v>
      </c>
      <c r="R300">
        <f>M300+IF(N300&gt;1,N(O300)*(N300-1),0)</f>
        <v/>
      </c>
      <c r="S300">
        <f>IFERROR(L300*MAX(N300,1)/R300*Q300*IF(ISBLANK(K297),1,K297),0)</f>
        <v/>
      </c>
      <c r="AB300" s="7" t="inlineStr">
        <is>
          <t>^RA2HeavyCannon, ^RA2SmallArms, ^RA2Chaingun</t>
        </is>
      </c>
    </row>
    <row r="301">
      <c r="B301" s="7" t="inlineStr">
        <is>
          <t xml:space="preserve">  ↳ AsianPelicanMG_elite</t>
        </is>
      </c>
      <c r="C301" s="7" t="inlineStr">
        <is>
          <t>Armament@MGelite</t>
        </is>
      </c>
      <c r="L301" s="6" t="n">
        <v>2000</v>
      </c>
      <c r="M301" s="6" t="n">
        <v>18</v>
      </c>
      <c r="N301" s="6" t="n">
        <v>8</v>
      </c>
      <c r="O301" s="6" t="n">
        <v>3</v>
      </c>
      <c r="P301" s="6" t="n">
        <v>7100</v>
      </c>
      <c r="Q301" s="6" t="n">
        <v>1</v>
      </c>
      <c r="R301">
        <f>M301+IF(N301&gt;1,N(O301)*(N301-1),0)</f>
        <v/>
      </c>
      <c r="S301">
        <f>IFERROR(L301*MAX(N301,1)/R301*Q301*IF(ISBLANK(K297),1,K297),0)</f>
        <v/>
      </c>
      <c r="AB301" s="7" t="inlineStr">
        <is>
          <t>^RA2HeavyCannon, ^RA2SmallArms, ^RA2Chaingun</t>
        </is>
      </c>
    </row>
    <row r="302">
      <c r="A302" t="inlineStr">
        <is>
          <t>redalert2mod</t>
        </is>
      </c>
      <c r="B302" t="inlineStr">
        <is>
          <t>steelconsortium_cargoship</t>
        </is>
      </c>
      <c r="C302" t="inlineStr">
        <is>
          <t>Cargo Ship</t>
        </is>
      </c>
      <c r="D302" s="6" t="inlineStr">
        <is>
          <t>Helicopter</t>
        </is>
      </c>
      <c r="E302" s="6" t="n">
        <v>125000</v>
      </c>
      <c r="F302" s="6" t="n">
        <v>100</v>
      </c>
      <c r="G302" t="inlineStr">
        <is>
          <t>Helicopter</t>
        </is>
      </c>
      <c r="H302" s="6" t="n">
        <v>1</v>
      </c>
      <c r="I302" s="6" t="n">
        <v>1</v>
      </c>
      <c r="J302" s="6" t="n">
        <v>1</v>
      </c>
      <c r="K302" s="6" t="n"/>
      <c r="P302">
        <f>MAX(P303)</f>
        <v/>
      </c>
      <c r="S302">
        <f>S303</f>
        <v/>
      </c>
      <c r="T302">
        <f>(E302/100000+F302/100+(P302/1000)*J302/5+S302/200)*200*I302*H302</f>
        <v/>
      </c>
      <c r="U302">
        <f>((E302*F302/25000)+((P302/1000)*J302*S302/2.5))*I302*H302</f>
        <v/>
      </c>
      <c r="V302">
        <f>(E302*F302*(P302/1000)*J302*S302*I302*H302)/12500000</f>
        <v/>
      </c>
      <c r="W302">
        <f>(T302+U302+V302)/3</f>
        <v/>
      </c>
      <c r="X302" s="6" t="n">
        <v>4000</v>
      </c>
      <c r="Y302">
        <f>IFERROR(W302-X302,"")</f>
        <v/>
      </c>
      <c r="Z302">
        <f>IFERROR(ABS(Y302)/MAX(X302,1),"")</f>
        <v/>
      </c>
      <c r="AA302">
        <f>IFERROR((X302-(((E302/100000+F302/100+S302/200)*200*I302*H302)+((E302*F302/25000)*I302*H302))/3)/(((J302/5)*200*I302*H302)+((J302*S302/2.5)*I302*H302)+((E302*F302*J302*S302*I302*H302)/12500000))/3*1000,"")</f>
        <v/>
      </c>
    </row>
    <row r="303">
      <c r="B303" s="7" t="inlineStr">
        <is>
          <t xml:space="preserve">  ↳ SteelCargoshipCannons</t>
        </is>
      </c>
      <c r="C303" s="7" t="inlineStr">
        <is>
          <t>Armament@PRIMARY</t>
        </is>
      </c>
      <c r="L303" s="6" t="n">
        <v>2000</v>
      </c>
      <c r="M303" s="6" t="n">
        <v>3</v>
      </c>
      <c r="N303" s="6" t="n">
        <v>1</v>
      </c>
      <c r="O303" s="6" t="n"/>
      <c r="P303" s="6" t="n">
        <v>4750</v>
      </c>
      <c r="Q303" s="6" t="n">
        <v>0.875</v>
      </c>
      <c r="R303">
        <f>M303+IF(N303&gt;1,N(O303)*(N303-1),0)</f>
        <v/>
      </c>
      <c r="S303">
        <f>IFERROR(L303*MAX(N303,1)/R303*Q303*IF(ISBLANK(K302),1,K302),0)</f>
        <v/>
      </c>
      <c r="AB303" s="7" t="inlineStr">
        <is>
          <t>^SteelSmallArms, ^SteelChaingun</t>
        </is>
      </c>
    </row>
    <row r="304">
      <c r="A304" t="inlineStr">
        <is>
          <t>redalert2mod</t>
        </is>
      </c>
      <c r="B304" t="inlineStr">
        <is>
          <t>steelconsortium_skyhammer</t>
        </is>
      </c>
      <c r="C304" t="inlineStr">
        <is>
          <t>Sky Hammer</t>
        </is>
      </c>
      <c r="D304" s="6" t="inlineStr">
        <is>
          <t>Helicopter</t>
        </is>
      </c>
      <c r="E304" s="6" t="n">
        <v>120000</v>
      </c>
      <c r="F304" s="6" t="n">
        <v>120</v>
      </c>
      <c r="G304" t="inlineStr">
        <is>
          <t>Helicopter</t>
        </is>
      </c>
      <c r="H304" s="6" t="n">
        <v>0.75</v>
      </c>
      <c r="I304" s="6" t="n">
        <v>1</v>
      </c>
      <c r="J304" s="6" t="n">
        <v>1.25</v>
      </c>
      <c r="K304" s="6" t="n"/>
      <c r="P304">
        <f>MAX(P305,P306,P307)</f>
        <v/>
      </c>
      <c r="S304">
        <f>S305+S306+S307</f>
        <v/>
      </c>
      <c r="T304">
        <f>(E304/100000+F304/100+(P304/1000)*J304/5+S304/200)*200*I304*H304</f>
        <v/>
      </c>
      <c r="U304">
        <f>((E304*F304/25000)+((P304/1000)*J304*S304/2.5))*I304*H304</f>
        <v/>
      </c>
      <c r="V304">
        <f>(E304*F304*(P304/1000)*J304*S304*I304*H304)/12500000</f>
        <v/>
      </c>
      <c r="W304">
        <f>(T304+U304+V304)/3</f>
        <v/>
      </c>
      <c r="X304" s="6" t="n">
        <v>4500</v>
      </c>
      <c r="Y304">
        <f>IFERROR(W304-X304,"")</f>
        <v/>
      </c>
      <c r="Z304">
        <f>IFERROR(ABS(Y304)/MAX(X304,1),"")</f>
        <v/>
      </c>
      <c r="AA304">
        <f>IFERROR((X304-(((E304/100000+F304/100+S304/200)*200*I304*H304)+((E304*F304/25000)*I304*H304))/3)/(((J304/5)*200*I304*H304)+((J304*S304/2.5)*I304*H304)+((E304*F304*J304*S304*I304*H304)/12500000))/3*1000,"")</f>
        <v/>
      </c>
    </row>
    <row r="305">
      <c r="B305" s="7" t="inlineStr">
        <is>
          <t xml:space="preserve">  ↳ SteelAirTurret</t>
        </is>
      </c>
      <c r="C305" s="7" t="inlineStr">
        <is>
          <t>Armament@PRIMARY</t>
        </is>
      </c>
      <c r="L305" s="6" t="n">
        <v>24000</v>
      </c>
      <c r="M305" s="6" t="n">
        <v>60</v>
      </c>
      <c r="N305" s="6" t="n">
        <v>1</v>
      </c>
      <c r="O305" s="6" t="n"/>
      <c r="P305" s="6" t="n">
        <v>8000</v>
      </c>
      <c r="Q305" s="6" t="n">
        <v>1.125</v>
      </c>
      <c r="R305">
        <f>M305+IF(N305&gt;1,N(O305)*(N305-1),0)</f>
        <v/>
      </c>
      <c r="S305">
        <f>IFERROR(L305*MAX(N305,1)/R305*Q305*IF(ISBLANK(K304),1,K304),0)</f>
        <v/>
      </c>
      <c r="AB305" s="7" t="inlineStr">
        <is>
          <t>^LaserWeapon, ^RailgunWeapon</t>
        </is>
      </c>
    </row>
    <row r="306">
      <c r="B306" s="7" t="inlineStr">
        <is>
          <t xml:space="preserve">  ↳ SteelAirTurretEMP</t>
        </is>
      </c>
      <c r="C306" s="7" t="inlineStr">
        <is>
          <t>Armament@Upgrade</t>
        </is>
      </c>
      <c r="L306" s="6" t="n">
        <v>16000</v>
      </c>
      <c r="M306" s="6" t="n">
        <v>60</v>
      </c>
      <c r="N306" s="6" t="n">
        <v>1</v>
      </c>
      <c r="O306" s="6" t="n"/>
      <c r="P306" s="6" t="n">
        <v>8000</v>
      </c>
      <c r="Q306" s="6" t="n">
        <v>1.083333333333333</v>
      </c>
      <c r="R306">
        <f>M306+IF(N306&gt;1,N(O306)*(N306-1),0)</f>
        <v/>
      </c>
      <c r="S306">
        <f>IFERROR(L306*MAX(N306,1)/R306*Q306*IF(ISBLANK(K304),1,K304),0)</f>
        <v/>
      </c>
      <c r="AB306" s="7" t="inlineStr">
        <is>
          <t>^TeslaWeapon, ^LaserWeapon, ^RailgunWeapon</t>
        </is>
      </c>
    </row>
    <row r="307">
      <c r="B307" s="7" t="inlineStr">
        <is>
          <t xml:space="preserve">  ↳ SteelAirTurretE</t>
        </is>
      </c>
      <c r="C307" s="7" t="inlineStr">
        <is>
          <t>Armament@elite</t>
        </is>
      </c>
      <c r="L307" s="6" t="n">
        <v>24000</v>
      </c>
      <c r="M307" s="6" t="n">
        <v>60</v>
      </c>
      <c r="N307" s="6" t="n">
        <v>1</v>
      </c>
      <c r="O307" s="6" t="n"/>
      <c r="P307" s="6" t="n">
        <v>9000</v>
      </c>
      <c r="Q307" s="6" t="n">
        <v>1.083333333333333</v>
      </c>
      <c r="R307">
        <f>M307+IF(N307&gt;1,N(O307)*(N307-1),0)</f>
        <v/>
      </c>
      <c r="S307">
        <f>IFERROR(L307*MAX(N307,1)/R307*Q307*IF(ISBLANK(K304),1,K304),0)</f>
        <v/>
      </c>
      <c r="AB307" s="7" t="inlineStr">
        <is>
          <t>^TeslaWeapon, ^LaserWeapon, ^RailgunWeapon</t>
        </is>
      </c>
    </row>
    <row r="308">
      <c r="A308" t="inlineStr">
        <is>
          <t>redalert2mod</t>
        </is>
      </c>
      <c r="B308" t="inlineStr">
        <is>
          <t>latinsyndicate_hindtransport</t>
        </is>
      </c>
      <c r="C308" t="inlineStr">
        <is>
          <t>Hind Transport</t>
        </is>
      </c>
      <c r="D308" s="6" t="inlineStr">
        <is>
          <t>Helicopter</t>
        </is>
      </c>
      <c r="E308" s="6" t="n">
        <v>95000</v>
      </c>
      <c r="F308" s="6" t="n">
        <v>90</v>
      </c>
      <c r="G308" t="inlineStr">
        <is>
          <t>Helicopter</t>
        </is>
      </c>
      <c r="H308" s="6" t="n">
        <v>1</v>
      </c>
      <c r="I308" s="6" t="n">
        <v>1</v>
      </c>
      <c r="J308" s="6" t="n">
        <v>1</v>
      </c>
      <c r="K308" s="6" t="n">
        <v>0.75</v>
      </c>
      <c r="P308">
        <f>MAX(P309)</f>
        <v/>
      </c>
      <c r="S308">
        <f>S309</f>
        <v/>
      </c>
      <c r="T308">
        <f>(E308/100000+F308/100+(P308/1000)*J308/5+S308/200)*200*I308*H308</f>
        <v/>
      </c>
      <c r="U308">
        <f>((E308*F308/25000)+((P308/1000)*J308*S308/2.5))*I308*H308</f>
        <v/>
      </c>
      <c r="V308">
        <f>(E308*F308*(P308/1000)*J308*S308*I308*H308)/12500000</f>
        <v/>
      </c>
      <c r="W308">
        <f>(T308+U308+V308)/3</f>
        <v/>
      </c>
      <c r="X308" s="6" t="n">
        <v>2500</v>
      </c>
      <c r="Y308">
        <f>IFERROR(W308-X308,"")</f>
        <v/>
      </c>
      <c r="Z308">
        <f>IFERROR(ABS(Y308)/MAX(X308,1),"")</f>
        <v/>
      </c>
      <c r="AA308">
        <f>IFERROR((X308-(((E308/100000+F308/100+S308/200)*200*I308*H308)+((E308*F308/25000)*I308*H308))/3)/(((J308/5)*200*I308*H308)+((J308*S308/2.5)*I308*H308)+((E308*F308*J308*S308*I308*H308)/12500000))/3*1000,"")</f>
        <v/>
      </c>
    </row>
    <row r="309">
      <c r="B309" s="7" t="inlineStr">
        <is>
          <t xml:space="preserve">  ↳ BlackHawkCannon</t>
        </is>
      </c>
      <c r="C309" s="7" t="inlineStr">
        <is>
          <t>Armament@PRIMARY</t>
        </is>
      </c>
      <c r="L309" s="6" t="n">
        <v>2000</v>
      </c>
      <c r="M309" s="6" t="n">
        <v>3</v>
      </c>
      <c r="N309" s="6" t="n">
        <v>1</v>
      </c>
      <c r="O309" s="6" t="n"/>
      <c r="P309" s="6" t="n">
        <v>4750</v>
      </c>
      <c r="Q309" s="6" t="n">
        <v>0.875</v>
      </c>
      <c r="R309">
        <f>M309+IF(N309&gt;1,N(O309)*(N309-1),0)</f>
        <v/>
      </c>
      <c r="S309">
        <f>IFERROR(L309*MAX(N309,1)/R309*Q309*IF(ISBLANK(K308),1,K308),0)</f>
        <v/>
      </c>
      <c r="AB309" s="7" t="inlineStr">
        <is>
          <t>^RA2SmallArms, ^RA2Chaingun</t>
        </is>
      </c>
    </row>
    <row r="310">
      <c r="A310" t="inlineStr">
        <is>
          <t>redalert2mod</t>
        </is>
      </c>
      <c r="B310" t="inlineStr">
        <is>
          <t>naxis_transportzeppelin</t>
        </is>
      </c>
      <c r="C310" t="inlineStr">
        <is>
          <t>Transport Zeppelin</t>
        </is>
      </c>
      <c r="D310" s="6" t="inlineStr">
        <is>
          <t>Helicopter</t>
        </is>
      </c>
      <c r="E310" s="6" t="n">
        <v>1250000</v>
      </c>
      <c r="F310" s="6" t="n">
        <v>35</v>
      </c>
      <c r="G310" t="inlineStr">
        <is>
          <t>Helicopter</t>
        </is>
      </c>
      <c r="H310" s="6" t="n">
        <v>1</v>
      </c>
      <c r="I310" s="6" t="n">
        <v>1</v>
      </c>
      <c r="J310" s="6" t="n">
        <v>1</v>
      </c>
      <c r="K310" s="6" t="n">
        <v>0.5</v>
      </c>
      <c r="P310">
        <f>MAX(P311,P312,P313,P314)</f>
        <v/>
      </c>
      <c r="S310">
        <f>S311+S312+S313+S314</f>
        <v/>
      </c>
      <c r="T310">
        <f>(E310/100000+F310/100+(P310/1000)*J310/5+S310/200)*200*I310*H310</f>
        <v/>
      </c>
      <c r="U310">
        <f>((E310*F310/25000)+((P310/1000)*J310*S310/2.5))*I310*H310</f>
        <v/>
      </c>
      <c r="V310">
        <f>(E310*F310*(P310/1000)*J310*S310*I310*H310)/12500000</f>
        <v/>
      </c>
      <c r="W310">
        <f>(T310+U310+V310)/3</f>
        <v/>
      </c>
      <c r="X310" s="6" t="n">
        <v>5000</v>
      </c>
      <c r="Y310">
        <f>IFERROR(W310-X310,"")</f>
        <v/>
      </c>
      <c r="Z310">
        <f>IFERROR(ABS(Y310)/MAX(X310,1),"")</f>
        <v/>
      </c>
      <c r="AA310">
        <f>IFERROR((X310-(((E310/100000+F310/100+S310/200)*200*I310*H310)+((E310*F310/25000)*I310*H310))/3)/(((J310/5)*200*I310*H310)+((J310*S310/2.5)*I310*H310)+((E310*F310*J310*S310*I310*H310)/12500000))/3*1000,"")</f>
        <v/>
      </c>
    </row>
    <row r="311">
      <c r="B311" s="7" t="inlineStr">
        <is>
          <t xml:space="preserve">  ↳ NaxQuadCannon</t>
        </is>
      </c>
      <c r="C311" s="7" t="inlineStr">
        <is>
          <t>Armament</t>
        </is>
      </c>
      <c r="L311" s="6" t="n">
        <v>2000</v>
      </c>
      <c r="M311" s="6" t="n">
        <v>47</v>
      </c>
      <c r="N311" s="6" t="n">
        <v>6</v>
      </c>
      <c r="O311" s="6" t="n">
        <v>4</v>
      </c>
      <c r="P311" s="6" t="n">
        <v>5368</v>
      </c>
      <c r="Q311" s="6" t="n">
        <v>1.0625</v>
      </c>
      <c r="R311">
        <f>M311+IF(N311&gt;1,N(O311)*(N311-1),0)</f>
        <v/>
      </c>
      <c r="S311">
        <f>IFERROR(L311*MAX(N311,1)/R311*Q311*IF(ISBLANK(K310),1,K310),0)</f>
        <v/>
      </c>
      <c r="AB311" s="7" t="inlineStr">
        <is>
          <t>^Grenade, ^HeavyMissile, ^Chaingun, ^RA2FlakWeapon</t>
        </is>
      </c>
    </row>
    <row r="312">
      <c r="B312" s="7" t="inlineStr">
        <is>
          <t xml:space="preserve">  ↳ NaxQuadCannonE</t>
        </is>
      </c>
      <c r="C312" s="7" t="inlineStr">
        <is>
          <t>Armament@elite</t>
        </is>
      </c>
      <c r="L312" s="6" t="n">
        <v>2000</v>
      </c>
      <c r="M312" s="6" t="n">
        <v>47</v>
      </c>
      <c r="N312" s="6" t="n">
        <v>8</v>
      </c>
      <c r="O312" s="6" t="n">
        <v>3</v>
      </c>
      <c r="P312" s="6" t="n">
        <v>6368</v>
      </c>
      <c r="Q312" s="6" t="n">
        <v>1.0625</v>
      </c>
      <c r="R312">
        <f>M312+IF(N312&gt;1,N(O312)*(N312-1),0)</f>
        <v/>
      </c>
      <c r="S312">
        <f>IFERROR(L312*MAX(N312,1)/R312*Q312*IF(ISBLANK(K310),1,K310),0)</f>
        <v/>
      </c>
      <c r="AB312" s="7" t="inlineStr">
        <is>
          <t>^Grenade, ^HeavyMissile, ^Chaingun, ^RA2FlakWeapon</t>
        </is>
      </c>
    </row>
    <row r="313">
      <c r="B313" s="7" t="inlineStr">
        <is>
          <t xml:space="preserve">  ↳ NaxQuadCannonAA</t>
        </is>
      </c>
      <c r="C313" s="7" t="inlineStr">
        <is>
          <t>Armament@AA</t>
        </is>
      </c>
      <c r="L313" s="6" t="n">
        <v>2000</v>
      </c>
      <c r="M313" s="6" t="n">
        <v>47</v>
      </c>
      <c r="N313" s="6" t="n">
        <v>6</v>
      </c>
      <c r="O313" s="6" t="n">
        <v>4</v>
      </c>
      <c r="P313" s="6" t="n">
        <v>8052</v>
      </c>
      <c r="Q313" s="6" t="n">
        <v>1.0625</v>
      </c>
      <c r="R313">
        <f>M313+IF(N313&gt;1,N(O313)*(N313-1),0)</f>
        <v/>
      </c>
      <c r="S313">
        <f>IFERROR(L313*MAX(N313,1)/R313*Q313*IF(ISBLANK(K310),1,K310),0)</f>
        <v/>
      </c>
      <c r="AB313" s="7" t="inlineStr">
        <is>
          <t>^Grenade, ^HeavyMissile, ^Chaingun, ^RA2FlakWeapon</t>
        </is>
      </c>
    </row>
    <row r="314">
      <c r="B314" s="7" t="inlineStr">
        <is>
          <t xml:space="preserve">  ↳ NaxQuadCannonAAE</t>
        </is>
      </c>
      <c r="C314" s="7" t="inlineStr">
        <is>
          <t>Armament@eliteAA</t>
        </is>
      </c>
      <c r="L314" s="6" t="n">
        <v>2000</v>
      </c>
      <c r="M314" s="6" t="n">
        <v>47</v>
      </c>
      <c r="N314" s="6" t="n">
        <v>8</v>
      </c>
      <c r="O314" s="6" t="n">
        <v>3</v>
      </c>
      <c r="P314" s="6" t="n">
        <v>9052</v>
      </c>
      <c r="Q314" s="6" t="n">
        <v>1.0625</v>
      </c>
      <c r="R314">
        <f>M314+IF(N314&gt;1,N(O314)*(N314-1),0)</f>
        <v/>
      </c>
      <c r="S314">
        <f>IFERROR(L314*MAX(N314,1)/R314*Q314*IF(ISBLANK(K310),1,K310),0)</f>
        <v/>
      </c>
      <c r="AB314" s="7" t="inlineStr">
        <is>
          <t>^Grenade, ^HeavyMissile, ^Chaingun, ^RA2FlakWeapon</t>
        </is>
      </c>
    </row>
    <row r="315">
      <c r="A315" t="inlineStr">
        <is>
          <t>redalert2mod</t>
        </is>
      </c>
      <c r="B315" t="inlineStr">
        <is>
          <t>schwarzermond_spacezeppelin</t>
        </is>
      </c>
      <c r="C315" t="inlineStr">
        <is>
          <t>Space Zeppelin</t>
        </is>
      </c>
      <c r="D315" s="6" t="inlineStr">
        <is>
          <t>Helicopter</t>
        </is>
      </c>
      <c r="E315" s="6" t="n">
        <v>1350000</v>
      </c>
      <c r="F315" s="6" t="n">
        <v>35</v>
      </c>
      <c r="G315" t="inlineStr">
        <is>
          <t>Helicopter</t>
        </is>
      </c>
      <c r="H315" s="6" t="n">
        <v>1</v>
      </c>
      <c r="I315" s="6" t="n">
        <v>1</v>
      </c>
      <c r="J315" s="6" t="n">
        <v>1</v>
      </c>
      <c r="K315" s="6" t="n">
        <v>0.5</v>
      </c>
      <c r="P315">
        <f>MAX(P316,P317,P318,P319,P320,P321,P322,P323,P324,P325,P326,P327)</f>
        <v/>
      </c>
      <c r="S315">
        <f>S316+S317+S318+S319+S320+S321+S322+S323+S324+S325+S326+S327</f>
        <v/>
      </c>
      <c r="T315">
        <f>(E315/100000+F315/100+(P315/1000)*J315/5+S315/200)*200*I315*H315</f>
        <v/>
      </c>
      <c r="U315">
        <f>((E315*F315/25000)+((P315/1000)*J315*S315/2.5))*I315*H315</f>
        <v/>
      </c>
      <c r="V315">
        <f>(E315*F315*(P315/1000)*J315*S315*I315*H315)/12500000</f>
        <v/>
      </c>
      <c r="W315">
        <f>(T315+U315+V315)/3</f>
        <v/>
      </c>
      <c r="X315" s="6" t="n">
        <v>6000</v>
      </c>
      <c r="Y315">
        <f>IFERROR(W315-X315,"")</f>
        <v/>
      </c>
      <c r="Z315">
        <f>IFERROR(ABS(Y315)/MAX(X315,1),"")</f>
        <v/>
      </c>
      <c r="AA315">
        <f>IFERROR((X315-(((E315/100000+F315/100+S315/200)*200*I315*H315)+((E315*F315/25000)*I315*H315))/3)/(((J315/5)*200*I315*H315)+((J315*S315/2.5)*I315*H315)+((E315*F315*J315*S315*I315*H315)/12500000))/3*1000,"")</f>
        <v/>
      </c>
    </row>
    <row r="316">
      <c r="B316" s="7" t="inlineStr">
        <is>
          <t xml:space="preserve">  ↳ NaxiBeetleLaserE</t>
        </is>
      </c>
      <c r="C316" s="7" t="inlineStr">
        <is>
          <t>Armament</t>
        </is>
      </c>
      <c r="L316" s="6" t="n">
        <v>2000</v>
      </c>
      <c r="M316" s="6" t="n">
        <v>60</v>
      </c>
      <c r="N316" s="6" t="n">
        <v>2</v>
      </c>
      <c r="O316" s="6" t="n">
        <v>4</v>
      </c>
      <c r="P316" s="6" t="n">
        <v>6448</v>
      </c>
      <c r="Q316" s="6" t="n">
        <v>0.9375</v>
      </c>
      <c r="R316">
        <f>M316+IF(N316&gt;1,N(O316)*(N316-1),0)</f>
        <v/>
      </c>
      <c r="S316">
        <f>IFERROR(L316*MAX(N316,1)/R316*Q316*IF(ISBLANK(K315),1,K315),0)</f>
        <v/>
      </c>
      <c r="AB316" s="7" t="inlineStr">
        <is>
          <t>^SmallArms, ^Chaingun, ^MediumMissile, ^LaserWeapon</t>
        </is>
      </c>
    </row>
    <row r="317">
      <c r="B317" s="7" t="inlineStr">
        <is>
          <t xml:space="preserve">  ↳ NaxiBeetleLaserE</t>
        </is>
      </c>
      <c r="C317" s="7" t="inlineStr">
        <is>
          <t>Armament@elite</t>
        </is>
      </c>
      <c r="L317" s="6" t="n">
        <v>2000</v>
      </c>
      <c r="M317" s="6" t="n">
        <v>60</v>
      </c>
      <c r="N317" s="6" t="n">
        <v>2</v>
      </c>
      <c r="O317" s="6" t="n">
        <v>4</v>
      </c>
      <c r="P317" s="6" t="n">
        <v>6448</v>
      </c>
      <c r="Q317" s="6" t="n">
        <v>0.9375</v>
      </c>
      <c r="R317">
        <f>M317+IF(N317&gt;1,N(O317)*(N317-1),0)</f>
        <v/>
      </c>
      <c r="S317">
        <f>IFERROR(L317*MAX(N317,1)/R317*Q317*IF(ISBLANK(K315),1,K315),0)</f>
        <v/>
      </c>
      <c r="AB317" s="7" t="inlineStr">
        <is>
          <t>^SmallArms, ^Chaingun, ^MediumMissile, ^LaserWeapon</t>
        </is>
      </c>
    </row>
    <row r="318">
      <c r="B318" s="7" t="inlineStr">
        <is>
          <t xml:space="preserve">  ↳ NaxiBeetleLaserAAE</t>
        </is>
      </c>
      <c r="C318" s="7" t="inlineStr">
        <is>
          <t>Armament@AA</t>
        </is>
      </c>
      <c r="L318" s="6" t="n">
        <v>2000</v>
      </c>
      <c r="M318" s="6" t="n">
        <v>60</v>
      </c>
      <c r="N318" s="6" t="n">
        <v>2</v>
      </c>
      <c r="O318" s="6" t="n">
        <v>4</v>
      </c>
      <c r="P318" s="6" t="n">
        <v>9672</v>
      </c>
      <c r="Q318" s="6" t="n">
        <v>0.9375</v>
      </c>
      <c r="R318">
        <f>M318+IF(N318&gt;1,N(O318)*(N318-1),0)</f>
        <v/>
      </c>
      <c r="S318">
        <f>IFERROR(L318*MAX(N318,1)/R318*Q318*IF(ISBLANK(K315),1,K315),0)</f>
        <v/>
      </c>
      <c r="AB318" s="7" t="inlineStr">
        <is>
          <t>^SmallArms, ^Chaingun, ^MediumMissile, ^LaserWeapon</t>
        </is>
      </c>
    </row>
    <row r="319">
      <c r="B319" s="7" t="inlineStr">
        <is>
          <t xml:space="preserve">  ↳ NaxiBeetleLaserAAE</t>
        </is>
      </c>
      <c r="C319" s="7" t="inlineStr">
        <is>
          <t>Armament@eliteAA</t>
        </is>
      </c>
      <c r="L319" s="6" t="n">
        <v>2000</v>
      </c>
      <c r="M319" s="6" t="n">
        <v>60</v>
      </c>
      <c r="N319" s="6" t="n">
        <v>2</v>
      </c>
      <c r="O319" s="6" t="n">
        <v>4</v>
      </c>
      <c r="P319" s="6" t="n">
        <v>9672</v>
      </c>
      <c r="Q319" s="6" t="n">
        <v>0.9375</v>
      </c>
      <c r="R319">
        <f>M319+IF(N319&gt;1,N(O319)*(N319-1),0)</f>
        <v/>
      </c>
      <c r="S319">
        <f>IFERROR(L319*MAX(N319,1)/R319*Q319*IF(ISBLANK(K315),1,K315),0)</f>
        <v/>
      </c>
      <c r="AB319" s="7" t="inlineStr">
        <is>
          <t>^SmallArms, ^Chaingun, ^MediumMissile, ^LaserWeapon</t>
        </is>
      </c>
    </row>
    <row r="320">
      <c r="B320" s="7" t="inlineStr">
        <is>
          <t xml:space="preserve">  ↳ Lunar_YellowBeetleLaser</t>
        </is>
      </c>
      <c r="C320" s="7" t="inlineStr">
        <is>
          <t>Armament@UP</t>
        </is>
      </c>
      <c r="L320" s="6" t="n">
        <v>2000</v>
      </c>
      <c r="M320" s="6" t="n">
        <v>60</v>
      </c>
      <c r="N320" s="6" t="n">
        <v>3</v>
      </c>
      <c r="O320" s="6" t="n">
        <v>4</v>
      </c>
      <c r="P320" s="6" t="n">
        <v>6448</v>
      </c>
      <c r="Q320" s="6" t="n">
        <v>0.9375</v>
      </c>
      <c r="R320">
        <f>M320+IF(N320&gt;1,N(O320)*(N320-1),0)</f>
        <v/>
      </c>
      <c r="S320">
        <f>IFERROR(L320*MAX(N320,1)/R320*Q320*IF(ISBLANK(K315),1,K315),0)</f>
        <v/>
      </c>
      <c r="AB320" s="7" t="inlineStr">
        <is>
          <t>^SmallArms, ^Chaingun, ^MediumMissile, ^LaserWeapon</t>
        </is>
      </c>
    </row>
    <row r="321">
      <c r="B321" s="7" t="inlineStr">
        <is>
          <t xml:space="preserve">  ↳ Lunar_YellowBeetleLaser</t>
        </is>
      </c>
      <c r="C321" s="7" t="inlineStr">
        <is>
          <t>Armament@eliteUP</t>
        </is>
      </c>
      <c r="L321" s="6" t="n">
        <v>2000</v>
      </c>
      <c r="M321" s="6" t="n">
        <v>60</v>
      </c>
      <c r="N321" s="6" t="n">
        <v>3</v>
      </c>
      <c r="O321" s="6" t="n">
        <v>4</v>
      </c>
      <c r="P321" s="6" t="n">
        <v>6448</v>
      </c>
      <c r="Q321" s="6" t="n">
        <v>0.9375</v>
      </c>
      <c r="R321">
        <f>M321+IF(N321&gt;1,N(O321)*(N321-1),0)</f>
        <v/>
      </c>
      <c r="S321">
        <f>IFERROR(L321*MAX(N321,1)/R321*Q321*IF(ISBLANK(K315),1,K315),0)</f>
        <v/>
      </c>
      <c r="AB321" s="7" t="inlineStr">
        <is>
          <t>^SmallArms, ^Chaingun, ^MediumMissile, ^LaserWeapon</t>
        </is>
      </c>
    </row>
    <row r="322">
      <c r="B322" s="7" t="inlineStr">
        <is>
          <t xml:space="preserve">  ↳ Lunar_YellowBeetleLaserAA</t>
        </is>
      </c>
      <c r="C322" s="7" t="inlineStr">
        <is>
          <t>Armament@AA_UP</t>
        </is>
      </c>
      <c r="L322" s="6" t="n">
        <v>2000</v>
      </c>
      <c r="M322" s="6" t="n">
        <v>60</v>
      </c>
      <c r="N322" s="6" t="n">
        <v>3</v>
      </c>
      <c r="O322" s="6" t="n">
        <v>4</v>
      </c>
      <c r="P322" s="6" t="n">
        <v>9672</v>
      </c>
      <c r="Q322" s="6" t="n">
        <v>0.9375</v>
      </c>
      <c r="R322">
        <f>M322+IF(N322&gt;1,N(O322)*(N322-1),0)</f>
        <v/>
      </c>
      <c r="S322">
        <f>IFERROR(L322*MAX(N322,1)/R322*Q322*IF(ISBLANK(K315),1,K315),0)</f>
        <v/>
      </c>
      <c r="AB322" s="7" t="inlineStr">
        <is>
          <t>^SmallArms, ^Chaingun, ^MediumMissile, ^LaserWeapon</t>
        </is>
      </c>
    </row>
    <row r="323">
      <c r="B323" s="7" t="inlineStr">
        <is>
          <t xml:space="preserve">  ↳ Lunar_YellowBeetleLaserAA</t>
        </is>
      </c>
      <c r="C323" s="7" t="inlineStr">
        <is>
          <t>Armament@eliteAA_UP</t>
        </is>
      </c>
      <c r="L323" s="6" t="n">
        <v>2000</v>
      </c>
      <c r="M323" s="6" t="n">
        <v>60</v>
      </c>
      <c r="N323" s="6" t="n">
        <v>3</v>
      </c>
      <c r="O323" s="6" t="n">
        <v>4</v>
      </c>
      <c r="P323" s="6" t="n">
        <v>9672</v>
      </c>
      <c r="Q323" s="6" t="n">
        <v>0.9375</v>
      </c>
      <c r="R323">
        <f>M323+IF(N323&gt;1,N(O323)*(N323-1),0)</f>
        <v/>
      </c>
      <c r="S323">
        <f>IFERROR(L323*MAX(N323,1)/R323*Q323*IF(ISBLANK(K315),1,K315),0)</f>
        <v/>
      </c>
      <c r="AB323" s="7" t="inlineStr">
        <is>
          <t>^SmallArms, ^Chaingun, ^MediumMissile, ^LaserWeapon</t>
        </is>
      </c>
    </row>
    <row r="324">
      <c r="B324" s="7" t="inlineStr">
        <is>
          <t xml:space="preserve">  ↳ Lunar_AmplifiedBeetleLaser</t>
        </is>
      </c>
      <c r="C324" s="7" t="inlineStr">
        <is>
          <t>Armament@AMP</t>
        </is>
      </c>
      <c r="L324" s="6" t="n">
        <v>2000</v>
      </c>
      <c r="M324" s="6" t="n">
        <v>60</v>
      </c>
      <c r="N324" s="6" t="n">
        <v>4</v>
      </c>
      <c r="O324" s="6" t="n">
        <v>4</v>
      </c>
      <c r="P324" s="6" t="n">
        <v>6448</v>
      </c>
      <c r="Q324" s="6" t="n">
        <v>0.9375</v>
      </c>
      <c r="R324">
        <f>M324+IF(N324&gt;1,N(O324)*(N324-1),0)</f>
        <v/>
      </c>
      <c r="S324">
        <f>IFERROR(L324*MAX(N324,1)/R324*Q324*IF(ISBLANK(K315),1,K315),0)</f>
        <v/>
      </c>
      <c r="AB324" s="7" t="inlineStr">
        <is>
          <t>^SmallArms, ^Chaingun, ^MediumMissile, ^LaserWeapon</t>
        </is>
      </c>
    </row>
    <row r="325">
      <c r="B325" s="7" t="inlineStr">
        <is>
          <t xml:space="preserve">  ↳ Lunar_AmplifiedBeetleLaser</t>
        </is>
      </c>
      <c r="C325" s="7" t="inlineStr">
        <is>
          <t>Armament@eliteAMP</t>
        </is>
      </c>
      <c r="L325" s="6" t="n">
        <v>2000</v>
      </c>
      <c r="M325" s="6" t="n">
        <v>60</v>
      </c>
      <c r="N325" s="6" t="n">
        <v>4</v>
      </c>
      <c r="O325" s="6" t="n">
        <v>4</v>
      </c>
      <c r="P325" s="6" t="n">
        <v>6448</v>
      </c>
      <c r="Q325" s="6" t="n">
        <v>0.9375</v>
      </c>
      <c r="R325">
        <f>M325+IF(N325&gt;1,N(O325)*(N325-1),0)</f>
        <v/>
      </c>
      <c r="S325">
        <f>IFERROR(L325*MAX(N325,1)/R325*Q325*IF(ISBLANK(K315),1,K315),0)</f>
        <v/>
      </c>
      <c r="AB325" s="7" t="inlineStr">
        <is>
          <t>^SmallArms, ^Chaingun, ^MediumMissile, ^LaserWeapon</t>
        </is>
      </c>
    </row>
    <row r="326">
      <c r="B326" s="7" t="inlineStr">
        <is>
          <t xml:space="preserve">  ↳ Lunar_AmplifiedBeetleLaserAA</t>
        </is>
      </c>
      <c r="C326" s="7" t="inlineStr">
        <is>
          <t>Armament@AA_AMP</t>
        </is>
      </c>
      <c r="L326" s="6" t="n">
        <v>2000</v>
      </c>
      <c r="M326" s="6" t="n">
        <v>60</v>
      </c>
      <c r="N326" s="6" t="n">
        <v>4</v>
      </c>
      <c r="O326" s="6" t="n">
        <v>4</v>
      </c>
      <c r="P326" s="6" t="n">
        <v>9672</v>
      </c>
      <c r="Q326" s="6" t="n">
        <v>0.9375</v>
      </c>
      <c r="R326">
        <f>M326+IF(N326&gt;1,N(O326)*(N326-1),0)</f>
        <v/>
      </c>
      <c r="S326">
        <f>IFERROR(L326*MAX(N326,1)/R326*Q326*IF(ISBLANK(K315),1,K315),0)</f>
        <v/>
      </c>
      <c r="AB326" s="7" t="inlineStr">
        <is>
          <t>^SmallArms, ^Chaingun, ^MediumMissile, ^LaserWeapon</t>
        </is>
      </c>
    </row>
    <row r="327">
      <c r="B327" s="7" t="inlineStr">
        <is>
          <t xml:space="preserve">  ↳ Lunar_AmplifiedBeetleLaserAA</t>
        </is>
      </c>
      <c r="C327" s="7" t="inlineStr">
        <is>
          <t>Armament@eliteAA_AMP</t>
        </is>
      </c>
      <c r="L327" s="6" t="n">
        <v>2000</v>
      </c>
      <c r="M327" s="6" t="n">
        <v>60</v>
      </c>
      <c r="N327" s="6" t="n">
        <v>4</v>
      </c>
      <c r="O327" s="6" t="n">
        <v>4</v>
      </c>
      <c r="P327" s="6" t="n">
        <v>9672</v>
      </c>
      <c r="Q327" s="6" t="n">
        <v>0.9375</v>
      </c>
      <c r="R327">
        <f>M327+IF(N327&gt;1,N(O327)*(N327-1),0)</f>
        <v/>
      </c>
      <c r="S327">
        <f>IFERROR(L327*MAX(N327,1)/R327*Q327*IF(ISBLANK(K315),1,K315),0)</f>
        <v/>
      </c>
      <c r="AB327" s="7" t="inlineStr">
        <is>
          <t>^SmallArms, ^Chaingun, ^MediumMissile, ^LaserWeapon</t>
        </is>
      </c>
    </row>
    <row r="328">
      <c r="A328" t="inlineStr">
        <is>
          <t>redalert2mod</t>
        </is>
      </c>
      <c r="B328" t="inlineStr">
        <is>
          <t>futuretech_cryocopter</t>
        </is>
      </c>
      <c r="C328" t="inlineStr">
        <is>
          <t>Cryocopter</t>
        </is>
      </c>
      <c r="D328" s="6" t="inlineStr">
        <is>
          <t>Helicopter</t>
        </is>
      </c>
      <c r="E328" s="6" t="n">
        <v>90000</v>
      </c>
      <c r="F328" s="6" t="n">
        <v>125</v>
      </c>
      <c r="G328" t="inlineStr">
        <is>
          <t>Helicopter</t>
        </is>
      </c>
      <c r="H328" s="6" t="n">
        <v>0.75</v>
      </c>
      <c r="I328" s="6" t="n">
        <v>1</v>
      </c>
      <c r="J328" s="6" t="n">
        <v>1.5</v>
      </c>
      <c r="K328" s="6" t="n">
        <v>0.12</v>
      </c>
      <c r="P328">
        <f>MAX(P329,P330)</f>
        <v/>
      </c>
      <c r="S328">
        <f>S329+S330</f>
        <v/>
      </c>
      <c r="T328">
        <f>(E328/100000+F328/100+(P328/1000)*J328/5+S328/200)*200*I328*H328</f>
        <v/>
      </c>
      <c r="U328">
        <f>((E328*F328/25000)+((P328/1000)*J328*S328/2.5))*I328*H328</f>
        <v/>
      </c>
      <c r="V328">
        <f>(E328*F328*(P328/1000)*J328*S328*I328*H328)/12500000</f>
        <v/>
      </c>
      <c r="W328">
        <f>(T328+U328+V328)/3</f>
        <v/>
      </c>
      <c r="X328" s="6" t="n">
        <v>900</v>
      </c>
      <c r="Y328">
        <f>IFERROR(W328-X328,"")</f>
        <v/>
      </c>
      <c r="Z328">
        <f>IFERROR(ABS(Y328)/MAX(X328,1),"")</f>
        <v/>
      </c>
      <c r="AA328">
        <f>IFERROR((X328-(((E328/100000+F328/100+S328/200)*200*I328*H328)+((E328*F328/25000)*I328*H328))/3)/(((J328/5)*200*I328*H328)+((J328*S328/2.5)*I328*H328)+((E328*F328*J328*S328*I328*H328)/12500000))/3*1000,"")</f>
        <v/>
      </c>
    </row>
    <row r="329">
      <c r="B329" s="7" t="inlineStr">
        <is>
          <t xml:space="preserve">  ↳ Future_Cryocopter_Rocket</t>
        </is>
      </c>
      <c r="C329" s="7" t="inlineStr">
        <is>
          <t>Armament@Rocket</t>
        </is>
      </c>
      <c r="L329" s="6" t="n">
        <v>16000</v>
      </c>
      <c r="M329" s="6" t="n">
        <v>60</v>
      </c>
      <c r="N329" s="6" t="n">
        <v>2</v>
      </c>
      <c r="O329" s="6" t="n">
        <v>4</v>
      </c>
      <c r="P329" s="6" t="n">
        <v>5200</v>
      </c>
      <c r="Q329" s="6" t="n">
        <v>1</v>
      </c>
      <c r="R329">
        <f>M329+IF(N329&gt;1,N(O329)*(N329-1),0)</f>
        <v/>
      </c>
      <c r="S329">
        <f>IFERROR(L329*MAX(N329,1)/R329*Q329*IF(ISBLANK(K328),1,K328),0)</f>
        <v/>
      </c>
      <c r="AB329" s="7" t="inlineStr">
        <is>
          <t>^Grenade, ^D2KRocket, ^SteelMediumMissile</t>
        </is>
      </c>
    </row>
    <row r="330">
      <c r="B330" s="7" t="inlineStr">
        <is>
          <t xml:space="preserve">  ↳ Future_Cryocopter_Cryo</t>
        </is>
      </c>
      <c r="C330" s="7" t="inlineStr">
        <is>
          <t>Armament@PRIMARY</t>
        </is>
      </c>
      <c r="L330" s="6" t="n">
        <v>2000</v>
      </c>
      <c r="M330" s="6" t="n">
        <v>8</v>
      </c>
      <c r="N330" s="6" t="n">
        <v>1</v>
      </c>
      <c r="O330" s="6" t="n"/>
      <c r="P330" s="6" t="n">
        <v>5200</v>
      </c>
      <c r="Q330" s="6" t="n">
        <v>0.9166666666666666</v>
      </c>
      <c r="R330">
        <f>M330+IF(N330&gt;1,N(O330)*(N330-1),0)</f>
        <v/>
      </c>
      <c r="S330">
        <f>IFERROR(L330*MAX(N330,1)/R330*Q330*IF(ISBLANK(K328),1,K328),0)</f>
        <v/>
      </c>
      <c r="AB330" s="7" t="inlineStr">
        <is>
          <t>^LightMissile, ^SmallArms, ^Chaingun, ^FlakWeapon, ^TeslaWeapon, ^LaserWeapon</t>
        </is>
      </c>
    </row>
    <row r="331">
      <c r="A331" t="inlineStr">
        <is>
          <t>redalert2mod</t>
        </is>
      </c>
      <c r="B331" t="inlineStr">
        <is>
          <t>tkm_iroquois</t>
        </is>
      </c>
      <c r="C331" t="inlineStr">
        <is>
          <t>Iroquois</t>
        </is>
      </c>
      <c r="D331" s="6" t="inlineStr">
        <is>
          <t>Helicopter</t>
        </is>
      </c>
      <c r="E331" s="6" t="n">
        <v>100000</v>
      </c>
      <c r="F331" s="6" t="n">
        <v>120</v>
      </c>
      <c r="G331" t="inlineStr">
        <is>
          <t>Helicopter</t>
        </is>
      </c>
      <c r="H331" s="6" t="n">
        <v>1</v>
      </c>
      <c r="I331" s="6" t="n">
        <v>1</v>
      </c>
      <c r="J331" s="6" t="n">
        <v>1</v>
      </c>
      <c r="K331" s="6" t="n">
        <v>0.5</v>
      </c>
      <c r="P331">
        <f>MAX(P332,P333,P334,P335,P336)</f>
        <v/>
      </c>
      <c r="S331">
        <f>S332+S333+S334+S335+S336</f>
        <v/>
      </c>
      <c r="T331">
        <f>(E331/100000+F331/100+(P331/1000)*J331/5+S331/200)*200*I331*H331</f>
        <v/>
      </c>
      <c r="U331">
        <f>((E331*F331/25000)+((P331/1000)*J331*S331/2.5))*I331*H331</f>
        <v/>
      </c>
      <c r="V331">
        <f>(E331*F331*(P331/1000)*J331*S331*I331*H331)/12500000</f>
        <v/>
      </c>
      <c r="W331">
        <f>(T331+U331+V331)/3</f>
        <v/>
      </c>
      <c r="X331" s="6" t="n">
        <v>1800</v>
      </c>
      <c r="Y331">
        <f>IFERROR(W331-X331,"")</f>
        <v/>
      </c>
      <c r="Z331">
        <f>IFERROR(ABS(Y331)/MAX(X331,1),"")</f>
        <v/>
      </c>
      <c r="AA331">
        <f>IFERROR((X331-(((E331/100000+F331/100+S331/200)*200*I331*H331)+((E331*F331/25000)*I331*H331))/3)/(((J331/5)*200*I331*H331)+((J331*S331/2.5)*I331*H331)+((E331*F331*J331*S331*I331*H331)/12500000))/3*1000,"")</f>
        <v/>
      </c>
    </row>
    <row r="332">
      <c r="B332" s="7" t="inlineStr">
        <is>
          <t xml:space="preserve">  ↳ HueyGun</t>
        </is>
      </c>
      <c r="C332" s="7" t="inlineStr">
        <is>
          <t>Armament@PRIMARY</t>
        </is>
      </c>
      <c r="L332" s="6" t="n">
        <v>2000</v>
      </c>
      <c r="M332" s="6" t="n">
        <v>7</v>
      </c>
      <c r="N332" s="6" t="n">
        <v>1</v>
      </c>
      <c r="O332" s="6" t="n"/>
      <c r="P332" s="6" t="n">
        <v>4783</v>
      </c>
      <c r="Q332" s="6" t="n">
        <v>1</v>
      </c>
      <c r="R332">
        <f>M332+IF(N332&gt;1,N(O332)*(N332-1),0)</f>
        <v/>
      </c>
      <c r="S332">
        <f>IFERROR(L332*MAX(N332,1)/R332*Q332*IF(ISBLANK(K331),1,K331),0)</f>
        <v/>
      </c>
      <c r="AB332" s="7" t="inlineStr">
        <is>
          <t>^FlakWeapon, ^RA2Chaingun</t>
        </is>
      </c>
    </row>
    <row r="333">
      <c r="B333" s="7" t="inlineStr">
        <is>
          <t xml:space="preserve">  ↳ HueyMissiles</t>
        </is>
      </c>
      <c r="C333" s="7" t="inlineStr">
        <is>
          <t>Armament@Missiles</t>
        </is>
      </c>
      <c r="L333" s="6" t="n">
        <v>4</v>
      </c>
      <c r="M333" s="6" t="n">
        <v>14</v>
      </c>
      <c r="N333" s="6" t="n">
        <v>1</v>
      </c>
      <c r="O333" s="6" t="n"/>
      <c r="P333" s="6" t="n">
        <v>4783</v>
      </c>
      <c r="Q333" s="6" t="n">
        <v>1</v>
      </c>
      <c r="R333">
        <f>M333+IF(N333&gt;1,N(O333)*(N333-1),0)</f>
        <v/>
      </c>
      <c r="S333">
        <f>IFERROR(L333*MAX(N333,1)/R333*Q333*IF(ISBLANK(K331),1,K331),0)</f>
        <v/>
      </c>
      <c r="AB333" s="7" t="inlineStr">
        <is>
          <t>^MediumMissile</t>
        </is>
      </c>
    </row>
    <row r="334">
      <c r="B334" s="7" t="inlineStr">
        <is>
          <t xml:space="preserve">  ↳ HueyCryoMissiles</t>
        </is>
      </c>
      <c r="C334" s="7" t="inlineStr">
        <is>
          <t>Armament@PRIMARYNATO</t>
        </is>
      </c>
      <c r="L334" s="6" t="n">
        <v>2000</v>
      </c>
      <c r="M334" s="6" t="n">
        <v>16</v>
      </c>
      <c r="N334" s="6" t="n">
        <v>1</v>
      </c>
      <c r="O334" s="6" t="n"/>
      <c r="P334" s="6" t="n">
        <v>5528</v>
      </c>
      <c r="Q334" s="6" t="n">
        <v>1.0625</v>
      </c>
      <c r="R334">
        <f>M334+IF(N334&gt;1,N(O334)*(N334-1),0)</f>
        <v/>
      </c>
      <c r="S334">
        <f>IFERROR(L334*MAX(N334,1)/R334*Q334*IF(ISBLANK(K331),1,K331),0)</f>
        <v/>
      </c>
      <c r="AB334" s="7" t="inlineStr">
        <is>
          <t>^Grenade, ^ShrapnelWeapon, ^HeavyCannon, ^MediumMissile</t>
        </is>
      </c>
    </row>
    <row r="335">
      <c r="B335" s="7" t="inlineStr">
        <is>
          <t xml:space="preserve">  ↳ HueyTwinMissiles</t>
        </is>
      </c>
      <c r="C335" s="7" t="inlineStr">
        <is>
          <t>Armament@PRIMARYBEREZKA</t>
        </is>
      </c>
      <c r="L335" s="6" t="n">
        <v>2000</v>
      </c>
      <c r="M335" s="6" t="n">
        <v>16</v>
      </c>
      <c r="N335" s="6" t="n">
        <v>2</v>
      </c>
      <c r="O335" s="6" t="n"/>
      <c r="P335" s="6" t="n">
        <v>5528</v>
      </c>
      <c r="Q335" s="6" t="n">
        <v>1.0625</v>
      </c>
      <c r="R335">
        <f>M335+IF(N335&gt;1,N(O335)*(N335-1),0)</f>
        <v/>
      </c>
      <c r="S335">
        <f>IFERROR(L335*MAX(N335,1)/R335*Q335*IF(ISBLANK(K331),1,K331),0)</f>
        <v/>
      </c>
      <c r="AB335" s="7" t="inlineStr">
        <is>
          <t>^Grenade, ^ShrapnelWeapon, ^HeavyCannon, ^MediumMissile</t>
        </is>
      </c>
    </row>
    <row r="336">
      <c r="B336" s="7" t="inlineStr">
        <is>
          <t xml:space="preserve">  ↳ HueyTwinMissiles</t>
        </is>
      </c>
      <c r="C336" s="7" t="inlineStr">
        <is>
          <t>Armament@PRIMARYTITAN</t>
        </is>
      </c>
      <c r="L336" s="6" t="n">
        <v>2000</v>
      </c>
      <c r="M336" s="6" t="n">
        <v>16</v>
      </c>
      <c r="N336" s="6" t="n">
        <v>2</v>
      </c>
      <c r="O336" s="6" t="n"/>
      <c r="P336" s="6" t="n">
        <v>5528</v>
      </c>
      <c r="Q336" s="6" t="n">
        <v>1.0625</v>
      </c>
      <c r="R336">
        <f>M336+IF(N336&gt;1,N(O336)*(N336-1),0)</f>
        <v/>
      </c>
      <c r="S336">
        <f>IFERROR(L336*MAX(N336,1)/R336*Q336*IF(ISBLANK(K331),1,K331),0)</f>
        <v/>
      </c>
      <c r="AB336" s="7" t="inlineStr">
        <is>
          <t>^Grenade, ^ShrapnelWeapon, ^HeavyCannon, ^MediumMissile</t>
        </is>
      </c>
    </row>
    <row r="337">
      <c r="A337" t="inlineStr">
        <is>
          <t>redalert2mod</t>
        </is>
      </c>
      <c r="B337" t="inlineStr">
        <is>
          <t>tkmdrone</t>
        </is>
      </c>
      <c r="C337" t="inlineStr">
        <is>
          <t>Drone</t>
        </is>
      </c>
      <c r="D337" s="6" t="inlineStr">
        <is>
          <t>Helicopter</t>
        </is>
      </c>
      <c r="E337" s="6" t="n">
        <v>10000</v>
      </c>
      <c r="F337" s="6" t="n">
        <v>150</v>
      </c>
      <c r="G337" t="inlineStr">
        <is>
          <t>Light</t>
        </is>
      </c>
      <c r="H337" s="6" t="n">
        <v>1</v>
      </c>
      <c r="I337" s="6" t="n">
        <v>1</v>
      </c>
      <c r="J337" s="6" t="n">
        <v>1</v>
      </c>
      <c r="K337" s="6" t="n"/>
      <c r="X337" s="6" t="n">
        <v>25</v>
      </c>
    </row>
    <row r="338">
      <c r="A338" t="inlineStr">
        <is>
          <t>d2k</t>
        </is>
      </c>
      <c r="B338" t="inlineStr">
        <is>
          <t>ordos_banshee</t>
        </is>
      </c>
      <c r="C338" t="inlineStr">
        <is>
          <t>Banshee</t>
        </is>
      </c>
      <c r="D338" s="6" t="inlineStr">
        <is>
          <t>Helicopter</t>
        </is>
      </c>
      <c r="E338" s="6" t="n">
        <v>37500</v>
      </c>
      <c r="F338" s="6" t="n">
        <v>165</v>
      </c>
      <c r="G338" t="inlineStr">
        <is>
          <t>Helicopter</t>
        </is>
      </c>
      <c r="H338" s="6" t="n">
        <v>0.75</v>
      </c>
      <c r="I338" s="6" t="n">
        <v>1</v>
      </c>
      <c r="J338" s="6" t="n">
        <v>1</v>
      </c>
      <c r="K338" s="6" t="n"/>
      <c r="P338">
        <f>MAX(P339,P340,P341)</f>
        <v/>
      </c>
      <c r="S338">
        <f>S339+S340+S341</f>
        <v/>
      </c>
      <c r="T338">
        <f>(E338/100000+F338/100+(P338/1000)*J338/5+S338/200)*200*I338*H338</f>
        <v/>
      </c>
      <c r="U338">
        <f>((E338*F338/25000)+((P338/1000)*J338*S338/2.5))*I338*H338</f>
        <v/>
      </c>
      <c r="V338">
        <f>(E338*F338*(P338/1000)*J338*S338*I338*H338)/12500000</f>
        <v/>
      </c>
      <c r="W338">
        <f>(T338+U338+V338)/3</f>
        <v/>
      </c>
      <c r="X338" s="6" t="n">
        <v>2250</v>
      </c>
      <c r="Y338">
        <f>IFERROR(W338-X338,"")</f>
        <v/>
      </c>
      <c r="Z338">
        <f>IFERROR(ABS(Y338)/MAX(X338,1),"")</f>
        <v/>
      </c>
      <c r="AA338">
        <f>IFERROR((X338-(((E338/100000+F338/100+S338/200)*200*I338*H338)+((E338*F338/25000)*I338*H338))/3)/(((J338/5)*200*I338*H338)+((J338*S338/2.5)*I338*H338)+((E338*F338*J338*S338*I338*H338)/12500000))/3*1000,"")</f>
        <v/>
      </c>
    </row>
    <row r="339">
      <c r="B339" s="7" t="inlineStr">
        <is>
          <t xml:space="preserve">  ↳ Laboratory_Bioball</t>
        </is>
      </c>
      <c r="C339" s="7" t="inlineStr">
        <is>
          <t>Armament</t>
        </is>
      </c>
      <c r="L339" s="6" t="n">
        <v>10000</v>
      </c>
      <c r="M339" s="6" t="n">
        <v>42</v>
      </c>
      <c r="N339" s="6" t="n">
        <v>1</v>
      </c>
      <c r="O339" s="6" t="n"/>
      <c r="P339" s="6" t="n">
        <v>6500</v>
      </c>
      <c r="Q339" s="6" t="n">
        <v>1.05</v>
      </c>
      <c r="R339">
        <f>M339+IF(N339&gt;1,N(O339)*(N339-1),0)</f>
        <v/>
      </c>
      <c r="S339">
        <f>IFERROR(L339*MAX(N339,1)/R339*Q339*IF(ISBLANK(K338),1,K338),0)</f>
        <v/>
      </c>
      <c r="AB339" s="7" t="inlineStr">
        <is>
          <t>^Grenade, ^ShrapnelWeapon, ^HeavyCannon, ^MediumFlameWeapon, ^MediumChemicalWeapon</t>
        </is>
      </c>
    </row>
    <row r="340">
      <c r="B340" s="7" t="inlineStr">
        <is>
          <t xml:space="preserve">  ↳ D2K_APC_Rocket_AA</t>
        </is>
      </c>
      <c r="C340" s="7" t="inlineStr">
        <is>
          <t>Armament@aa1</t>
        </is>
      </c>
      <c r="L340" s="6" t="n">
        <v>8000</v>
      </c>
      <c r="M340" s="6" t="n">
        <v>42</v>
      </c>
      <c r="N340" s="6" t="n">
        <v>1</v>
      </c>
      <c r="O340" s="6" t="n"/>
      <c r="P340" s="6" t="n">
        <v>6500</v>
      </c>
      <c r="Q340" s="6" t="n">
        <v>0.875</v>
      </c>
      <c r="R340">
        <f>M340+IF(N340&gt;1,N(O340)*(N340-1),0)</f>
        <v/>
      </c>
      <c r="S340">
        <f>IFERROR(L340*MAX(N340,1)/R340*Q340*IF(ISBLANK(K338),1,K338),0)</f>
        <v/>
      </c>
      <c r="AB340" s="7" t="inlineStr">
        <is>
          <t>^LightMissile, ^MediumMissile, ^D2KRocket</t>
        </is>
      </c>
    </row>
    <row r="341">
      <c r="B341" s="7" t="inlineStr">
        <is>
          <t xml:space="preserve">  ↳ D2K_APC_Rocket_AA</t>
        </is>
      </c>
      <c r="C341" s="7" t="inlineStr">
        <is>
          <t>Armament@aa2</t>
        </is>
      </c>
      <c r="L341" s="6" t="n">
        <v>8000</v>
      </c>
      <c r="M341" s="6" t="n">
        <v>42</v>
      </c>
      <c r="N341" s="6" t="n">
        <v>1</v>
      </c>
      <c r="O341" s="6" t="n"/>
      <c r="P341" s="6" t="n">
        <v>6500</v>
      </c>
      <c r="Q341" s="6" t="n">
        <v>0.875</v>
      </c>
      <c r="R341">
        <f>M341+IF(N341&gt;1,N(O341)*(N341-1),0)</f>
        <v/>
      </c>
      <c r="S341">
        <f>IFERROR(L341*MAX(N341,1)/R341*Q341*IF(ISBLANK(K338),1,K338),0)</f>
        <v/>
      </c>
      <c r="AB341" s="7" t="inlineStr">
        <is>
          <t>^LightMissile, ^MediumMissile, ^D2KRocket</t>
        </is>
      </c>
    </row>
    <row r="342">
      <c r="A342" t="inlineStr">
        <is>
          <t>d2k</t>
        </is>
      </c>
      <c r="B342" t="inlineStr">
        <is>
          <t>ixian_railgundrone</t>
        </is>
      </c>
      <c r="C342" t="inlineStr">
        <is>
          <t>Ixian Railgun Drone</t>
        </is>
      </c>
      <c r="D342" s="6" t="inlineStr">
        <is>
          <t>Helicopter</t>
        </is>
      </c>
      <c r="E342" s="6" t="n">
        <v>30000</v>
      </c>
      <c r="F342" s="6" t="n">
        <v>170</v>
      </c>
      <c r="G342" t="inlineStr">
        <is>
          <t>Helicopter</t>
        </is>
      </c>
      <c r="H342" s="6" t="n">
        <v>1</v>
      </c>
      <c r="I342" s="6" t="n">
        <v>1</v>
      </c>
      <c r="J342" s="6" t="n">
        <v>1</v>
      </c>
      <c r="K342" s="6" t="n"/>
      <c r="P342">
        <f>MAX(P343)</f>
        <v/>
      </c>
      <c r="S342">
        <f>S343</f>
        <v/>
      </c>
      <c r="T342">
        <f>(E342/100000+F342/100+(P342/1000)*J342/5+S342/200)*200*I342*H342</f>
        <v/>
      </c>
      <c r="U342">
        <f>((E342*F342/25000)+((P342/1000)*J342*S342/2.5))*I342*H342</f>
        <v/>
      </c>
      <c r="V342">
        <f>(E342*F342*(P342/1000)*J342*S342*I342*H342)/12500000</f>
        <v/>
      </c>
      <c r="W342">
        <f>(T342+U342+V342)/3</f>
        <v/>
      </c>
      <c r="X342" s="6" t="n">
        <v>2000</v>
      </c>
      <c r="Y342">
        <f>IFERROR(W342-X342,"")</f>
        <v/>
      </c>
      <c r="Z342">
        <f>IFERROR(ABS(Y342)/MAX(X342,1),"")</f>
        <v/>
      </c>
      <c r="AA342">
        <f>IFERROR((X342-(((E342/100000+F342/100+S342/200)*200*I342*H342)+((E342*F342/25000)*I342*H342))/3)/(((J342/5)*200*I342*H342)+((J342*S342/2.5)*I342*H342)+((E342*F342*J342*S342*I342*H342)/12500000))/3*1000,"")</f>
        <v/>
      </c>
    </row>
    <row r="343">
      <c r="B343" s="7" t="inlineStr">
        <is>
          <t xml:space="preserve">  ↳ IxRailgunDroneBullet</t>
        </is>
      </c>
      <c r="C343" s="7" t="inlineStr">
        <is>
          <t>Armament@PRIMARY</t>
        </is>
      </c>
      <c r="L343" s="6" t="n">
        <v>6000</v>
      </c>
      <c r="M343" s="6" t="n">
        <v>24</v>
      </c>
      <c r="N343" s="6" t="n">
        <v>1</v>
      </c>
      <c r="O343" s="6" t="n"/>
      <c r="P343" s="6" t="n">
        <v>6034</v>
      </c>
      <c r="Q343" s="6" t="n">
        <v>1.125</v>
      </c>
      <c r="R343">
        <f>M343+IF(N343&gt;1,N(O343)*(N343-1),0)</f>
        <v/>
      </c>
      <c r="S343">
        <f>IFERROR(L343*MAX(N343,1)/R343*Q343*IF(ISBLANK(K342),1,K342),0)</f>
        <v/>
      </c>
      <c r="AB343" s="7" t="inlineStr">
        <is>
          <t>^FlakWeapon, ^TankDestroyerCannon, ^RailgunWeapon, ^D2K_Cannon</t>
        </is>
      </c>
    </row>
    <row r="344">
      <c r="A344" t="inlineStr">
        <is>
          <t>d2k</t>
        </is>
      </c>
      <c r="B344" t="inlineStr">
        <is>
          <t>ixian_resonancedrone</t>
        </is>
      </c>
      <c r="C344" t="inlineStr">
        <is>
          <t>Ixian Resonance Drone</t>
        </is>
      </c>
      <c r="D344" s="6" t="inlineStr">
        <is>
          <t>Helicopter</t>
        </is>
      </c>
      <c r="E344" s="6" t="n">
        <v>25000</v>
      </c>
      <c r="F344" s="6" t="n">
        <v>125</v>
      </c>
      <c r="G344" t="inlineStr">
        <is>
          <t>Helicopter</t>
        </is>
      </c>
      <c r="H344" s="6" t="n">
        <v>1</v>
      </c>
      <c r="I344" s="6" t="n">
        <v>1</v>
      </c>
      <c r="J344" s="6" t="n">
        <v>1</v>
      </c>
      <c r="K344" s="6" t="n"/>
      <c r="P344">
        <f>MAX(P345)</f>
        <v/>
      </c>
      <c r="S344">
        <f>S345</f>
        <v/>
      </c>
      <c r="T344">
        <f>(E344/100000+F344/100+(P344/1000)*J344/5+S344/200)*200*I344*H344</f>
        <v/>
      </c>
      <c r="U344">
        <f>((E344*F344/25000)+((P344/1000)*J344*S344/2.5))*I344*H344</f>
        <v/>
      </c>
      <c r="V344">
        <f>(E344*F344*(P344/1000)*J344*S344*I344*H344)/12500000</f>
        <v/>
      </c>
      <c r="W344">
        <f>(T344+U344+V344)/3</f>
        <v/>
      </c>
      <c r="X344" s="6" t="n">
        <v>2500</v>
      </c>
      <c r="Y344">
        <f>IFERROR(W344-X344,"")</f>
        <v/>
      </c>
      <c r="Z344">
        <f>IFERROR(ABS(Y344)/MAX(X344,1),"")</f>
        <v/>
      </c>
      <c r="AA344">
        <f>IFERROR((X344-(((E344/100000+F344/100+S344/200)*200*I344*H344)+((E344*F344/25000)*I344*H344))/3)/(((J344/5)*200*I344*H344)+((J344*S344/2.5)*I344*H344)+((E344*F344*J344*S344*I344*H344)/12500000))/3*1000,"")</f>
        <v/>
      </c>
    </row>
    <row r="345">
      <c r="B345" s="7" t="inlineStr">
        <is>
          <t xml:space="preserve">  ↳ ResonanceDroneRepair</t>
        </is>
      </c>
      <c r="C345" s="7" t="inlineStr">
        <is>
          <t>Armament@repair</t>
        </is>
      </c>
      <c r="L345" s="6" t="n">
        <v>-1</v>
      </c>
      <c r="M345" s="6" t="n">
        <v>5</v>
      </c>
      <c r="N345" s="6" t="n">
        <v>10</v>
      </c>
      <c r="O345" s="6" t="n">
        <v>1</v>
      </c>
      <c r="P345" s="6" t="n">
        <v>4500</v>
      </c>
      <c r="Q345" s="6" t="n">
        <v>1.5</v>
      </c>
      <c r="R345">
        <f>M345+IF(N345&gt;1,N(O345)*(N345-1),0)</f>
        <v/>
      </c>
      <c r="S345">
        <f>IFERROR(L345*MAX(N345,1)/R345*Q345*IF(ISBLANK(K344),1,K344),0)</f>
        <v/>
      </c>
      <c r="AB345" s="7" t="inlineStr">
        <is>
          <t>^RepairWeapon</t>
        </is>
      </c>
    </row>
    <row r="346">
      <c r="A346" t="inlineStr">
        <is>
          <t>starcraft</t>
        </is>
      </c>
      <c r="B346" t="inlineStr">
        <is>
          <t>protoss_arbiter</t>
        </is>
      </c>
      <c r="C346" t="inlineStr">
        <is>
          <t>Arbiter</t>
        </is>
      </c>
      <c r="D346" s="6" t="inlineStr">
        <is>
          <t>Helicopter</t>
        </is>
      </c>
      <c r="E346" s="6" t="n">
        <v>225000</v>
      </c>
      <c r="F346" s="6" t="n">
        <v>75</v>
      </c>
      <c r="G346" t="inlineStr">
        <is>
          <t>Helicopter</t>
        </is>
      </c>
      <c r="H346" s="6" t="n">
        <v>1</v>
      </c>
      <c r="I346" s="6" t="n">
        <v>1</v>
      </c>
      <c r="J346" s="6" t="n">
        <v>2</v>
      </c>
      <c r="K346" s="6" t="n"/>
      <c r="P346">
        <f>MAX(P347,P348)</f>
        <v/>
      </c>
      <c r="S346">
        <f>S347+S348</f>
        <v/>
      </c>
      <c r="T346">
        <f>(E346/100000+F346/100+(P346/1000)*J346/5+S346/200)*200*I346*H346</f>
        <v/>
      </c>
      <c r="U346">
        <f>((E346*F346/25000)+((P346/1000)*J346*S346/2.5))*I346*H346</f>
        <v/>
      </c>
      <c r="V346">
        <f>(E346*F346*(P346/1000)*J346*S346*I346*H346)/12500000</f>
        <v/>
      </c>
      <c r="W346">
        <f>(T346+U346+V346)/3</f>
        <v/>
      </c>
      <c r="X346" s="6" t="n">
        <v>4800</v>
      </c>
      <c r="Y346">
        <f>IFERROR(W346-X346,"")</f>
        <v/>
      </c>
      <c r="Z346">
        <f>IFERROR(ABS(Y346)/MAX(X346,1),"")</f>
        <v/>
      </c>
      <c r="AA346">
        <f>IFERROR((X346-(((E346/100000+F346/100+S346/200)*200*I346*H346)+((E346*F346/25000)*I346*H346))/3)/(((J346/5)*200*I346*H346)+((J346*S346/2.5)*I346*H346)+((E346*F346*J346*S346*I346*H346)/12500000))/3*1000,"")</f>
        <v/>
      </c>
    </row>
    <row r="347">
      <c r="B347" s="7" t="inlineStr">
        <is>
          <t xml:space="preserve">  ↳ ArbiterCannon</t>
        </is>
      </c>
      <c r="C347" s="7" t="inlineStr">
        <is>
          <t>Armament</t>
        </is>
      </c>
      <c r="L347" s="6" t="n">
        <v>10000</v>
      </c>
      <c r="M347" s="6" t="n">
        <v>25</v>
      </c>
      <c r="N347" s="6" t="n">
        <v>1</v>
      </c>
      <c r="O347" s="6" t="n"/>
      <c r="P347" s="6" t="n">
        <v>4280</v>
      </c>
      <c r="Q347" s="6" t="n">
        <v>1.083333333333333</v>
      </c>
      <c r="R347">
        <f>M347+IF(N347&gt;1,N(O347)*(N347-1),0)</f>
        <v/>
      </c>
      <c r="S347">
        <f>IFERROR(L347*MAX(N347,1)/R347*Q347*IF(ISBLANK(K346),1,K346),0)</f>
        <v/>
      </c>
      <c r="AB347" s="7" t="inlineStr">
        <is>
          <t>^FlakWeapon, ^HeavyCannon, ^MediumCannon, ^TankDestroyerCannon</t>
        </is>
      </c>
    </row>
    <row r="348">
      <c r="B348" s="7" t="inlineStr">
        <is>
          <t xml:space="preserve">  ↳ ArbiterStasis</t>
        </is>
      </c>
      <c r="C348" s="7" t="inlineStr">
        <is>
          <t>Armament@2</t>
        </is>
      </c>
      <c r="L348" s="6" t="n"/>
      <c r="M348" s="6" t="n">
        <v>250</v>
      </c>
      <c r="N348" s="6" t="n">
        <v>1</v>
      </c>
      <c r="O348" s="6" t="n"/>
      <c r="P348" s="6" t="n">
        <v>4280</v>
      </c>
      <c r="Q348" s="6" t="n">
        <v>1</v>
      </c>
      <c r="R348">
        <f>M348+IF(N348&gt;1,N(O348)*(N348-1),0)</f>
        <v/>
      </c>
      <c r="S348">
        <f>IFERROR(L348*MAX(N348,1)/R348*Q348*IF(ISBLANK(K346),1,K346),0)</f>
        <v/>
      </c>
      <c r="AB348" s="7" t="inlineStr"/>
    </row>
    <row r="349">
      <c r="A349" t="inlineStr">
        <is>
          <t>starcraft</t>
        </is>
      </c>
      <c r="B349" t="inlineStr">
        <is>
          <t>protoss_corsair</t>
        </is>
      </c>
      <c r="C349" t="inlineStr">
        <is>
          <t>Corsair</t>
        </is>
      </c>
      <c r="D349" s="6" t="inlineStr">
        <is>
          <t>Helicopter</t>
        </is>
      </c>
      <c r="E349" s="6" t="n">
        <v>125000</v>
      </c>
      <c r="F349" s="6" t="n">
        <v>125</v>
      </c>
      <c r="G349" t="inlineStr">
        <is>
          <t>Helicopter</t>
        </is>
      </c>
      <c r="H349" s="6" t="n">
        <v>1</v>
      </c>
      <c r="I349" s="6" t="n">
        <v>1</v>
      </c>
      <c r="J349" s="6" t="n">
        <v>2</v>
      </c>
      <c r="K349" s="6" t="n"/>
      <c r="P349">
        <f>MAX(P350,P351,P352)</f>
        <v/>
      </c>
      <c r="S349">
        <f>S350+S351+S352</f>
        <v/>
      </c>
      <c r="T349">
        <f>(E349/100000+F349/100+(P349/1000)*J349/5+S349/200)*200*I349*H349</f>
        <v/>
      </c>
      <c r="U349">
        <f>((E349*F349/25000)+((P349/1000)*J349*S349/2.5))*I349*H349</f>
        <v/>
      </c>
      <c r="V349">
        <f>(E349*F349*(P349/1000)*J349*S349*I349*H349)/12500000</f>
        <v/>
      </c>
      <c r="W349">
        <f>(T349+U349+V349)/3</f>
        <v/>
      </c>
      <c r="X349" s="6" t="n">
        <v>2100</v>
      </c>
      <c r="Y349">
        <f>IFERROR(W349-X349,"")</f>
        <v/>
      </c>
      <c r="Z349">
        <f>IFERROR(ABS(Y349)/MAX(X349,1),"")</f>
        <v/>
      </c>
      <c r="AA349">
        <f>IFERROR((X349-(((E349/100000+F349/100+S349/200)*200*I349*H349)+((E349*F349/25000)*I349*H349))/3)/(((J349/5)*200*I349*H349)+((J349*S349/2.5)*I349*H349)+((E349*F349*J349*S349*I349*H349)/12500000))/3*1000,"")</f>
        <v/>
      </c>
    </row>
    <row r="350">
      <c r="B350" s="7" t="inlineStr">
        <is>
          <t xml:space="preserve">  ↳ CorsairEMP</t>
        </is>
      </c>
      <c r="C350" s="7" t="inlineStr">
        <is>
          <t>Armament@PRIMARY</t>
        </is>
      </c>
      <c r="L350" s="6" t="n">
        <v>5000</v>
      </c>
      <c r="M350" s="6" t="n">
        <v>250</v>
      </c>
      <c r="N350" s="6" t="n">
        <v>1</v>
      </c>
      <c r="O350" s="6" t="n"/>
      <c r="P350" s="6" t="n">
        <v>5500</v>
      </c>
      <c r="Q350" s="6" t="n">
        <v>1</v>
      </c>
      <c r="R350">
        <f>M350+IF(N350&gt;1,N(O350)*(N350-1),0)</f>
        <v/>
      </c>
      <c r="S350">
        <f>IFERROR(L350*MAX(N350,1)/R350*Q350*IF(ISBLANK(K349),1,K349),0)</f>
        <v/>
      </c>
      <c r="AB350" s="7" t="inlineStr">
        <is>
          <t>^TeslaChargedWeapon</t>
        </is>
      </c>
    </row>
    <row r="351">
      <c r="B351" s="7" t="inlineStr">
        <is>
          <t xml:space="preserve">  ↳ CorsairFlash</t>
        </is>
      </c>
      <c r="C351" s="7" t="inlineStr">
        <is>
          <t>Armament@SECONDARY1</t>
        </is>
      </c>
      <c r="L351" s="6" t="n">
        <v>2000</v>
      </c>
      <c r="M351" s="6" t="n">
        <v>65</v>
      </c>
      <c r="N351" s="6" t="n">
        <v>1</v>
      </c>
      <c r="O351" s="6" t="n"/>
      <c r="P351" s="6" t="n">
        <v>5500</v>
      </c>
      <c r="Q351" s="6" t="n">
        <v>1.0625</v>
      </c>
      <c r="R351">
        <f>M351+IF(N351&gt;1,N(O351)*(N351-1),0)</f>
        <v/>
      </c>
      <c r="S351">
        <f>IFERROR(L351*MAX(N351,1)/R351*Q351*IF(ISBLANK(K349),1,K349),0)</f>
        <v/>
      </c>
      <c r="AB351" s="7" t="inlineStr">
        <is>
          <t>^Grenade, ^HeavyCannon, ^FlakWeapon, ^RA2Chaingun</t>
        </is>
      </c>
    </row>
    <row r="352">
      <c r="B352" s="7" t="inlineStr">
        <is>
          <t xml:space="preserve">  ↳ CorsairFlash</t>
        </is>
      </c>
      <c r="C352" s="7" t="inlineStr">
        <is>
          <t>Armament@SECONDARY2</t>
        </is>
      </c>
      <c r="L352" s="6" t="n">
        <v>2000</v>
      </c>
      <c r="M352" s="6" t="n">
        <v>65</v>
      </c>
      <c r="N352" s="6" t="n">
        <v>1</v>
      </c>
      <c r="O352" s="6" t="n"/>
      <c r="P352" s="6" t="n">
        <v>5500</v>
      </c>
      <c r="Q352" s="6" t="n">
        <v>1.0625</v>
      </c>
      <c r="R352">
        <f>M352+IF(N352&gt;1,N(O352)*(N352-1),0)</f>
        <v/>
      </c>
      <c r="S352">
        <f>IFERROR(L352*MAX(N352,1)/R352*Q352*IF(ISBLANK(K349),1,K349),0)</f>
        <v/>
      </c>
      <c r="AB352" s="7" t="inlineStr">
        <is>
          <t>^Grenade, ^HeavyCannon, ^FlakWeapon, ^RA2Chaingun</t>
        </is>
      </c>
    </row>
    <row r="353">
      <c r="A353" t="inlineStr">
        <is>
          <t>starcraft</t>
        </is>
      </c>
      <c r="B353" t="inlineStr">
        <is>
          <t>protoss_epigraph</t>
        </is>
      </c>
      <c r="C353" t="inlineStr">
        <is>
          <t>Epigraph</t>
        </is>
      </c>
      <c r="D353" s="6" t="inlineStr">
        <is>
          <t>Helicopter</t>
        </is>
      </c>
      <c r="E353" s="6" t="n">
        <v>200000</v>
      </c>
      <c r="F353" s="6" t="n">
        <v>100</v>
      </c>
      <c r="G353" t="inlineStr">
        <is>
          <t>Helicopter</t>
        </is>
      </c>
      <c r="H353" s="6" t="n">
        <v>1</v>
      </c>
      <c r="I353" s="6" t="n">
        <v>1</v>
      </c>
      <c r="J353" s="6" t="n">
        <v>1</v>
      </c>
      <c r="K353" s="6" t="n">
        <v>0.5</v>
      </c>
      <c r="P353">
        <f>MAX(P354,P355)</f>
        <v/>
      </c>
      <c r="S353">
        <f>S354+S355</f>
        <v/>
      </c>
      <c r="T353">
        <f>(E353/100000+F353/100+(P353/1000)*J353/5+S353/200)*200*I353*H353</f>
        <v/>
      </c>
      <c r="U353">
        <f>((E353*F353/25000)+((P353/1000)*J353*S353/2.5))*I353*H353</f>
        <v/>
      </c>
      <c r="V353">
        <f>(E353*F353*(P353/1000)*J353*S353*I353*H353)/12500000</f>
        <v/>
      </c>
      <c r="W353">
        <f>(T353+U353+V353)/3</f>
        <v/>
      </c>
      <c r="X353" s="6" t="n">
        <v>2600</v>
      </c>
      <c r="Y353">
        <f>IFERROR(W353-X353,"")</f>
        <v/>
      </c>
      <c r="Z353">
        <f>IFERROR(ABS(Y353)/MAX(X353,1),"")</f>
        <v/>
      </c>
      <c r="AA353">
        <f>IFERROR((X353-(((E353/100000+F353/100+S353/200)*200*I353*H353)+((E353*F353/25000)*I353*H353))/3)/(((J353/5)*200*I353*H353)+((J353*S353/2.5)*I353*H353)+((E353*F353*J353*S353*I353*H353)/12500000))/3*1000,"")</f>
        <v/>
      </c>
    </row>
    <row r="354">
      <c r="B354" s="7" t="inlineStr">
        <is>
          <t xml:space="preserve">  ↳ EpigraphMG</t>
        </is>
      </c>
      <c r="C354" s="7" t="inlineStr">
        <is>
          <t>Armament@PRIMARY</t>
        </is>
      </c>
      <c r="L354" s="6" t="n">
        <v>2000</v>
      </c>
      <c r="M354" s="6" t="n">
        <v>36</v>
      </c>
      <c r="N354" s="6" t="n">
        <v>1</v>
      </c>
      <c r="O354" s="6" t="n"/>
      <c r="P354" s="6" t="n">
        <v>5077</v>
      </c>
      <c r="Q354" s="6" t="n">
        <v>1.055555555555556</v>
      </c>
      <c r="R354">
        <f>M354+IF(N354&gt;1,N(O354)*(N354-1),0)</f>
        <v/>
      </c>
      <c r="S354">
        <f>IFERROR(L354*MAX(N354,1)/R354*Q354*IF(ISBLANK(K353),1,K353),0)</f>
        <v/>
      </c>
      <c r="AB354" s="7" t="inlineStr">
        <is>
          <t>^Grenade, ^ArrowWeapon, ^LightMissile, ^MediumMissile, ^HeavyMissile, ^MediumChemicalWeapon, ^HeavyAAWeapon, ^HeavyCannon, ^FlakWeapon, ^Chaingun</t>
        </is>
      </c>
    </row>
    <row r="355">
      <c r="B355" s="7" t="inlineStr">
        <is>
          <t xml:space="preserve">  ↳ EpigraphMG</t>
        </is>
      </c>
      <c r="C355" s="7" t="inlineStr">
        <is>
          <t>Armament@SECONDARY</t>
        </is>
      </c>
      <c r="L355" s="6" t="n">
        <v>2000</v>
      </c>
      <c r="M355" s="6" t="n">
        <v>36</v>
      </c>
      <c r="N355" s="6" t="n">
        <v>1</v>
      </c>
      <c r="O355" s="6" t="n"/>
      <c r="P355" s="6" t="n">
        <v>5077</v>
      </c>
      <c r="Q355" s="6" t="n">
        <v>1.055555555555556</v>
      </c>
      <c r="R355">
        <f>M355+IF(N355&gt;1,N(O355)*(N355-1),0)</f>
        <v/>
      </c>
      <c r="S355">
        <f>IFERROR(L355*MAX(N355,1)/R355*Q355*IF(ISBLANK(K353),1,K353),0)</f>
        <v/>
      </c>
      <c r="AB355" s="7" t="inlineStr">
        <is>
          <t>^Grenade, ^ArrowWeapon, ^LightMissile, ^MediumMissile, ^HeavyMissile, ^MediumChemicalWeapon, ^HeavyAAWeapon, ^HeavyCannon, ^FlakWeapon, ^Chaingun</t>
        </is>
      </c>
    </row>
    <row r="356">
      <c r="A356" t="inlineStr">
        <is>
          <t>starcraft</t>
        </is>
      </c>
      <c r="B356" t="inlineStr">
        <is>
          <t>protoss_gladius</t>
        </is>
      </c>
      <c r="C356" t="inlineStr">
        <is>
          <t>Gladius</t>
        </is>
      </c>
      <c r="D356" s="6" t="inlineStr">
        <is>
          <t>Helicopter</t>
        </is>
      </c>
      <c r="E356" s="6" t="n">
        <v>100000</v>
      </c>
      <c r="F356" s="6" t="n">
        <v>50</v>
      </c>
      <c r="G356" t="inlineStr">
        <is>
          <t>Helicopter</t>
        </is>
      </c>
      <c r="H356" s="6" t="n">
        <v>1</v>
      </c>
      <c r="I356" s="6" t="n">
        <v>1</v>
      </c>
      <c r="J356" s="6" t="n">
        <v>1</v>
      </c>
      <c r="K356" s="6" t="n">
        <v>0.5</v>
      </c>
      <c r="P356">
        <f>MAX(P357)</f>
        <v/>
      </c>
      <c r="S356">
        <f>S357</f>
        <v/>
      </c>
      <c r="T356">
        <f>(E356/100000+F356/100+(P356/1000)*J356/5+S356/200)*200*I356*H356</f>
        <v/>
      </c>
      <c r="U356">
        <f>((E356*F356/25000)+((P356/1000)*J356*S356/2.5))*I356*H356</f>
        <v/>
      </c>
      <c r="V356">
        <f>(E356*F356*(P356/1000)*J356*S356*I356*H356)/12500000</f>
        <v/>
      </c>
      <c r="W356">
        <f>(T356+U356+V356)/3</f>
        <v/>
      </c>
      <c r="X356" s="6" t="n">
        <v>1800</v>
      </c>
      <c r="Y356">
        <f>IFERROR(W356-X356,"")</f>
        <v/>
      </c>
      <c r="Z356">
        <f>IFERROR(ABS(Y356)/MAX(X356,1),"")</f>
        <v/>
      </c>
      <c r="AA356">
        <f>IFERROR((X356-(((E356/100000+F356/100+S356/200)*200*I356*H356)+((E356*F356/25000)*I356*H356))/3)/(((J356/5)*200*I356*H356)+((J356*S356/2.5)*I356*H356)+((E356*F356*J356*S356*I356*H356)/12500000))/3*1000,"")</f>
        <v/>
      </c>
    </row>
    <row r="357">
      <c r="B357" s="7" t="inlineStr">
        <is>
          <t xml:space="preserve">  ↳ GladiusCannon</t>
        </is>
      </c>
      <c r="C357" s="7" t="inlineStr">
        <is>
          <t>Armament</t>
        </is>
      </c>
      <c r="L357" s="6" t="n">
        <v>10000</v>
      </c>
      <c r="M357" s="6" t="n">
        <v>80</v>
      </c>
      <c r="N357" s="6" t="n">
        <v>1</v>
      </c>
      <c r="O357" s="6" t="n"/>
      <c r="P357" s="6" t="n">
        <v>10000</v>
      </c>
      <c r="Q357" s="6" t="n">
        <v>1.035714285714286</v>
      </c>
      <c r="R357">
        <f>M357+IF(N357&gt;1,N(O357)*(N357-1),0)</f>
        <v/>
      </c>
      <c r="S357">
        <f>IFERROR(L357*MAX(N357,1)/R357*Q357*IF(ISBLANK(K356),1,K356),0)</f>
        <v/>
      </c>
      <c r="AB357" s="7" t="inlineStr">
        <is>
          <t>^LightFlameWeapon, ^MediumChemicalWeapon, ^HeavyFlameWeapon, ^ShrapnelWeapon, ^FlakWeapon, ^HeavyCannon, ^MediumCannon, ^TankDestroyerCannon</t>
        </is>
      </c>
    </row>
    <row r="358">
      <c r="A358" t="inlineStr">
        <is>
          <t>starcraft</t>
        </is>
      </c>
      <c r="B358" t="inlineStr">
        <is>
          <t>protoss_observer</t>
        </is>
      </c>
      <c r="C358" t="inlineStr">
        <is>
          <t>Observer</t>
        </is>
      </c>
      <c r="D358" s="6" t="inlineStr">
        <is>
          <t>Helicopter</t>
        </is>
      </c>
      <c r="E358" s="6" t="n">
        <v>12500</v>
      </c>
      <c r="F358" s="6" t="n">
        <v>60</v>
      </c>
      <c r="G358" t="inlineStr">
        <is>
          <t>Helicopter</t>
        </is>
      </c>
      <c r="H358" s="6" t="n">
        <v>1</v>
      </c>
      <c r="I358" s="6" t="n">
        <v>1</v>
      </c>
      <c r="J358" s="6" t="n">
        <v>1</v>
      </c>
      <c r="K358" s="6" t="n"/>
      <c r="X358" s="6" t="n">
        <v>500</v>
      </c>
    </row>
    <row r="359">
      <c r="A359" t="inlineStr">
        <is>
          <t>starcraft</t>
        </is>
      </c>
      <c r="B359" t="inlineStr">
        <is>
          <t>protoss_scout</t>
        </is>
      </c>
      <c r="C359" t="inlineStr">
        <is>
          <t>Scout</t>
        </is>
      </c>
      <c r="D359" s="6" t="inlineStr">
        <is>
          <t>Helicopter</t>
        </is>
      </c>
      <c r="E359" s="6" t="n">
        <v>75000</v>
      </c>
      <c r="F359" s="6" t="n">
        <v>150</v>
      </c>
      <c r="G359" t="inlineStr">
        <is>
          <t>Helicopter</t>
        </is>
      </c>
      <c r="H359" s="6" t="n">
        <v>1</v>
      </c>
      <c r="I359" s="6" t="n">
        <v>1</v>
      </c>
      <c r="J359" s="6" t="n">
        <v>1</v>
      </c>
      <c r="K359" s="6" t="n"/>
      <c r="P359">
        <f>MAX(P360,P361,P362,P363)</f>
        <v/>
      </c>
      <c r="S359">
        <f>S360+S361+S362+S363</f>
        <v/>
      </c>
      <c r="T359">
        <f>(E359/100000+F359/100+(P359/1000)*J359/5+S359/200)*200*I359*H359</f>
        <v/>
      </c>
      <c r="U359">
        <f>((E359*F359/25000)+((P359/1000)*J359*S359/2.5))*I359*H359</f>
        <v/>
      </c>
      <c r="V359">
        <f>(E359*F359*(P359/1000)*J359*S359*I359*H359)/12500000</f>
        <v/>
      </c>
      <c r="W359">
        <f>(T359+U359+V359)/3</f>
        <v/>
      </c>
      <c r="X359" s="6" t="n">
        <v>1500</v>
      </c>
      <c r="Y359">
        <f>IFERROR(W359-X359,"")</f>
        <v/>
      </c>
      <c r="Z359">
        <f>IFERROR(ABS(Y359)/MAX(X359,1),"")</f>
        <v/>
      </c>
      <c r="AA359">
        <f>IFERROR((X359-(((E359/100000+F359/100+S359/200)*200*I359*H359)+((E359*F359/25000)*I359*H359))/3)/(((J359/5)*200*I359*H359)+((J359*S359/2.5)*I359*H359)+((E359*F359*J359*S359*I359*H359)/12500000))/3*1000,"")</f>
        <v/>
      </c>
    </row>
    <row r="360">
      <c r="B360" s="7" t="inlineStr">
        <is>
          <t xml:space="preserve">  ↳ ScoutMG</t>
        </is>
      </c>
      <c r="C360" s="7" t="inlineStr">
        <is>
          <t>Armament@PRIMARY1</t>
        </is>
      </c>
      <c r="L360" s="6" t="n">
        <v>2000</v>
      </c>
      <c r="M360" s="6" t="n">
        <v>32</v>
      </c>
      <c r="N360" s="6" t="n">
        <v>1</v>
      </c>
      <c r="O360" s="6" t="n"/>
      <c r="P360" s="6" t="n">
        <v>4500</v>
      </c>
      <c r="Q360" s="6" t="n">
        <v>1.0625</v>
      </c>
      <c r="R360">
        <f>M360+IF(N360&gt;1,N(O360)*(N360-1),0)</f>
        <v/>
      </c>
      <c r="S360">
        <f>IFERROR(L360*MAX(N360,1)/R360*Q360*IF(ISBLANK(K359),1,K359),0)</f>
        <v/>
      </c>
      <c r="AB360" s="7" t="inlineStr">
        <is>
          <t>^Grenade, ^HeavyCannon, ^FlakWeapon, ^RA2Chaingun</t>
        </is>
      </c>
    </row>
    <row r="361">
      <c r="B361" s="7" t="inlineStr">
        <is>
          <t xml:space="preserve">  ↳ ScoutMG</t>
        </is>
      </c>
      <c r="C361" s="7" t="inlineStr">
        <is>
          <t>Armament@PRIMARY2</t>
        </is>
      </c>
      <c r="L361" s="6" t="n">
        <v>2000</v>
      </c>
      <c r="M361" s="6" t="n">
        <v>32</v>
      </c>
      <c r="N361" s="6" t="n">
        <v>1</v>
      </c>
      <c r="O361" s="6" t="n"/>
      <c r="P361" s="6" t="n">
        <v>4500</v>
      </c>
      <c r="Q361" s="6" t="n">
        <v>1.0625</v>
      </c>
      <c r="R361">
        <f>M361+IF(N361&gt;1,N(O361)*(N361-1),0)</f>
        <v/>
      </c>
      <c r="S361">
        <f>IFERROR(L361*MAX(N361,1)/R361*Q361*IF(ISBLANK(K359),1,K359),0)</f>
        <v/>
      </c>
      <c r="AB361" s="7" t="inlineStr">
        <is>
          <t>^Grenade, ^HeavyCannon, ^FlakWeapon, ^RA2Chaingun</t>
        </is>
      </c>
    </row>
    <row r="362">
      <c r="B362" s="7" t="inlineStr">
        <is>
          <t xml:space="preserve">  ↳ ScoutRockets</t>
        </is>
      </c>
      <c r="C362" s="7" t="inlineStr">
        <is>
          <t>Armament@SECONDARY1</t>
        </is>
      </c>
      <c r="L362" s="6" t="n">
        <v>2000</v>
      </c>
      <c r="M362" s="6" t="n">
        <v>40</v>
      </c>
      <c r="N362" s="6" t="n">
        <v>1</v>
      </c>
      <c r="O362" s="6" t="n"/>
      <c r="P362" s="6" t="n">
        <v>4500</v>
      </c>
      <c r="Q362" s="6" t="n">
        <v>0.9375</v>
      </c>
      <c r="R362">
        <f>M362+IF(N362&gt;1,N(O362)*(N362-1),0)</f>
        <v/>
      </c>
      <c r="S362">
        <f>IFERROR(L362*MAX(N362,1)/R362*Q362*IF(ISBLANK(K359),1,K359),0)</f>
        <v/>
      </c>
      <c r="AB362" s="7" t="inlineStr">
        <is>
          <t>^Chaingun, ^FlakWeapon, ^LightMissile, ^MediumMissile, ^D2KRocket</t>
        </is>
      </c>
    </row>
    <row r="363">
      <c r="B363" s="7" t="inlineStr">
        <is>
          <t xml:space="preserve">  ↳ ScoutRockets</t>
        </is>
      </c>
      <c r="C363" s="7" t="inlineStr">
        <is>
          <t>Armament@SECONDARY2</t>
        </is>
      </c>
      <c r="L363" s="6" t="n">
        <v>2000</v>
      </c>
      <c r="M363" s="6" t="n">
        <v>40</v>
      </c>
      <c r="N363" s="6" t="n">
        <v>1</v>
      </c>
      <c r="O363" s="6" t="n"/>
      <c r="P363" s="6" t="n">
        <v>4500</v>
      </c>
      <c r="Q363" s="6" t="n">
        <v>0.9375</v>
      </c>
      <c r="R363">
        <f>M363+IF(N363&gt;1,N(O363)*(N363-1),0)</f>
        <v/>
      </c>
      <c r="S363">
        <f>IFERROR(L363*MAX(N363,1)/R363*Q363*IF(ISBLANK(K359),1,K359),0)</f>
        <v/>
      </c>
      <c r="AB363" s="7" t="inlineStr">
        <is>
          <t>^Chaingun, ^FlakWeapon, ^LightMissile, ^MediumMissile, ^D2KRocket</t>
        </is>
      </c>
    </row>
    <row r="364">
      <c r="A364" t="inlineStr">
        <is>
          <t>starcraft</t>
        </is>
      </c>
      <c r="B364" t="inlineStr">
        <is>
          <t>protoss_voidray</t>
        </is>
      </c>
      <c r="C364" t="inlineStr">
        <is>
          <t>Void Ray</t>
        </is>
      </c>
      <c r="D364" s="6" t="inlineStr">
        <is>
          <t>Helicopter</t>
        </is>
      </c>
      <c r="E364" s="6" t="n">
        <v>70000</v>
      </c>
      <c r="F364" s="6" t="n">
        <v>140</v>
      </c>
      <c r="G364" t="inlineStr">
        <is>
          <t>Helicopter</t>
        </is>
      </c>
      <c r="H364" s="6" t="n">
        <v>1</v>
      </c>
      <c r="I364" s="6" t="n">
        <v>1</v>
      </c>
      <c r="J364" s="6" t="n">
        <v>1.5</v>
      </c>
      <c r="K364" s="6" t="n">
        <v>0.09</v>
      </c>
      <c r="P364">
        <f>MAX(P365)</f>
        <v/>
      </c>
      <c r="S364">
        <f>S365</f>
        <v/>
      </c>
      <c r="T364">
        <f>(E364/100000+F364/100+(P364/1000)*J364/5+S364/200)*200*I364*H364</f>
        <v/>
      </c>
      <c r="U364">
        <f>((E364*F364/25000)+((P364/1000)*J364*S364/2.5))*I364*H364</f>
        <v/>
      </c>
      <c r="V364">
        <f>(E364*F364*(P364/1000)*J364*S364*I364*H364)/12500000</f>
        <v/>
      </c>
      <c r="W364">
        <f>(T364+U364+V364)/3</f>
        <v/>
      </c>
      <c r="X364" s="6" t="n">
        <v>1400</v>
      </c>
      <c r="Y364">
        <f>IFERROR(W364-X364,"")</f>
        <v/>
      </c>
      <c r="Z364">
        <f>IFERROR(ABS(Y364)/MAX(X364,1),"")</f>
        <v/>
      </c>
      <c r="AA364">
        <f>IFERROR((X364-(((E364/100000+F364/100+S364/200)*200*I364*H364)+((E364*F364/25000)*I364*H364))/3)/(((J364/5)*200*I364*H364)+((J364*S364/2.5)*I364*H364)+((E364*F364*J364*S364*I364*H364)/12500000))/3*1000,"")</f>
        <v/>
      </c>
    </row>
    <row r="365">
      <c r="B365" s="7" t="inlineStr">
        <is>
          <t xml:space="preserve">  ↳ VoidRayBeam</t>
        </is>
      </c>
      <c r="C365" s="7" t="inlineStr">
        <is>
          <t>Armament</t>
        </is>
      </c>
      <c r="L365" s="6" t="n">
        <v>2000</v>
      </c>
      <c r="M365" s="6" t="n">
        <v>6</v>
      </c>
      <c r="N365" s="6" t="n">
        <v>1</v>
      </c>
      <c r="O365" s="6" t="n"/>
      <c r="P365" s="6" t="n">
        <v>6474</v>
      </c>
      <c r="Q365" s="6" t="n">
        <v>0.9166666666666666</v>
      </c>
      <c r="R365">
        <f>M365+IF(N365&gt;1,N(O365)*(N365-1),0)</f>
        <v/>
      </c>
      <c r="S365">
        <f>IFERROR(L365*MAX(N365,1)/R365*Q365*IF(ISBLANK(K364),1,K364),0)</f>
        <v/>
      </c>
      <c r="AB365" s="7" t="inlineStr">
        <is>
          <t>^LightMissile, ^SmallArms, ^Chaingun, ^FlakWeapon, ^TeslaWeapon, ^LaserWeapon</t>
        </is>
      </c>
    </row>
    <row r="366">
      <c r="A366" t="inlineStr">
        <is>
          <t>starcraft</t>
        </is>
      </c>
      <c r="B366" t="inlineStr">
        <is>
          <t>zerg_corruptor</t>
        </is>
      </c>
      <c r="C366" t="inlineStr">
        <is>
          <t>Corruptor</t>
        </is>
      </c>
      <c r="D366" s="6" t="inlineStr">
        <is>
          <t>Helicopter</t>
        </is>
      </c>
      <c r="E366" s="6" t="n">
        <v>100000</v>
      </c>
      <c r="F366" s="6" t="n">
        <v>100</v>
      </c>
      <c r="G366" t="inlineStr">
        <is>
          <t>Helicopter</t>
        </is>
      </c>
      <c r="H366" s="6" t="n">
        <v>1</v>
      </c>
      <c r="I366" s="6" t="n">
        <v>1</v>
      </c>
      <c r="J366" s="6" t="n">
        <v>2</v>
      </c>
      <c r="K366" s="6" t="n"/>
      <c r="P366">
        <f>MAX(P367)</f>
        <v/>
      </c>
      <c r="S366">
        <f>S367</f>
        <v/>
      </c>
      <c r="T366">
        <f>(E366/100000+F366/100+(P366/1000)*J366/5+S366/200)*200*I366*H366</f>
        <v/>
      </c>
      <c r="U366">
        <f>((E366*F366/25000)+((P366/1000)*J366*S366/2.5))*I366*H366</f>
        <v/>
      </c>
      <c r="V366">
        <f>(E366*F366*(P366/1000)*J366*S366*I366*H366)/12500000</f>
        <v/>
      </c>
      <c r="W366">
        <f>(T366+U366+V366)/3</f>
        <v/>
      </c>
      <c r="X366" s="6" t="n">
        <v>1500</v>
      </c>
      <c r="Y366">
        <f>IFERROR(W366-X366,"")</f>
        <v/>
      </c>
      <c r="Z366">
        <f>IFERROR(ABS(Y366)/MAX(X366,1),"")</f>
        <v/>
      </c>
      <c r="AA366">
        <f>IFERROR((X366-(((E366/100000+F366/100+S366/200)*200*I366*H366)+((E366*F366/25000)*I366*H366))/3)/(((J366/5)*200*I366*H366)+((J366*S366/2.5)*I366*H366)+((E366*F366*J366*S366*I366*H366)/12500000))/3*1000,"")</f>
        <v/>
      </c>
    </row>
    <row r="367">
      <c r="B367" s="7" t="inlineStr">
        <is>
          <t xml:space="preserve">  ↳ CorruptorSpore</t>
        </is>
      </c>
      <c r="C367" s="7" t="inlineStr">
        <is>
          <t>Armament</t>
        </is>
      </c>
      <c r="L367" s="6" t="n">
        <v>10000</v>
      </c>
      <c r="M367" s="6" t="n">
        <v>50</v>
      </c>
      <c r="N367" s="6" t="n">
        <v>1</v>
      </c>
      <c r="O367" s="6" t="n"/>
      <c r="P367" s="6" t="n">
        <v>6250</v>
      </c>
      <c r="Q367" s="6" t="n">
        <v>1</v>
      </c>
      <c r="R367">
        <f>M367+IF(N367&gt;1,N(O367)*(N367-1),0)</f>
        <v/>
      </c>
      <c r="S367">
        <f>IFERROR(L367*MAX(N367,1)/R367*Q367*IF(ISBLANK(K366),1,K366),0)</f>
        <v/>
      </c>
      <c r="AB367" s="7" t="inlineStr">
        <is>
          <t>^MediumChemicalWeapon</t>
        </is>
      </c>
    </row>
    <row r="368">
      <c r="A368" t="inlineStr">
        <is>
          <t>starcraft</t>
        </is>
      </c>
      <c r="B368" t="inlineStr">
        <is>
          <t>zerg_devourer</t>
        </is>
      </c>
      <c r="C368" t="inlineStr">
        <is>
          <t>Devourer</t>
        </is>
      </c>
      <c r="D368" s="6" t="inlineStr">
        <is>
          <t>Helicopter</t>
        </is>
      </c>
      <c r="E368" s="6" t="n">
        <v>250000</v>
      </c>
      <c r="F368" s="6" t="n">
        <v>90</v>
      </c>
      <c r="G368" t="inlineStr">
        <is>
          <t>Helicopter</t>
        </is>
      </c>
      <c r="H368" s="6" t="n">
        <v>1</v>
      </c>
      <c r="I368" s="6" t="n">
        <v>1</v>
      </c>
      <c r="J368" s="6" t="n">
        <v>2</v>
      </c>
      <c r="K368" s="6" t="n"/>
      <c r="P368">
        <f>MAX(P369)</f>
        <v/>
      </c>
      <c r="S368">
        <f>S369</f>
        <v/>
      </c>
      <c r="T368">
        <f>(E368/100000+F368/100+(P368/1000)*J368/5+S368/200)*200*I368*H368</f>
        <v/>
      </c>
      <c r="U368">
        <f>((E368*F368/25000)+((P368/1000)*J368*S368/2.5))*I368*H368</f>
        <v/>
      </c>
      <c r="V368">
        <f>(E368*F368*(P368/1000)*J368*S368*I368*H368)/12500000</f>
        <v/>
      </c>
      <c r="W368">
        <f>(T368+U368+V368)/3</f>
        <v/>
      </c>
      <c r="X368" s="6" t="n">
        <v>2000</v>
      </c>
      <c r="Y368">
        <f>IFERROR(W368-X368,"")</f>
        <v/>
      </c>
      <c r="Z368">
        <f>IFERROR(ABS(Y368)/MAX(X368,1),"")</f>
        <v/>
      </c>
      <c r="AA368">
        <f>IFERROR((X368-(((E368/100000+F368/100+S368/200)*200*I368*H368)+((E368*F368/25000)*I368*H368))/3)/(((J368/5)*200*I368*H368)+((J368*S368/2.5)*I368*H368)+((E368*F368*J368*S368*I368*H368)/12500000))/3*1000,"")</f>
        <v/>
      </c>
    </row>
    <row r="369">
      <c r="B369" s="7" t="inlineStr">
        <is>
          <t xml:space="preserve">  ↳ SCDevourerAA</t>
        </is>
      </c>
      <c r="C369" s="7" t="inlineStr">
        <is>
          <t>Armament</t>
        </is>
      </c>
      <c r="L369" s="6" t="n">
        <v>20000</v>
      </c>
      <c r="M369" s="6" t="n">
        <v>100</v>
      </c>
      <c r="N369" s="6" t="n">
        <v>1</v>
      </c>
      <c r="O369" s="6" t="n"/>
      <c r="P369" s="6" t="n">
        <v>4444</v>
      </c>
      <c r="Q369" s="6" t="n">
        <v>0.875</v>
      </c>
      <c r="R369">
        <f>M369+IF(N369&gt;1,N(O369)*(N369-1),0)</f>
        <v/>
      </c>
      <c r="S369">
        <f>IFERROR(L369*MAX(N369,1)/R369*Q369*IF(ISBLANK(K368),1,K368),0)</f>
        <v/>
      </c>
      <c r="AB369" s="7" t="inlineStr">
        <is>
          <t>^SwordWeapon, ^MediumChemicalWeapon, ^SmallArms, ^ArrowWeapon</t>
        </is>
      </c>
    </row>
    <row r="370">
      <c r="A370" t="inlineStr">
        <is>
          <t>starcraft</t>
        </is>
      </c>
      <c r="B370" t="inlineStr">
        <is>
          <t>zerg_dreadshroud</t>
        </is>
      </c>
      <c r="C370" t="inlineStr">
        <is>
          <t>Dreadshroud</t>
        </is>
      </c>
      <c r="D370" s="6" t="inlineStr">
        <is>
          <t>Helicopter</t>
        </is>
      </c>
      <c r="E370" s="6" t="n">
        <v>60000</v>
      </c>
      <c r="F370" s="6" t="n">
        <v>120</v>
      </c>
      <c r="G370" t="inlineStr">
        <is>
          <t>Helicopter</t>
        </is>
      </c>
      <c r="H370" s="6" t="n">
        <v>1</v>
      </c>
      <c r="I370" s="6" t="n">
        <v>1</v>
      </c>
      <c r="J370" s="6" t="n">
        <v>2</v>
      </c>
      <c r="K370" s="6" t="n"/>
      <c r="P370">
        <f>MAX(P371)</f>
        <v/>
      </c>
      <c r="S370">
        <f>S371</f>
        <v/>
      </c>
      <c r="T370">
        <f>(E370/100000+F370/100+(P370/1000)*J370/5+S370/200)*200*I370*H370</f>
        <v/>
      </c>
      <c r="U370">
        <f>((E370*F370/25000)+((P370/1000)*J370*S370/2.5))*I370*H370</f>
        <v/>
      </c>
      <c r="V370">
        <f>(E370*F370*(P370/1000)*J370*S370*I370*H370)/12500000</f>
        <v/>
      </c>
      <c r="W370">
        <f>(T370+U370+V370)/3</f>
        <v/>
      </c>
      <c r="X370" s="6" t="n">
        <v>1200</v>
      </c>
      <c r="Y370">
        <f>IFERROR(W370-X370,"")</f>
        <v/>
      </c>
      <c r="Z370">
        <f>IFERROR(ABS(Y370)/MAX(X370,1),"")</f>
        <v/>
      </c>
      <c r="AA370">
        <f>IFERROR((X370-(((E370/100000+F370/100+S370/200)*200*I370*H370)+((E370*F370/25000)*I370*H370))/3)/(((J370/5)*200*I370*H370)+((J370*S370/2.5)*I370*H370)+((E370*F370*J370*S370*I370*H370)/12500000))/3*1000,"")</f>
        <v/>
      </c>
    </row>
    <row r="371">
      <c r="B371" s="7" t="inlineStr">
        <is>
          <t xml:space="preserve">  ↳ DreadshroudSpore</t>
        </is>
      </c>
      <c r="C371" s="7" t="inlineStr">
        <is>
          <t>Armament</t>
        </is>
      </c>
      <c r="L371" s="6" t="n">
        <v>2000</v>
      </c>
      <c r="M371" s="6" t="n">
        <v>60</v>
      </c>
      <c r="N371" s="6" t="n">
        <v>1</v>
      </c>
      <c r="O371" s="6" t="n"/>
      <c r="P371" s="6" t="n">
        <v>5850</v>
      </c>
      <c r="Q371" s="6" t="n">
        <v>0.9583333333333334</v>
      </c>
      <c r="R371">
        <f>M371+IF(N371&gt;1,N(O371)*(N371-1),0)</f>
        <v/>
      </c>
      <c r="S371">
        <f>IFERROR(L371*MAX(N371,1)/R371*Q371*IF(ISBLANK(K370),1,K370),0)</f>
        <v/>
      </c>
      <c r="AB371" s="7" t="inlineStr">
        <is>
          <t>^LightFlameWeapon, ^MediumMissile, ^ShrapnelWeapon, ^FlakWeapon, ^MediumChemicalWeapon, ^LaserWeapon</t>
        </is>
      </c>
    </row>
    <row r="372">
      <c r="A372" t="inlineStr">
        <is>
          <t>starcraft</t>
        </is>
      </c>
      <c r="B372" t="inlineStr">
        <is>
          <t>zerg_gorekraken</t>
        </is>
      </c>
      <c r="C372" t="inlineStr">
        <is>
          <t>Gorekraken</t>
        </is>
      </c>
      <c r="D372" s="6" t="inlineStr">
        <is>
          <t>Helicopter</t>
        </is>
      </c>
      <c r="E372" s="6" t="n">
        <v>350000</v>
      </c>
      <c r="F372" s="6" t="n">
        <v>70</v>
      </c>
      <c r="G372" t="inlineStr">
        <is>
          <t>Helicopter</t>
        </is>
      </c>
      <c r="H372" s="6" t="n">
        <v>1</v>
      </c>
      <c r="I372" s="6" t="n">
        <v>1</v>
      </c>
      <c r="J372" s="6" t="n">
        <v>1</v>
      </c>
      <c r="K372" s="6" t="n"/>
      <c r="P372">
        <f>MAX(P373)</f>
        <v/>
      </c>
      <c r="S372">
        <f>S373</f>
        <v/>
      </c>
      <c r="T372">
        <f>(E372/100000+F372/100+(P372/1000)*J372/5+S372/200)*200*I372*H372</f>
        <v/>
      </c>
      <c r="U372">
        <f>((E372*F372/25000)+((P372/1000)*J372*S372/2.5))*I372*H372</f>
        <v/>
      </c>
      <c r="V372">
        <f>(E372*F372*(P372/1000)*J372*S372*I372*H372)/12500000</f>
        <v/>
      </c>
      <c r="W372">
        <f>(T372+U372+V372)/3</f>
        <v/>
      </c>
      <c r="X372" s="6" t="n">
        <v>2000</v>
      </c>
      <c r="Y372">
        <f>IFERROR(W372-X372,"")</f>
        <v/>
      </c>
      <c r="Z372">
        <f>IFERROR(ABS(Y372)/MAX(X372,1),"")</f>
        <v/>
      </c>
      <c r="AA372">
        <f>IFERROR((X372-(((E372/100000+F372/100+S372/200)*200*I372*H372)+((E372*F372/25000)*I372*H372))/3)/(((J372/5)*200*I372*H372)+((J372*S372/2.5)*I372*H372)+((E372*F372*J372*S372*I372*H372)/12500000))/3*1000,"")</f>
        <v/>
      </c>
    </row>
    <row r="373">
      <c r="B373" s="7" t="inlineStr">
        <is>
          <t xml:space="preserve">  ↳ GorekrakenClaw</t>
        </is>
      </c>
      <c r="C373" s="7" t="inlineStr">
        <is>
          <t>Armament</t>
        </is>
      </c>
      <c r="L373" s="6" t="n">
        <v>14000</v>
      </c>
      <c r="M373" s="6" t="n">
        <v>15</v>
      </c>
      <c r="N373" s="6" t="n">
        <v>1</v>
      </c>
      <c r="O373" s="6" t="n"/>
      <c r="P373" s="6" t="n">
        <v>1448</v>
      </c>
      <c r="Q373" s="6" t="n">
        <v>1</v>
      </c>
      <c r="R373">
        <f>M373+IF(N373&gt;1,N(O373)*(N373-1),0)</f>
        <v/>
      </c>
      <c r="S373">
        <f>IFERROR(L373*MAX(N373,1)/R373*Q373*IF(ISBLANK(K372),1,K372),0)</f>
        <v/>
      </c>
      <c r="AB373" s="7" t="inlineStr">
        <is>
          <t>^SwordWeapon</t>
        </is>
      </c>
    </row>
    <row r="374">
      <c r="A374" t="inlineStr">
        <is>
          <t>starcraft</t>
        </is>
      </c>
      <c r="B374" t="inlineStr">
        <is>
          <t>zerg_guardian</t>
        </is>
      </c>
      <c r="C374" t="inlineStr">
        <is>
          <t>Guardian</t>
        </is>
      </c>
      <c r="D374" s="6" t="inlineStr">
        <is>
          <t>Helicopter</t>
        </is>
      </c>
      <c r="E374" s="6" t="n">
        <v>150000</v>
      </c>
      <c r="F374" s="6" t="n">
        <v>50</v>
      </c>
      <c r="G374" t="inlineStr">
        <is>
          <t>Helicopter</t>
        </is>
      </c>
      <c r="H374" s="6" t="n">
        <v>1</v>
      </c>
      <c r="I374" s="6" t="n">
        <v>1</v>
      </c>
      <c r="J374" s="6" t="n">
        <v>1.25</v>
      </c>
      <c r="K374" s="6" t="n"/>
      <c r="P374">
        <f>MAX(P375)</f>
        <v/>
      </c>
      <c r="S374">
        <f>S375</f>
        <v/>
      </c>
      <c r="T374">
        <f>(E374/100000+F374/100+(P374/1000)*J374/5+S374/200)*200*I374*H374</f>
        <v/>
      </c>
      <c r="U374">
        <f>((E374*F374/25000)+((P374/1000)*J374*S374/2.5))*I374*H374</f>
        <v/>
      </c>
      <c r="V374">
        <f>(E374*F374*(P374/1000)*J374*S374*I374*H374)/12500000</f>
        <v/>
      </c>
      <c r="W374">
        <f>(T374+U374+V374)/3</f>
        <v/>
      </c>
      <c r="X374" s="6" t="n">
        <v>2200</v>
      </c>
      <c r="Y374">
        <f>IFERROR(W374-X374,"")</f>
        <v/>
      </c>
      <c r="Z374">
        <f>IFERROR(ABS(Y374)/MAX(X374,1),"")</f>
        <v/>
      </c>
      <c r="AA374">
        <f>IFERROR((X374-(((E374/100000+F374/100+S374/200)*200*I374*H374)+((E374*F374/25000)*I374*H374))/3)/(((J374/5)*200*I374*H374)+((J374*S374/2.5)*I374*H374)+((E374*F374*J374*S374*I374*H374)/12500000))/3*1000,"")</f>
        <v/>
      </c>
    </row>
    <row r="375">
      <c r="B375" s="7" t="inlineStr">
        <is>
          <t xml:space="preserve">  ↳ GuardianShoot</t>
        </is>
      </c>
      <c r="C375" s="7" t="inlineStr">
        <is>
          <t>Armament</t>
        </is>
      </c>
      <c r="L375" s="6" t="n">
        <v>8000</v>
      </c>
      <c r="M375" s="6" t="n">
        <v>60</v>
      </c>
      <c r="N375" s="6" t="n">
        <v>1</v>
      </c>
      <c r="O375" s="6" t="n"/>
      <c r="P375" s="6" t="n">
        <v>10000</v>
      </c>
      <c r="Q375" s="6" t="n">
        <v>1.083333333333333</v>
      </c>
      <c r="R375">
        <f>M375+IF(N375&gt;1,N(O375)*(N375-1),0)</f>
        <v/>
      </c>
      <c r="S375">
        <f>IFERROR(L375*MAX(N375,1)/R375*Q375*IF(ISBLANK(K374),1,K374),0)</f>
        <v/>
      </c>
      <c r="AB375" s="7" t="inlineStr">
        <is>
          <t>^Grenade, ^ShrapnelWeapon, ^HeavyBomb</t>
        </is>
      </c>
    </row>
    <row r="376">
      <c r="A376" t="inlineStr">
        <is>
          <t>starcraft</t>
        </is>
      </c>
      <c r="B376" t="inlineStr">
        <is>
          <t>zerg_mutalisk</t>
        </is>
      </c>
      <c r="C376" t="inlineStr">
        <is>
          <t>Mutalisk</t>
        </is>
      </c>
      <c r="D376" s="6" t="inlineStr">
        <is>
          <t>Helicopter</t>
        </is>
      </c>
      <c r="E376" s="6" t="n">
        <v>40000</v>
      </c>
      <c r="F376" s="6" t="n">
        <v>160</v>
      </c>
      <c r="G376" t="inlineStr">
        <is>
          <t>Helicopter</t>
        </is>
      </c>
      <c r="H376" s="6" t="n">
        <v>1</v>
      </c>
      <c r="I376" s="6" t="n">
        <v>1</v>
      </c>
      <c r="J376" s="6" t="n">
        <v>1.25</v>
      </c>
      <c r="K376" s="6" t="n">
        <v>0.25</v>
      </c>
      <c r="P376">
        <f>MAX(P377)</f>
        <v/>
      </c>
      <c r="S376">
        <f>S377</f>
        <v/>
      </c>
      <c r="T376">
        <f>(E376/100000+F376/100+(P376/1000)*J376/5+S376/200)*200*I376*H376</f>
        <v/>
      </c>
      <c r="U376">
        <f>((E376*F376/25000)+((P376/1000)*J376*S376/2.5))*I376*H376</f>
        <v/>
      </c>
      <c r="V376">
        <f>(E376*F376*(P376/1000)*J376*S376*I376*H376)/12500000</f>
        <v/>
      </c>
      <c r="W376">
        <f>(T376+U376+V376)/3</f>
        <v/>
      </c>
      <c r="X376" s="6" t="n">
        <v>1000</v>
      </c>
      <c r="Y376">
        <f>IFERROR(W376-X376,"")</f>
        <v/>
      </c>
      <c r="Z376">
        <f>IFERROR(ABS(Y376)/MAX(X376,1),"")</f>
        <v/>
      </c>
      <c r="AA376">
        <f>IFERROR((X376-(((E376/100000+F376/100+S376/200)*200*I376*H376)+((E376*F376/25000)*I376*H376))/3)/(((J376/5)*200*I376*H376)+((J376*S376/2.5)*I376*H376)+((E376*F376*J376*S376*I376*H376)/12500000))/3*1000,"")</f>
        <v/>
      </c>
    </row>
    <row r="377">
      <c r="B377" s="7" t="inlineStr">
        <is>
          <t xml:space="preserve">  ↳ MutaliskSpore</t>
        </is>
      </c>
      <c r="C377" s="7" t="inlineStr">
        <is>
          <t>Armament</t>
        </is>
      </c>
      <c r="L377" s="6" t="n">
        <v>8000</v>
      </c>
      <c r="M377" s="6" t="n">
        <v>20</v>
      </c>
      <c r="N377" s="6" t="n">
        <v>1</v>
      </c>
      <c r="O377" s="6" t="n"/>
      <c r="P377" s="6" t="n">
        <v>4444</v>
      </c>
      <c r="Q377" s="6" t="n">
        <v>0.875</v>
      </c>
      <c r="R377">
        <f>M377+IF(N377&gt;1,N(O377)*(N377-1),0)</f>
        <v/>
      </c>
      <c r="S377">
        <f>IFERROR(L377*MAX(N377,1)/R377*Q377*IF(ISBLANK(K376),1,K376),0)</f>
        <v/>
      </c>
      <c r="AB377" s="7" t="inlineStr">
        <is>
          <t>^SwordWeapon, ^MediumChemicalWeapon, ^SmallArms, ^ArrowWeapon</t>
        </is>
      </c>
    </row>
    <row r="378">
      <c r="A378" t="inlineStr">
        <is>
          <t>starcraft</t>
        </is>
      </c>
      <c r="B378" t="inlineStr">
        <is>
          <t>zerg_overlord</t>
        </is>
      </c>
      <c r="C378" t="inlineStr">
        <is>
          <t>Zerg Overlord</t>
        </is>
      </c>
      <c r="D378" s="6" t="inlineStr">
        <is>
          <t>Helicopter</t>
        </is>
      </c>
      <c r="E378" s="6" t="n">
        <v>25000</v>
      </c>
      <c r="F378" s="6" t="n">
        <v>30</v>
      </c>
      <c r="G378" t="inlineStr">
        <is>
          <t>Helicopter</t>
        </is>
      </c>
      <c r="H378" s="6" t="n">
        <v>1</v>
      </c>
      <c r="I378" s="6" t="n">
        <v>1</v>
      </c>
      <c r="J378" s="6" t="n">
        <v>1</v>
      </c>
      <c r="K378" s="6" t="n"/>
      <c r="X378" s="6" t="n">
        <v>500</v>
      </c>
    </row>
    <row r="379">
      <c r="A379" t="inlineStr">
        <is>
          <t>starcraft</t>
        </is>
      </c>
      <c r="B379" t="inlineStr">
        <is>
          <t>zerg_queen</t>
        </is>
      </c>
      <c r="C379" t="inlineStr">
        <is>
          <t>Queen</t>
        </is>
      </c>
      <c r="D379" s="6" t="inlineStr">
        <is>
          <t>Helicopter</t>
        </is>
      </c>
      <c r="E379" s="6" t="n">
        <v>125000</v>
      </c>
      <c r="F379" s="6" t="n">
        <v>100</v>
      </c>
      <c r="G379" t="inlineStr">
        <is>
          <t>Helicopter</t>
        </is>
      </c>
      <c r="H379" s="6" t="n">
        <v>1</v>
      </c>
      <c r="I379" s="6" t="n">
        <v>1</v>
      </c>
      <c r="J379" s="6" t="n">
        <v>1.25</v>
      </c>
      <c r="K379" s="6" t="n"/>
      <c r="P379">
        <f>MAX(P380)</f>
        <v/>
      </c>
      <c r="S379">
        <f>S380</f>
        <v/>
      </c>
      <c r="T379">
        <f>(E379/100000+F379/100+(P379/1000)*J379/5+S379/200)*200*I379*H379</f>
        <v/>
      </c>
      <c r="U379">
        <f>((E379*F379/25000)+((P379/1000)*J379*S379/2.5))*I379*H379</f>
        <v/>
      </c>
      <c r="V379">
        <f>(E379*F379*(P379/1000)*J379*S379*I379*H379)/12500000</f>
        <v/>
      </c>
      <c r="W379">
        <f>(T379+U379+V379)/3</f>
        <v/>
      </c>
      <c r="X379" s="6" t="n">
        <v>1200</v>
      </c>
      <c r="Y379">
        <f>IFERROR(W379-X379,"")</f>
        <v/>
      </c>
      <c r="Z379">
        <f>IFERROR(ABS(Y379)/MAX(X379,1),"")</f>
        <v/>
      </c>
      <c r="AA379">
        <f>IFERROR((X379-(((E379/100000+F379/100+S379/200)*200*I379*H379)+((E379*F379/25000)*I379*H379))/3)/(((J379/5)*200*I379*H379)+((J379*S379/2.5)*I379*H379)+((E379*F379*J379*S379*I379*H379)/12500000))/3*1000,"")</f>
        <v/>
      </c>
    </row>
    <row r="380">
      <c r="B380" s="7" t="inlineStr">
        <is>
          <t xml:space="preserve">  ↳ QueenSpine</t>
        </is>
      </c>
      <c r="C380" s="7" t="inlineStr">
        <is>
          <t>Armament@Spines</t>
        </is>
      </c>
      <c r="L380" s="6" t="n">
        <v>10000</v>
      </c>
      <c r="M380" s="6" t="n">
        <v>78</v>
      </c>
      <c r="N380" s="6" t="n">
        <v>1</v>
      </c>
      <c r="O380" s="6" t="n"/>
      <c r="P380" s="6" t="n">
        <v>5480</v>
      </c>
      <c r="Q380" s="6" t="n">
        <v>1</v>
      </c>
      <c r="R380">
        <f>M380+IF(N380&gt;1,N(O380)*(N380-1),0)</f>
        <v/>
      </c>
      <c r="S380">
        <f>IFERROR(L380*MAX(N380,1)/R380*Q380*IF(ISBLANK(K379),1,K379),0)</f>
        <v/>
      </c>
      <c r="AB380" s="7" t="inlineStr">
        <is>
          <t>^MediumChemicalWeapon, ^ArrowWeapon</t>
        </is>
      </c>
    </row>
    <row r="381">
      <c r="A381" t="inlineStr">
        <is>
          <t>starcraft</t>
        </is>
      </c>
      <c r="B381" t="inlineStr">
        <is>
          <t>terran_raven</t>
        </is>
      </c>
      <c r="C381" t="inlineStr">
        <is>
          <t>Raven</t>
        </is>
      </c>
      <c r="D381" s="6" t="inlineStr">
        <is>
          <t>Helicopter</t>
        </is>
      </c>
      <c r="E381" s="6" t="n">
        <v>100000</v>
      </c>
      <c r="F381" s="6" t="n">
        <v>100</v>
      </c>
      <c r="G381" t="inlineStr">
        <is>
          <t>Helicopter</t>
        </is>
      </c>
      <c r="H381" s="6" t="n">
        <v>1</v>
      </c>
      <c r="I381" s="6" t="n">
        <v>1</v>
      </c>
      <c r="J381" s="6" t="n">
        <v>1</v>
      </c>
      <c r="K381" s="6" t="n"/>
      <c r="P381">
        <f>MAX(P382)</f>
        <v/>
      </c>
      <c r="S381">
        <f>S382</f>
        <v/>
      </c>
      <c r="T381">
        <f>(E381/100000+F381/100+(P381/1000)*J381/5+S381/200)*200*I381*H381</f>
        <v/>
      </c>
      <c r="U381">
        <f>((E381*F381/25000)+((P381/1000)*J381*S381/2.5))*I381*H381</f>
        <v/>
      </c>
      <c r="V381">
        <f>(E381*F381*(P381/1000)*J381*S381*I381*H381)/12500000</f>
        <v/>
      </c>
      <c r="W381">
        <f>(T381+U381+V381)/3</f>
        <v/>
      </c>
      <c r="X381" s="6" t="n">
        <v>2000</v>
      </c>
      <c r="Y381">
        <f>IFERROR(W381-X381,"")</f>
        <v/>
      </c>
      <c r="Z381">
        <f>IFERROR(ABS(Y381)/MAX(X381,1),"")</f>
        <v/>
      </c>
      <c r="AA381">
        <f>IFERROR((X381-(((E381/100000+F381/100+S381/200)*200*I381*H381)+((E381*F381/25000)*I381*H381))/3)/(((J381/5)*200*I381*H381)+((J381*S381/2.5)*I381*H381)+((E381*F381*J381*S381*I381*H381)/12500000))/3*1000,"")</f>
        <v/>
      </c>
    </row>
    <row r="382">
      <c r="B382" s="7" t="inlineStr">
        <is>
          <t xml:space="preserve">  ↳ RavenRepair</t>
        </is>
      </c>
      <c r="C382" s="7" t="inlineStr">
        <is>
          <t>Armament@repair</t>
        </is>
      </c>
      <c r="L382" s="6" t="n">
        <v>-1</v>
      </c>
      <c r="M382" s="6" t="n">
        <v>5</v>
      </c>
      <c r="N382" s="6" t="n">
        <v>10</v>
      </c>
      <c r="O382" s="6" t="n">
        <v>1</v>
      </c>
      <c r="P382" s="6" t="n">
        <v>5000</v>
      </c>
      <c r="Q382" s="6" t="n">
        <v>1.5</v>
      </c>
      <c r="R382">
        <f>M382+IF(N382&gt;1,N(O382)*(N382-1),0)</f>
        <v/>
      </c>
      <c r="S382">
        <f>IFERROR(L382*MAX(N382,1)/R382*Q382*IF(ISBLANK(K381),1,K381),0)</f>
        <v/>
      </c>
      <c r="AB382" s="7" t="inlineStr">
        <is>
          <t>^RepairWeapon</t>
        </is>
      </c>
    </row>
    <row r="383">
      <c r="A383" t="inlineStr">
        <is>
          <t>starcraft</t>
        </is>
      </c>
      <c r="B383" t="inlineStr">
        <is>
          <t>terran_sciencevessel</t>
        </is>
      </c>
      <c r="C383" t="inlineStr">
        <is>
          <t>Science Vessel</t>
        </is>
      </c>
      <c r="D383" s="6" t="inlineStr">
        <is>
          <t>Helicopter</t>
        </is>
      </c>
      <c r="E383" s="6" t="n">
        <v>200000</v>
      </c>
      <c r="F383" s="6" t="n">
        <v>66</v>
      </c>
      <c r="G383" t="inlineStr">
        <is>
          <t>Helicopter</t>
        </is>
      </c>
      <c r="H383" s="6" t="n">
        <v>1</v>
      </c>
      <c r="I383" s="6" t="n">
        <v>1</v>
      </c>
      <c r="J383" s="6" t="n">
        <v>1</v>
      </c>
      <c r="K383" s="6" t="n"/>
      <c r="P383">
        <f>MAX(P384,P385,P386)</f>
        <v/>
      </c>
      <c r="S383">
        <f>S384+S385+S386</f>
        <v/>
      </c>
      <c r="T383">
        <f>(E383/100000+F383/100+(P383/1000)*J383/5+S383/200)*200*I383*H383</f>
        <v/>
      </c>
      <c r="U383">
        <f>((E383*F383/25000)+((P383/1000)*J383*S383/2.5))*I383*H383</f>
        <v/>
      </c>
      <c r="V383">
        <f>(E383*F383*(P383/1000)*J383*S383*I383*H383)/12500000</f>
        <v/>
      </c>
      <c r="W383">
        <f>(T383+U383+V383)/3</f>
        <v/>
      </c>
      <c r="X383" s="6" t="n">
        <v>2200</v>
      </c>
      <c r="Y383">
        <f>IFERROR(W383-X383,"")</f>
        <v/>
      </c>
      <c r="Z383">
        <f>IFERROR(ABS(Y383)/MAX(X383,1),"")</f>
        <v/>
      </c>
      <c r="AA383">
        <f>IFERROR((X383-(((E383/100000+F383/100+S383/200)*200*I383*H383)+((E383*F383/25000)*I383*H383))/3)/(((J383/5)*200*I383*H383)+((J383*S383/2.5)*I383*H383)+((E383*F383*J383*S383*I383*H383)/12500000))/3*1000,"")</f>
        <v/>
      </c>
    </row>
    <row r="384">
      <c r="B384" s="7" t="inlineStr">
        <is>
          <t xml:space="preserve">  ↳ ScienceVesselDefenseMatrix</t>
        </is>
      </c>
      <c r="C384" s="7" t="inlineStr">
        <is>
          <t>Armament@IronCourtain</t>
        </is>
      </c>
      <c r="L384" s="6" t="n"/>
      <c r="M384" s="6" t="n">
        <v>260</v>
      </c>
      <c r="N384" s="6" t="n">
        <v>1</v>
      </c>
      <c r="O384" s="6" t="n"/>
      <c r="P384" s="6" t="n">
        <v>7500</v>
      </c>
      <c r="Q384" s="6" t="n">
        <v>1</v>
      </c>
      <c r="R384">
        <f>M384+IF(N384&gt;1,N(O384)*(N384-1),0)</f>
        <v/>
      </c>
      <c r="S384">
        <f>IFERROR(L384*MAX(N384,1)/R384*Q384*IF(ISBLANK(K383),1,K383),0)</f>
        <v/>
      </c>
      <c r="AB384" s="7" t="inlineStr"/>
    </row>
    <row r="385">
      <c r="B385" s="7" t="inlineStr">
        <is>
          <t xml:space="preserve">  ↳ ScienceVesselIrradiate</t>
        </is>
      </c>
      <c r="C385" s="7" t="inlineStr">
        <is>
          <t>Armament@Irradiate</t>
        </is>
      </c>
      <c r="L385" s="6" t="n"/>
      <c r="M385" s="6" t="n">
        <v>110</v>
      </c>
      <c r="N385" s="6" t="n">
        <v>1</v>
      </c>
      <c r="O385" s="6" t="n"/>
      <c r="P385" s="6" t="n">
        <v>7500</v>
      </c>
      <c r="Q385" s="6" t="n">
        <v>1</v>
      </c>
      <c r="R385">
        <f>M385+IF(N385&gt;1,N(O385)*(N385-1),0)</f>
        <v/>
      </c>
      <c r="S385">
        <f>IFERROR(L385*MAX(N385,1)/R385*Q385*IF(ISBLANK(K383),1,K383),0)</f>
        <v/>
      </c>
      <c r="AB385" s="7" t="inlineStr"/>
    </row>
    <row r="386">
      <c r="B386" s="7" t="inlineStr">
        <is>
          <t xml:space="preserve">  ↳ ScienceVesselEMP</t>
        </is>
      </c>
      <c r="C386" s="7" t="inlineStr">
        <is>
          <t>Armament@EMP</t>
        </is>
      </c>
      <c r="L386" s="6" t="n">
        <v>100000</v>
      </c>
      <c r="M386" s="6" t="n">
        <v>360</v>
      </c>
      <c r="N386" s="6" t="n">
        <v>1</v>
      </c>
      <c r="O386" s="6" t="n"/>
      <c r="P386" s="6" t="n">
        <v>7500</v>
      </c>
      <c r="Q386" s="6" t="n">
        <v>1</v>
      </c>
      <c r="R386">
        <f>M386+IF(N386&gt;1,N(O386)*(N386-1),0)</f>
        <v/>
      </c>
      <c r="S386">
        <f>IFERROR(L386*MAX(N386,1)/R386*Q386*IF(ISBLANK(K383),1,K383),0)</f>
        <v/>
      </c>
      <c r="AB386" s="7" t="inlineStr">
        <is>
          <t>^TeslaChargedWeapon</t>
        </is>
      </c>
    </row>
    <row r="387">
      <c r="A387" t="inlineStr">
        <is>
          <t>starcraft</t>
        </is>
      </c>
      <c r="B387" t="inlineStr">
        <is>
          <t>terran_sundog</t>
        </is>
      </c>
      <c r="C387" t="inlineStr">
        <is>
          <t>Sundog</t>
        </is>
      </c>
      <c r="D387" s="6" t="inlineStr">
        <is>
          <t>Helicopter</t>
        </is>
      </c>
      <c r="E387" s="6" t="n">
        <v>160000</v>
      </c>
      <c r="F387" s="6" t="n">
        <v>120</v>
      </c>
      <c r="G387" t="inlineStr">
        <is>
          <t>Helicopter</t>
        </is>
      </c>
      <c r="H387" s="6" t="n">
        <v>1</v>
      </c>
      <c r="I387" s="6" t="n">
        <v>1</v>
      </c>
      <c r="J387" s="6" t="n">
        <v>1</v>
      </c>
      <c r="K387" s="6" t="n">
        <v>0.5</v>
      </c>
      <c r="P387">
        <f>MAX(P388,P389,P390)</f>
        <v/>
      </c>
      <c r="S387">
        <f>S388+S389+S390</f>
        <v/>
      </c>
      <c r="T387">
        <f>(E387/100000+F387/100+(P387/1000)*J387/5+S387/200)*200*I387*H387</f>
        <v/>
      </c>
      <c r="U387">
        <f>((E387*F387/25000)+((P387/1000)*J387*S387/2.5))*I387*H387</f>
        <v/>
      </c>
      <c r="V387">
        <f>(E387*F387*(P387/1000)*J387*S387*I387*H387)/12500000</f>
        <v/>
      </c>
      <c r="W387">
        <f>(T387+U387+V387)/3</f>
        <v/>
      </c>
      <c r="X387" s="6" t="n">
        <v>2700</v>
      </c>
      <c r="Y387">
        <f>IFERROR(W387-X387,"")</f>
        <v/>
      </c>
      <c r="Z387">
        <f>IFERROR(ABS(Y387)/MAX(X387,1),"")</f>
        <v/>
      </c>
      <c r="AA387">
        <f>IFERROR((X387-(((E387/100000+F387/100+S387/200)*200*I387*H387)+((E387*F387/25000)*I387*H387))/3)/(((J387/5)*200*I387*H387)+((J387*S387/2.5)*I387*H387)+((E387*F387*J387*S387*I387*H387)/12500000))/3*1000,"")</f>
        <v/>
      </c>
    </row>
    <row r="388">
      <c r="B388" s="7" t="inlineStr">
        <is>
          <t xml:space="preserve">  ↳ SunDogLaser</t>
        </is>
      </c>
      <c r="C388" s="7" t="inlineStr">
        <is>
          <t>Armament@PRIMARY</t>
        </is>
      </c>
      <c r="L388" s="6" t="n">
        <v>16000</v>
      </c>
      <c r="M388" s="6" t="n">
        <v>39</v>
      </c>
      <c r="N388" s="6" t="n">
        <v>1</v>
      </c>
      <c r="O388" s="6" t="n"/>
      <c r="P388" s="6" t="n">
        <v>6060</v>
      </c>
      <c r="Q388" s="6" t="n">
        <v>1</v>
      </c>
      <c r="R388">
        <f>M388+IF(N388&gt;1,N(O388)*(N388-1),0)</f>
        <v/>
      </c>
      <c r="S388">
        <f>IFERROR(L388*MAX(N388,1)/R388*Q388*IF(ISBLANK(K387),1,K387),0)</f>
        <v/>
      </c>
      <c r="AB388" s="7" t="inlineStr">
        <is>
          <t>^LaserWeapon</t>
        </is>
      </c>
    </row>
    <row r="389">
      <c r="B389" s="7" t="inlineStr">
        <is>
          <t xml:space="preserve">  ↳ SunDogRockets</t>
        </is>
      </c>
      <c r="C389" s="7" t="inlineStr">
        <is>
          <t>Armament@SECONDARY1</t>
        </is>
      </c>
      <c r="L389" s="6" t="n">
        <v>2000</v>
      </c>
      <c r="M389" s="6" t="n">
        <v>39</v>
      </c>
      <c r="N389" s="6" t="n">
        <v>1</v>
      </c>
      <c r="O389" s="6" t="n"/>
      <c r="P389" s="6" t="n">
        <v>6060</v>
      </c>
      <c r="Q389" s="6" t="n">
        <v>0.9375</v>
      </c>
      <c r="R389">
        <f>M389+IF(N389&gt;1,N(O389)*(N389-1),0)</f>
        <v/>
      </c>
      <c r="S389">
        <f>IFERROR(L389*MAX(N389,1)/R389*Q389*IF(ISBLANK(K387),1,K387),0)</f>
        <v/>
      </c>
      <c r="AB389" s="7" t="inlineStr">
        <is>
          <t>^Chaingun, ^FlakWeapon, ^LightMissile, ^MediumMissile, ^D2KRocket</t>
        </is>
      </c>
    </row>
    <row r="390">
      <c r="B390" s="7" t="inlineStr">
        <is>
          <t xml:space="preserve">  ↳ SunDogRockets</t>
        </is>
      </c>
      <c r="C390" s="7" t="inlineStr">
        <is>
          <t>Armament@SECONDARY2</t>
        </is>
      </c>
      <c r="L390" s="6" t="n">
        <v>2000</v>
      </c>
      <c r="M390" s="6" t="n">
        <v>39</v>
      </c>
      <c r="N390" s="6" t="n">
        <v>1</v>
      </c>
      <c r="O390" s="6" t="n"/>
      <c r="P390" s="6" t="n">
        <v>6060</v>
      </c>
      <c r="Q390" s="6" t="n">
        <v>0.9375</v>
      </c>
      <c r="R390">
        <f>M390+IF(N390&gt;1,N(O390)*(N390-1),0)</f>
        <v/>
      </c>
      <c r="S390">
        <f>IFERROR(L390*MAX(N390,1)/R390*Q390*IF(ISBLANK(K387),1,K387),0)</f>
        <v/>
      </c>
      <c r="AB390" s="7" t="inlineStr">
        <is>
          <t>^Chaingun, ^FlakWeapon, ^LightMissile, ^MediumMissile, ^D2KRocket</t>
        </is>
      </c>
    </row>
    <row r="391">
      <c r="A391" t="inlineStr">
        <is>
          <t>starcraft</t>
        </is>
      </c>
      <c r="B391" t="inlineStr">
        <is>
          <t>terran_valkyrie</t>
        </is>
      </c>
      <c r="C391" t="inlineStr">
        <is>
          <t>Valkyrie</t>
        </is>
      </c>
      <c r="D391" s="6" t="inlineStr">
        <is>
          <t>Helicopter</t>
        </is>
      </c>
      <c r="E391" s="6" t="n">
        <v>120000</v>
      </c>
      <c r="F391" s="6" t="n">
        <v>140</v>
      </c>
      <c r="G391" t="inlineStr">
        <is>
          <t>Helicopter</t>
        </is>
      </c>
      <c r="H391" s="6" t="n">
        <v>1</v>
      </c>
      <c r="I391" s="6" t="n">
        <v>0.5</v>
      </c>
      <c r="J391" s="6" t="n">
        <v>1</v>
      </c>
      <c r="K391" s="6" t="n">
        <v>0.5</v>
      </c>
      <c r="P391">
        <f>MAX(P392,P393)</f>
        <v/>
      </c>
      <c r="S391">
        <f>S392+S393</f>
        <v/>
      </c>
      <c r="T391">
        <f>(E391/100000+F391/100+(P391/1000)*J391/5+S391/200)*200*I391*H391</f>
        <v/>
      </c>
      <c r="U391">
        <f>((E391*F391/25000)+((P391/1000)*J391*S391/2.5))*I391*H391</f>
        <v/>
      </c>
      <c r="V391">
        <f>(E391*F391*(P391/1000)*J391*S391*I391*H391)/12500000</f>
        <v/>
      </c>
      <c r="W391">
        <f>(T391+U391+V391)/3</f>
        <v/>
      </c>
      <c r="X391" s="6" t="n">
        <v>2000</v>
      </c>
      <c r="Y391">
        <f>IFERROR(W391-X391,"")</f>
        <v/>
      </c>
      <c r="Z391">
        <f>IFERROR(ABS(Y391)/MAX(X391,1),"")</f>
        <v/>
      </c>
      <c r="AA391">
        <f>IFERROR((X391-(((E391/100000+F391/100+S391/200)*200*I391*H391)+((E391*F391/25000)*I391*H391))/3)/(((J391/5)*200*I391*H391)+((J391*S391/2.5)*I391*H391)+((E391*F391*J391*S391*I391*H391)/12500000))/3*1000,"")</f>
        <v/>
      </c>
    </row>
    <row r="392">
      <c r="B392" s="7" t="inlineStr">
        <is>
          <t xml:space="preserve">  ↳ ValkyrieRockets</t>
        </is>
      </c>
      <c r="C392" s="7" t="inlineStr">
        <is>
          <t>Armament@SECONDARY1</t>
        </is>
      </c>
      <c r="L392" s="6" t="n">
        <v>2000</v>
      </c>
      <c r="M392" s="6" t="n">
        <v>67</v>
      </c>
      <c r="N392" s="6" t="n">
        <v>8</v>
      </c>
      <c r="O392" s="6" t="n">
        <v>4</v>
      </c>
      <c r="P392" s="6" t="n">
        <v>7380</v>
      </c>
      <c r="Q392" s="6" t="n">
        <v>1.083333333333333</v>
      </c>
      <c r="R392">
        <f>M392+IF(N392&gt;1,N(O392)*(N392-1),0)</f>
        <v/>
      </c>
      <c r="S392">
        <f>IFERROR(L392*MAX(N392,1)/R392*Q392*IF(ISBLANK(K391),1,K391),0)</f>
        <v/>
      </c>
      <c r="AB392" s="7" t="inlineStr">
        <is>
          <t>^FlakWeapon, ^MediumMissile, ^HeavyAAWeapon, ^D2KRocket</t>
        </is>
      </c>
    </row>
    <row r="393">
      <c r="B393" s="7" t="inlineStr">
        <is>
          <t xml:space="preserve">  ↳ ValkyrieRockets</t>
        </is>
      </c>
      <c r="C393" s="7" t="inlineStr">
        <is>
          <t>Armament@SECONDARY2</t>
        </is>
      </c>
      <c r="L393" s="6" t="n">
        <v>2000</v>
      </c>
      <c r="M393" s="6" t="n">
        <v>67</v>
      </c>
      <c r="N393" s="6" t="n">
        <v>8</v>
      </c>
      <c r="O393" s="6" t="n">
        <v>4</v>
      </c>
      <c r="P393" s="6" t="n">
        <v>7380</v>
      </c>
      <c r="Q393" s="6" t="n">
        <v>1.083333333333333</v>
      </c>
      <c r="R393">
        <f>M393+IF(N393&gt;1,N(O393)*(N393-1),0)</f>
        <v/>
      </c>
      <c r="S393">
        <f>IFERROR(L393*MAX(N393,1)/R393*Q393*IF(ISBLANK(K391),1,K391),0)</f>
        <v/>
      </c>
      <c r="AB393" s="7" t="inlineStr">
        <is>
          <t>^FlakWeapon, ^MediumMissile, ^HeavyAAWeapon, ^D2KRocket</t>
        </is>
      </c>
    </row>
    <row r="394">
      <c r="A394" t="inlineStr">
        <is>
          <t>starcraft</t>
        </is>
      </c>
      <c r="B394" t="inlineStr">
        <is>
          <t>terran_wraith</t>
        </is>
      </c>
      <c r="C394" t="inlineStr">
        <is>
          <t>Wraith</t>
        </is>
      </c>
      <c r="D394" s="6" t="inlineStr">
        <is>
          <t>Helicopter</t>
        </is>
      </c>
      <c r="E394" s="6" t="n">
        <v>50000</v>
      </c>
      <c r="F394" s="6" t="n">
        <v>120</v>
      </c>
      <c r="G394" t="inlineStr">
        <is>
          <t>Helicopter</t>
        </is>
      </c>
      <c r="H394" s="6" t="n">
        <v>1</v>
      </c>
      <c r="I394" s="6" t="n">
        <v>1</v>
      </c>
      <c r="J394" s="6" t="n">
        <v>1</v>
      </c>
      <c r="K394" s="6" t="n"/>
      <c r="P394">
        <f>MAX(P395,P396,P397)</f>
        <v/>
      </c>
      <c r="S394">
        <f>S395+S396+S397</f>
        <v/>
      </c>
      <c r="T394">
        <f>(E394/100000+F394/100+(P394/1000)*J394/5+S394/200)*200*I394*H394</f>
        <v/>
      </c>
      <c r="U394">
        <f>((E394*F394/25000)+((P394/1000)*J394*S394/2.5))*I394*H394</f>
        <v/>
      </c>
      <c r="V394">
        <f>(E394*F394*(P394/1000)*J394*S394*I394*H394)/12500000</f>
        <v/>
      </c>
      <c r="W394">
        <f>(T394+U394+V394)/3</f>
        <v/>
      </c>
      <c r="X394" s="6" t="n">
        <v>1400</v>
      </c>
      <c r="Y394">
        <f>IFERROR(W394-X394,"")</f>
        <v/>
      </c>
      <c r="Z394">
        <f>IFERROR(ABS(Y394)/MAX(X394,1),"")</f>
        <v/>
      </c>
      <c r="AA394">
        <f>IFERROR((X394-(((E394/100000+F394/100+S394/200)*200*I394*H394)+((E394*F394/25000)*I394*H394))/3)/(((J394/5)*200*I394*H394)+((J394*S394/2.5)*I394*H394)+((E394*F394*J394*S394*I394*H394)/12500000))/3*1000,"")</f>
        <v/>
      </c>
    </row>
    <row r="395">
      <c r="B395" s="7" t="inlineStr">
        <is>
          <t xml:space="preserve">  ↳ WraithLaser</t>
        </is>
      </c>
      <c r="C395" s="7" t="inlineStr">
        <is>
          <t>Armament@PRIMARY</t>
        </is>
      </c>
      <c r="L395" s="6" t="n">
        <v>16000</v>
      </c>
      <c r="M395" s="6" t="n">
        <v>32</v>
      </c>
      <c r="N395" s="6" t="n">
        <v>1</v>
      </c>
      <c r="O395" s="6" t="n"/>
      <c r="P395" s="6" t="n">
        <v>5076</v>
      </c>
      <c r="Q395" s="6" t="n">
        <v>1</v>
      </c>
      <c r="R395">
        <f>M395+IF(N395&gt;1,N(O395)*(N395-1),0)</f>
        <v/>
      </c>
      <c r="S395">
        <f>IFERROR(L395*MAX(N395,1)/R395*Q395*IF(ISBLANK(K394),1,K394),0)</f>
        <v/>
      </c>
      <c r="AB395" s="7" t="inlineStr">
        <is>
          <t>^LaserWeapon</t>
        </is>
      </c>
    </row>
    <row r="396">
      <c r="B396" s="7" t="inlineStr">
        <is>
          <t xml:space="preserve">  ↳ WraithRockets</t>
        </is>
      </c>
      <c r="C396" s="7" t="inlineStr">
        <is>
          <t>Armament@SECONDARY1</t>
        </is>
      </c>
      <c r="L396" s="6" t="n">
        <v>2000</v>
      </c>
      <c r="M396" s="6" t="n">
        <v>24</v>
      </c>
      <c r="N396" s="6" t="n">
        <v>1</v>
      </c>
      <c r="O396" s="6" t="n"/>
      <c r="P396" s="6" t="n">
        <v>5076</v>
      </c>
      <c r="Q396" s="6" t="n">
        <v>0.9375</v>
      </c>
      <c r="R396">
        <f>M396+IF(N396&gt;1,N(O396)*(N396-1),0)</f>
        <v/>
      </c>
      <c r="S396">
        <f>IFERROR(L396*MAX(N396,1)/R396*Q396*IF(ISBLANK(K394),1,K394),0)</f>
        <v/>
      </c>
      <c r="AB396" s="7" t="inlineStr">
        <is>
          <t>^Chaingun, ^FlakWeapon, ^LightMissile, ^MediumMissile, ^D2KRocket</t>
        </is>
      </c>
    </row>
    <row r="397">
      <c r="B397" s="7" t="inlineStr">
        <is>
          <t xml:space="preserve">  ↳ WraithRockets</t>
        </is>
      </c>
      <c r="C397" s="7" t="inlineStr">
        <is>
          <t>Armament@SECONDARY2</t>
        </is>
      </c>
      <c r="L397" s="6" t="n">
        <v>2000</v>
      </c>
      <c r="M397" s="6" t="n">
        <v>24</v>
      </c>
      <c r="N397" s="6" t="n">
        <v>1</v>
      </c>
      <c r="O397" s="6" t="n"/>
      <c r="P397" s="6" t="n">
        <v>5076</v>
      </c>
      <c r="Q397" s="6" t="n">
        <v>0.9375</v>
      </c>
      <c r="R397">
        <f>M397+IF(N397&gt;1,N(O397)*(N397-1),0)</f>
        <v/>
      </c>
      <c r="S397">
        <f>IFERROR(L397*MAX(N397,1)/R397*Q397*IF(ISBLANK(K394),1,K394),0)</f>
        <v/>
      </c>
      <c r="AB397" s="7" t="inlineStr">
        <is>
          <t>^Chaingun, ^FlakWeapon, ^LightMissile, ^MediumMissile, ^D2KRocket</t>
        </is>
      </c>
    </row>
    <row r="398">
      <c r="A398" t="inlineStr">
        <is>
          <t>starcraft</t>
        </is>
      </c>
      <c r="B398" t="inlineStr">
        <is>
          <t>terran_wyvern</t>
        </is>
      </c>
      <c r="C398" t="inlineStr">
        <is>
          <t>Wyvern</t>
        </is>
      </c>
      <c r="D398" s="6" t="inlineStr">
        <is>
          <t>Helicopter</t>
        </is>
      </c>
      <c r="E398" s="6" t="n">
        <v>180000</v>
      </c>
      <c r="F398" s="6" t="n">
        <v>70</v>
      </c>
      <c r="G398" t="inlineStr">
        <is>
          <t>Helicopter</t>
        </is>
      </c>
      <c r="H398" s="6" t="n">
        <v>0.75</v>
      </c>
      <c r="I398" s="6" t="n">
        <v>1</v>
      </c>
      <c r="J398" s="6" t="n">
        <v>1</v>
      </c>
      <c r="K398" s="6" t="n"/>
      <c r="P398">
        <f>MAX(P399,P400)</f>
        <v/>
      </c>
      <c r="S398">
        <f>S399+S400</f>
        <v/>
      </c>
      <c r="T398">
        <f>(E398/100000+F398/100+(P398/1000)*J398/5+S398/200)*200*I398*H398</f>
        <v/>
      </c>
      <c r="U398">
        <f>((E398*F398/25000)+((P398/1000)*J398*S398/2.5))*I398*H398</f>
        <v/>
      </c>
      <c r="V398">
        <f>(E398*F398*(P398/1000)*J398*S398*I398*H398)/12500000</f>
        <v/>
      </c>
      <c r="W398">
        <f>(T398+U398+V398)/3</f>
        <v/>
      </c>
      <c r="X398" s="6" t="n">
        <v>3600</v>
      </c>
      <c r="Y398">
        <f>IFERROR(W398-X398,"")</f>
        <v/>
      </c>
      <c r="Z398">
        <f>IFERROR(ABS(Y398)/MAX(X398,1),"")</f>
        <v/>
      </c>
      <c r="AA398">
        <f>IFERROR((X398-(((E398/100000+F398/100+S398/200)*200*I398*H398)+((E398*F398/25000)*I398*H398))/3)/(((J398/5)*200*I398*H398)+((J398*S398/2.5)*I398*H398)+((E398*F398*J398*S398*I398*H398)/12500000))/3*1000,"")</f>
        <v/>
      </c>
    </row>
    <row r="399">
      <c r="B399" s="7" t="inlineStr">
        <is>
          <t xml:space="preserve">  ↳ WyvernRockets</t>
        </is>
      </c>
      <c r="C399" s="7" t="inlineStr">
        <is>
          <t>Armament@SECONDARY1</t>
        </is>
      </c>
      <c r="L399" s="6" t="n">
        <v>2000</v>
      </c>
      <c r="M399" s="6" t="n">
        <v>90</v>
      </c>
      <c r="N399" s="6" t="n">
        <v>4</v>
      </c>
      <c r="O399" s="6" t="n">
        <v>15</v>
      </c>
      <c r="P399" s="6" t="n">
        <v>8000</v>
      </c>
      <c r="Q399" s="6" t="n">
        <v>1.107142857142857</v>
      </c>
      <c r="R399">
        <f>M399+IF(N399&gt;1,N(O399)*(N399-1),0)</f>
        <v/>
      </c>
      <c r="S399">
        <f>IFERROR(L399*MAX(N399,1)/R399*Q399*IF(ISBLANK(K398),1,K398),0)</f>
        <v/>
      </c>
      <c r="AB399" s="7" t="inlineStr">
        <is>
          <t>^MediumFlameWeapon, ^MediumChemicalWeapon, ^HeavyCannon, ^HeavyBomb, ^FlakWeapon, ^MediumMissile, ^HeavyAAWeapon, ^D2KRocket</t>
        </is>
      </c>
    </row>
    <row r="400">
      <c r="B400" s="7" t="inlineStr">
        <is>
          <t xml:space="preserve">  ↳ WyvernRockets</t>
        </is>
      </c>
      <c r="C400" s="7" t="inlineStr">
        <is>
          <t>Armament@SECONDARY2</t>
        </is>
      </c>
      <c r="L400" s="6" t="n">
        <v>2000</v>
      </c>
      <c r="M400" s="6" t="n">
        <v>90</v>
      </c>
      <c r="N400" s="6" t="n">
        <v>4</v>
      </c>
      <c r="O400" s="6" t="n">
        <v>15</v>
      </c>
      <c r="P400" s="6" t="n">
        <v>8000</v>
      </c>
      <c r="Q400" s="6" t="n">
        <v>1.107142857142857</v>
      </c>
      <c r="R400">
        <f>M400+IF(N400&gt;1,N(O400)*(N400-1),0)</f>
        <v/>
      </c>
      <c r="S400">
        <f>IFERROR(L400*MAX(N400,1)/R400*Q400*IF(ISBLANK(K398),1,K398),0)</f>
        <v/>
      </c>
      <c r="AB400" s="7" t="inlineStr">
        <is>
          <t>^MediumFlameWeapon, ^MediumChemicalWeapon, ^HeavyCannon, ^HeavyBomb, ^FlakWeapon, ^MediumMissile, ^HeavyAAWeapon, ^D2KRocket</t>
        </is>
      </c>
    </row>
    <row r="401">
      <c r="A401" t="inlineStr">
        <is>
          <t>warcraft2</t>
        </is>
      </c>
      <c r="B401" t="inlineStr">
        <is>
          <t>wc2_orcs_goblinzeppelin</t>
        </is>
      </c>
      <c r="C401" t="inlineStr">
        <is>
          <t>Goblin Zeppelin</t>
        </is>
      </c>
      <c r="D401" s="6" t="inlineStr">
        <is>
          <t>Helicopter</t>
        </is>
      </c>
      <c r="E401" s="6" t="n">
        <v>25000</v>
      </c>
      <c r="F401" s="6" t="n">
        <v>165</v>
      </c>
      <c r="G401" t="inlineStr">
        <is>
          <t>Helicopter</t>
        </is>
      </c>
      <c r="H401" s="6" t="n">
        <v>1</v>
      </c>
      <c r="I401" s="6" t="n">
        <v>1</v>
      </c>
      <c r="J401" s="6" t="n">
        <v>1</v>
      </c>
      <c r="K401" s="6" t="n"/>
      <c r="X401" s="6" t="n">
        <v>350</v>
      </c>
    </row>
    <row r="402">
      <c r="A402" t="inlineStr">
        <is>
          <t>warcraft2</t>
        </is>
      </c>
      <c r="B402" t="inlineStr">
        <is>
          <t>wc2_humans_flyingmachine</t>
        </is>
      </c>
      <c r="C402" t="inlineStr">
        <is>
          <t>Flying Machine</t>
        </is>
      </c>
      <c r="D402" s="6" t="inlineStr">
        <is>
          <t>Helicopter</t>
        </is>
      </c>
      <c r="E402" s="6" t="n">
        <v>25000</v>
      </c>
      <c r="F402" s="6" t="n">
        <v>165</v>
      </c>
      <c r="G402" t="inlineStr">
        <is>
          <t>Helicopter</t>
        </is>
      </c>
      <c r="H402" s="6" t="n">
        <v>1</v>
      </c>
      <c r="I402" s="6" t="n">
        <v>1</v>
      </c>
      <c r="J402" s="6" t="n">
        <v>1</v>
      </c>
      <c r="K402" s="6" t="n"/>
      <c r="X402" s="6" t="n">
        <v>350</v>
      </c>
    </row>
    <row r="403">
      <c r="A403" t="inlineStr">
        <is>
          <t>warcraft2</t>
        </is>
      </c>
      <c r="B403" t="inlineStr">
        <is>
          <t>wc2_humans_gyrocoptermachine</t>
        </is>
      </c>
      <c r="C403" t="inlineStr">
        <is>
          <t>Gyrocopter Machine</t>
        </is>
      </c>
      <c r="D403" s="6" t="inlineStr">
        <is>
          <t>Helicopter</t>
        </is>
      </c>
      <c r="E403" s="6" t="n">
        <v>25000</v>
      </c>
      <c r="F403" s="6" t="n">
        <v>165</v>
      </c>
      <c r="G403" t="inlineStr">
        <is>
          <t>Helicopter</t>
        </is>
      </c>
      <c r="H403" s="6" t="n">
        <v>1</v>
      </c>
      <c r="I403" s="6" t="n">
        <v>1</v>
      </c>
      <c r="J403" s="6" t="n">
        <v>1</v>
      </c>
      <c r="K403" s="6" t="n"/>
      <c r="X403" s="6" t="n">
        <v>350</v>
      </c>
    </row>
    <row r="404">
      <c r="A404" s="4" t="inlineStr">
        <is>
          <t>UnarmedTransportHelicopter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</row>
    <row r="405">
      <c r="A405" t="inlineStr">
        <is>
          <t>shared</t>
        </is>
      </c>
      <c r="B405" t="inlineStr">
        <is>
          <t>TRAN</t>
        </is>
      </c>
      <c r="C405" t="inlineStr">
        <is>
          <t>Chinook Transport</t>
        </is>
      </c>
      <c r="D405" s="6" t="inlineStr">
        <is>
          <t>UnarmedTransportHelicopter</t>
        </is>
      </c>
      <c r="E405" s="6" t="n">
        <v>100000</v>
      </c>
      <c r="F405" s="6" t="n">
        <v>150</v>
      </c>
      <c r="G405" t="inlineStr">
        <is>
          <t>Helicopter</t>
        </is>
      </c>
      <c r="H405" s="6" t="n">
        <v>1</v>
      </c>
      <c r="I405" s="6" t="n">
        <v>1</v>
      </c>
      <c r="J405" s="6" t="n">
        <v>1</v>
      </c>
      <c r="K405" s="6" t="n"/>
      <c r="X405" s="6" t="n">
        <v>1500</v>
      </c>
    </row>
    <row r="406">
      <c r="A406" t="inlineStr">
        <is>
          <t>tiberiandawn</t>
        </is>
      </c>
      <c r="B406" t="inlineStr">
        <is>
          <t>td_gdi_chinooktransport</t>
        </is>
      </c>
      <c r="C406" t="inlineStr">
        <is>
          <t>GDI Chinook Transport</t>
        </is>
      </c>
      <c r="D406" s="6" t="inlineStr">
        <is>
          <t>UnarmedTransportHelicopter</t>
        </is>
      </c>
      <c r="E406" s="6" t="n">
        <v>100000</v>
      </c>
      <c r="F406" s="6" t="n">
        <v>150</v>
      </c>
      <c r="G406" t="inlineStr">
        <is>
          <t>Helicopter</t>
        </is>
      </c>
      <c r="H406" s="6" t="n">
        <v>1</v>
      </c>
      <c r="I406" s="6" t="n">
        <v>1</v>
      </c>
      <c r="J406" s="6" t="n">
        <v>1</v>
      </c>
      <c r="K406" s="6" t="n"/>
      <c r="X406" s="6" t="n">
        <v>3000</v>
      </c>
    </row>
    <row r="407">
      <c r="A407" t="inlineStr">
        <is>
          <t>tiberiandawn</t>
        </is>
      </c>
      <c r="B407" t="inlineStr">
        <is>
          <t>td_nod_chinooktransport</t>
        </is>
      </c>
      <c r="C407" t="inlineStr">
        <is>
          <t>Nod Chinook Transport</t>
        </is>
      </c>
      <c r="D407" s="6" t="inlineStr">
        <is>
          <t>UnarmedTransportHelicopter</t>
        </is>
      </c>
      <c r="E407" s="6" t="n">
        <v>100000</v>
      </c>
      <c r="F407" s="6" t="n">
        <v>150</v>
      </c>
      <c r="G407" t="inlineStr">
        <is>
          <t>Helicopter</t>
        </is>
      </c>
      <c r="H407" s="6" t="n">
        <v>1</v>
      </c>
      <c r="I407" s="6" t="n">
        <v>1</v>
      </c>
      <c r="J407" s="6" t="n">
        <v>1</v>
      </c>
      <c r="K407" s="6" t="n"/>
      <c r="X407" s="6" t="n">
        <v>3100</v>
      </c>
    </row>
    <row r="408">
      <c r="A408" t="inlineStr">
        <is>
          <t>redalert</t>
        </is>
      </c>
      <c r="B408" t="inlineStr">
        <is>
          <t>ra1_soviets_hiptransport</t>
        </is>
      </c>
      <c r="C408" t="inlineStr">
        <is>
          <t>Hip Transport</t>
        </is>
      </c>
      <c r="D408" s="6" t="inlineStr">
        <is>
          <t>UnarmedTransportHelicopter</t>
        </is>
      </c>
      <c r="E408" s="6" t="n">
        <v>150000</v>
      </c>
      <c r="F408" s="6" t="n">
        <v>100</v>
      </c>
      <c r="G408" t="inlineStr">
        <is>
          <t>Helicopter</t>
        </is>
      </c>
      <c r="H408" s="6" t="n">
        <v>1</v>
      </c>
      <c r="I408" s="6" t="n">
        <v>1</v>
      </c>
      <c r="J408" s="6" t="n">
        <v>1</v>
      </c>
      <c r="K408" s="6" t="n"/>
      <c r="X408" s="6" t="n">
        <v>2500</v>
      </c>
    </row>
    <row r="409">
      <c r="A409" t="inlineStr">
        <is>
          <t>redalert</t>
        </is>
      </c>
      <c r="B409" t="inlineStr">
        <is>
          <t>ra1_allies_alliedchinooktransport</t>
        </is>
      </c>
      <c r="C409" t="inlineStr">
        <is>
          <t>Allied Chinook Transport</t>
        </is>
      </c>
      <c r="D409" s="6" t="inlineStr">
        <is>
          <t>UnarmedTransportHelicopter</t>
        </is>
      </c>
      <c r="E409" s="6" t="n">
        <v>125000</v>
      </c>
      <c r="F409" s="6" t="n">
        <v>125</v>
      </c>
      <c r="G409" t="inlineStr">
        <is>
          <t>Helicopter</t>
        </is>
      </c>
      <c r="H409" s="6" t="n">
        <v>1</v>
      </c>
      <c r="I409" s="6" t="n">
        <v>1</v>
      </c>
      <c r="J409" s="6" t="n">
        <v>1</v>
      </c>
      <c r="K409" s="6" t="n"/>
      <c r="X409" s="6" t="n">
        <v>3600</v>
      </c>
    </row>
    <row r="410">
      <c r="A410" t="inlineStr">
        <is>
          <t>starcraft</t>
        </is>
      </c>
      <c r="B410" t="inlineStr">
        <is>
          <t>protoss_shuttle</t>
        </is>
      </c>
      <c r="C410" t="inlineStr">
        <is>
          <t>Shuttle</t>
        </is>
      </c>
      <c r="D410" s="6" t="inlineStr">
        <is>
          <t>UnarmedTransportHelicopter</t>
        </is>
      </c>
      <c r="E410" s="6" t="n">
        <v>100000</v>
      </c>
      <c r="F410" s="6" t="n">
        <v>150</v>
      </c>
      <c r="G410" t="inlineStr">
        <is>
          <t>Helicopter</t>
        </is>
      </c>
      <c r="H410" s="6" t="n">
        <v>1</v>
      </c>
      <c r="I410" s="6" t="n">
        <v>1</v>
      </c>
      <c r="J410" s="6" t="n">
        <v>1</v>
      </c>
      <c r="K410" s="6" t="n"/>
      <c r="X410" s="6" t="n">
        <v>6000</v>
      </c>
    </row>
    <row r="411">
      <c r="A411" t="inlineStr">
        <is>
          <t>starcraft</t>
        </is>
      </c>
      <c r="B411" t="inlineStr">
        <is>
          <t>zerg_broodweaver</t>
        </is>
      </c>
      <c r="C411" t="inlineStr">
        <is>
          <t>Broodweaver</t>
        </is>
      </c>
      <c r="D411" s="6" t="inlineStr">
        <is>
          <t>UnarmedTransportHelicopter</t>
        </is>
      </c>
      <c r="E411" s="6" t="n">
        <v>50000</v>
      </c>
      <c r="F411" s="6" t="n">
        <v>45</v>
      </c>
      <c r="G411" t="inlineStr">
        <is>
          <t>Helicopter</t>
        </is>
      </c>
      <c r="H411" s="6" t="n">
        <v>1</v>
      </c>
      <c r="I411" s="6" t="n">
        <v>1</v>
      </c>
      <c r="J411" s="6" t="n">
        <v>2</v>
      </c>
      <c r="K411" s="6" t="n"/>
      <c r="P411">
        <f>MAX(P412)</f>
        <v/>
      </c>
      <c r="S411">
        <f>S412</f>
        <v/>
      </c>
      <c r="T411">
        <f>(E411/100000+F411/100+(P411/1000)*J411/5+S411/200)*200*I411*H411</f>
        <v/>
      </c>
      <c r="U411">
        <f>((E411*F411/25000)+((P411/1000)*J411*S411/2.5))*I411*H411</f>
        <v/>
      </c>
      <c r="V411">
        <f>(E411*F411*(P411/1000)*J411*S411*I411*H411)/12500000</f>
        <v/>
      </c>
      <c r="W411">
        <f>(T411+U411+V411)/3</f>
        <v/>
      </c>
      <c r="X411" s="6" t="n">
        <v>2000</v>
      </c>
      <c r="Y411">
        <f>IFERROR(W411-X411,"")</f>
        <v/>
      </c>
      <c r="Z411">
        <f>IFERROR(ABS(Y411)/MAX(X411,1),"")</f>
        <v/>
      </c>
      <c r="AA411">
        <f>IFERROR((X411-(((E411/100000+F411/100+S411/200)*200*I411*H411)+((E411*F411/25000)*I411*H411))/3)/(((J411/5)*200*I411*H411)+((J411*S411/2.5)*I411*H411)+((E411*F411*J411*S411*I411*H411)/12500000))/3*1000,"")</f>
        <v/>
      </c>
    </row>
    <row r="412">
      <c r="B412" s="7" t="inlineStr">
        <is>
          <t xml:space="preserve">  ↳ BroodweaverLeech</t>
        </is>
      </c>
      <c r="C412" s="7" t="inlineStr">
        <is>
          <t>Armament</t>
        </is>
      </c>
      <c r="L412" s="6" t="n">
        <v>-1</v>
      </c>
      <c r="M412" s="6" t="n">
        <v>60</v>
      </c>
      <c r="N412" s="6" t="n">
        <v>10</v>
      </c>
      <c r="O412" s="6" t="n">
        <v>1</v>
      </c>
      <c r="P412" s="6" t="n">
        <v>4500</v>
      </c>
      <c r="Q412" s="6" t="n">
        <v>1</v>
      </c>
      <c r="R412">
        <f>M412+IF(N412&gt;1,N(O412)*(N412-1),0)</f>
        <v/>
      </c>
      <c r="S412">
        <f>IFERROR(L412*MAX(N412,1)/R412*Q412*IF(ISBLANK(K411),1,K411),0)</f>
        <v/>
      </c>
      <c r="AB412" s="7" t="inlineStr">
        <is>
          <t>^HealingWeapon</t>
        </is>
      </c>
    </row>
    <row r="413">
      <c r="A413" t="inlineStr">
        <is>
          <t>starcraft</t>
        </is>
      </c>
      <c r="B413" t="inlineStr">
        <is>
          <t>terran_dropship</t>
        </is>
      </c>
      <c r="C413" t="inlineStr">
        <is>
          <t>Dropship</t>
        </is>
      </c>
      <c r="D413" s="6" t="inlineStr">
        <is>
          <t>UnarmedTransportHelicopter</t>
        </is>
      </c>
      <c r="E413" s="6" t="n">
        <v>125000</v>
      </c>
      <c r="F413" s="6" t="n">
        <v>125</v>
      </c>
      <c r="G413" t="inlineStr">
        <is>
          <t>Helicopter</t>
        </is>
      </c>
      <c r="H413" s="6" t="n">
        <v>1</v>
      </c>
      <c r="I413" s="6" t="n">
        <v>1</v>
      </c>
      <c r="J413" s="6" t="n">
        <v>1</v>
      </c>
      <c r="K413" s="6" t="n"/>
      <c r="X413" s="6" t="n">
        <v>3600</v>
      </c>
    </row>
    <row r="414">
      <c r="A414" t="inlineStr">
        <is>
          <t>starcraft</t>
        </is>
      </c>
      <c r="B414" t="inlineStr">
        <is>
          <t>terran_medivac</t>
        </is>
      </c>
      <c r="C414" t="inlineStr">
        <is>
          <t>Medivac</t>
        </is>
      </c>
      <c r="D414" s="6" t="inlineStr">
        <is>
          <t>UnarmedTransportHelicopter</t>
        </is>
      </c>
      <c r="E414" s="6" t="n">
        <v>125000</v>
      </c>
      <c r="F414" s="6" t="n">
        <v>125</v>
      </c>
      <c r="G414" t="inlineStr">
        <is>
          <t>Helicopter</t>
        </is>
      </c>
      <c r="H414" s="6" t="n">
        <v>1</v>
      </c>
      <c r="I414" s="6" t="n">
        <v>1</v>
      </c>
      <c r="J414" s="6" t="n">
        <v>1</v>
      </c>
      <c r="K414" s="6" t="n"/>
      <c r="P414">
        <f>MAX(P415)</f>
        <v/>
      </c>
      <c r="S414">
        <f>S415</f>
        <v/>
      </c>
      <c r="T414">
        <f>(E414/100000+F414/100+(P414/1000)*J414/5+S414/200)*200*I414*H414</f>
        <v/>
      </c>
      <c r="U414">
        <f>((E414*F414/25000)+((P414/1000)*J414*S414/2.5))*I414*H414</f>
        <v/>
      </c>
      <c r="V414">
        <f>(E414*F414*(P414/1000)*J414*S414*I414*H414)/12500000</f>
        <v/>
      </c>
      <c r="W414">
        <f>(T414+U414+V414)/3</f>
        <v/>
      </c>
      <c r="X414" s="6" t="n">
        <v>5000</v>
      </c>
      <c r="Y414">
        <f>IFERROR(W414-X414,"")</f>
        <v/>
      </c>
      <c r="Z414">
        <f>IFERROR(ABS(Y414)/MAX(X414,1),"")</f>
        <v/>
      </c>
      <c r="AA414">
        <f>IFERROR((X414-(((E414/100000+F414/100+S414/200)*200*I414*H414)+((E414*F414/25000)*I414*H414))/3)/(((J414/5)*200*I414*H414)+((J414*S414/2.5)*I414*H414)+((E414*F414*J414*S414*I414*H414)/12500000))/3*1000,"")</f>
        <v/>
      </c>
    </row>
    <row r="415">
      <c r="B415" s="7" t="inlineStr">
        <is>
          <t xml:space="preserve">  ↳ MedicHeal</t>
        </is>
      </c>
      <c r="C415" s="7" t="inlineStr">
        <is>
          <t>Armament</t>
        </is>
      </c>
      <c r="L415" s="6" t="n">
        <v>-1</v>
      </c>
      <c r="M415" s="6" t="n">
        <v>10</v>
      </c>
      <c r="N415" s="6" t="n">
        <v>1</v>
      </c>
      <c r="O415" s="6" t="n"/>
      <c r="P415" s="6" t="n">
        <v>6000</v>
      </c>
      <c r="Q415" s="6" t="n">
        <v>1</v>
      </c>
      <c r="R415">
        <f>M415+IF(N415&gt;1,N(O415)*(N415-1),0)</f>
        <v/>
      </c>
      <c r="S415">
        <f>IFERROR(L415*MAX(N415,1)/R415*Q415*IF(ISBLANK(K414),1,K414),0)</f>
        <v/>
      </c>
      <c r="AB415" s="7" t="inlineStr">
        <is>
          <t>^HealingWeapon</t>
        </is>
      </c>
    </row>
    <row r="416">
      <c r="A416" s="4" t="inlineStr">
        <is>
          <t>Spaceship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</row>
    <row r="417">
      <c r="A417" t="inlineStr">
        <is>
          <t>tiberiansun</t>
        </is>
      </c>
      <c r="B417" t="inlineStr">
        <is>
          <t>cabal_hunter_drone_carrier</t>
        </is>
      </c>
      <c r="C417" t="inlineStr">
        <is>
          <t>Hunter Drone Carrier</t>
        </is>
      </c>
      <c r="D417" s="6" t="inlineStr">
        <is>
          <t>Spaceship</t>
        </is>
      </c>
      <c r="E417" s="6" t="n">
        <v>300000</v>
      </c>
      <c r="F417" s="6" t="n">
        <v>50</v>
      </c>
      <c r="G417" t="inlineStr">
        <is>
          <t>Spaceship</t>
        </is>
      </c>
      <c r="H417" s="6" t="n">
        <v>0.75</v>
      </c>
      <c r="I417" s="6" t="n">
        <v>0.5</v>
      </c>
      <c r="J417" s="6" t="n">
        <v>1</v>
      </c>
      <c r="K417" s="6" t="n"/>
      <c r="P417">
        <f>MAX(P418,P419,P420)</f>
        <v/>
      </c>
      <c r="S417">
        <f>S418+S419+S420</f>
        <v/>
      </c>
      <c r="T417">
        <f>(E417/100000+F417/100+(P417/1000)*J417/5+S417/200)*200*I417*H417</f>
        <v/>
      </c>
      <c r="U417">
        <f>((E417*F417/25000)+((P417/1000)*J417*S417/2.5))*I417*H417</f>
        <v/>
      </c>
      <c r="V417">
        <f>(E417*F417*(P417/1000)*J417*S417*I417*H417)/12500000</f>
        <v/>
      </c>
      <c r="W417">
        <f>(T417+U417+V417)/3</f>
        <v/>
      </c>
      <c r="X417" s="6" t="n">
        <v>4000</v>
      </c>
      <c r="Y417">
        <f>IFERROR(W417-X417,"")</f>
        <v/>
      </c>
      <c r="Z417">
        <f>IFERROR(ABS(Y417)/MAX(X417,1),"")</f>
        <v/>
      </c>
      <c r="AA417">
        <f>IFERROR((X417-(((E417/100000+F417/100+S417/200)*200*I417*H417)+((E417*F417/25000)*I417*H417))/3)/(((J417/5)*200*I417*H417)+((J417*S417/2.5)*I417*H417)+((E417*F417*J417*S417*I417*H417)/12500000))/3*1000,"")</f>
        <v/>
      </c>
    </row>
    <row r="418">
      <c r="B418" s="7" t="inlineStr">
        <is>
          <t xml:space="preserve">  ↳ CabalOverkillDroneLauncher</t>
        </is>
      </c>
      <c r="C418" s="7" t="inlineStr">
        <is>
          <t>Armament@drones</t>
        </is>
      </c>
      <c r="L418" s="6" t="n"/>
      <c r="M418" s="6" t="n">
        <v>25</v>
      </c>
      <c r="N418" s="6" t="n">
        <v>1</v>
      </c>
      <c r="O418" s="6" t="n"/>
      <c r="P418" s="6" t="n">
        <v>6400</v>
      </c>
      <c r="Q418" s="6" t="n">
        <v>1</v>
      </c>
      <c r="R418">
        <f>M418+IF(N418&gt;1,N(O418)*(N418-1),0)</f>
        <v/>
      </c>
      <c r="S418">
        <f>IFERROR(L418*MAX(N418,1)/R418*Q418*IF(ISBLANK(K417),1,K417),0)</f>
        <v/>
      </c>
      <c r="AB418" s="7" t="inlineStr"/>
    </row>
    <row r="419">
      <c r="B419" s="7" t="inlineStr">
        <is>
          <t xml:space="preserve">  ↳ CabalOverkillCharge</t>
        </is>
      </c>
      <c r="C419" s="7" t="inlineStr">
        <is>
          <t>Armament@charge</t>
        </is>
      </c>
      <c r="L419" s="6" t="n">
        <v>24000</v>
      </c>
      <c r="M419" s="6" t="n">
        <v>125</v>
      </c>
      <c r="N419" s="6" t="n">
        <v>1</v>
      </c>
      <c r="O419" s="6" t="n"/>
      <c r="P419" s="6" t="n">
        <v>6400</v>
      </c>
      <c r="Q419" s="6" t="n">
        <v>1</v>
      </c>
      <c r="R419">
        <f>M419+IF(N419&gt;1,N(O419)*(N419-1),0)</f>
        <v/>
      </c>
      <c r="S419">
        <f>IFERROR(L419*MAX(N419,1)/R419*Q419*IF(ISBLANK(K417),1,K417),0)</f>
        <v/>
      </c>
      <c r="AB419" s="7" t="inlineStr">
        <is>
          <t>^TeslaWeapon</t>
        </is>
      </c>
    </row>
    <row r="420">
      <c r="B420" s="7" t="inlineStr">
        <is>
          <t xml:space="preserve">  ↳ CabalOverkillLaser</t>
        </is>
      </c>
      <c r="C420" s="7" t="inlineStr">
        <is>
          <t>Armament</t>
        </is>
      </c>
      <c r="L420" s="6" t="n">
        <v>2000</v>
      </c>
      <c r="M420" s="6" t="n">
        <v>50</v>
      </c>
      <c r="N420" s="6" t="n">
        <v>50</v>
      </c>
      <c r="O420" s="6" t="n">
        <v>1</v>
      </c>
      <c r="P420" s="6" t="n">
        <v>6400</v>
      </c>
      <c r="Q420" s="6" t="n">
        <v>1</v>
      </c>
      <c r="R420">
        <f>M420+IF(N420&gt;1,N(O420)*(N420-1),0)</f>
        <v/>
      </c>
      <c r="S420">
        <f>IFERROR(L420*MAX(N420,1)/R420*Q420*IF(ISBLANK(K417),1,K417),0)</f>
        <v/>
      </c>
      <c r="AB420" s="7" t="inlineStr">
        <is>
          <t>^LaserWeapon</t>
        </is>
      </c>
    </row>
    <row r="421">
      <c r="A421" t="inlineStr">
        <is>
          <t>tiberiansun</t>
        </is>
      </c>
      <c r="B421" t="inlineStr">
        <is>
          <t>cabal_mothership</t>
        </is>
      </c>
      <c r="C421" t="inlineStr">
        <is>
          <t>Mothership</t>
        </is>
      </c>
      <c r="D421" s="6" t="inlineStr">
        <is>
          <t>Spaceship</t>
        </is>
      </c>
      <c r="E421" s="6" t="n">
        <v>500000</v>
      </c>
      <c r="F421" s="6" t="n">
        <v>50</v>
      </c>
      <c r="G421" t="inlineStr">
        <is>
          <t>Spaceship</t>
        </is>
      </c>
      <c r="H421" s="6" t="n">
        <v>1</v>
      </c>
      <c r="I421" s="6" t="n">
        <v>0.3</v>
      </c>
      <c r="J421" s="6" t="n">
        <v>1</v>
      </c>
      <c r="K421" s="6" t="n"/>
      <c r="P421">
        <f>MAX(P422,P423)</f>
        <v/>
      </c>
      <c r="S421">
        <f>S422+S423</f>
        <v/>
      </c>
      <c r="T421">
        <f>(E421/100000+F421/100+(P421/1000)*J421/5+S421/200)*200*I421*H421</f>
        <v/>
      </c>
      <c r="U421">
        <f>((E421*F421/25000)+((P421/1000)*J421*S421/2.5))*I421*H421</f>
        <v/>
      </c>
      <c r="V421">
        <f>(E421*F421*(P421/1000)*J421*S421*I421*H421)/12500000</f>
        <v/>
      </c>
      <c r="W421">
        <f>(T421+U421+V421)/3</f>
        <v/>
      </c>
      <c r="X421" s="6" t="n">
        <v>10000</v>
      </c>
      <c r="Y421">
        <f>IFERROR(W421-X421,"")</f>
        <v/>
      </c>
      <c r="Z421">
        <f>IFERROR(ABS(Y421)/MAX(X421,1),"")</f>
        <v/>
      </c>
      <c r="AA421">
        <f>IFERROR((X421-(((E421/100000+F421/100+S421/200)*200*I421*H421)+((E421*F421/25000)*I421*H421))/3)/(((J421/5)*200*I421*H421)+((J421*S421/2.5)*I421*H421)+((E421*F421*J421*S421*I421*H421)/12500000))/3*1000,"")</f>
        <v/>
      </c>
    </row>
    <row r="422">
      <c r="B422" s="7" t="inlineStr">
        <is>
          <t xml:space="preserve">  ↳ CabalHunterKillerHeavyLaser</t>
        </is>
      </c>
      <c r="C422" s="7" t="inlineStr">
        <is>
          <t>Armament@PRIMARY</t>
        </is>
      </c>
      <c r="L422" s="6" t="n">
        <v>20000</v>
      </c>
      <c r="M422" s="6" t="n">
        <v>26</v>
      </c>
      <c r="N422" s="6" t="n">
        <v>1</v>
      </c>
      <c r="O422" s="6" t="n"/>
      <c r="P422" s="6" t="n">
        <v>6170</v>
      </c>
      <c r="Q422" s="6" t="n">
        <v>1</v>
      </c>
      <c r="R422">
        <f>M422+IF(N422&gt;1,N(O422)*(N422-1),0)</f>
        <v/>
      </c>
      <c r="S422">
        <f>IFERROR(L422*MAX(N422,1)/R422*Q422*IF(ISBLANK(K421),1,K421),0)</f>
        <v/>
      </c>
      <c r="AB422" s="7" t="inlineStr">
        <is>
          <t>^LaserWeapon</t>
        </is>
      </c>
    </row>
    <row r="423">
      <c r="B423" s="7" t="inlineStr">
        <is>
          <t xml:space="preserve">  ↳ CabalMothershipRockets</t>
        </is>
      </c>
      <c r="C423" s="7" t="inlineStr">
        <is>
          <t>Armament@ROCKETS</t>
        </is>
      </c>
      <c r="L423" s="6" t="n">
        <v>10000</v>
      </c>
      <c r="M423" s="6" t="n">
        <v>34</v>
      </c>
      <c r="N423" s="6" t="n">
        <v>4</v>
      </c>
      <c r="O423" s="6" t="n">
        <v>2</v>
      </c>
      <c r="P423" s="6" t="n">
        <v>5846</v>
      </c>
      <c r="Q423" s="6" t="n">
        <v>1.05</v>
      </c>
      <c r="R423">
        <f>M423+IF(N423&gt;1,N(O423)*(N423-1),0)</f>
        <v/>
      </c>
      <c r="S423">
        <f>IFERROR(L423*MAX(N423,1)/R423*Q423*IF(ISBLANK(K421),1,K421),0)</f>
        <v/>
      </c>
      <c r="AB423" s="7" t="inlineStr">
        <is>
          <t>^TeslaWeapon, ^HeavyMissile, ^MediumFlameWeapon, ^MediumChemicalWeapon, ^Grenade, ^ArrowWeapon</t>
        </is>
      </c>
    </row>
    <row r="424">
      <c r="A424" t="inlineStr">
        <is>
          <t>tiberiansun</t>
        </is>
      </c>
      <c r="B424" t="inlineStr">
        <is>
          <t>ts_gdi_kodiakcommandship</t>
        </is>
      </c>
      <c r="C424" t="inlineStr">
        <is>
          <t>Kodiak Command Ship</t>
        </is>
      </c>
      <c r="D424" s="6" t="inlineStr">
        <is>
          <t>Spaceship</t>
        </is>
      </c>
      <c r="E424" s="6" t="n">
        <v>900000</v>
      </c>
      <c r="F424" s="6" t="n">
        <v>30</v>
      </c>
      <c r="G424" t="inlineStr">
        <is>
          <t>Spaceship</t>
        </is>
      </c>
      <c r="H424" s="6" t="n">
        <v>1</v>
      </c>
      <c r="I424" s="6" t="n">
        <v>1</v>
      </c>
      <c r="J424" s="6" t="n">
        <v>1</v>
      </c>
      <c r="K424" s="6" t="n"/>
      <c r="P424">
        <f>MAX(P425,P426,P427)</f>
        <v/>
      </c>
      <c r="S424">
        <f>S425+S426+S427</f>
        <v/>
      </c>
      <c r="T424">
        <f>(E424/100000+F424/100+(P424/1000)*J424/5+S424/200)*200*I424*H424</f>
        <v/>
      </c>
      <c r="U424">
        <f>((E424*F424/25000)+((P424/1000)*J424*S424/2.5))*I424*H424</f>
        <v/>
      </c>
      <c r="V424">
        <f>(E424*F424*(P424/1000)*J424*S424*I424*H424)/12500000</f>
        <v/>
      </c>
      <c r="W424">
        <f>(T424+U424+V424)/3</f>
        <v/>
      </c>
      <c r="X424" s="6" t="n">
        <v>10000</v>
      </c>
      <c r="Y424">
        <f>IFERROR(W424-X424,"")</f>
        <v/>
      </c>
      <c r="Z424">
        <f>IFERROR(ABS(Y424)/MAX(X424,1),"")</f>
        <v/>
      </c>
      <c r="AA424">
        <f>IFERROR((X424-(((E424/100000+F424/100+S424/200)*200*I424*H424)+((E424*F424/25000)*I424*H424))/3)/(((J424/5)*200*I424*H424)+((J424*S424/2.5)*I424*H424)+((E424*F424*J424*S424*I424*H424)/12500000))/3*1000,"")</f>
        <v/>
      </c>
    </row>
    <row r="425">
      <c r="B425" s="7" t="inlineStr">
        <is>
          <t xml:space="preserve">  ↳ KodiakCannon</t>
        </is>
      </c>
      <c r="C425" s="7" t="inlineStr">
        <is>
          <t>Armament@PRIMARY</t>
        </is>
      </c>
      <c r="L425" s="6" t="n">
        <v>8000</v>
      </c>
      <c r="M425" s="6" t="n">
        <v>92</v>
      </c>
      <c r="N425" s="6" t="n">
        <v>3</v>
      </c>
      <c r="O425" s="6" t="n">
        <v>4</v>
      </c>
      <c r="P425" s="6" t="n">
        <v>9165</v>
      </c>
      <c r="Q425" s="6" t="n">
        <v>1.25</v>
      </c>
      <c r="R425">
        <f>M425+IF(N425&gt;1,N(O425)*(N425-1),0)</f>
        <v/>
      </c>
      <c r="S425">
        <f>IFERROR(L425*MAX(N425,1)/R425*Q425*IF(ISBLANK(K424),1,K424),0)</f>
        <v/>
      </c>
      <c r="AB425" s="7" t="inlineStr">
        <is>
          <t>^HeavyChemicalWeapon, ^RailgunWeapon, ^HeavyMissile, ^HeavyCannon, ^HeavyBomb</t>
        </is>
      </c>
    </row>
    <row r="426">
      <c r="B426" s="7" t="inlineStr">
        <is>
          <t xml:space="preserve">  ↳ KodiakCannonSonic</t>
        </is>
      </c>
      <c r="C426" s="7" t="inlineStr">
        <is>
          <t>Armament@Upgrade</t>
        </is>
      </c>
      <c r="L426" s="6" t="n">
        <v>8000</v>
      </c>
      <c r="M426" s="6" t="n">
        <v>86</v>
      </c>
      <c r="N426" s="6" t="n">
        <v>3</v>
      </c>
      <c r="O426" s="6" t="n">
        <v>4</v>
      </c>
      <c r="P426" s="6" t="n">
        <v>9165</v>
      </c>
      <c r="Q426" s="6" t="n">
        <v>1.178571428571429</v>
      </c>
      <c r="R426">
        <f>M426+IF(N426&gt;1,N(O426)*(N426-1),0)</f>
        <v/>
      </c>
      <c r="S426">
        <f>IFERROR(L426*MAX(N426,1)/R426*Q426*IF(ISBLANK(K424),1,K424),0)</f>
        <v/>
      </c>
      <c r="AB426" s="7" t="inlineStr">
        <is>
          <t>^HeavyChemicalWeapon, ^RailgunWeapon, ^HeavyMissile, ^HeavyCannon, ^HeavyBomb, ^TeslaWeapon, ^MagicWeapon, ^TSSonicGrenade</t>
        </is>
      </c>
    </row>
    <row r="427">
      <c r="B427" s="7" t="inlineStr">
        <is>
          <t xml:space="preserve">  ↳ KodiakAAGuns</t>
        </is>
      </c>
      <c r="C427" s="7" t="inlineStr">
        <is>
          <t>Armament@SECONDARY</t>
        </is>
      </c>
      <c r="L427" s="6" t="n">
        <v>6000</v>
      </c>
      <c r="M427" s="6" t="n">
        <v>4</v>
      </c>
      <c r="N427" s="6" t="n">
        <v>1</v>
      </c>
      <c r="O427" s="6" t="n"/>
      <c r="P427" s="6" t="n">
        <v>8450</v>
      </c>
      <c r="Q427" s="6" t="n">
        <v>1</v>
      </c>
      <c r="R427">
        <f>M427+IF(N427&gt;1,N(O427)*(N427-1),0)</f>
        <v/>
      </c>
      <c r="S427">
        <f>IFERROR(L427*MAX(N427,1)/R427*Q427*IF(ISBLANK(K424),1,K424),0)</f>
        <v/>
      </c>
      <c r="AB427" s="7" t="inlineStr">
        <is>
          <t>^FlakWeapon</t>
        </is>
      </c>
    </row>
    <row r="428">
      <c r="A428" t="inlineStr">
        <is>
          <t>redalert2</t>
        </is>
      </c>
      <c r="B428" t="inlineStr">
        <is>
          <t>ra2_soviets_kirovairship</t>
        </is>
      </c>
      <c r="C428" t="inlineStr">
        <is>
          <t>Kirov Airship</t>
        </is>
      </c>
      <c r="D428" s="6" t="inlineStr">
        <is>
          <t>Spaceship</t>
        </is>
      </c>
      <c r="E428" s="6" t="n">
        <v>800000</v>
      </c>
      <c r="F428" s="6" t="n">
        <v>30</v>
      </c>
      <c r="G428" t="inlineStr">
        <is>
          <t>Spaceship</t>
        </is>
      </c>
      <c r="H428" s="6" t="n">
        <v>1</v>
      </c>
      <c r="I428" s="6" t="n">
        <v>1</v>
      </c>
      <c r="J428" s="6" t="n">
        <v>1</v>
      </c>
      <c r="K428" s="6" t="n"/>
      <c r="P428">
        <f>MAX(P429,P430,P431,P432,P433,P434)</f>
        <v/>
      </c>
      <c r="S428">
        <f>S429+S430+S431+S432+S433+S434</f>
        <v/>
      </c>
      <c r="T428">
        <f>(E428/100000+F428/100+(P428/1000)*J428/5+S428/200)*200*I428*H428</f>
        <v/>
      </c>
      <c r="U428">
        <f>((E428*F428/25000)+((P428/1000)*J428*S428/2.5))*I428*H428</f>
        <v/>
      </c>
      <c r="V428">
        <f>(E428*F428*(P428/1000)*J428*S428*I428*H428)/12500000</f>
        <v/>
      </c>
      <c r="W428">
        <f>(T428+U428+V428)/3</f>
        <v/>
      </c>
      <c r="X428" s="6" t="n">
        <v>4000</v>
      </c>
      <c r="Y428">
        <f>IFERROR(W428-X428,"")</f>
        <v/>
      </c>
      <c r="Z428">
        <f>IFERROR(ABS(Y428)/MAX(X428,1),"")</f>
        <v/>
      </c>
      <c r="AA428">
        <f>IFERROR((X428-(((E428/100000+F428/100+S428/200)*200*I428*H428)+((E428*F428/25000)*I428*H428))/3)/(((J428/5)*200*I428*H428)+((J428*S428/2.5)*I428*H428)+((E428*F428*J428*S428*I428*H428)/12500000))/3*1000,"")</f>
        <v/>
      </c>
    </row>
    <row r="429">
      <c r="B429" s="7" t="inlineStr">
        <is>
          <t xml:space="preserve">  ↳ RA2KirovBomb</t>
        </is>
      </c>
      <c r="C429" s="7" t="inlineStr">
        <is>
          <t>Armament@PRIMARY</t>
        </is>
      </c>
      <c r="L429" s="6" t="n">
        <v>80000</v>
      </c>
      <c r="M429" s="6" t="n">
        <v>50</v>
      </c>
      <c r="N429" s="6" t="n">
        <v>1</v>
      </c>
      <c r="O429" s="6" t="n"/>
      <c r="P429" s="6" t="n">
        <v>2500</v>
      </c>
      <c r="Q429" s="6" t="n">
        <v>1.25</v>
      </c>
      <c r="R429">
        <f>M429+IF(N429&gt;1,N(O429)*(N429-1),0)</f>
        <v/>
      </c>
      <c r="S429">
        <f>IFERROR(L429*MAX(N429,1)/R429*Q429*IF(ISBLANK(K428),1,K428),0)</f>
        <v/>
      </c>
      <c r="AB429" s="7" t="inlineStr">
        <is>
          <t>^HeavyBomb</t>
        </is>
      </c>
    </row>
    <row r="430">
      <c r="B430" s="7" t="inlineStr">
        <is>
          <t xml:space="preserve">  ↳ RA2KirovBomb_rad</t>
        </is>
      </c>
      <c r="C430" s="7" t="inlineStr">
        <is>
          <t>Armament@PRIMARYRad</t>
        </is>
      </c>
      <c r="L430" s="6" t="n">
        <v>48000</v>
      </c>
      <c r="M430" s="6" t="n">
        <v>50</v>
      </c>
      <c r="N430" s="6" t="n">
        <v>1</v>
      </c>
      <c r="O430" s="6" t="n"/>
      <c r="P430" s="6" t="n">
        <v>2500</v>
      </c>
      <c r="Q430" s="6" t="n">
        <v>1.25</v>
      </c>
      <c r="R430">
        <f>M430+IF(N430&gt;1,N(O430)*(N430-1),0)</f>
        <v/>
      </c>
      <c r="S430">
        <f>IFERROR(L430*MAX(N430,1)/R430*Q430*IF(ISBLANK(K428),1,K428),0)</f>
        <v/>
      </c>
      <c r="AB430" s="7" t="inlineStr">
        <is>
          <t>^HeavyChemicalWeapon, ^HeavyBomb, ^RA2RadShell</t>
        </is>
      </c>
    </row>
    <row r="431">
      <c r="B431" s="7" t="inlineStr">
        <is>
          <t xml:space="preserve">  ↳ RA2KirovBomb_fire</t>
        </is>
      </c>
      <c r="C431" s="7" t="inlineStr">
        <is>
          <t>Armament@PRIMARYFire</t>
        </is>
      </c>
      <c r="L431" s="6" t="n">
        <v>80000</v>
      </c>
      <c r="M431" s="6" t="n">
        <v>50</v>
      </c>
      <c r="N431" s="6" t="n">
        <v>1</v>
      </c>
      <c r="O431" s="6" t="n"/>
      <c r="P431" s="6" t="n">
        <v>2500</v>
      </c>
      <c r="Q431" s="6" t="n">
        <v>1.25</v>
      </c>
      <c r="R431">
        <f>M431+IF(N431&gt;1,N(O431)*(N431-1),0)</f>
        <v/>
      </c>
      <c r="S431">
        <f>IFERROR(L431*MAX(N431,1)/R431*Q431*IF(ISBLANK(K428),1,K428),0)</f>
        <v/>
      </c>
      <c r="AB431" s="7" t="inlineStr">
        <is>
          <t>^HeavyBomb</t>
        </is>
      </c>
    </row>
    <row r="432">
      <c r="B432" s="7" t="inlineStr">
        <is>
          <t xml:space="preserve">  ↳ RA2KirovBomb_tesla</t>
        </is>
      </c>
      <c r="C432" s="7" t="inlineStr">
        <is>
          <t>Armament@PRIMARYTesla</t>
        </is>
      </c>
      <c r="L432" s="6" t="n">
        <v>80000</v>
      </c>
      <c r="M432" s="6" t="n">
        <v>50</v>
      </c>
      <c r="N432" s="6" t="n">
        <v>1</v>
      </c>
      <c r="O432" s="6" t="n"/>
      <c r="P432" s="6" t="n">
        <v>2500</v>
      </c>
      <c r="Q432" s="6" t="n">
        <v>1.125</v>
      </c>
      <c r="R432">
        <f>M432+IF(N432&gt;1,N(O432)*(N432-1),0)</f>
        <v/>
      </c>
      <c r="S432">
        <f>IFERROR(L432*MAX(N432,1)/R432*Q432*IF(ISBLANK(K428),1,K428),0)</f>
        <v/>
      </c>
      <c r="AB432" s="7" t="inlineStr">
        <is>
          <t>^TeslaChargedWeapon, ^HeavyBomb</t>
        </is>
      </c>
    </row>
    <row r="433">
      <c r="B433" s="7" t="inlineStr">
        <is>
          <t xml:space="preserve">  ↳ RA2KirovBomb_nuclear</t>
        </is>
      </c>
      <c r="C433" s="7" t="inlineStr">
        <is>
          <t>Armament@PRIMARYNuclear</t>
        </is>
      </c>
      <c r="L433" s="6" t="n">
        <v>80000</v>
      </c>
      <c r="M433" s="6" t="n">
        <v>50</v>
      </c>
      <c r="N433" s="6" t="n">
        <v>1</v>
      </c>
      <c r="O433" s="6" t="n"/>
      <c r="P433" s="6" t="n">
        <v>2500</v>
      </c>
      <c r="Q433" s="6" t="n">
        <v>3.125</v>
      </c>
      <c r="R433">
        <f>M433+IF(N433&gt;1,N(O433)*(N433-1),0)</f>
        <v/>
      </c>
      <c r="S433">
        <f>IFERROR(L433*MAX(N433,1)/R433*Q433*IF(ISBLANK(K428),1,K428),0)</f>
        <v/>
      </c>
      <c r="AB433" s="7" t="inlineStr">
        <is>
          <t>^NuclearWarhead, ^HeavyBomb</t>
        </is>
      </c>
    </row>
    <row r="434">
      <c r="B434" s="7" t="inlineStr">
        <is>
          <t xml:space="preserve">  ↳ RA2KirovBomb_nuclear_E</t>
        </is>
      </c>
      <c r="C434" s="7" t="inlineStr">
        <is>
          <t>Armament@PRIMARYNuclearELITE</t>
        </is>
      </c>
      <c r="L434" s="6" t="n">
        <v>100000</v>
      </c>
      <c r="M434" s="6" t="n">
        <v>50</v>
      </c>
      <c r="N434" s="6" t="n">
        <v>1</v>
      </c>
      <c r="O434" s="6" t="n"/>
      <c r="P434" s="6" t="n">
        <v>2500</v>
      </c>
      <c r="Q434" s="6" t="n">
        <v>3.125</v>
      </c>
      <c r="R434">
        <f>M434+IF(N434&gt;1,N(O434)*(N434-1),0)</f>
        <v/>
      </c>
      <c r="S434">
        <f>IFERROR(L434*MAX(N434,1)/R434*Q434*IF(ISBLANK(K428),1,K428),0)</f>
        <v/>
      </c>
      <c r="AB434" s="7" t="inlineStr">
        <is>
          <t>^NuclearWarhead, ^HeavyBomb</t>
        </is>
      </c>
    </row>
    <row r="435">
      <c r="A435" t="inlineStr">
        <is>
          <t>redalert2</t>
        </is>
      </c>
      <c r="B435" t="inlineStr">
        <is>
          <t>yuri_floatingdisk</t>
        </is>
      </c>
      <c r="C435" t="inlineStr">
        <is>
          <t>Floating Disk</t>
        </is>
      </c>
      <c r="D435" s="6" t="inlineStr">
        <is>
          <t>Spaceship</t>
        </is>
      </c>
      <c r="E435" s="6" t="n">
        <v>125000</v>
      </c>
      <c r="F435" s="6" t="n">
        <v>80</v>
      </c>
      <c r="G435" t="inlineStr">
        <is>
          <t>Spaceship</t>
        </is>
      </c>
      <c r="H435" s="6" t="n">
        <v>1</v>
      </c>
      <c r="I435" s="6" t="n">
        <v>1</v>
      </c>
      <c r="J435" s="6" t="n">
        <v>1</v>
      </c>
      <c r="K435" s="6" t="n"/>
      <c r="P435">
        <f>MAX(P436,P437,P438,P439)</f>
        <v/>
      </c>
      <c r="S435">
        <f>S436+S437+S438+S439</f>
        <v/>
      </c>
      <c r="T435">
        <f>(E435/100000+F435/100+(P435/1000)*J435/5+S435/200)*200*I435*H435</f>
        <v/>
      </c>
      <c r="U435">
        <f>((E435*F435/25000)+((P435/1000)*J435*S435/2.5))*I435*H435</f>
        <v/>
      </c>
      <c r="V435">
        <f>(E435*F435*(P435/1000)*J435*S435*I435*H435)/12500000</f>
        <v/>
      </c>
      <c r="W435">
        <f>(T435+U435+V435)/3</f>
        <v/>
      </c>
      <c r="X435" s="6" t="n">
        <v>2400</v>
      </c>
      <c r="Y435">
        <f>IFERROR(W435-X435,"")</f>
        <v/>
      </c>
      <c r="Z435">
        <f>IFERROR(ABS(Y435)/MAX(X435,1),"")</f>
        <v/>
      </c>
      <c r="AA435">
        <f>IFERROR((X435-(((E435/100000+F435/100+S435/200)*200*I435*H435)+((E435*F435/25000)*I435*H435))/3)/(((J435/5)*200*I435*H435)+((J435*S435/2.5)*I435*H435)+((E435*F435*J435*S435*I435*H435)/12500000))/3*1000,"")</f>
        <v/>
      </c>
    </row>
    <row r="436">
      <c r="B436" s="7" t="inlineStr">
        <is>
          <t xml:space="preserve">  ↳ RA2DiskLaser</t>
        </is>
      </c>
      <c r="C436" s="7" t="inlineStr">
        <is>
          <t>Armament@PRIMARY</t>
        </is>
      </c>
      <c r="L436" s="6" t="n">
        <v>24000</v>
      </c>
      <c r="M436" s="6" t="n">
        <v>40</v>
      </c>
      <c r="N436" s="6" t="n">
        <v>1</v>
      </c>
      <c r="O436" s="6" t="n"/>
      <c r="P436" s="6" t="n">
        <v>6840</v>
      </c>
      <c r="Q436" s="6" t="n">
        <v>1</v>
      </c>
      <c r="R436">
        <f>M436+IF(N436&gt;1,N(O436)*(N436-1),0)</f>
        <v/>
      </c>
      <c r="S436">
        <f>IFERROR(L436*MAX(N436,1)/R436*Q436*IF(ISBLANK(K435),1,K435),0)</f>
        <v/>
      </c>
      <c r="AB436" s="7" t="inlineStr">
        <is>
          <t>^LaserWeapon</t>
        </is>
      </c>
    </row>
    <row r="437">
      <c r="B437" s="7" t="inlineStr">
        <is>
          <t xml:space="preserve">  ↳ RA2DiskLaser_elite</t>
        </is>
      </c>
      <c r="C437" s="7" t="inlineStr">
        <is>
          <t>Armament@ELITE</t>
        </is>
      </c>
      <c r="L437" s="6" t="n">
        <v>48000</v>
      </c>
      <c r="M437" s="6" t="n">
        <v>40</v>
      </c>
      <c r="N437" s="6" t="n">
        <v>1</v>
      </c>
      <c r="O437" s="6" t="n"/>
      <c r="P437" s="6" t="n">
        <v>7840</v>
      </c>
      <c r="Q437" s="6" t="n">
        <v>1</v>
      </c>
      <c r="R437">
        <f>M437+IF(N437&gt;1,N(O437)*(N437-1),0)</f>
        <v/>
      </c>
      <c r="S437">
        <f>IFERROR(L437*MAX(N437,1)/R437*Q437*IF(ISBLANK(K435),1,K435),0)</f>
        <v/>
      </c>
      <c r="AB437" s="7" t="inlineStr">
        <is>
          <t>^LaserWeapon</t>
        </is>
      </c>
    </row>
    <row r="438">
      <c r="B438" s="7" t="inlineStr">
        <is>
          <t xml:space="preserve">  ↳ RA2DiskDrain</t>
        </is>
      </c>
      <c r="C438" s="7" t="inlineStr">
        <is>
          <t>Armament@SECOND</t>
        </is>
      </c>
      <c r="L438" s="6" t="n">
        <v>2000</v>
      </c>
      <c r="M438" s="6" t="n">
        <v>5</v>
      </c>
      <c r="N438" s="6" t="n">
        <v>1</v>
      </c>
      <c r="O438" s="6" t="n"/>
      <c r="P438" s="6" t="n">
        <v>125</v>
      </c>
      <c r="Q438" s="6" t="n">
        <v>1</v>
      </c>
      <c r="R438">
        <f>M438+IF(N438&gt;1,N(O438)*(N438-1),0)</f>
        <v/>
      </c>
      <c r="S438">
        <f>IFERROR(L438*MAX(N438,1)/R438*Q438*IF(ISBLANK(K435),1,K435),0)</f>
        <v/>
      </c>
      <c r="AB438" s="7" t="inlineStr">
        <is>
          <t>^MagicWeapon, ^TeslaWeapon</t>
        </is>
      </c>
    </row>
    <row r="439">
      <c r="B439" s="7" t="inlineStr">
        <is>
          <t xml:space="preserve">  ↳ RA2DiskSteal</t>
        </is>
      </c>
      <c r="C439" s="7" t="inlineStr">
        <is>
          <t>Armament@Steal</t>
        </is>
      </c>
      <c r="L439" s="6" t="n"/>
      <c r="M439" s="6" t="n">
        <v>5</v>
      </c>
      <c r="N439" s="6" t="n">
        <v>1</v>
      </c>
      <c r="O439" s="6" t="n"/>
      <c r="P439" s="6" t="n">
        <v>125</v>
      </c>
      <c r="Q439" s="6" t="n">
        <v>1</v>
      </c>
      <c r="R439">
        <f>M439+IF(N439&gt;1,N(O439)*(N439-1),0)</f>
        <v/>
      </c>
      <c r="S439">
        <f>IFERROR(L439*MAX(N439,1)/R439*Q439*IF(ISBLANK(K435),1,K435),0)</f>
        <v/>
      </c>
      <c r="AB439" s="7" t="inlineStr"/>
    </row>
    <row r="440">
      <c r="A440" t="inlineStr">
        <is>
          <t>redalert2mod</t>
        </is>
      </c>
      <c r="B440" t="inlineStr">
        <is>
          <t>steelconsortium_cloudbreaker</t>
        </is>
      </c>
      <c r="C440" t="inlineStr">
        <is>
          <t>Cloud Breaker</t>
        </is>
      </c>
      <c r="D440" s="6" t="inlineStr">
        <is>
          <t>Spaceship</t>
        </is>
      </c>
      <c r="E440" s="6" t="n">
        <v>250000</v>
      </c>
      <c r="F440" s="6" t="n">
        <v>50</v>
      </c>
      <c r="G440" t="inlineStr">
        <is>
          <t>Spaceship</t>
        </is>
      </c>
      <c r="H440" s="6" t="n">
        <v>0.75</v>
      </c>
      <c r="I440" s="6" t="n">
        <v>1</v>
      </c>
      <c r="J440" s="6" t="n">
        <v>1.25</v>
      </c>
      <c r="K440" s="6" t="n">
        <v>0.5</v>
      </c>
      <c r="P440">
        <f>MAX(P441,P442,P443,P444)</f>
        <v/>
      </c>
      <c r="S440">
        <f>S441+S442+S443+S444</f>
        <v/>
      </c>
      <c r="T440">
        <f>(E440/100000+F440/100+(P440/1000)*J440/5+S440/200)*200*I440*H440</f>
        <v/>
      </c>
      <c r="U440">
        <f>((E440*F440/25000)+((P440/1000)*J440*S440/2.5))*I440*H440</f>
        <v/>
      </c>
      <c r="V440">
        <f>(E440*F440*(P440/1000)*J440*S440*I440*H440)/12500000</f>
        <v/>
      </c>
      <c r="W440">
        <f>(T440+U440+V440)/3</f>
        <v/>
      </c>
      <c r="X440" s="6" t="n">
        <v>5000</v>
      </c>
      <c r="Y440">
        <f>IFERROR(W440-X440,"")</f>
        <v/>
      </c>
      <c r="Z440">
        <f>IFERROR(ABS(Y440)/MAX(X440,1),"")</f>
        <v/>
      </c>
      <c r="AA440">
        <f>IFERROR((X440-(((E440/100000+F440/100+S440/200)*200*I440*H440)+((E440*F440/25000)*I440*H440))/3)/(((J440/5)*200*I440*H440)+((J440*S440/2.5)*I440*H440)+((E440*F440*J440*S440*I440*H440)/12500000))/3*1000,"")</f>
        <v/>
      </c>
    </row>
    <row r="441">
      <c r="B441" s="7" t="inlineStr">
        <is>
          <t xml:space="preserve">  ↳ SteelCruiserCannons</t>
        </is>
      </c>
      <c r="C441" s="7" t="inlineStr">
        <is>
          <t>Armament@PRIMARY</t>
        </is>
      </c>
      <c r="L441" s="6" t="n">
        <v>2000</v>
      </c>
      <c r="M441" s="6" t="n">
        <v>5</v>
      </c>
      <c r="N441" s="6" t="n">
        <v>1</v>
      </c>
      <c r="O441" s="6" t="n"/>
      <c r="P441" s="6" t="n">
        <v>7000</v>
      </c>
      <c r="Q441" s="6" t="n">
        <v>0.875</v>
      </c>
      <c r="R441">
        <f>M441+IF(N441&gt;1,N(O441)*(N441-1),0)</f>
        <v/>
      </c>
      <c r="S441">
        <f>IFERROR(L441*MAX(N441,1)/R441*Q441*IF(ISBLANK(K440),1,K440),0)</f>
        <v/>
      </c>
      <c r="AB441" s="7" t="inlineStr">
        <is>
          <t>^LightMissile, ^SmallArms, ^FlakWeapon, ^SteelChaingun</t>
        </is>
      </c>
    </row>
    <row r="442">
      <c r="B442" s="7" t="inlineStr">
        <is>
          <t xml:space="preserve">  ↳ SteelCruiserCannonsE</t>
        </is>
      </c>
      <c r="C442" s="7" t="inlineStr">
        <is>
          <t>Armament@PRIMARYELITE</t>
        </is>
      </c>
      <c r="L442" s="6" t="n">
        <v>2000</v>
      </c>
      <c r="M442" s="6" t="n">
        <v>5</v>
      </c>
      <c r="N442" s="6" t="n">
        <v>2</v>
      </c>
      <c r="O442" s="6" t="n">
        <v>1</v>
      </c>
      <c r="P442" s="6" t="n">
        <v>8000</v>
      </c>
      <c r="Q442" s="6" t="n">
        <v>0.875</v>
      </c>
      <c r="R442">
        <f>M442+IF(N442&gt;1,N(O442)*(N442-1),0)</f>
        <v/>
      </c>
      <c r="S442">
        <f>IFERROR(L442*MAX(N442,1)/R442*Q442*IF(ISBLANK(K440),1,K440),0)</f>
        <v/>
      </c>
      <c r="AB442" s="7" t="inlineStr">
        <is>
          <t>^LightMissile, ^SmallArms, ^FlakWeapon, ^SteelChaingun</t>
        </is>
      </c>
    </row>
    <row r="443">
      <c r="B443" s="7" t="inlineStr">
        <is>
          <t xml:space="preserve">  ↳ SteelCruiserArtillery</t>
        </is>
      </c>
      <c r="C443" s="7" t="inlineStr">
        <is>
          <t>Armament@CANNON</t>
        </is>
      </c>
      <c r="L443" s="6" t="n">
        <v>16000</v>
      </c>
      <c r="M443" s="6" t="n">
        <v>20</v>
      </c>
      <c r="N443" s="6" t="n">
        <v>1</v>
      </c>
      <c r="O443" s="6" t="n"/>
      <c r="P443" s="6" t="n">
        <v>7000</v>
      </c>
      <c r="Q443" s="6" t="n">
        <v>1</v>
      </c>
      <c r="R443">
        <f>M443+IF(N443&gt;1,N(O443)*(N443-1),0)</f>
        <v/>
      </c>
      <c r="S443">
        <f>IFERROR(L443*MAX(N443,1)/R443*Q443*IF(ISBLANK(K440),1,K440),0)</f>
        <v/>
      </c>
      <c r="AB443" s="7" t="inlineStr">
        <is>
          <t>^SteelMediumCannon, ^RA2Grenade</t>
        </is>
      </c>
    </row>
    <row r="444">
      <c r="B444" s="7" t="inlineStr">
        <is>
          <t xml:space="preserve">  ↳ SteelCruiserArtilleryE</t>
        </is>
      </c>
      <c r="C444" s="7" t="inlineStr">
        <is>
          <t>Armament@CANNONELITE</t>
        </is>
      </c>
      <c r="L444" s="6" t="n">
        <v>16000</v>
      </c>
      <c r="M444" s="6" t="n">
        <v>20</v>
      </c>
      <c r="N444" s="6" t="n">
        <v>2</v>
      </c>
      <c r="O444" s="6" t="n">
        <v>3</v>
      </c>
      <c r="P444" s="6" t="n">
        <v>8000</v>
      </c>
      <c r="Q444" s="6" t="n">
        <v>1</v>
      </c>
      <c r="R444">
        <f>M444+IF(N444&gt;1,N(O444)*(N444-1),0)</f>
        <v/>
      </c>
      <c r="S444">
        <f>IFERROR(L444*MAX(N444,1)/R444*Q444*IF(ISBLANK(K440),1,K440),0)</f>
        <v/>
      </c>
      <c r="AB444" s="7" t="inlineStr">
        <is>
          <t>^SteelMediumCannon, ^RA2Grenade</t>
        </is>
      </c>
    </row>
    <row r="445">
      <c r="A445" t="inlineStr">
        <is>
          <t>redalert2mod</t>
        </is>
      </c>
      <c r="B445" t="inlineStr">
        <is>
          <t>steelconsortium_empressstation</t>
        </is>
      </c>
      <c r="C445" t="inlineStr">
        <is>
          <t>Empress Station</t>
        </is>
      </c>
      <c r="D445" s="6" t="inlineStr">
        <is>
          <t>Spaceship</t>
        </is>
      </c>
      <c r="E445" s="6" t="n">
        <v>1500000</v>
      </c>
      <c r="F445" s="6" t="n">
        <v>25</v>
      </c>
      <c r="G445" t="inlineStr">
        <is>
          <t>Spaceship</t>
        </is>
      </c>
      <c r="H445" s="6" t="n">
        <v>0.75</v>
      </c>
      <c r="I445" s="6" t="n">
        <v>1</v>
      </c>
      <c r="J445" s="6" t="n">
        <v>1.25</v>
      </c>
      <c r="K445" s="6" t="n">
        <v>0.1</v>
      </c>
      <c r="P445">
        <f>MAX(P446)</f>
        <v/>
      </c>
      <c r="S445">
        <f>S446</f>
        <v/>
      </c>
      <c r="T445">
        <f>(E445/100000+F445/100+(P445/1000)*J445/5+S445/200)*200*I445*H445</f>
        <v/>
      </c>
      <c r="U445">
        <f>((E445*F445/25000)+((P445/1000)*J445*S445/2.5))*I445*H445</f>
        <v/>
      </c>
      <c r="V445">
        <f>(E445*F445*(P445/1000)*J445*S445*I445*H445)/12500000</f>
        <v/>
      </c>
      <c r="W445">
        <f>(T445+U445+V445)/3</f>
        <v/>
      </c>
      <c r="X445" s="6" t="n">
        <v>5000</v>
      </c>
      <c r="Y445">
        <f>IFERROR(W445-X445,"")</f>
        <v/>
      </c>
      <c r="Z445">
        <f>IFERROR(ABS(Y445)/MAX(X445,1),"")</f>
        <v/>
      </c>
      <c r="AA445">
        <f>IFERROR((X445-(((E445/100000+F445/100+S445/200)*200*I445*H445)+((E445*F445/25000)*I445*H445))/3)/(((J445/5)*200*I445*H445)+((J445*S445/2.5)*I445*H445)+((E445*F445*J445*S445*I445*H445)/12500000))/3*1000,"")</f>
        <v/>
      </c>
    </row>
    <row r="446">
      <c r="B446" s="7" t="inlineStr">
        <is>
          <t xml:space="preserve">  ↳ SteelInspectorIonCannon</t>
        </is>
      </c>
      <c r="C446" s="7" t="inlineStr">
        <is>
          <t>Armament@PRIMARY</t>
        </is>
      </c>
      <c r="L446" s="6" t="n">
        <v>100000</v>
      </c>
      <c r="M446" s="6" t="n">
        <v>25</v>
      </c>
      <c r="N446" s="6" t="n">
        <v>1</v>
      </c>
      <c r="O446" s="6" t="n"/>
      <c r="P446" s="6" t="n">
        <v>2500</v>
      </c>
      <c r="Q446" s="6" t="n">
        <v>1</v>
      </c>
      <c r="R446">
        <f>M446+IF(N446&gt;1,N(O446)*(N446-1),0)</f>
        <v/>
      </c>
      <c r="S446">
        <f>IFERROR(L446*MAX(N446,1)/R446*Q446*IF(ISBLANK(K445),1,K445),0)</f>
        <v/>
      </c>
      <c r="AB446" s="7" t="inlineStr">
        <is>
          <t>^TeslaChargedWeapon, ^TeslaWeapon</t>
        </is>
      </c>
    </row>
    <row r="447">
      <c r="A447" t="inlineStr">
        <is>
          <t>redalert2mod</t>
        </is>
      </c>
      <c r="B447" t="inlineStr">
        <is>
          <t>schwarzermond_dieglocke</t>
        </is>
      </c>
      <c r="C447" t="inlineStr">
        <is>
          <t>Die Glocke</t>
        </is>
      </c>
      <c r="D447" s="6" t="inlineStr">
        <is>
          <t>Spaceship</t>
        </is>
      </c>
      <c r="E447" s="6" t="n">
        <v>3750000</v>
      </c>
      <c r="F447" s="6" t="n">
        <v>40</v>
      </c>
      <c r="G447" t="inlineStr">
        <is>
          <t>Spaceship</t>
        </is>
      </c>
      <c r="H447" s="6" t="n">
        <v>1</v>
      </c>
      <c r="I447" s="6" t="n">
        <v>1</v>
      </c>
      <c r="J447" s="6" t="n">
        <v>1</v>
      </c>
      <c r="K447" s="6" t="n"/>
      <c r="P447">
        <f>MAX(P448)</f>
        <v/>
      </c>
      <c r="S447">
        <f>S448</f>
        <v/>
      </c>
      <c r="T447">
        <f>(E447/100000+F447/100+(P447/1000)*J447/5+S447/200)*200*I447*H447</f>
        <v/>
      </c>
      <c r="U447">
        <f>((E447*F447/25000)+((P447/1000)*J447*S447/2.5))*I447*H447</f>
        <v/>
      </c>
      <c r="V447">
        <f>(E447*F447*(P447/1000)*J447*S447*I447*H447)/12500000</f>
        <v/>
      </c>
      <c r="W447">
        <f>(T447+U447+V447)/3</f>
        <v/>
      </c>
      <c r="X447" s="6" t="n">
        <v>15000</v>
      </c>
      <c r="Y447">
        <f>IFERROR(W447-X447,"")</f>
        <v/>
      </c>
      <c r="Z447">
        <f>IFERROR(ABS(Y447)/MAX(X447,1),"")</f>
        <v/>
      </c>
      <c r="AA447">
        <f>IFERROR((X447-(((E447/100000+F447/100+S447/200)*200*I447*H447)+((E447*F447/25000)*I447*H447))/3)/(((J447/5)*200*I447*H447)+((J447*S447/2.5)*I447*H447)+((E447*F447*J447*S447*I447*H447)/12500000))/3*1000,"")</f>
        <v/>
      </c>
    </row>
    <row r="448">
      <c r="B448" s="7" t="inlineStr">
        <is>
          <t xml:space="preserve">  ↳ NaxDieGlocke</t>
        </is>
      </c>
      <c r="C448" s="7" t="inlineStr">
        <is>
          <t>Armament@PRIMARY</t>
        </is>
      </c>
      <c r="L448" s="6" t="n">
        <v>10000</v>
      </c>
      <c r="M448" s="6" t="n">
        <v>60</v>
      </c>
      <c r="N448" s="6" t="n">
        <v>1</v>
      </c>
      <c r="O448" s="6" t="n"/>
      <c r="P448" s="6" t="n">
        <v>2500</v>
      </c>
      <c r="Q448" s="6" t="n">
        <v>1.25</v>
      </c>
      <c r="R448">
        <f>M448+IF(N448&gt;1,N(O448)*(N448-1),0)</f>
        <v/>
      </c>
      <c r="S448">
        <f>IFERROR(L448*MAX(N448,1)/R448*Q448*IF(ISBLANK(K447),1,K447),0)</f>
        <v/>
      </c>
      <c r="AB448" s="7" t="inlineStr">
        <is>
          <t>^HeavyChemicalWeapon</t>
        </is>
      </c>
    </row>
    <row r="449">
      <c r="A449" t="inlineStr">
        <is>
          <t>redalert2mod</t>
        </is>
      </c>
      <c r="B449" t="inlineStr">
        <is>
          <t>schwarzermond_haunebuii</t>
        </is>
      </c>
      <c r="C449" t="inlineStr">
        <is>
          <t>Haunebu II</t>
        </is>
      </c>
      <c r="D449" s="6" t="inlineStr">
        <is>
          <t>Spaceship</t>
        </is>
      </c>
      <c r="E449" s="6" t="n">
        <v>250000</v>
      </c>
      <c r="F449" s="6" t="n">
        <v>66</v>
      </c>
      <c r="G449" t="inlineStr">
        <is>
          <t>Spaceship</t>
        </is>
      </c>
      <c r="H449" s="6" t="n">
        <v>1</v>
      </c>
      <c r="I449" s="6" t="n">
        <v>0.75</v>
      </c>
      <c r="J449" s="6" t="n">
        <v>1</v>
      </c>
      <c r="K449" s="6" t="n"/>
      <c r="P449">
        <f>MAX(P450,P451)</f>
        <v/>
      </c>
      <c r="S449">
        <f>S450+S451</f>
        <v/>
      </c>
      <c r="T449">
        <f>(E449/100000+F449/100+(P449/1000)*J449/5+S449/200)*200*I449*H449</f>
        <v/>
      </c>
      <c r="U449">
        <f>((E449*F449/25000)+((P449/1000)*J449*S449/2.5))*I449*H449</f>
        <v/>
      </c>
      <c r="V449">
        <f>(E449*F449*(P449/1000)*J449*S449*I449*H449)/12500000</f>
        <v/>
      </c>
      <c r="W449">
        <f>(T449+U449+V449)/3</f>
        <v/>
      </c>
      <c r="X449" s="6" t="n">
        <v>3200</v>
      </c>
      <c r="Y449">
        <f>IFERROR(W449-X449,"")</f>
        <v/>
      </c>
      <c r="Z449">
        <f>IFERROR(ABS(Y449)/MAX(X449,1),"")</f>
        <v/>
      </c>
      <c r="AA449">
        <f>IFERROR((X449-(((E449/100000+F449/100+S449/200)*200*I449*H449)+((E449*F449/25000)*I449*H449))/3)/(((J449/5)*200*I449*H449)+((J449*S449/2.5)*I449*H449)+((E449*F449*J449*S449*I449*H449)/12500000))/3*1000,"")</f>
        <v/>
      </c>
    </row>
    <row r="450">
      <c r="B450" s="7" t="inlineStr">
        <is>
          <t xml:space="preserve">  ↳ NaxHaenebuQuadCannon</t>
        </is>
      </c>
      <c r="C450" s="7" t="inlineStr">
        <is>
          <t>Armament@PRIMARY</t>
        </is>
      </c>
      <c r="L450" s="6" t="n">
        <v>2000</v>
      </c>
      <c r="M450" s="6" t="n">
        <v>66</v>
      </c>
      <c r="N450" s="6" t="n">
        <v>6</v>
      </c>
      <c r="O450" s="6" t="n">
        <v>0</v>
      </c>
      <c r="P450" s="6" t="n">
        <v>6666</v>
      </c>
      <c r="Q450" s="6" t="n">
        <v>1.083333333333333</v>
      </c>
      <c r="R450">
        <f>M450+IF(N450&gt;1,N(O450)*(N450-1),0)</f>
        <v/>
      </c>
      <c r="S450">
        <f>IFERROR(L450*MAX(N450,1)/R450*Q450*IF(ISBLANK(K449),1,K449),0)</f>
        <v/>
      </c>
      <c r="AB450" s="7" t="inlineStr">
        <is>
          <t>^Grenade, ^HeavyMissile, ^RA2FlakWeapon</t>
        </is>
      </c>
    </row>
    <row r="451">
      <c r="B451" s="7" t="inlineStr">
        <is>
          <t xml:space="preserve">  ↳ NaxHaenebuQuadCannonE</t>
        </is>
      </c>
      <c r="C451" s="7" t="inlineStr">
        <is>
          <t>Armament@ELITE</t>
        </is>
      </c>
      <c r="L451" s="6" t="n">
        <v>2000</v>
      </c>
      <c r="M451" s="6" t="n">
        <v>66</v>
      </c>
      <c r="N451" s="6" t="n">
        <v>7</v>
      </c>
      <c r="O451" s="6" t="n">
        <v>0</v>
      </c>
      <c r="P451" s="6" t="n">
        <v>7777</v>
      </c>
      <c r="Q451" s="6" t="n">
        <v>1.083333333333333</v>
      </c>
      <c r="R451">
        <f>M451+IF(N451&gt;1,N(O451)*(N451-1),0)</f>
        <v/>
      </c>
      <c r="S451">
        <f>IFERROR(L451*MAX(N451,1)/R451*Q451*IF(ISBLANK(K449),1,K449),0)</f>
        <v/>
      </c>
      <c r="AB451" s="7" t="inlineStr">
        <is>
          <t>^Grenade, ^HeavyMissile, ^RA2FlakWeapon</t>
        </is>
      </c>
    </row>
    <row r="452">
      <c r="A452" t="inlineStr">
        <is>
          <t>redalert2mod</t>
        </is>
      </c>
      <c r="B452" t="inlineStr">
        <is>
          <t>schwarzermond_haunebuiii</t>
        </is>
      </c>
      <c r="C452" t="inlineStr">
        <is>
          <t>Haunebu III</t>
        </is>
      </c>
      <c r="D452" s="6" t="inlineStr">
        <is>
          <t>Spaceship</t>
        </is>
      </c>
      <c r="E452" s="6" t="n">
        <v>375000</v>
      </c>
      <c r="F452" s="6" t="n">
        <v>55</v>
      </c>
      <c r="G452" t="inlineStr">
        <is>
          <t>Spaceship</t>
        </is>
      </c>
      <c r="H452" s="6" t="n">
        <v>1</v>
      </c>
      <c r="I452" s="6" t="n">
        <v>1</v>
      </c>
      <c r="J452" s="6" t="n">
        <v>1</v>
      </c>
      <c r="K452" s="6" t="n"/>
      <c r="P452">
        <f>MAX(P453,P454,P455)</f>
        <v/>
      </c>
      <c r="S452">
        <f>S453+S454+S455</f>
        <v/>
      </c>
      <c r="T452">
        <f>(E452/100000+F452/100+(P452/1000)*J452/5+S452/200)*200*I452*H452</f>
        <v/>
      </c>
      <c r="U452">
        <f>((E452*F452/25000)+((P452/1000)*J452*S452/2.5))*I452*H452</f>
        <v/>
      </c>
      <c r="V452">
        <f>(E452*F452*(P452/1000)*J452*S452*I452*H452)/12500000</f>
        <v/>
      </c>
      <c r="W452">
        <f>(T452+U452+V452)/3</f>
        <v/>
      </c>
      <c r="X452" s="6" t="n">
        <v>4000</v>
      </c>
      <c r="Y452">
        <f>IFERROR(W452-X452,"")</f>
        <v/>
      </c>
      <c r="Z452">
        <f>IFERROR(ABS(Y452)/MAX(X452,1),"")</f>
        <v/>
      </c>
      <c r="AA452">
        <f>IFERROR((X452-(((E452/100000+F452/100+S452/200)*200*I452*H452)+((E452*F452/25000)*I452*H452))/3)/(((J452/5)*200*I452*H452)+((J452*S452/2.5)*I452*H452)+((E452*F452*J452*S452*I452*H452)/12500000))/3*1000,"")</f>
        <v/>
      </c>
    </row>
    <row r="453">
      <c r="B453" s="7" t="inlineStr">
        <is>
          <t xml:space="preserve">  ↳ NaxHaenebuQuadCannon</t>
        </is>
      </c>
      <c r="C453" s="7" t="inlineStr">
        <is>
          <t>Armament@PRIMARY</t>
        </is>
      </c>
      <c r="L453" s="6" t="n">
        <v>2000</v>
      </c>
      <c r="M453" s="6" t="n">
        <v>66</v>
      </c>
      <c r="N453" s="6" t="n">
        <v>6</v>
      </c>
      <c r="O453" s="6" t="n">
        <v>0</v>
      </c>
      <c r="P453" s="6" t="n">
        <v>6666</v>
      </c>
      <c r="Q453" s="6" t="n">
        <v>1.083333333333333</v>
      </c>
      <c r="R453">
        <f>M453+IF(N453&gt;1,N(O453)*(N453-1),0)</f>
        <v/>
      </c>
      <c r="S453">
        <f>IFERROR(L453*MAX(N453,1)/R453*Q453*IF(ISBLANK(K452),1,K452),0)</f>
        <v/>
      </c>
      <c r="AB453" s="7" t="inlineStr">
        <is>
          <t>^Grenade, ^HeavyMissile, ^RA2FlakWeapon</t>
        </is>
      </c>
    </row>
    <row r="454">
      <c r="B454" s="7" t="inlineStr">
        <is>
          <t xml:space="preserve">  ↳ NaxHaenebuQuadCannonE</t>
        </is>
      </c>
      <c r="C454" s="7" t="inlineStr">
        <is>
          <t>Armament@ELITE</t>
        </is>
      </c>
      <c r="L454" s="6" t="n">
        <v>2000</v>
      </c>
      <c r="M454" s="6" t="n">
        <v>66</v>
      </c>
      <c r="N454" s="6" t="n">
        <v>7</v>
      </c>
      <c r="O454" s="6" t="n">
        <v>0</v>
      </c>
      <c r="P454" s="6" t="n">
        <v>7777</v>
      </c>
      <c r="Q454" s="6" t="n">
        <v>1.083333333333333</v>
      </c>
      <c r="R454">
        <f>M454+IF(N454&gt;1,N(O454)*(N454-1),0)</f>
        <v/>
      </c>
      <c r="S454">
        <f>IFERROR(L454*MAX(N454,1)/R454*Q454*IF(ISBLANK(K452),1,K452),0)</f>
        <v/>
      </c>
      <c r="AB454" s="7" t="inlineStr">
        <is>
          <t>^Grenade, ^HeavyMissile, ^RA2FlakWeapon</t>
        </is>
      </c>
    </row>
    <row r="455">
      <c r="B455" s="7" t="inlineStr">
        <is>
          <t xml:space="preserve">  ↳ NaxiCowDrop</t>
        </is>
      </c>
      <c r="C455" s="7" t="inlineStr">
        <is>
          <t>Armament@SECOND</t>
        </is>
      </c>
      <c r="L455" s="6" t="n">
        <v>10000</v>
      </c>
      <c r="M455" s="6" t="n">
        <v>50</v>
      </c>
      <c r="N455" s="6" t="n">
        <v>1</v>
      </c>
      <c r="O455" s="6" t="n"/>
      <c r="P455" s="6" t="n">
        <v>2000</v>
      </c>
      <c r="Q455" s="6" t="n">
        <v>1.25</v>
      </c>
      <c r="R455">
        <f>M455+IF(N455&gt;1,N(O455)*(N455-1),0)</f>
        <v/>
      </c>
      <c r="S455">
        <f>IFERROR(L455*MAX(N455,1)/R455*Q455*IF(ISBLANK(K452),1,K452),0)</f>
        <v/>
      </c>
      <c r="AB455" s="7" t="inlineStr">
        <is>
          <t>^HeavyBomb</t>
        </is>
      </c>
    </row>
    <row r="456">
      <c r="A456" t="inlineStr">
        <is>
          <t>redalert2mod</t>
        </is>
      </c>
      <c r="B456" t="inlineStr">
        <is>
          <t>futuretech_harbingergunship</t>
        </is>
      </c>
      <c r="C456" t="inlineStr">
        <is>
          <t>Harbinger Gunship</t>
        </is>
      </c>
      <c r="D456" s="6" t="inlineStr">
        <is>
          <t>Spaceship</t>
        </is>
      </c>
      <c r="E456" s="6" t="n">
        <v>400000</v>
      </c>
      <c r="F456" s="6" t="n">
        <v>125</v>
      </c>
      <c r="G456" t="inlineStr">
        <is>
          <t>Spaceship</t>
        </is>
      </c>
      <c r="H456" s="6" t="n">
        <v>1</v>
      </c>
      <c r="I456" s="6" t="n">
        <v>1</v>
      </c>
      <c r="J456" s="6" t="n">
        <v>1</v>
      </c>
      <c r="K456" s="6" t="n">
        <v>0.5</v>
      </c>
      <c r="P456">
        <f>MAX(P457,P458,P459,P460)</f>
        <v/>
      </c>
      <c r="S456">
        <f>S457+S458+S459+S460</f>
        <v/>
      </c>
      <c r="T456">
        <f>(E456/100000+F456/100+(P456/1000)*J456/5+S456/200)*200*I456*H456</f>
        <v/>
      </c>
      <c r="U456">
        <f>((E456*F456/25000)+((P456/1000)*J456*S456/2.5))*I456*H456</f>
        <v/>
      </c>
      <c r="V456">
        <f>(E456*F456*(P456/1000)*J456*S456*I456*H456)/12500000</f>
        <v/>
      </c>
      <c r="W456">
        <f>(T456+U456+V456)/3</f>
        <v/>
      </c>
      <c r="X456" s="6" t="n">
        <v>10000</v>
      </c>
      <c r="Y456">
        <f>IFERROR(W456-X456,"")</f>
        <v/>
      </c>
      <c r="Z456">
        <f>IFERROR(ABS(Y456)/MAX(X456,1),"")</f>
        <v/>
      </c>
      <c r="AA456">
        <f>IFERROR((X456-(((E456/100000+F456/100+S456/200)*200*I456*H456)+((E456*F456/25000)*I456*H456))/3)/(((J456/5)*200*I456*H456)+((J456*S456/2.5)*I456*H456)+((E456*F456*J456*S456*I456*H456)/12500000))/3*1000,"")</f>
        <v/>
      </c>
    </row>
    <row r="457">
      <c r="B457" s="7" t="inlineStr">
        <is>
          <t xml:space="preserve">  ↳ FutureHarbingerCannon</t>
        </is>
      </c>
      <c r="C457" s="7" t="inlineStr">
        <is>
          <t>Armament@PRIMARY</t>
        </is>
      </c>
      <c r="L457" s="6" t="n">
        <v>4000</v>
      </c>
      <c r="M457" s="6" t="n">
        <v>70</v>
      </c>
      <c r="N457" s="6" t="n">
        <v>2</v>
      </c>
      <c r="O457" s="6" t="n">
        <v>5</v>
      </c>
      <c r="P457" s="6" t="n">
        <v>6030</v>
      </c>
      <c r="Q457" s="6" t="n">
        <v>1.166666666666667</v>
      </c>
      <c r="R457">
        <f>M457+IF(N457&gt;1,N(O457)*(N457-1),0)</f>
        <v/>
      </c>
      <c r="S457">
        <f>IFERROR(L457*MAX(N457,1)/R457*Q457*IF(ISBLANK(K456),1,K456),0)</f>
        <v/>
      </c>
      <c r="AB457" s="7" t="inlineStr">
        <is>
          <t>^HeavyChemicalWeapon, ^HeavyFlameWeapon, ^HeavyBomb, ^TeslaChargedWeapon, ^TeslaWeapon, ^MagicWeapon, ^LaserWeapon, ^RailgunWeapon, ^HeavyMissile, ^HeavyCannon</t>
        </is>
      </c>
    </row>
    <row r="458">
      <c r="B458" s="7" t="inlineStr">
        <is>
          <t xml:space="preserve">  ↳ FutureHarbingerCannonE</t>
        </is>
      </c>
      <c r="C458" s="7" t="inlineStr">
        <is>
          <t>Armament@PRIMARYELITE</t>
        </is>
      </c>
      <c r="L458" s="6" t="n">
        <v>4000</v>
      </c>
      <c r="M458" s="6" t="n">
        <v>70</v>
      </c>
      <c r="N458" s="6" t="n">
        <v>4</v>
      </c>
      <c r="O458" s="6" t="n">
        <v>5</v>
      </c>
      <c r="P458" s="6" t="n">
        <v>7030</v>
      </c>
      <c r="Q458" s="6" t="n">
        <v>1.166666666666667</v>
      </c>
      <c r="R458">
        <f>M458+IF(N458&gt;1,N(O458)*(N458-1),0)</f>
        <v/>
      </c>
      <c r="S458">
        <f>IFERROR(L458*MAX(N458,1)/R458*Q458*IF(ISBLANK(K456),1,K456),0)</f>
        <v/>
      </c>
      <c r="AB458" s="7" t="inlineStr">
        <is>
          <t>^HeavyChemicalWeapon, ^HeavyFlameWeapon, ^HeavyBomb, ^TeslaChargedWeapon, ^TeslaWeapon, ^MagicWeapon, ^LaserWeapon, ^RailgunWeapon, ^HeavyMissile, ^HeavyCannon</t>
        </is>
      </c>
    </row>
    <row r="459">
      <c r="B459" s="7" t="inlineStr">
        <is>
          <t xml:space="preserve">  ↳ HarbingerChainguns</t>
        </is>
      </c>
      <c r="C459" s="7" t="inlineStr">
        <is>
          <t>Armament@AA</t>
        </is>
      </c>
      <c r="L459" s="6" t="n">
        <v>12000</v>
      </c>
      <c r="M459" s="6" t="n">
        <v>9</v>
      </c>
      <c r="N459" s="6" t="n">
        <v>1</v>
      </c>
      <c r="O459" s="6" t="n"/>
      <c r="P459" s="6" t="n">
        <v>6030</v>
      </c>
      <c r="Q459" s="6" t="n">
        <v>1</v>
      </c>
      <c r="R459">
        <f>M459+IF(N459&gt;1,N(O459)*(N459-1),0)</f>
        <v/>
      </c>
      <c r="S459">
        <f>IFERROR(L459*MAX(N459,1)/R459*Q459*IF(ISBLANK(K456),1,K456),0)</f>
        <v/>
      </c>
      <c r="AB459" s="7" t="inlineStr">
        <is>
          <t>^FlakWeapon</t>
        </is>
      </c>
    </row>
    <row r="460">
      <c r="B460" s="7" t="inlineStr">
        <is>
          <t xml:space="preserve">  ↳ HarbingerChaingunsE</t>
        </is>
      </c>
      <c r="C460" s="7" t="inlineStr">
        <is>
          <t>Armament@AAELITE</t>
        </is>
      </c>
      <c r="L460" s="6" t="n">
        <v>12000</v>
      </c>
      <c r="M460" s="6" t="n">
        <v>9</v>
      </c>
      <c r="N460" s="6" t="n">
        <v>2</v>
      </c>
      <c r="O460" s="6" t="n">
        <v>1</v>
      </c>
      <c r="P460" s="6" t="n">
        <v>7030</v>
      </c>
      <c r="Q460" s="6" t="n">
        <v>1</v>
      </c>
      <c r="R460">
        <f>M460+IF(N460&gt;1,N(O460)*(N460-1),0)</f>
        <v/>
      </c>
      <c r="S460">
        <f>IFERROR(L460*MAX(N460,1)/R460*Q460*IF(ISBLANK(K456),1,K456),0)</f>
        <v/>
      </c>
      <c r="AB460" s="7" t="inlineStr">
        <is>
          <t>^FlakWeapon</t>
        </is>
      </c>
    </row>
    <row r="461">
      <c r="A461" t="inlineStr">
        <is>
          <t>d2k</t>
        </is>
      </c>
      <c r="B461" t="inlineStr">
        <is>
          <t>ordos_wraith</t>
        </is>
      </c>
      <c r="C461" t="inlineStr">
        <is>
          <t>Wraith</t>
        </is>
      </c>
      <c r="D461" s="6" t="inlineStr">
        <is>
          <t>Spaceship</t>
        </is>
      </c>
      <c r="E461" s="6" t="n">
        <v>375000</v>
      </c>
      <c r="F461" s="6" t="n">
        <v>45</v>
      </c>
      <c r="G461" t="inlineStr">
        <is>
          <t>Spaceship</t>
        </is>
      </c>
      <c r="H461" s="6" t="n">
        <v>1</v>
      </c>
      <c r="I461" s="6" t="n">
        <v>1</v>
      </c>
      <c r="J461" s="6" t="n">
        <v>1</v>
      </c>
      <c r="K461" s="6" t="n"/>
      <c r="P461">
        <f>MAX(P462)</f>
        <v/>
      </c>
      <c r="S461">
        <f>S462</f>
        <v/>
      </c>
      <c r="T461">
        <f>(E461/100000+F461/100+(P461/1000)*J461/5+S461/200)*200*I461*H461</f>
        <v/>
      </c>
      <c r="U461">
        <f>((E461*F461/25000)+((P461/1000)*J461*S461/2.5))*I461*H461</f>
        <v/>
      </c>
      <c r="V461">
        <f>(E461*F461*(P461/1000)*J461*S461*I461*H461)/12500000</f>
        <v/>
      </c>
      <c r="W461">
        <f>(T461+U461+V461)/3</f>
        <v/>
      </c>
      <c r="X461" s="6" t="n">
        <v>7000</v>
      </c>
      <c r="Y461">
        <f>IFERROR(W461-X461,"")</f>
        <v/>
      </c>
      <c r="Z461">
        <f>IFERROR(ABS(Y461)/MAX(X461,1),"")</f>
        <v/>
      </c>
      <c r="AA461">
        <f>IFERROR((X461-(((E461/100000+F461/100+S461/200)*200*I461*H461)+((E461*F461/25000)*I461*H461))/3)/(((J461/5)*200*I461*H461)+((J461*S461/2.5)*I461*H461)+((E461*F461*J461*S461*I461*H461)/12500000))/3*1000,"")</f>
        <v/>
      </c>
    </row>
    <row r="462">
      <c r="B462" s="7" t="inlineStr">
        <is>
          <t xml:space="preserve">  ↳ Wraith_ToxinMissiles</t>
        </is>
      </c>
      <c r="C462" s="7" t="inlineStr">
        <is>
          <t>Armament@PRIMARY</t>
        </is>
      </c>
      <c r="L462" s="6" t="n">
        <v>10000</v>
      </c>
      <c r="M462" s="6" t="n">
        <v>125</v>
      </c>
      <c r="N462" s="6" t="n">
        <v>4</v>
      </c>
      <c r="O462" s="6" t="n">
        <v>25</v>
      </c>
      <c r="P462" s="6" t="n">
        <v>8370</v>
      </c>
      <c r="Q462" s="6" t="n">
        <v>1.1</v>
      </c>
      <c r="R462">
        <f>M462+IF(N462&gt;1,N(O462)*(N462-1),0)</f>
        <v/>
      </c>
      <c r="S462">
        <f>IFERROR(L462*MAX(N462,1)/R462*Q462*IF(ISBLANK(K461),1,K461),0)</f>
        <v/>
      </c>
      <c r="AB462" s="7" t="inlineStr">
        <is>
          <t>^ShrapnelWeapon, ^HeavyFlameWeapon, ^MediumChemicalWeapon, ^HeavyCannon, ^MediumMissile, ^D2KMissile</t>
        </is>
      </c>
    </row>
    <row r="463">
      <c r="A463" t="inlineStr">
        <is>
          <t>d2k</t>
        </is>
      </c>
      <c r="B463" t="inlineStr">
        <is>
          <t>ixian_farasha</t>
        </is>
      </c>
      <c r="C463" t="inlineStr">
        <is>
          <t>Farasha</t>
        </is>
      </c>
      <c r="D463" s="6" t="inlineStr">
        <is>
          <t>Spaceship</t>
        </is>
      </c>
      <c r="E463" s="6" t="n">
        <v>250000</v>
      </c>
      <c r="F463" s="6" t="n">
        <v>40</v>
      </c>
      <c r="G463" t="inlineStr">
        <is>
          <t>Spaceship</t>
        </is>
      </c>
      <c r="H463" s="6" t="n">
        <v>0.75</v>
      </c>
      <c r="I463" s="6" t="n">
        <v>1</v>
      </c>
      <c r="J463" s="6" t="n">
        <v>1.25</v>
      </c>
      <c r="K463" s="6" t="n"/>
      <c r="P463">
        <f>MAX(P464,P465,P466,P467)</f>
        <v/>
      </c>
      <c r="S463">
        <f>S464+S465+S466+S467</f>
        <v/>
      </c>
      <c r="T463">
        <f>(E463/100000+F463/100+(P463/1000)*J463/5+S463/200)*200*I463*H463</f>
        <v/>
      </c>
      <c r="U463">
        <f>((E463*F463/25000)+((P463/1000)*J463*S463/2.5))*I463*H463</f>
        <v/>
      </c>
      <c r="V463">
        <f>(E463*F463*(P463/1000)*J463*S463*I463*H463)/12500000</f>
        <v/>
      </c>
      <c r="W463">
        <f>(T463+U463+V463)/3</f>
        <v/>
      </c>
      <c r="X463" s="6" t="n">
        <v>6000</v>
      </c>
      <c r="Y463">
        <f>IFERROR(W463-X463,"")</f>
        <v/>
      </c>
      <c r="Z463">
        <f>IFERROR(ABS(Y463)/MAX(X463,1),"")</f>
        <v/>
      </c>
      <c r="AA463">
        <f>IFERROR((X463-(((E463/100000+F463/100+S463/200)*200*I463*H463)+((E463*F463/25000)*I463*H463))/3)/(((J463/5)*200*I463*H463)+((J463*S463/2.5)*I463*H463)+((E463*F463*J463*S463*I463*H463)/12500000))/3*1000,"")</f>
        <v/>
      </c>
    </row>
    <row r="464">
      <c r="B464" s="7" t="inlineStr">
        <is>
          <t xml:space="preserve">  ↳ d2k_dronelauncher</t>
        </is>
      </c>
      <c r="C464" s="7" t="inlineStr">
        <is>
          <t>Armament@drones</t>
        </is>
      </c>
      <c r="L464" s="6" t="n"/>
      <c r="M464" s="6" t="n">
        <v>25</v>
      </c>
      <c r="N464" s="6" t="n">
        <v>1</v>
      </c>
      <c r="O464" s="6" t="n"/>
      <c r="P464" s="6" t="n">
        <v>6400</v>
      </c>
      <c r="Q464" s="6" t="n">
        <v>1</v>
      </c>
      <c r="R464">
        <f>M464+IF(N464&gt;1,N(O464)*(N464-1),0)</f>
        <v/>
      </c>
      <c r="S464">
        <f>IFERROR(L464*MAX(N464,1)/R464*Q464*IF(ISBLANK(K463),1,K463),0)</f>
        <v/>
      </c>
      <c r="AB464" s="7" t="inlineStr"/>
    </row>
    <row r="465">
      <c r="B465" s="7" t="inlineStr">
        <is>
          <t xml:space="preserve">  ↳ d2k_farasha_charge</t>
        </is>
      </c>
      <c r="C465" s="7" t="inlineStr">
        <is>
          <t>Armament@charge</t>
        </is>
      </c>
      <c r="L465" s="6" t="n"/>
      <c r="M465" s="6" t="n">
        <v>125</v>
      </c>
      <c r="N465" s="6" t="n">
        <v>1</v>
      </c>
      <c r="O465" s="6" t="n"/>
      <c r="P465" s="6" t="n">
        <v>6400</v>
      </c>
      <c r="Q465" s="6" t="n">
        <v>1</v>
      </c>
      <c r="R465">
        <f>M465+IF(N465&gt;1,N(O465)*(N465-1),0)</f>
        <v/>
      </c>
      <c r="S465">
        <f>IFERROR(L465*MAX(N465,1)/R465*Q465*IF(ISBLANK(K463),1,K463),0)</f>
        <v/>
      </c>
      <c r="AB465" s="7" t="inlineStr"/>
    </row>
    <row r="466">
      <c r="B466" s="7" t="inlineStr">
        <is>
          <t xml:space="preserve">  ↳ ixian_farasha</t>
        </is>
      </c>
      <c r="C466" s="7" t="inlineStr">
        <is>
          <t>Armament</t>
        </is>
      </c>
      <c r="L466" s="6" t="n">
        <v>2000</v>
      </c>
      <c r="M466" s="6" t="n">
        <v>50</v>
      </c>
      <c r="N466" s="6" t="n">
        <v>50</v>
      </c>
      <c r="O466" s="6" t="n">
        <v>1</v>
      </c>
      <c r="P466" s="6" t="n">
        <v>6400</v>
      </c>
      <c r="Q466" s="6" t="n">
        <v>1.166666666666667</v>
      </c>
      <c r="R466">
        <f>M466+IF(N466&gt;1,N(O466)*(N466-1),0)</f>
        <v/>
      </c>
      <c r="S466">
        <f>IFERROR(L466*MAX(N466,1)/R466*Q466*IF(ISBLANK(K463),1,K463),0)</f>
        <v/>
      </c>
      <c r="AB466" s="7" t="inlineStr">
        <is>
          <t>^TeslaWeapon, ^HeavyFlameWeapon, ^RailgunWeapon</t>
        </is>
      </c>
    </row>
    <row r="467">
      <c r="B467" s="7" t="inlineStr">
        <is>
          <t xml:space="preserve">  ↳ d2k_farasha_aa</t>
        </is>
      </c>
      <c r="C467" s="7" t="inlineStr">
        <is>
          <t>Armament@AA</t>
        </is>
      </c>
      <c r="L467" s="6" t="n">
        <v>2000</v>
      </c>
      <c r="M467" s="6" t="n">
        <v>50</v>
      </c>
      <c r="N467" s="6" t="n">
        <v>50</v>
      </c>
      <c r="O467" s="6" t="n">
        <v>1</v>
      </c>
      <c r="P467" s="6" t="n">
        <v>6400</v>
      </c>
      <c r="Q467" s="6" t="n">
        <v>1.166666666666667</v>
      </c>
      <c r="R467">
        <f>M467+IF(N467&gt;1,N(O467)*(N467-1),0)</f>
        <v/>
      </c>
      <c r="S467">
        <f>IFERROR(L467*MAX(N467,1)/R467*Q467*IF(ISBLANK(K463),1,K463),0)</f>
        <v/>
      </c>
      <c r="AB467" s="7" t="inlineStr">
        <is>
          <t>^TeslaWeapon, ^HeavyFlameWeapon, ^RailgunWeapon</t>
        </is>
      </c>
    </row>
    <row r="468">
      <c r="A468" t="inlineStr">
        <is>
          <t>starcraft</t>
        </is>
      </c>
      <c r="B468" t="inlineStr">
        <is>
          <t>protoss_carrier</t>
        </is>
      </c>
      <c r="C468" t="inlineStr">
        <is>
          <t>Carrier</t>
        </is>
      </c>
      <c r="D468" s="6" t="inlineStr">
        <is>
          <t>Spaceship</t>
        </is>
      </c>
      <c r="E468" s="6" t="n">
        <v>300000</v>
      </c>
      <c r="F468" s="6" t="n">
        <v>45</v>
      </c>
      <c r="G468" t="inlineStr">
        <is>
          <t>Spaceship</t>
        </is>
      </c>
      <c r="H468" s="6" t="n">
        <v>0.75</v>
      </c>
      <c r="I468" s="6" t="n">
        <v>1</v>
      </c>
      <c r="J468" s="6" t="n">
        <v>0.75</v>
      </c>
      <c r="K468" s="6" t="n"/>
      <c r="P468">
        <f>MAX(P469)</f>
        <v/>
      </c>
      <c r="S468">
        <f>S469</f>
        <v/>
      </c>
      <c r="T468">
        <f>(E468/100000+F468/100+(P468/1000)*J468/5+S468/200)*200*I468*H468</f>
        <v/>
      </c>
      <c r="U468">
        <f>((E468*F468/25000)+((P468/1000)*J468*S468/2.5))*I468*H468</f>
        <v/>
      </c>
      <c r="V468">
        <f>(E468*F468*(P468/1000)*J468*S468*I468*H468)/12500000</f>
        <v/>
      </c>
      <c r="W468">
        <f>(T468+U468+V468)/3</f>
        <v/>
      </c>
      <c r="X468" s="6" t="n">
        <v>3000</v>
      </c>
      <c r="Y468">
        <f>IFERROR(W468-X468,"")</f>
        <v/>
      </c>
      <c r="Z468">
        <f>IFERROR(ABS(Y468)/MAX(X468,1),"")</f>
        <v/>
      </c>
      <c r="AA468">
        <f>IFERROR((X468-(((E468/100000+F468/100+S468/200)*200*I468*H468)+((E468*F468/25000)*I468*H468))/3)/(((J468/5)*200*I468*H468)+((J468*S468/2.5)*I468*H468)+((E468*F468*J468*S468*I468*H468)/12500000))/3*1000,"")</f>
        <v/>
      </c>
    </row>
    <row r="469">
      <c r="B469" s="7" t="inlineStr">
        <is>
          <t xml:space="preserve">  ↳ InterceptorLauncher</t>
        </is>
      </c>
      <c r="C469" s="7" t="inlineStr">
        <is>
          <t>Armament</t>
        </is>
      </c>
      <c r="L469" s="6" t="n"/>
      <c r="M469" s="6" t="n">
        <v>100</v>
      </c>
      <c r="N469" s="6" t="n">
        <v>5</v>
      </c>
      <c r="O469" s="6" t="n">
        <v>10</v>
      </c>
      <c r="P469" s="6" t="n">
        <v>10000</v>
      </c>
      <c r="Q469" s="6" t="n">
        <v>1</v>
      </c>
      <c r="R469">
        <f>M469+IF(N469&gt;1,N(O469)*(N469-1),0)</f>
        <v/>
      </c>
      <c r="S469">
        <f>IFERROR(L469*MAX(N469,1)/R469*Q469*IF(ISBLANK(K468),1,K468),0)</f>
        <v/>
      </c>
      <c r="AB469" s="7" t="inlineStr"/>
    </row>
    <row r="470">
      <c r="A470" t="inlineStr">
        <is>
          <t>starcraft</t>
        </is>
      </c>
      <c r="B470" t="inlineStr">
        <is>
          <t>protoss_starshipsovereign</t>
        </is>
      </c>
      <c r="C470" t="inlineStr">
        <is>
          <t>Starship Sovereign</t>
        </is>
      </c>
      <c r="D470" s="6" t="inlineStr">
        <is>
          <t>Spaceship</t>
        </is>
      </c>
      <c r="E470" s="6" t="n">
        <v>750000</v>
      </c>
      <c r="F470" s="6" t="n">
        <v>40</v>
      </c>
      <c r="G470" t="inlineStr">
        <is>
          <t>Spaceship</t>
        </is>
      </c>
      <c r="H470" s="6" t="n">
        <v>0.75</v>
      </c>
      <c r="I470" s="6" t="n">
        <v>1</v>
      </c>
      <c r="J470" s="6" t="n">
        <v>1.25</v>
      </c>
      <c r="K470" s="6" t="n">
        <v>0.75</v>
      </c>
      <c r="P470">
        <f>MAX(P471)</f>
        <v/>
      </c>
      <c r="S470">
        <f>S471</f>
        <v/>
      </c>
      <c r="T470">
        <f>(E470/100000+F470/100+(P470/1000)*J470/5+S470/200)*200*I470*H470</f>
        <v/>
      </c>
      <c r="U470">
        <f>((E470*F470/25000)+((P470/1000)*J470*S470/2.5))*I470*H470</f>
        <v/>
      </c>
      <c r="V470">
        <f>(E470*F470*(P470/1000)*J470*S470*I470*H470)/12500000</f>
        <v/>
      </c>
      <c r="W470">
        <f>(T470+U470+V470)/3</f>
        <v/>
      </c>
      <c r="X470" s="6" t="n">
        <v>10000</v>
      </c>
      <c r="Y470">
        <f>IFERROR(W470-X470,"")</f>
        <v/>
      </c>
      <c r="Z470">
        <f>IFERROR(ABS(Y470)/MAX(X470,1),"")</f>
        <v/>
      </c>
      <c r="AA470">
        <f>IFERROR((X470-(((E470/100000+F470/100+S470/200)*200*I470*H470)+((E470*F470/25000)*I470*H470))/3)/(((J470/5)*200*I470*H470)+((J470*S470/2.5)*I470*H470)+((E470*F470*J470*S470*I470*H470)/12500000))/3*1000,"")</f>
        <v/>
      </c>
    </row>
    <row r="471">
      <c r="B471" s="7" t="inlineStr">
        <is>
          <t xml:space="preserve">  ↳ StarshipSovereignBeam</t>
        </is>
      </c>
      <c r="C471" s="7" t="inlineStr">
        <is>
          <t>Armament</t>
        </is>
      </c>
      <c r="L471" s="6" t="n">
        <v>2000</v>
      </c>
      <c r="M471" s="6" t="n">
        <v>10</v>
      </c>
      <c r="N471" s="6" t="n">
        <v>1</v>
      </c>
      <c r="O471" s="6" t="n"/>
      <c r="P471" s="6" t="n">
        <v>8475</v>
      </c>
      <c r="Q471" s="6" t="n">
        <v>0.9166666666666666</v>
      </c>
      <c r="R471">
        <f>M471+IF(N471&gt;1,N(O471)*(N471-1),0)</f>
        <v/>
      </c>
      <c r="S471">
        <f>IFERROR(L471*MAX(N471,1)/R471*Q471*IF(ISBLANK(K470),1,K470),0)</f>
        <v/>
      </c>
      <c r="AB471" s="7" t="inlineStr">
        <is>
          <t>^LightMissile, ^SmallArms, ^Chaingun, ^FlakWeapon, ^TeslaWeapon, ^LaserWeapon</t>
        </is>
      </c>
    </row>
    <row r="472">
      <c r="A472" t="inlineStr">
        <is>
          <t>starcraft</t>
        </is>
      </c>
      <c r="B472" t="inlineStr">
        <is>
          <t>zerg_behemoth</t>
        </is>
      </c>
      <c r="C472" t="inlineStr">
        <is>
          <t>Behemoth</t>
        </is>
      </c>
      <c r="D472" s="6" t="inlineStr">
        <is>
          <t>Spaceship</t>
        </is>
      </c>
      <c r="E472" s="6" t="n">
        <v>600000</v>
      </c>
      <c r="F472" s="6" t="n">
        <v>30</v>
      </c>
      <c r="G472" t="inlineStr">
        <is>
          <t>Spaceship</t>
        </is>
      </c>
      <c r="H472" s="6" t="n">
        <v>0.75</v>
      </c>
      <c r="I472" s="6" t="n">
        <v>1</v>
      </c>
      <c r="J472" s="6" t="n">
        <v>1.25</v>
      </c>
      <c r="K472" s="6" t="n"/>
      <c r="P472">
        <f>MAX(P473)</f>
        <v/>
      </c>
      <c r="S472">
        <f>S473</f>
        <v/>
      </c>
      <c r="T472">
        <f>(E472/100000+F472/100+(P472/1000)*J472/5+S472/200)*200*I472*H472</f>
        <v/>
      </c>
      <c r="U472">
        <f>((E472*F472/25000)+((P472/1000)*J472*S472/2.5))*I472*H472</f>
        <v/>
      </c>
      <c r="V472">
        <f>(E472*F472*(P472/1000)*J472*S472*I472*H472)/12500000</f>
        <v/>
      </c>
      <c r="W472">
        <f>(T472+U472+V472)/3</f>
        <v/>
      </c>
      <c r="X472" s="6" t="n">
        <v>7200</v>
      </c>
      <c r="Y472">
        <f>IFERROR(W472-X472,"")</f>
        <v/>
      </c>
      <c r="Z472">
        <f>IFERROR(ABS(Y472)/MAX(X472,1),"")</f>
        <v/>
      </c>
      <c r="AA472">
        <f>IFERROR((X472-(((E472/100000+F472/100+S472/200)*200*I472*H472)+((E472*F472/25000)*I472*H472))/3)/(((J472/5)*200*I472*H472)+((J472*S472/2.5)*I472*H472)+((E472*F472*J472*S472*I472*H472)/12500000))/3*1000,"")</f>
        <v/>
      </c>
    </row>
    <row r="473">
      <c r="B473" s="7" t="inlineStr">
        <is>
          <t xml:space="preserve">  ↳ BehemothShoot</t>
        </is>
      </c>
      <c r="C473" s="7" t="inlineStr">
        <is>
          <t>Armament</t>
        </is>
      </c>
      <c r="L473" s="6" t="n">
        <v>2000</v>
      </c>
      <c r="M473" s="6" t="n">
        <v>60</v>
      </c>
      <c r="N473" s="6" t="n">
        <v>1</v>
      </c>
      <c r="O473" s="6" t="n"/>
      <c r="P473" s="6" t="n">
        <v>5230</v>
      </c>
      <c r="Q473" s="6" t="n">
        <v>1.041666666666667</v>
      </c>
      <c r="R473">
        <f>M473+IF(N473&gt;1,N(O473)*(N473-1),0)</f>
        <v/>
      </c>
      <c r="S473">
        <f>IFERROR(L473*MAX(N473,1)/R473*Q473*IF(ISBLANK(K472),1,K472),0)</f>
        <v/>
      </c>
      <c r="AB473" s="7" t="inlineStr">
        <is>
          <t>^LightFlameWeapon, ^MediumChemicalWeapon, ^HeavyMissile, ^Grenade, ^ShrapnelWeapon, ^HeavyBomb</t>
        </is>
      </c>
    </row>
    <row r="474">
      <c r="A474" t="inlineStr">
        <is>
          <t>starcraft</t>
        </is>
      </c>
      <c r="B474" t="inlineStr">
        <is>
          <t>terran_battlecruiser</t>
        </is>
      </c>
      <c r="C474" t="inlineStr">
        <is>
          <t>Battlecruiser</t>
        </is>
      </c>
      <c r="D474" s="6" t="inlineStr">
        <is>
          <t>Spaceship</t>
        </is>
      </c>
      <c r="E474" s="6" t="n">
        <v>500000</v>
      </c>
      <c r="F474" s="6" t="n">
        <v>30</v>
      </c>
      <c r="G474" t="inlineStr">
        <is>
          <t>Spaceship</t>
        </is>
      </c>
      <c r="H474" s="6" t="n">
        <v>0.75</v>
      </c>
      <c r="I474" s="6" t="n">
        <v>1</v>
      </c>
      <c r="J474" s="6" t="n">
        <v>1</v>
      </c>
      <c r="K474" s="6" t="n"/>
      <c r="P474">
        <f>MAX(P475,P476)</f>
        <v/>
      </c>
      <c r="S474">
        <f>S475+S476</f>
        <v/>
      </c>
      <c r="T474">
        <f>(E474/100000+F474/100+(P474/1000)*J474/5+S474/200)*200*I474*H474</f>
        <v/>
      </c>
      <c r="U474">
        <f>((E474*F474/25000)+((P474/1000)*J474*S474/2.5))*I474*H474</f>
        <v/>
      </c>
      <c r="V474">
        <f>(E474*F474*(P474/1000)*J474*S474*I474*H474)/12500000</f>
        <v/>
      </c>
      <c r="W474">
        <f>(T474+U474+V474)/3</f>
        <v/>
      </c>
      <c r="X474" s="6" t="n">
        <v>4000</v>
      </c>
      <c r="Y474">
        <f>IFERROR(W474-X474,"")</f>
        <v/>
      </c>
      <c r="Z474">
        <f>IFERROR(ABS(Y474)/MAX(X474,1),"")</f>
        <v/>
      </c>
      <c r="AA474">
        <f>IFERROR((X474-(((E474/100000+F474/100+S474/200)*200*I474*H474)+((E474*F474/25000)*I474*H474))/3)/(((J474/5)*200*I474*H474)+((J474*S474/2.5)*I474*H474)+((E474*F474*J474*S474*I474*H474)/12500000))/3*1000,"")</f>
        <v/>
      </c>
    </row>
    <row r="475">
      <c r="B475" s="7" t="inlineStr">
        <is>
          <t xml:space="preserve">  ↳ BCLaser</t>
        </is>
      </c>
      <c r="C475" s="7" t="inlineStr">
        <is>
          <t>Armament</t>
        </is>
      </c>
      <c r="L475" s="6" t="n">
        <v>4000</v>
      </c>
      <c r="M475" s="6" t="n">
        <v>38</v>
      </c>
      <c r="N475" s="6" t="n">
        <v>1</v>
      </c>
      <c r="O475" s="6" t="n"/>
      <c r="P475" s="6" t="n">
        <v>6800</v>
      </c>
      <c r="Q475" s="6" t="n">
        <v>1.638888888888889</v>
      </c>
      <c r="R475">
        <f>M475+IF(N475&gt;1,N(O475)*(N475-1),0)</f>
        <v/>
      </c>
      <c r="S475">
        <f>IFERROR(L475*MAX(N475,1)/R475*Q475*IF(ISBLANK(K474),1,K474),0)</f>
        <v/>
      </c>
      <c r="AB475" s="7" t="inlineStr">
        <is>
          <t>^NuclearWarhead, ^RailgunWeapon, ^HeavyMissile, ^HeavyCannon, ^HeavyAAWeapon, ^HeavyBomb, ^HeavyChemicalWeapon, ^HeavyFlameWeapon, ^LaserWeapon</t>
        </is>
      </c>
    </row>
    <row r="476">
      <c r="B476" s="7" t="inlineStr">
        <is>
          <t xml:space="preserve">  ↳ BCYamatoCannon</t>
        </is>
      </c>
      <c r="C476" s="7" t="inlineStr">
        <is>
          <t>Armament@Yamato</t>
        </is>
      </c>
      <c r="L476" s="6" t="n">
        <v>16000</v>
      </c>
      <c r="M476" s="6" t="n">
        <v>38</v>
      </c>
      <c r="N476" s="6" t="n">
        <v>1</v>
      </c>
      <c r="O476" s="6" t="n"/>
      <c r="P476" s="6" t="n">
        <v>6800</v>
      </c>
      <c r="Q476" s="6" t="n">
        <v>1.638888888888889</v>
      </c>
      <c r="R476">
        <f>M476+IF(N476&gt;1,N(O476)*(N476-1),0)</f>
        <v/>
      </c>
      <c r="S476">
        <f>IFERROR(L476*MAX(N476,1)/R476*Q476*IF(ISBLANK(K474),1,K474),0)</f>
        <v/>
      </c>
      <c r="AB476" s="7" t="inlineStr">
        <is>
          <t>^NuclearWarhead, ^RailgunWeapon, ^HeavyMissile, ^HeavyCannon, ^HeavyAAWeapon, ^HeavyBomb, ^HeavyChemicalWeapon, ^HeavyFlameWeapon, ^LaserWeapon</t>
        </is>
      </c>
    </row>
    <row r="477">
      <c r="A477" t="inlineStr">
        <is>
          <t>starcraft</t>
        </is>
      </c>
      <c r="B477" t="inlineStr">
        <is>
          <t>terran_phobos</t>
        </is>
      </c>
      <c r="C477" t="inlineStr">
        <is>
          <t>Phobos</t>
        </is>
      </c>
      <c r="D477" s="6" t="inlineStr">
        <is>
          <t>Spaceship</t>
        </is>
      </c>
      <c r="E477" s="6" t="n">
        <v>1000000</v>
      </c>
      <c r="F477" s="6" t="n">
        <v>25</v>
      </c>
      <c r="G477" t="inlineStr">
        <is>
          <t>Spaceship</t>
        </is>
      </c>
      <c r="H477" s="6" t="n">
        <v>0.75</v>
      </c>
      <c r="I477" s="6" t="n">
        <v>1</v>
      </c>
      <c r="J477" s="6" t="n">
        <v>1.25</v>
      </c>
      <c r="K477" s="6" t="n"/>
      <c r="P477">
        <f>MAX(P478,P479)</f>
        <v/>
      </c>
      <c r="S477">
        <f>S478+S479</f>
        <v/>
      </c>
      <c r="T477">
        <f>(E477/100000+F477/100+(P477/1000)*J477/5+S477/200)*200*I477*H477</f>
        <v/>
      </c>
      <c r="U477">
        <f>((E477*F477/25000)+((P477/1000)*J477*S477/2.5))*I477*H477</f>
        <v/>
      </c>
      <c r="V477">
        <f>(E477*F477*(P477/1000)*J477*S477*I477*H477)/12500000</f>
        <v/>
      </c>
      <c r="W477">
        <f>(T477+U477+V477)/3</f>
        <v/>
      </c>
      <c r="X477" s="6" t="n">
        <v>10000</v>
      </c>
      <c r="Y477">
        <f>IFERROR(W477-X477,"")</f>
        <v/>
      </c>
      <c r="Z477">
        <f>IFERROR(ABS(Y477)/MAX(X477,1),"")</f>
        <v/>
      </c>
      <c r="AA477">
        <f>IFERROR((X477-(((E477/100000+F477/100+S477/200)*200*I477*H477)+((E477*F477/25000)*I477*H477))/3)/(((J477/5)*200*I477*H477)+((J477*S477/2.5)*I477*H477)+((E477*F477*J477*S477*I477*H477)/12500000))/3*1000,"")</f>
        <v/>
      </c>
    </row>
    <row r="478">
      <c r="B478" s="7" t="inlineStr">
        <is>
          <t xml:space="preserve">  ↳ PhobosLaser</t>
        </is>
      </c>
      <c r="C478" s="7" t="inlineStr">
        <is>
          <t>Armament</t>
        </is>
      </c>
      <c r="L478" s="6" t="n">
        <v>6000</v>
      </c>
      <c r="M478" s="6" t="n">
        <v>80</v>
      </c>
      <c r="N478" s="6" t="n">
        <v>4</v>
      </c>
      <c r="O478" s="6" t="n">
        <v>4</v>
      </c>
      <c r="P478" s="6" t="n">
        <v>9000</v>
      </c>
      <c r="Q478" s="6" t="n">
        <v>1.21875</v>
      </c>
      <c r="R478">
        <f>M478+IF(N478&gt;1,N(O478)*(N478-1),0)</f>
        <v/>
      </c>
      <c r="S478">
        <f>IFERROR(L478*MAX(N478,1)/R478*Q478*IF(ISBLANK(K477),1,K477),0)</f>
        <v/>
      </c>
      <c r="AB478" s="7" t="inlineStr">
        <is>
          <t>^RailgunWeapon, ^HeavyMissile, ^HeavyCannon, ^HeavyAAWeapon, ^HeavyBomb, ^HeavyChemicalWeapon, ^HeavyFlameWeapon, ^LaserWeapon</t>
        </is>
      </c>
    </row>
    <row r="479">
      <c r="B479" s="7" t="inlineStr">
        <is>
          <t xml:space="preserve">  ↳ BCYamatoCannon</t>
        </is>
      </c>
      <c r="C479" s="7" t="inlineStr">
        <is>
          <t>Armament@Yamato</t>
        </is>
      </c>
      <c r="L479" s="6" t="n">
        <v>16000</v>
      </c>
      <c r="M479" s="6" t="n">
        <v>38</v>
      </c>
      <c r="N479" s="6" t="n">
        <v>1</v>
      </c>
      <c r="O479" s="6" t="n"/>
      <c r="P479" s="6" t="n">
        <v>6800</v>
      </c>
      <c r="Q479" s="6" t="n">
        <v>1.638888888888889</v>
      </c>
      <c r="R479">
        <f>M479+IF(N479&gt;1,N(O479)*(N479-1),0)</f>
        <v/>
      </c>
      <c r="S479">
        <f>IFERROR(L479*MAX(N479,1)/R479*Q479*IF(ISBLANK(K477),1,K477),0)</f>
        <v/>
      </c>
      <c r="AB479" s="7" t="inlineStr">
        <is>
          <t>^NuclearWarhead, ^RailgunWeapon, ^HeavyMissile, ^HeavyCannon, ^HeavyAAWeapon, ^HeavyBomb, ^HeavyChemicalWeapon, ^HeavyFlameWeapon, ^LaserWeapon</t>
        </is>
      </c>
    </row>
    <row r="480">
      <c r="A480" t="inlineStr">
        <is>
          <t>starcraft</t>
        </is>
      </c>
      <c r="B480" t="inlineStr">
        <is>
          <t>terran_pythean</t>
        </is>
      </c>
      <c r="C480" t="inlineStr">
        <is>
          <t>Pythean</t>
        </is>
      </c>
      <c r="D480" s="6" t="inlineStr">
        <is>
          <t>Spaceship</t>
        </is>
      </c>
      <c r="E480" s="6" t="n">
        <v>400000</v>
      </c>
      <c r="F480" s="6" t="n">
        <v>40</v>
      </c>
      <c r="G480" t="inlineStr">
        <is>
          <t>Spaceship</t>
        </is>
      </c>
      <c r="H480" s="6" t="n">
        <v>0.75</v>
      </c>
      <c r="I480" s="6" t="n">
        <v>1.25</v>
      </c>
      <c r="J480" s="6" t="n">
        <v>1</v>
      </c>
      <c r="K480" s="6" t="n"/>
      <c r="P480">
        <f>MAX(P481)</f>
        <v/>
      </c>
      <c r="S480">
        <f>S481</f>
        <v/>
      </c>
      <c r="T480">
        <f>(E480/100000+F480/100+(P480/1000)*J480/5+S480/200)*200*I480*H480</f>
        <v/>
      </c>
      <c r="U480">
        <f>((E480*F480/25000)+((P480/1000)*J480*S480/2.5))*I480*H480</f>
        <v/>
      </c>
      <c r="V480">
        <f>(E480*F480*(P480/1000)*J480*S480*I480*H480)/12500000</f>
        <v/>
      </c>
      <c r="W480">
        <f>(T480+U480+V480)/3</f>
        <v/>
      </c>
      <c r="X480" s="6" t="n">
        <v>5500</v>
      </c>
      <c r="Y480">
        <f>IFERROR(W480-X480,"")</f>
        <v/>
      </c>
      <c r="Z480">
        <f>IFERROR(ABS(Y480)/MAX(X480,1),"")</f>
        <v/>
      </c>
      <c r="AA480">
        <f>IFERROR((X480-(((E480/100000+F480/100+S480/200)*200*I480*H480)+((E480*F480/25000)*I480*H480))/3)/(((J480/5)*200*I480*H480)+((J480*S480/2.5)*I480*H480)+((E480*F480*J480*S480*I480*H480)/12500000))/3*1000,"")</f>
        <v/>
      </c>
    </row>
    <row r="481">
      <c r="B481" s="7" t="inlineStr">
        <is>
          <t xml:space="preserve">  ↳ JimRaynorMachineGun</t>
        </is>
      </c>
      <c r="C481" s="7" t="inlineStr">
        <is>
          <t>Armament</t>
        </is>
      </c>
      <c r="L481" s="6" t="n">
        <v>2000</v>
      </c>
      <c r="M481" s="6" t="n">
        <v>12</v>
      </c>
      <c r="N481" s="6" t="n">
        <v>5</v>
      </c>
      <c r="O481" s="6" t="n">
        <v>2</v>
      </c>
      <c r="P481" s="6" t="n">
        <v>7446</v>
      </c>
      <c r="Q481" s="6" t="n">
        <v>1.25</v>
      </c>
      <c r="R481">
        <f>M481+IF(N481&gt;1,N(O481)*(N481-1),0)</f>
        <v/>
      </c>
      <c r="S481">
        <f>IFERROR(L481*MAX(N481,1)/R481*Q481*IF(ISBLANK(K480),1,K480),0)</f>
        <v/>
      </c>
      <c r="AB481" s="7" t="inlineStr">
        <is>
          <t>^HeavyMissile, ^HeavyCannon</t>
        </is>
      </c>
    </row>
    <row r="482">
      <c r="A482" t="inlineStr">
        <is>
          <t>warcraft2</t>
        </is>
      </c>
      <c r="B482" t="inlineStr">
        <is>
          <t>wc2_orcs_dragon</t>
        </is>
      </c>
      <c r="C482" t="inlineStr">
        <is>
          <t>Dragon</t>
        </is>
      </c>
      <c r="D482" s="6" t="inlineStr">
        <is>
          <t>Spaceship</t>
        </is>
      </c>
      <c r="E482" s="6" t="n">
        <v>150000</v>
      </c>
      <c r="F482" s="6" t="n">
        <v>125</v>
      </c>
      <c r="G482" t="inlineStr">
        <is>
          <t>Spaceship</t>
        </is>
      </c>
      <c r="H482" s="6" t="n">
        <v>0.75</v>
      </c>
      <c r="I482" s="6" t="n">
        <v>1</v>
      </c>
      <c r="J482" s="6" t="n">
        <v>1.25</v>
      </c>
      <c r="K482" s="6" t="n"/>
      <c r="P482">
        <f>MAX(P483,P484)</f>
        <v/>
      </c>
      <c r="S482">
        <f>S483+S484</f>
        <v/>
      </c>
      <c r="T482">
        <f>(E482/100000+F482/100+(P482/1000)*J482/5+S482/200)*200*I482*H482</f>
        <v/>
      </c>
      <c r="U482">
        <f>((E482*F482/25000)+((P482/1000)*J482*S482/2.5))*I482*H482</f>
        <v/>
      </c>
      <c r="V482">
        <f>(E482*F482*(P482/1000)*J482*S482*I482*H482)/12500000</f>
        <v/>
      </c>
      <c r="W482">
        <f>(T482+U482+V482)/3</f>
        <v/>
      </c>
      <c r="X482" s="6" t="n">
        <v>2000</v>
      </c>
      <c r="Y482">
        <f>IFERROR(W482-X482,"")</f>
        <v/>
      </c>
      <c r="Z482">
        <f>IFERROR(ABS(Y482)/MAX(X482,1),"")</f>
        <v/>
      </c>
      <c r="AA482">
        <f>IFERROR((X482-(((E482/100000+F482/100+S482/200)*200*I482*H482)+((E482*F482/25000)*I482*H482))/3)/(((J482/5)*200*I482*H482)+((J482*S482/2.5)*I482*H482)+((E482*F482*J482*S482*I482*H482)/12500000))/3*1000,"")</f>
        <v/>
      </c>
    </row>
    <row r="483">
      <c r="B483" s="7" t="inlineStr">
        <is>
          <t xml:space="preserve">  ↳ wc2dragonFireVisible</t>
        </is>
      </c>
      <c r="C483" s="7" t="inlineStr">
        <is>
          <t>Armament@VISIBLE</t>
        </is>
      </c>
      <c r="L483" s="6" t="n">
        <v>2000</v>
      </c>
      <c r="M483" s="6" t="n">
        <v>120</v>
      </c>
      <c r="N483" s="6" t="n">
        <v>2</v>
      </c>
      <c r="O483" s="6" t="n">
        <v>0</v>
      </c>
      <c r="P483" s="6" t="n">
        <v>5010</v>
      </c>
      <c r="Q483" s="6" t="n">
        <v>1.035714285714286</v>
      </c>
      <c r="R483">
        <f>M483+IF(N483&gt;1,N(O483)*(N483-1),0)</f>
        <v/>
      </c>
      <c r="S483">
        <f>IFERROR(L483*MAX(N483,1)/R483*Q483*IF(ISBLANK(K482),1,K482),0)</f>
        <v/>
      </c>
      <c r="AB483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484">
      <c r="B484" s="7" t="inlineStr">
        <is>
          <t xml:space="preserve">  ↳ wc2dragonFireExplosion</t>
        </is>
      </c>
      <c r="C484" s="7" t="inlineStr">
        <is>
          <t>Armament@EXPLOSIONS</t>
        </is>
      </c>
      <c r="L484" s="6" t="n">
        <v>2000</v>
      </c>
      <c r="M484" s="6" t="n">
        <v>120</v>
      </c>
      <c r="N484" s="6" t="n">
        <v>3</v>
      </c>
      <c r="O484" s="6" t="n">
        <v>0</v>
      </c>
      <c r="P484" s="6" t="n">
        <v>5010</v>
      </c>
      <c r="Q484" s="6" t="n">
        <v>1.035714285714286</v>
      </c>
      <c r="R484">
        <f>M484+IF(N484&gt;1,N(O484)*(N484-1),0)</f>
        <v/>
      </c>
      <c r="S484">
        <f>IFERROR(L484*MAX(N484,1)/R484*Q484*IF(ISBLANK(K482),1,K482),0)</f>
        <v/>
      </c>
      <c r="AB484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485">
      <c r="A485" t="inlineStr">
        <is>
          <t>warcraft2</t>
        </is>
      </c>
      <c r="B485" t="inlineStr">
        <is>
          <t>wc2_humans_gryphonrider</t>
        </is>
      </c>
      <c r="C485" t="inlineStr">
        <is>
          <t>Gryphon Rider</t>
        </is>
      </c>
      <c r="D485" s="6" t="inlineStr">
        <is>
          <t>Spaceship</t>
        </is>
      </c>
      <c r="E485" s="6" t="n">
        <v>125000</v>
      </c>
      <c r="F485" s="6" t="n">
        <v>145</v>
      </c>
      <c r="G485" t="inlineStr">
        <is>
          <t>Spaceship</t>
        </is>
      </c>
      <c r="H485" s="6" t="n">
        <v>0.75</v>
      </c>
      <c r="I485" s="6" t="n">
        <v>1</v>
      </c>
      <c r="J485" s="6" t="n">
        <v>1.25</v>
      </c>
      <c r="K485" s="6" t="n"/>
      <c r="P485">
        <f>MAX(P486)</f>
        <v/>
      </c>
      <c r="S485">
        <f>S486</f>
        <v/>
      </c>
      <c r="T485">
        <f>(E485/100000+F485/100+(P485/1000)*J485/5+S485/200)*200*I485*H485</f>
        <v/>
      </c>
      <c r="U485">
        <f>((E485*F485/25000)+((P485/1000)*J485*S485/2.5))*I485*H485</f>
        <v/>
      </c>
      <c r="V485">
        <f>(E485*F485*(P485/1000)*J485*S485*I485*H485)/12500000</f>
        <v/>
      </c>
      <c r="W485">
        <f>(T485+U485+V485)/3</f>
        <v/>
      </c>
      <c r="X485" s="6" t="n">
        <v>1500</v>
      </c>
      <c r="Y485">
        <f>IFERROR(W485-X485,"")</f>
        <v/>
      </c>
      <c r="Z485">
        <f>IFERROR(ABS(Y485)/MAX(X485,1),"")</f>
        <v/>
      </c>
      <c r="AA485">
        <f>IFERROR((X485-(((E485/100000+F485/100+S485/200)*200*I485*H485)+((E485*F485/25000)*I485*H485))/3)/(((J485/5)*200*I485*H485)+((J485*S485/2.5)*I485*H485)+((E485*F485*J485*S485*I485*H485)/12500000))/3*1000,"")</f>
        <v/>
      </c>
    </row>
    <row r="486">
      <c r="B486" s="7" t="inlineStr">
        <is>
          <t xml:space="preserve">  ↳ wc2gryphonFireVisible</t>
        </is>
      </c>
      <c r="C486" s="7" t="inlineStr">
        <is>
          <t>Armament@VISIBLE</t>
        </is>
      </c>
      <c r="L486" s="6" t="n">
        <v>10000</v>
      </c>
      <c r="M486" s="6" t="n">
        <v>100</v>
      </c>
      <c r="N486" s="6" t="n">
        <v>1</v>
      </c>
      <c r="O486" s="6" t="n"/>
      <c r="P486" s="6" t="n">
        <v>4444</v>
      </c>
      <c r="Q486" s="6" t="n">
        <v>1</v>
      </c>
      <c r="R486">
        <f>M486+IF(N486&gt;1,N(O486)*(N486-1),0)</f>
        <v/>
      </c>
      <c r="S486">
        <f>IFERROR(L486*MAX(N486,1)/R486*Q486*IF(ISBLANK(K485),1,K485),0)</f>
        <v/>
      </c>
      <c r="AB486" s="7" t="inlineStr">
        <is>
          <t>^LightMissile, ^MediumFlameWeapon, ^HeavyBomb, ^TeslaChargedWeapon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487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Defense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redalert</t>
        </is>
      </c>
      <c r="B3" t="inlineStr">
        <is>
          <t>japan_japaneseshrine</t>
        </is>
      </c>
      <c r="C3" t="inlineStr">
        <is>
          <t>Japanese Shrine</t>
        </is>
      </c>
      <c r="D3" s="6" t="inlineStr">
        <is>
          <t>Defense</t>
        </is>
      </c>
      <c r="E3" s="6" t="n">
        <v>1000000</v>
      </c>
      <c r="F3" s="6" t="n">
        <v>100</v>
      </c>
      <c r="G3" t="inlineStr">
        <is>
          <t>Concrete</t>
        </is>
      </c>
      <c r="H3" s="6" t="n">
        <v>1</v>
      </c>
      <c r="I3" s="6" t="n">
        <v>1</v>
      </c>
      <c r="J3" s="6" t="n">
        <v>1</v>
      </c>
      <c r="K3" s="6" t="n"/>
      <c r="X3" s="6" t="n">
        <v>10000</v>
      </c>
    </row>
    <row r="4">
      <c r="A4" t="inlineStr">
        <is>
          <t>redalert</t>
        </is>
      </c>
      <c r="B4" t="inlineStr">
        <is>
          <t>ra1_soviets_ironcurtain</t>
        </is>
      </c>
      <c r="C4" t="inlineStr">
        <is>
          <t>Iron Curtain</t>
        </is>
      </c>
      <c r="D4" s="6" t="inlineStr">
        <is>
          <t>Defense</t>
        </is>
      </c>
      <c r="E4" s="6" t="n">
        <v>1000000</v>
      </c>
      <c r="F4" s="6" t="n">
        <v>100</v>
      </c>
      <c r="G4" t="inlineStr">
        <is>
          <t>Concrete</t>
        </is>
      </c>
      <c r="H4" s="6" t="n">
        <v>1</v>
      </c>
      <c r="I4" s="6" t="n">
        <v>1</v>
      </c>
      <c r="J4" s="6" t="n">
        <v>1</v>
      </c>
      <c r="K4" s="6" t="n"/>
      <c r="X4" s="6" t="n">
        <v>5000</v>
      </c>
    </row>
    <row r="5">
      <c r="A5" t="inlineStr">
        <is>
          <t>redalert</t>
        </is>
      </c>
      <c r="B5" t="inlineStr">
        <is>
          <t>ra1_soviets_missilesilo</t>
        </is>
      </c>
      <c r="C5" t="inlineStr">
        <is>
          <t>Soviet Missile Silo</t>
        </is>
      </c>
      <c r="D5" s="6" t="inlineStr">
        <is>
          <t>Defense</t>
        </is>
      </c>
      <c r="E5" s="6" t="n">
        <v>1000000</v>
      </c>
      <c r="F5" s="6" t="n">
        <v>100</v>
      </c>
      <c r="G5" t="inlineStr">
        <is>
          <t>Concrete</t>
        </is>
      </c>
      <c r="H5" s="6" t="n">
        <v>1</v>
      </c>
      <c r="I5" s="6" t="n">
        <v>1</v>
      </c>
      <c r="J5" s="6" t="n">
        <v>1</v>
      </c>
      <c r="K5" s="6" t="n"/>
      <c r="X5" s="6" t="n">
        <v>10000</v>
      </c>
    </row>
    <row r="6">
      <c r="A6" t="inlineStr">
        <is>
          <t>redalert</t>
        </is>
      </c>
      <c r="B6" t="inlineStr">
        <is>
          <t>ra1_allies_chronosphere</t>
        </is>
      </c>
      <c r="C6" t="inlineStr">
        <is>
          <t>Chronosphere</t>
        </is>
      </c>
      <c r="D6" s="6" t="inlineStr">
        <is>
          <t>Defense</t>
        </is>
      </c>
      <c r="E6" s="6" t="n">
        <v>1000000</v>
      </c>
      <c r="F6" s="6" t="n">
        <v>100</v>
      </c>
      <c r="G6" t="inlineStr">
        <is>
          <t>Concrete</t>
        </is>
      </c>
      <c r="H6" s="6" t="n">
        <v>1</v>
      </c>
      <c r="I6" s="6" t="n">
        <v>1</v>
      </c>
      <c r="J6" s="6" t="n">
        <v>1</v>
      </c>
      <c r="K6" s="6" t="n"/>
      <c r="X6" s="6" t="n">
        <v>10000</v>
      </c>
    </row>
    <row r="7">
      <c r="A7" t="inlineStr">
        <is>
          <t>tiberiansun</t>
        </is>
      </c>
      <c r="B7" t="inlineStr">
        <is>
          <t>cabal_missilesilo</t>
        </is>
      </c>
      <c r="C7" t="inlineStr">
        <is>
          <t>CABAL Missile Silo</t>
        </is>
      </c>
      <c r="D7" s="6" t="inlineStr">
        <is>
          <t>Defense</t>
        </is>
      </c>
      <c r="E7" s="6" t="n"/>
      <c r="F7" s="6" t="n">
        <v>100</v>
      </c>
      <c r="H7" s="6" t="n">
        <v>1</v>
      </c>
      <c r="I7" s="6" t="n">
        <v>1</v>
      </c>
      <c r="J7" s="6" t="n">
        <v>1</v>
      </c>
      <c r="K7" s="6" t="n"/>
      <c r="X7" s="6" t="n">
        <v>5000</v>
      </c>
    </row>
    <row r="8">
      <c r="A8" t="inlineStr">
        <is>
          <t>tiberiansun</t>
        </is>
      </c>
      <c r="B8" t="inlineStr">
        <is>
          <t>cabal_silo</t>
        </is>
      </c>
      <c r="C8" t="inlineStr">
        <is>
          <t>Silo</t>
        </is>
      </c>
      <c r="D8" s="6" t="inlineStr">
        <is>
          <t>Defense</t>
        </is>
      </c>
      <c r="E8" s="6" t="n">
        <v>100000</v>
      </c>
      <c r="F8" s="6" t="n">
        <v>100</v>
      </c>
      <c r="G8" t="inlineStr">
        <is>
          <t>Wood</t>
        </is>
      </c>
      <c r="H8" s="6" t="n">
        <v>1</v>
      </c>
      <c r="I8" s="6" t="n">
        <v>1</v>
      </c>
      <c r="J8" s="6" t="n">
        <v>1</v>
      </c>
      <c r="K8" s="6" t="n"/>
      <c r="X8" s="6" t="n">
        <v>150</v>
      </c>
    </row>
    <row r="9">
      <c r="A9" t="inlineStr">
        <is>
          <t>tiberiansun</t>
        </is>
      </c>
      <c r="B9" t="inlineStr">
        <is>
          <t>cabal_stealthgenerator</t>
        </is>
      </c>
      <c r="C9" t="inlineStr">
        <is>
          <t>Stealth Generator</t>
        </is>
      </c>
      <c r="D9" s="6" t="inlineStr">
        <is>
          <t>Defense</t>
        </is>
      </c>
      <c r="E9" s="6" t="n">
        <v>100000</v>
      </c>
      <c r="F9" s="6" t="n">
        <v>100</v>
      </c>
      <c r="G9" t="inlineStr">
        <is>
          <t>Concrete</t>
        </is>
      </c>
      <c r="H9" s="6" t="n">
        <v>1</v>
      </c>
      <c r="I9" s="6" t="n">
        <v>1</v>
      </c>
      <c r="J9" s="6" t="n">
        <v>1</v>
      </c>
      <c r="K9" s="6" t="n"/>
      <c r="X9" s="6" t="n">
        <v>2500</v>
      </c>
    </row>
    <row r="10">
      <c r="A10" t="inlineStr">
        <is>
          <t>tiberiansun</t>
        </is>
      </c>
      <c r="B10" t="inlineStr">
        <is>
          <t>ts_nod_laserfence</t>
        </is>
      </c>
      <c r="C10" t="inlineStr">
        <is>
          <t>Laser Fence</t>
        </is>
      </c>
      <c r="D10" s="6" t="inlineStr">
        <is>
          <t>Defense</t>
        </is>
      </c>
      <c r="E10" s="6" t="n">
        <v>30000</v>
      </c>
      <c r="F10" s="6" t="n">
        <v>100</v>
      </c>
      <c r="G10" t="inlineStr">
        <is>
          <t>Concrete</t>
        </is>
      </c>
      <c r="H10" s="6" t="n">
        <v>1</v>
      </c>
      <c r="I10" s="6" t="n">
        <v>1</v>
      </c>
      <c r="J10" s="6" t="n">
        <v>1</v>
      </c>
      <c r="K10" s="6" t="n"/>
      <c r="X10" s="6" t="n">
        <v>200</v>
      </c>
    </row>
    <row r="11">
      <c r="A11" t="inlineStr">
        <is>
          <t>tiberiansun</t>
        </is>
      </c>
      <c r="B11" t="inlineStr">
        <is>
          <t>ts_nod_missilesilo</t>
        </is>
      </c>
      <c r="C11" t="inlineStr">
        <is>
          <t>Missile Silo</t>
        </is>
      </c>
      <c r="D11" s="6" t="inlineStr">
        <is>
          <t>Defense</t>
        </is>
      </c>
      <c r="E11" s="6" t="n">
        <v>1000000</v>
      </c>
      <c r="F11" s="6" t="n">
        <v>100</v>
      </c>
      <c r="G11" t="inlineStr">
        <is>
          <t>Wood</t>
        </is>
      </c>
      <c r="H11" s="6" t="n">
        <v>1</v>
      </c>
      <c r="I11" s="6" t="n">
        <v>1</v>
      </c>
      <c r="J11" s="6" t="n">
        <v>1</v>
      </c>
      <c r="K11" s="6" t="n"/>
      <c r="P11">
        <f>MAX(P12,P13)</f>
        <v/>
      </c>
      <c r="S11">
        <f>S12+S13</f>
        <v/>
      </c>
      <c r="T11">
        <f>(E11/100000+F11/100+(P11/1000)*J11/5+S11/200)*200*I11*H11</f>
        <v/>
      </c>
      <c r="U11">
        <f>((E11*F11/25000)+((P11/1000)*J11*S11/2.5))*I11*H11</f>
        <v/>
      </c>
      <c r="V11">
        <f>(E11*F11*(P11/1000)*J11*S11*I11*H11)/12500000</f>
        <v/>
      </c>
      <c r="W11">
        <f>(T11+U11+V11)/3</f>
        <v/>
      </c>
      <c r="X11" s="6" t="n">
        <v>10000</v>
      </c>
      <c r="Y11">
        <f>IFERROR(W11-X11,"")</f>
        <v/>
      </c>
      <c r="Z11">
        <f>IFERROR(ABS(Y11)/MAX(X11,1),"")</f>
        <v/>
      </c>
      <c r="AA11">
        <f>IFERROR((X11-(((E11/100000+F11/100+S11/200)*200*I11*H11)+((E11*F11/25000)*I11*H11))/3)/(((J11/5)*200*I11*H11)+((J11*S11/2.5)*I11*H11)+((E11*F11*J11*S11*I11*H11)/12500000))/3*1000,"")</f>
        <v/>
      </c>
    </row>
    <row r="12">
      <c r="B12" s="7" t="inlineStr">
        <is>
          <t xml:space="preserve">  ↳ TSTacticalMissile</t>
        </is>
      </c>
      <c r="C12" s="7" t="inlineStr">
        <is>
          <t>Armament@superweapon1</t>
        </is>
      </c>
      <c r="L12" s="6" t="n"/>
      <c r="M12" s="6" t="n">
        <v>50</v>
      </c>
      <c r="N12" s="6" t="n">
        <v>1</v>
      </c>
      <c r="O12" s="6" t="n"/>
      <c r="P12" s="6" t="n">
        <v>10238976</v>
      </c>
      <c r="Q12" s="6" t="n">
        <v>1</v>
      </c>
      <c r="R12">
        <f>M12+IF(N12&gt;1,N(O12)*(N12-1),0)</f>
        <v/>
      </c>
      <c r="S12">
        <f>IFERROR(L12*MAX(N12,1)/R12*Q12*IF(ISBLANK(K11),1,K11),0)</f>
        <v/>
      </c>
      <c r="AB12" s="7" t="inlineStr">
        <is>
          <t>^TSDefaultMissile</t>
        </is>
      </c>
    </row>
    <row r="13">
      <c r="B13" s="7" t="inlineStr">
        <is>
          <t xml:space="preserve">  ↳ TSTacticalChemMissile</t>
        </is>
      </c>
      <c r="C13" s="7" t="inlineStr">
        <is>
          <t>Armament@superweapon2</t>
        </is>
      </c>
      <c r="L13" s="6" t="n"/>
      <c r="M13" s="6" t="n">
        <v>50</v>
      </c>
      <c r="N13" s="6" t="n">
        <v>1</v>
      </c>
      <c r="O13" s="6" t="n"/>
      <c r="P13" s="6" t="n">
        <v>10238976</v>
      </c>
      <c r="Q13" s="6" t="n">
        <v>1</v>
      </c>
      <c r="R13">
        <f>M13+IF(N13&gt;1,N(O13)*(N13-1),0)</f>
        <v/>
      </c>
      <c r="S13">
        <f>IFERROR(L13*MAX(N13,1)/R13*Q13*IF(ISBLANK(K11),1,K11),0)</f>
        <v/>
      </c>
      <c r="AB13" s="7" t="inlineStr">
        <is>
          <t>^TSDefaultMissile</t>
        </is>
      </c>
    </row>
    <row r="14">
      <c r="A14" t="inlineStr">
        <is>
          <t>tiberiansun</t>
        </is>
      </c>
      <c r="B14" t="inlineStr">
        <is>
          <t>ts_nod_silo</t>
        </is>
      </c>
      <c r="C14" t="inlineStr">
        <is>
          <t>Silo</t>
        </is>
      </c>
      <c r="D14" s="6" t="inlineStr">
        <is>
          <t>Defense</t>
        </is>
      </c>
      <c r="E14" s="6" t="n">
        <v>100000</v>
      </c>
      <c r="F14" s="6" t="n">
        <v>100</v>
      </c>
      <c r="G14" t="inlineStr">
        <is>
          <t>Wood</t>
        </is>
      </c>
      <c r="H14" s="6" t="n">
        <v>1</v>
      </c>
      <c r="I14" s="6" t="n">
        <v>1</v>
      </c>
      <c r="J14" s="6" t="n">
        <v>1</v>
      </c>
      <c r="K14" s="6" t="n"/>
      <c r="X14" s="6" t="n">
        <v>150</v>
      </c>
    </row>
    <row r="15">
      <c r="A15" t="inlineStr">
        <is>
          <t>tiberiansun</t>
        </is>
      </c>
      <c r="B15" t="inlineStr">
        <is>
          <t>ts_nod_stealthgenerator</t>
        </is>
      </c>
      <c r="C15" t="inlineStr">
        <is>
          <t>Stealth Generator</t>
        </is>
      </c>
      <c r="D15" s="6" t="inlineStr">
        <is>
          <t>Defense</t>
        </is>
      </c>
      <c r="E15" s="6" t="n">
        <v>100000</v>
      </c>
      <c r="F15" s="6" t="n">
        <v>100</v>
      </c>
      <c r="G15" t="inlineStr">
        <is>
          <t>Concrete</t>
        </is>
      </c>
      <c r="H15" s="6" t="n">
        <v>1</v>
      </c>
      <c r="I15" s="6" t="n">
        <v>1</v>
      </c>
      <c r="J15" s="6" t="n">
        <v>1</v>
      </c>
      <c r="K15" s="6" t="n"/>
      <c r="X15" s="6" t="n">
        <v>2500</v>
      </c>
    </row>
    <row r="16">
      <c r="A16" t="inlineStr">
        <is>
          <t>tiberiansun</t>
        </is>
      </c>
      <c r="B16" t="inlineStr">
        <is>
          <t>ts_gdi_upgradecenter</t>
        </is>
      </c>
      <c r="C16" t="inlineStr">
        <is>
          <t>Upgrade Center</t>
        </is>
      </c>
      <c r="D16" s="6" t="inlineStr">
        <is>
          <t>Defense</t>
        </is>
      </c>
      <c r="E16" s="6" t="n">
        <v>1000000</v>
      </c>
      <c r="F16" s="6" t="n">
        <v>100</v>
      </c>
      <c r="G16" t="inlineStr">
        <is>
          <t>Concrete</t>
        </is>
      </c>
      <c r="H16" s="6" t="n">
        <v>1</v>
      </c>
      <c r="I16" s="6" t="n">
        <v>1</v>
      </c>
      <c r="J16" s="6" t="n">
        <v>1</v>
      </c>
      <c r="K16" s="6" t="n"/>
      <c r="X16" s="6" t="n">
        <v>10000</v>
      </c>
    </row>
    <row r="17">
      <c r="A17" t="inlineStr">
        <is>
          <t>tiberiansun</t>
        </is>
      </c>
      <c r="B17" t="inlineStr">
        <is>
          <t>forgotten_silo</t>
        </is>
      </c>
      <c r="C17" t="inlineStr">
        <is>
          <t>actor_forgotten_silo.name</t>
        </is>
      </c>
      <c r="D17" s="6" t="inlineStr">
        <is>
          <t>Defense</t>
        </is>
      </c>
      <c r="E17" s="6" t="n">
        <v>200000</v>
      </c>
      <c r="F17" s="6" t="n">
        <v>100</v>
      </c>
      <c r="G17" t="inlineStr">
        <is>
          <t>Wood</t>
        </is>
      </c>
      <c r="H17" s="6" t="n">
        <v>1</v>
      </c>
      <c r="I17" s="6" t="n">
        <v>1</v>
      </c>
      <c r="J17" s="6" t="n">
        <v>1</v>
      </c>
      <c r="K17" s="6" t="n"/>
      <c r="X17" s="6" t="n">
        <v>300</v>
      </c>
    </row>
    <row r="18">
      <c r="A18" t="inlineStr">
        <is>
          <t>tiberiansun</t>
        </is>
      </c>
      <c r="B18" t="inlineStr">
        <is>
          <t>forgotten_veinhole</t>
        </is>
      </c>
      <c r="C18" t="inlineStr">
        <is>
          <t>actor_forgotten_veinhole.name</t>
        </is>
      </c>
      <c r="D18" s="6" t="inlineStr">
        <is>
          <t>Defense</t>
        </is>
      </c>
      <c r="E18" s="6" t="n">
        <v>1000000</v>
      </c>
      <c r="F18" s="6" t="n">
        <v>100</v>
      </c>
      <c r="G18" t="inlineStr">
        <is>
          <t>Wood</t>
        </is>
      </c>
      <c r="H18" s="6" t="n">
        <v>1</v>
      </c>
      <c r="I18" s="6" t="n">
        <v>1</v>
      </c>
      <c r="J18" s="6" t="n">
        <v>1</v>
      </c>
      <c r="K18" s="6" t="n"/>
      <c r="X18" s="6" t="n">
        <v>10000</v>
      </c>
    </row>
    <row r="19">
      <c r="A19" t="inlineStr">
        <is>
          <t>redalert2</t>
        </is>
      </c>
      <c r="B19" t="inlineStr">
        <is>
          <t>ra2_allies_chronosphere</t>
        </is>
      </c>
      <c r="C19" t="inlineStr">
        <is>
          <t>Chronosphere</t>
        </is>
      </c>
      <c r="D19" s="6" t="inlineStr">
        <is>
          <t>Defense</t>
        </is>
      </c>
      <c r="E19" s="6" t="n">
        <v>1000000</v>
      </c>
      <c r="F19" s="6" t="n">
        <v>100</v>
      </c>
      <c r="G19" t="inlineStr">
        <is>
          <t>Concrete</t>
        </is>
      </c>
      <c r="H19" s="6" t="n">
        <v>1</v>
      </c>
      <c r="I19" s="6" t="n">
        <v>1</v>
      </c>
      <c r="J19" s="6" t="n">
        <v>1</v>
      </c>
      <c r="K19" s="6" t="n"/>
      <c r="X19" s="6" t="n">
        <v>5000</v>
      </c>
    </row>
    <row r="20">
      <c r="A20" t="inlineStr">
        <is>
          <t>redalert2</t>
        </is>
      </c>
      <c r="B20" t="inlineStr">
        <is>
          <t>ra2_allies_concretebarrier</t>
        </is>
      </c>
      <c r="C20" t="inlineStr">
        <is>
          <t>Concrete Barrier</t>
        </is>
      </c>
      <c r="D20" s="6" t="inlineStr">
        <is>
          <t>Defense</t>
        </is>
      </c>
      <c r="E20" s="6" t="n">
        <v>100000</v>
      </c>
      <c r="F20" s="6" t="n">
        <v>100</v>
      </c>
      <c r="G20" t="inlineStr">
        <is>
          <t>Concrete</t>
        </is>
      </c>
      <c r="H20" s="6" t="n">
        <v>1</v>
      </c>
      <c r="I20" s="6" t="n">
        <v>1</v>
      </c>
      <c r="J20" s="6" t="n">
        <v>1</v>
      </c>
      <c r="K20" s="6" t="n"/>
      <c r="X20" s="6" t="n">
        <v>200</v>
      </c>
    </row>
    <row r="21">
      <c r="A21" t="inlineStr">
        <is>
          <t>redalert2</t>
        </is>
      </c>
      <c r="B21" t="inlineStr">
        <is>
          <t>ra2_allies_weathercontrolcenter</t>
        </is>
      </c>
      <c r="C21" t="inlineStr">
        <is>
          <t>Weather Control Center</t>
        </is>
      </c>
      <c r="D21" s="6" t="inlineStr">
        <is>
          <t>Defense</t>
        </is>
      </c>
      <c r="E21" s="6" t="n">
        <v>1000000</v>
      </c>
      <c r="F21" s="6" t="n">
        <v>100</v>
      </c>
      <c r="G21" t="inlineStr">
        <is>
          <t>Concrete</t>
        </is>
      </c>
      <c r="H21" s="6" t="n">
        <v>1</v>
      </c>
      <c r="I21" s="6" t="n">
        <v>1</v>
      </c>
      <c r="J21" s="6" t="n">
        <v>1</v>
      </c>
      <c r="K21" s="6" t="n"/>
      <c r="X21" s="6" t="n">
        <v>10000</v>
      </c>
    </row>
    <row r="22">
      <c r="A22" t="inlineStr">
        <is>
          <t>redalert2</t>
        </is>
      </c>
      <c r="B22" t="inlineStr">
        <is>
          <t>ra2_soviets_concretebarrier</t>
        </is>
      </c>
      <c r="C22" t="inlineStr">
        <is>
          <t>Concrete Barrier</t>
        </is>
      </c>
      <c r="D22" s="6" t="inlineStr">
        <is>
          <t>Defense</t>
        </is>
      </c>
      <c r="E22" s="6" t="n">
        <v>100000</v>
      </c>
      <c r="F22" s="6" t="n">
        <v>100</v>
      </c>
      <c r="G22" t="inlineStr">
        <is>
          <t>Concrete</t>
        </is>
      </c>
      <c r="H22" s="6" t="n">
        <v>1</v>
      </c>
      <c r="I22" s="6" t="n">
        <v>1</v>
      </c>
      <c r="J22" s="6" t="n">
        <v>1</v>
      </c>
      <c r="K22" s="6" t="n"/>
      <c r="X22" s="6" t="n">
        <v>200</v>
      </c>
    </row>
    <row r="23">
      <c r="A23" t="inlineStr">
        <is>
          <t>redalert2</t>
        </is>
      </c>
      <c r="B23" t="inlineStr">
        <is>
          <t>ra2_soviets_ironcurtain</t>
        </is>
      </c>
      <c r="C23" t="inlineStr">
        <is>
          <t>Iron Curtain</t>
        </is>
      </c>
      <c r="D23" s="6" t="inlineStr">
        <is>
          <t>Defense</t>
        </is>
      </c>
      <c r="E23" s="6" t="n">
        <v>1000000</v>
      </c>
      <c r="F23" s="6" t="n">
        <v>100</v>
      </c>
      <c r="G23" t="inlineStr">
        <is>
          <t>Concrete</t>
        </is>
      </c>
      <c r="H23" s="6" t="n">
        <v>1</v>
      </c>
      <c r="I23" s="6" t="n">
        <v>1</v>
      </c>
      <c r="J23" s="6" t="n">
        <v>1</v>
      </c>
      <c r="K23" s="6" t="n"/>
      <c r="X23" s="6" t="n">
        <v>5000</v>
      </c>
    </row>
    <row r="24">
      <c r="A24" t="inlineStr">
        <is>
          <t>redalert2</t>
        </is>
      </c>
      <c r="B24" t="inlineStr">
        <is>
          <t>ra2_soviets_nuclearmissilesilo</t>
        </is>
      </c>
      <c r="C24" t="inlineStr">
        <is>
          <t>Nuclear Missile Silo</t>
        </is>
      </c>
      <c r="D24" s="6" t="inlineStr">
        <is>
          <t>Defense</t>
        </is>
      </c>
      <c r="E24" s="6" t="n">
        <v>1000000</v>
      </c>
      <c r="F24" s="6" t="n">
        <v>100</v>
      </c>
      <c r="G24" t="inlineStr">
        <is>
          <t>Concrete</t>
        </is>
      </c>
      <c r="H24" s="6" t="n">
        <v>1</v>
      </c>
      <c r="I24" s="6" t="n">
        <v>1</v>
      </c>
      <c r="J24" s="6" t="n">
        <v>1</v>
      </c>
      <c r="K24" s="6" t="n"/>
      <c r="X24" s="6" t="n">
        <v>10000</v>
      </c>
    </row>
    <row r="25">
      <c r="A25" t="inlineStr">
        <is>
          <t>redalert2</t>
        </is>
      </c>
      <c r="B25" t="inlineStr">
        <is>
          <t>yuri_concretebarrier</t>
        </is>
      </c>
      <c r="C25" t="inlineStr">
        <is>
          <t>Concrete Barrier</t>
        </is>
      </c>
      <c r="D25" s="6" t="inlineStr">
        <is>
          <t>Defense</t>
        </is>
      </c>
      <c r="E25" s="6" t="n">
        <v>100000</v>
      </c>
      <c r="F25" s="6" t="n">
        <v>100</v>
      </c>
      <c r="G25" t="inlineStr">
        <is>
          <t>Concrete</t>
        </is>
      </c>
      <c r="H25" s="6" t="n">
        <v>1</v>
      </c>
      <c r="I25" s="6" t="n">
        <v>1</v>
      </c>
      <c r="J25" s="6" t="n">
        <v>1</v>
      </c>
      <c r="K25" s="6" t="n"/>
      <c r="X25" s="6" t="n">
        <v>200</v>
      </c>
    </row>
    <row r="26">
      <c r="A26" t="inlineStr">
        <is>
          <t>redalert2</t>
        </is>
      </c>
      <c r="B26" t="inlineStr">
        <is>
          <t>yuri_geneticmutator</t>
        </is>
      </c>
      <c r="C26" t="inlineStr">
        <is>
          <t>Genetic Mutator</t>
        </is>
      </c>
      <c r="D26" s="6" t="inlineStr">
        <is>
          <t>Defense</t>
        </is>
      </c>
      <c r="E26" s="6" t="n">
        <v>1000000</v>
      </c>
      <c r="F26" s="6" t="n">
        <v>100</v>
      </c>
      <c r="G26" t="inlineStr">
        <is>
          <t>Concrete</t>
        </is>
      </c>
      <c r="H26" s="6" t="n">
        <v>1</v>
      </c>
      <c r="I26" s="6" t="n">
        <v>1</v>
      </c>
      <c r="J26" s="6" t="n">
        <v>1</v>
      </c>
      <c r="K26" s="6" t="n"/>
      <c r="X26" s="6" t="n">
        <v>5000</v>
      </c>
    </row>
    <row r="27">
      <c r="A27" t="inlineStr">
        <is>
          <t>redalert2</t>
        </is>
      </c>
      <c r="B27" t="inlineStr">
        <is>
          <t>yuri_psychicdominator</t>
        </is>
      </c>
      <c r="C27" t="inlineStr">
        <is>
          <t>Psychic Dominator</t>
        </is>
      </c>
      <c r="D27" s="6" t="inlineStr">
        <is>
          <t>Defense</t>
        </is>
      </c>
      <c r="E27" s="6" t="n">
        <v>1000000</v>
      </c>
      <c r="F27" s="6" t="n">
        <v>100</v>
      </c>
      <c r="G27" t="inlineStr">
        <is>
          <t>Concrete</t>
        </is>
      </c>
      <c r="H27" s="6" t="n">
        <v>1</v>
      </c>
      <c r="I27" s="6" t="n">
        <v>1</v>
      </c>
      <c r="J27" s="6" t="n">
        <v>1</v>
      </c>
      <c r="K27" s="6" t="n"/>
      <c r="X27" s="6" t="n">
        <v>10000</v>
      </c>
    </row>
    <row r="28">
      <c r="A28" t="inlineStr">
        <is>
          <t>starcraft</t>
        </is>
      </c>
      <c r="B28" t="inlineStr">
        <is>
          <t>terran_missilesilo</t>
        </is>
      </c>
      <c r="C28" t="inlineStr">
        <is>
          <t>Terran Missile Silo</t>
        </is>
      </c>
      <c r="D28" s="6" t="inlineStr">
        <is>
          <t>Defense</t>
        </is>
      </c>
      <c r="E28" s="6" t="n">
        <v>1000000</v>
      </c>
      <c r="F28" s="6" t="n">
        <v>100</v>
      </c>
      <c r="G28" t="inlineStr">
        <is>
          <t>Concrete</t>
        </is>
      </c>
      <c r="H28" s="6" t="n">
        <v>1</v>
      </c>
      <c r="I28" s="6" t="n">
        <v>1</v>
      </c>
      <c r="J28" s="6" t="n">
        <v>1</v>
      </c>
      <c r="K28" s="6" t="n"/>
      <c r="X28" s="6" t="n">
        <v>10000</v>
      </c>
    </row>
    <row r="29">
      <c r="A29" t="inlineStr">
        <is>
          <t>warcraft2</t>
        </is>
      </c>
      <c r="B29" t="inlineStr">
        <is>
          <t>wc2_orcs_wall</t>
        </is>
      </c>
      <c r="C29" t="inlineStr">
        <is>
          <t>Wall</t>
        </is>
      </c>
      <c r="D29" s="6" t="inlineStr">
        <is>
          <t>Defense</t>
        </is>
      </c>
      <c r="E29" s="6" t="n">
        <v>25000</v>
      </c>
      <c r="F29" s="6" t="n">
        <v>100</v>
      </c>
      <c r="G29" t="inlineStr">
        <is>
          <t>Heavy</t>
        </is>
      </c>
      <c r="H29" s="6" t="n">
        <v>1</v>
      </c>
      <c r="I29" s="6" t="n">
        <v>1</v>
      </c>
      <c r="J29" s="6" t="n">
        <v>1</v>
      </c>
      <c r="K29" s="6" t="n"/>
      <c r="X29" s="6" t="n">
        <v>300</v>
      </c>
    </row>
    <row r="30">
      <c r="A30" t="inlineStr">
        <is>
          <t>warcraft2</t>
        </is>
      </c>
      <c r="B30" t="inlineStr">
        <is>
          <t>wc2_humans_wall</t>
        </is>
      </c>
      <c r="C30" t="inlineStr">
        <is>
          <t>Wall</t>
        </is>
      </c>
      <c r="D30" s="6" t="inlineStr">
        <is>
          <t>Defense</t>
        </is>
      </c>
      <c r="E30" s="6" t="n">
        <v>25000</v>
      </c>
      <c r="F30" s="6" t="n">
        <v>100</v>
      </c>
      <c r="G30" t="inlineStr">
        <is>
          <t>Heavy</t>
        </is>
      </c>
      <c r="H30" s="6" t="n">
        <v>1</v>
      </c>
      <c r="I30" s="6" t="n">
        <v>1</v>
      </c>
      <c r="J30" s="6" t="n">
        <v>1</v>
      </c>
      <c r="K30" s="6" t="n"/>
      <c r="X30" s="6" t="n">
        <v>300</v>
      </c>
    </row>
    <row r="31">
      <c r="A31" s="4" t="inlineStr">
        <is>
          <t>BasicDefense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</row>
    <row r="32">
      <c r="A32" t="inlineStr">
        <is>
          <t>tiberiandawn</t>
        </is>
      </c>
      <c r="B32" t="inlineStr">
        <is>
          <t>td_gdi_guardtower</t>
        </is>
      </c>
      <c r="C32" t="inlineStr">
        <is>
          <t>GDI Guard Tower</t>
        </is>
      </c>
      <c r="D32" s="6" t="inlineStr">
        <is>
          <t>BasicDefense</t>
        </is>
      </c>
      <c r="E32" s="6" t="n">
        <v>60000</v>
      </c>
      <c r="F32" s="6" t="n"/>
      <c r="G32" t="inlineStr">
        <is>
          <t>Concrete</t>
        </is>
      </c>
      <c r="H32" s="6" t="n">
        <v>1</v>
      </c>
      <c r="I32" s="6" t="n">
        <v>1</v>
      </c>
      <c r="J32" s="6" t="n">
        <v>1</v>
      </c>
      <c r="K32" s="6" t="n"/>
      <c r="X32" s="6" t="n">
        <v>500</v>
      </c>
    </row>
    <row r="33">
      <c r="B33" s="7" t="inlineStr">
        <is>
          <t xml:space="preserve">  ↳ HighV</t>
        </is>
      </c>
      <c r="C33" s="7" t="inlineStr">
        <is>
          <t>Armament</t>
        </is>
      </c>
      <c r="L33" s="6" t="n">
        <v>2000</v>
      </c>
      <c r="M33" s="6" t="n">
        <v>22</v>
      </c>
      <c r="N33" s="6" t="n">
        <v>4</v>
      </c>
      <c r="O33" s="6" t="n">
        <v>2</v>
      </c>
      <c r="P33" s="6" t="n">
        <v>6720</v>
      </c>
      <c r="Q33" s="6" t="n">
        <v>0.875</v>
      </c>
      <c r="R33">
        <f>M33+IF(N33&gt;1,N(O33)*(N33-1),0)</f>
        <v/>
      </c>
      <c r="S33">
        <f>IFERROR(L33*MAX(N33,1)/R33*Q33*IF(ISBLANK(K32),1,K32),0)</f>
        <v/>
      </c>
      <c r="AB33" s="7" t="inlineStr">
        <is>
          <t>^SmallArms, ^Chaingun</t>
        </is>
      </c>
    </row>
    <row r="34">
      <c r="B34" s="7" t="inlineStr">
        <is>
          <t xml:space="preserve">  ↳ HighVAP</t>
        </is>
      </c>
      <c r="C34" s="7" t="inlineStr">
        <is>
          <t>Armament@Upgrade</t>
        </is>
      </c>
      <c r="L34" s="6" t="n">
        <v>4000</v>
      </c>
      <c r="M34" s="6" t="n">
        <v>22</v>
      </c>
      <c r="N34" s="6" t="n">
        <v>4</v>
      </c>
      <c r="O34" s="6" t="n">
        <v>2</v>
      </c>
      <c r="P34" s="6" t="n">
        <v>6720</v>
      </c>
      <c r="Q34" s="6" t="n">
        <v>1</v>
      </c>
      <c r="R34">
        <f>M34+IF(N34&gt;1,N(O34)*(N34-1),0)</f>
        <v/>
      </c>
      <c r="S34">
        <f>IFERROR(L34*MAX(N34,1)/R34*Q34*IF(ISBLANK(K32),1,K32),0)</f>
        <v/>
      </c>
      <c r="AB34" s="7" t="inlineStr">
        <is>
          <t>^Chaingun</t>
        </is>
      </c>
    </row>
    <row r="35">
      <c r="A35" t="inlineStr">
        <is>
          <t>tiberiandawn</t>
        </is>
      </c>
      <c r="B35" t="inlineStr">
        <is>
          <t>td_nod_gunturret</t>
        </is>
      </c>
      <c r="C35" t="inlineStr">
        <is>
          <t>Nod Gun Turret</t>
        </is>
      </c>
      <c r="D35" s="6" t="inlineStr">
        <is>
          <t>BasicDefense</t>
        </is>
      </c>
      <c r="E35" s="6" t="n">
        <v>150000</v>
      </c>
      <c r="F35" s="6" t="n"/>
      <c r="G35" t="inlineStr">
        <is>
          <t>Concrete</t>
        </is>
      </c>
      <c r="H35" s="6" t="n">
        <v>1</v>
      </c>
      <c r="I35" s="6" t="n">
        <v>0.35</v>
      </c>
      <c r="J35" s="6" t="n">
        <v>1</v>
      </c>
      <c r="K35" s="6" t="n"/>
      <c r="X35" s="6" t="n">
        <v>700</v>
      </c>
    </row>
    <row r="36">
      <c r="B36" s="7" t="inlineStr">
        <is>
          <t xml:space="preserve">  ↳ TurretGun</t>
        </is>
      </c>
      <c r="C36" s="7" t="inlineStr">
        <is>
          <t>Armament</t>
        </is>
      </c>
      <c r="L36" s="6" t="n">
        <v>6000</v>
      </c>
      <c r="M36" s="6" t="n">
        <v>61</v>
      </c>
      <c r="N36" s="6" t="n">
        <v>1</v>
      </c>
      <c r="O36" s="6" t="n"/>
      <c r="P36" s="6" t="n">
        <v>7711</v>
      </c>
      <c r="Q36" s="6" t="n">
        <v>1</v>
      </c>
      <c r="R36">
        <f>M36+IF(N36&gt;1,N(O36)*(N36-1),0)</f>
        <v/>
      </c>
      <c r="S36">
        <f>IFERROR(L36*MAX(N36,1)/R36*Q36*IF(ISBLANK(K35),1,K35),0)</f>
        <v/>
      </c>
      <c r="AB36" s="7" t="inlineStr">
        <is>
          <t>^ShrapnelWeapon, ^Grenade, ^MediumCannon, ^TankDestroyerCannon</t>
        </is>
      </c>
    </row>
    <row r="37">
      <c r="B37" s="7" t="inlineStr">
        <is>
          <t xml:space="preserve">  ↳ TurretGunBlackMarket</t>
        </is>
      </c>
      <c r="C37" s="7" t="inlineStr">
        <is>
          <t>Armament@Upgrade</t>
        </is>
      </c>
      <c r="L37" s="6" t="n">
        <v>6000</v>
      </c>
      <c r="M37" s="6" t="n">
        <v>61</v>
      </c>
      <c r="N37" s="6" t="n">
        <v>1</v>
      </c>
      <c r="O37" s="6" t="n"/>
      <c r="P37" s="6" t="n">
        <v>7711</v>
      </c>
      <c r="Q37" s="6" t="n">
        <v>1.1</v>
      </c>
      <c r="R37">
        <f>M37+IF(N37&gt;1,N(O37)*(N37-1),0)</f>
        <v/>
      </c>
      <c r="S37">
        <f>IFERROR(L37*MAX(N37,1)/R37*Q37*IF(ISBLANK(K35),1,K35),0)</f>
        <v/>
      </c>
      <c r="AB37" s="7" t="inlineStr">
        <is>
          <t>^HeavyBomb, ^HeavyCannon, ^ShrapnelWeapon, ^Grenade, ^MediumCannon, ^TankDestroyerCannon</t>
        </is>
      </c>
    </row>
    <row r="38">
      <c r="A38" t="inlineStr">
        <is>
          <t>tiberiandawn</t>
        </is>
      </c>
      <c r="B38" t="inlineStr">
        <is>
          <t>td_nod_laserturret</t>
        </is>
      </c>
      <c r="C38" t="inlineStr">
        <is>
          <t>Nod Laser Turret</t>
        </is>
      </c>
      <c r="D38" s="6" t="inlineStr">
        <is>
          <t>BasicDefense</t>
        </is>
      </c>
      <c r="E38" s="6" t="n">
        <v>72500</v>
      </c>
      <c r="F38" s="6" t="n"/>
      <c r="G38" t="inlineStr">
        <is>
          <t>Concrete</t>
        </is>
      </c>
      <c r="H38" s="6" t="n">
        <v>1</v>
      </c>
      <c r="I38" s="6" t="n">
        <v>0.35</v>
      </c>
      <c r="J38" s="6" t="n">
        <v>1</v>
      </c>
      <c r="K38" s="6" t="n"/>
      <c r="X38" s="6" t="n">
        <v>1000</v>
      </c>
    </row>
    <row r="39">
      <c r="B39" s="7" t="inlineStr">
        <is>
          <t xml:space="preserve">  ↳ NodTurretLaser</t>
        </is>
      </c>
      <c r="C39" s="7" t="inlineStr">
        <is>
          <t>Armament</t>
        </is>
      </c>
      <c r="L39" s="6" t="n">
        <v>2000</v>
      </c>
      <c r="M39" s="6" t="n">
        <v>20</v>
      </c>
      <c r="N39" s="6" t="n">
        <v>2</v>
      </c>
      <c r="O39" s="6" t="n">
        <v>4</v>
      </c>
      <c r="P39" s="6" t="n">
        <v>6800</v>
      </c>
      <c r="Q39" s="6" t="n">
        <v>0.9583333333333334</v>
      </c>
      <c r="R39">
        <f>M39+IF(N39&gt;1,N(O39)*(N39-1),0)</f>
        <v/>
      </c>
      <c r="S39">
        <f>IFERROR(L39*MAX(N39,1)/R39*Q39*IF(ISBLANK(K38),1,K38),0)</f>
        <v/>
      </c>
      <c r="AB39" s="7" t="inlineStr">
        <is>
          <t>^SmallArms, ^Chaingun, ^HeavyCannon, ^LightFlameWeapon, ^FlakWeapon, ^LaserWeapon</t>
        </is>
      </c>
    </row>
    <row r="40">
      <c r="A40" t="inlineStr">
        <is>
          <t>redalert</t>
        </is>
      </c>
      <c r="B40" t="inlineStr">
        <is>
          <t>japan_japanesemgnest</t>
        </is>
      </c>
      <c r="C40" t="inlineStr">
        <is>
          <t>Japanese MG Nest</t>
        </is>
      </c>
      <c r="D40" s="6" t="inlineStr">
        <is>
          <t>BasicDefense</t>
        </is>
      </c>
      <c r="E40" s="6" t="n">
        <v>110000</v>
      </c>
      <c r="F40" s="6" t="n">
        <v>100</v>
      </c>
      <c r="G40" t="inlineStr">
        <is>
          <t>Concrete</t>
        </is>
      </c>
      <c r="H40" s="6" t="n">
        <v>1</v>
      </c>
      <c r="I40" s="6" t="n">
        <v>1</v>
      </c>
      <c r="J40" s="6" t="n">
        <v>1</v>
      </c>
      <c r="K40" s="6" t="n"/>
      <c r="P40">
        <f>MAX(P41,P42)</f>
        <v/>
      </c>
      <c r="S40">
        <f>S41+S42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(T40+U40+V40)/3</f>
        <v/>
      </c>
      <c r="X40" s="6" t="n">
        <v>1000</v>
      </c>
      <c r="Y40">
        <f>IFERROR(W40-X40,"")</f>
        <v/>
      </c>
      <c r="Z40">
        <f>IFERROR(ABS(Y40)/MAX(X40,1),"")</f>
        <v/>
      </c>
      <c r="AA40">
        <f>IFERROR((X40-(((E40/100000+F40/100+S40/200)*200*I40*H40)+((E40*F40/25000)*I40*H40))/3)/(((J40/5)*200*I40*H40)+((J40*S40/2.5)*I40*H40)+((E40*F40*J40*S40*I40*H40)/12500000))/3*1000,"")</f>
        <v/>
      </c>
    </row>
    <row r="41">
      <c r="B41" s="7" t="inlineStr">
        <is>
          <t xml:space="preserve">  ↳ JHighV</t>
        </is>
      </c>
      <c r="C41" s="7" t="inlineStr">
        <is>
          <t>Armament</t>
        </is>
      </c>
      <c r="L41" s="6" t="n">
        <v>4000</v>
      </c>
      <c r="M41" s="6" t="n">
        <v>25</v>
      </c>
      <c r="N41" s="6" t="n">
        <v>5</v>
      </c>
      <c r="O41" s="6" t="n">
        <v>5</v>
      </c>
      <c r="P41" s="6" t="n">
        <v>6696</v>
      </c>
      <c r="Q41" s="6" t="n">
        <v>0.875</v>
      </c>
      <c r="R41">
        <f>M41+IF(N41&gt;1,N(O41)*(N41-1),0)</f>
        <v/>
      </c>
      <c r="S41">
        <f>IFERROR(L41*MAX(N41,1)/R41*Q41*IF(ISBLANK(K40),1,K40),0)</f>
        <v/>
      </c>
      <c r="AB41" s="7" t="inlineStr">
        <is>
          <t>^SmallArms, ^Chaingun</t>
        </is>
      </c>
    </row>
    <row r="42">
      <c r="B42" s="7" t="inlineStr">
        <is>
          <t xml:space="preserve">  ↳ JHighVWaveforce</t>
        </is>
      </c>
      <c r="C42" s="7" t="inlineStr">
        <is>
          <t>Armament@Upgrade</t>
        </is>
      </c>
      <c r="L42" s="6" t="n">
        <v>4000</v>
      </c>
      <c r="M42" s="6" t="n">
        <v>25</v>
      </c>
      <c r="N42" s="6" t="n">
        <v>5</v>
      </c>
      <c r="O42" s="6" t="n">
        <v>5</v>
      </c>
      <c r="P42" s="6" t="n">
        <v>6696</v>
      </c>
      <c r="Q42" s="6" t="n">
        <v>0.875</v>
      </c>
      <c r="R42">
        <f>M42+IF(N42&gt;1,N(O42)*(N42-1),0)</f>
        <v/>
      </c>
      <c r="S42">
        <f>IFERROR(L42*MAX(N42,1)/R42*Q42*IF(ISBLANK(K40),1,K40),0)</f>
        <v/>
      </c>
      <c r="AB42" s="7" t="inlineStr">
        <is>
          <t>^WaveforceBulletWarhead, ^SmallArms, ^Chaingun, ^WaveforceBulletProjectile</t>
        </is>
      </c>
    </row>
    <row r="43">
      <c r="A43" t="inlineStr">
        <is>
          <t>redalert</t>
        </is>
      </c>
      <c r="B43" t="inlineStr">
        <is>
          <t>ra1_soviets_flametower</t>
        </is>
      </c>
      <c r="C43" t="inlineStr">
        <is>
          <t>Flame Tower</t>
        </is>
      </c>
      <c r="D43" s="6" t="inlineStr">
        <is>
          <t>BasicDefense</t>
        </is>
      </c>
      <c r="E43" s="6" t="n">
        <v>64000</v>
      </c>
      <c r="F43" s="6" t="n">
        <v>100</v>
      </c>
      <c r="G43" t="inlineStr">
        <is>
          <t>Concrete</t>
        </is>
      </c>
      <c r="H43" s="6" t="n">
        <v>1</v>
      </c>
      <c r="I43" s="6" t="n">
        <v>0.35</v>
      </c>
      <c r="J43" s="6" t="n">
        <v>1</v>
      </c>
      <c r="K43" s="6" t="n"/>
      <c r="P43">
        <f>MAX(P44,P45)</f>
        <v/>
      </c>
      <c r="S43">
        <f>S44+S45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(T43+U43+V43)/3</f>
        <v/>
      </c>
      <c r="X43" s="6" t="n">
        <v>600</v>
      </c>
      <c r="Y43">
        <f>IFERROR(W43-X43,"")</f>
        <v/>
      </c>
      <c r="Z43">
        <f>IFERROR(ABS(Y43)/MAX(X43,1),"")</f>
        <v/>
      </c>
      <c r="AA43">
        <f>IFERROR((X43-(((E43/100000+F43/100+S43/200)*200*I43*H43)+((E43*F43/25000)*I43*H43))/3)/(((J43/5)*200*I43*H43)+((J43*S43/2.5)*I43*H43)+((E43*F43*J43*S43*I43*H43)/12500000))/3*1000,"")</f>
        <v/>
      </c>
    </row>
    <row r="44">
      <c r="B44" s="7" t="inlineStr">
        <is>
          <t xml:space="preserve">  ↳ FireballLauncher</t>
        </is>
      </c>
      <c r="C44" s="7" t="inlineStr">
        <is>
          <t>Armament</t>
        </is>
      </c>
      <c r="L44" s="6" t="n">
        <v>18000</v>
      </c>
      <c r="M44" s="6" t="n">
        <v>30</v>
      </c>
      <c r="N44" s="6" t="n">
        <v>1</v>
      </c>
      <c r="O44" s="6" t="n"/>
      <c r="P44" s="6" t="n">
        <v>6742</v>
      </c>
      <c r="Q44" s="6" t="n">
        <v>1</v>
      </c>
      <c r="R44">
        <f>M44+IF(N44&gt;1,N(O44)*(N44-1),0)</f>
        <v/>
      </c>
      <c r="S44">
        <f>IFERROR(L44*MAX(N44,1)/R44*Q44*IF(ISBLANK(K43),1,K43),0)</f>
        <v/>
      </c>
      <c r="AB44" s="7" t="inlineStr">
        <is>
          <t>^MediumFlameWeapon</t>
        </is>
      </c>
    </row>
    <row r="45">
      <c r="B45" s="7" t="inlineStr">
        <is>
          <t xml:space="preserve">  ↳ FireballLauncherThermobaric</t>
        </is>
      </c>
      <c r="C45" s="7" t="inlineStr">
        <is>
          <t>Armament@Upgrade</t>
        </is>
      </c>
      <c r="L45" s="6" t="n">
        <v>10000</v>
      </c>
      <c r="M45" s="6" t="n">
        <v>30</v>
      </c>
      <c r="N45" s="6" t="n">
        <v>1</v>
      </c>
      <c r="O45" s="6" t="n"/>
      <c r="P45" s="6" t="n">
        <v>6742</v>
      </c>
      <c r="Q45" s="6" t="n">
        <v>1.125</v>
      </c>
      <c r="R45">
        <f>M45+IF(N45&gt;1,N(O45)*(N45-1),0)</f>
        <v/>
      </c>
      <c r="S45">
        <f>IFERROR(L45*MAX(N45,1)/R45*Q45*IF(ISBLANK(K43),1,K43),0)</f>
        <v/>
      </c>
      <c r="AB45" s="7" t="inlineStr">
        <is>
          <t>^HeavyFlameWeapon, ^MediumFlameWeapon</t>
        </is>
      </c>
    </row>
    <row r="46">
      <c r="A46" t="inlineStr">
        <is>
          <t>redalert</t>
        </is>
      </c>
      <c r="B46" t="inlineStr">
        <is>
          <t>ra1_allies_alliedgunturret</t>
        </is>
      </c>
      <c r="C46" t="inlineStr">
        <is>
          <t>Allied Gun Turret</t>
        </is>
      </c>
      <c r="D46" s="6" t="inlineStr">
        <is>
          <t>BasicDefense</t>
        </is>
      </c>
      <c r="E46" s="6" t="n">
        <v>100000</v>
      </c>
      <c r="F46" s="6" t="n">
        <v>100</v>
      </c>
      <c r="G46" t="inlineStr">
        <is>
          <t>Concrete</t>
        </is>
      </c>
      <c r="H46" s="6" t="n">
        <v>1</v>
      </c>
      <c r="I46" s="6" t="n">
        <v>0.35</v>
      </c>
      <c r="J46" s="6" t="n">
        <v>1</v>
      </c>
      <c r="K46" s="6" t="n"/>
      <c r="P46">
        <f>MAX(P47)</f>
        <v/>
      </c>
      <c r="S46">
        <f>S47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(T46+U46+V46)/3</f>
        <v/>
      </c>
      <c r="X46" s="6" t="n">
        <v>800</v>
      </c>
      <c r="Y46">
        <f>IFERROR(W46-X46,"")</f>
        <v/>
      </c>
      <c r="Z46">
        <f>IFERROR(ABS(Y46)/MAX(X46,1),"")</f>
        <v/>
      </c>
      <c r="AA46">
        <f>IFERROR((X46-(((E46/100000+F46/100+S46/200)*200*I46*H46)+((E46*F46/25000)*I46*H46))/3)/(((J46/5)*200*I46*H46)+((J46*S46/2.5)*I46*H46)+((E46*F46*J46*S46*I46*H46)/12500000))/3*1000,"")</f>
        <v/>
      </c>
    </row>
    <row r="47">
      <c r="B47" s="7" t="inlineStr">
        <is>
          <t xml:space="preserve">  ↳ RATurretGun</t>
        </is>
      </c>
      <c r="C47" s="7" t="inlineStr">
        <is>
          <t>Armament</t>
        </is>
      </c>
      <c r="L47" s="6" t="n">
        <v>10000</v>
      </c>
      <c r="M47" s="6" t="n">
        <v>40</v>
      </c>
      <c r="N47" s="6" t="n">
        <v>1</v>
      </c>
      <c r="O47" s="6" t="n"/>
      <c r="P47" s="6" t="n">
        <v>7685</v>
      </c>
      <c r="Q47" s="6" t="n">
        <v>1.125</v>
      </c>
      <c r="R47">
        <f>M47+IF(N47&gt;1,N(O47)*(N47-1),0)</f>
        <v/>
      </c>
      <c r="S47">
        <f>IFERROR(L47*MAX(N47,1)/R47*Q47*IF(ISBLANK(K46),1,K46),0)</f>
        <v/>
      </c>
      <c r="AB47" s="7" t="inlineStr">
        <is>
          <t>^ShrapnelWeapon, ^HeavyCannon</t>
        </is>
      </c>
    </row>
    <row r="48">
      <c r="A48" t="inlineStr">
        <is>
          <t>redalert</t>
        </is>
      </c>
      <c r="B48" t="inlineStr">
        <is>
          <t>ra1_allies_camopillbox</t>
        </is>
      </c>
      <c r="C48" t="inlineStr">
        <is>
          <t>Camo Pillbox</t>
        </is>
      </c>
      <c r="D48" s="6" t="inlineStr">
        <is>
          <t>BasicDefense</t>
        </is>
      </c>
      <c r="E48" s="6" t="n">
        <v>122500</v>
      </c>
      <c r="F48" s="6" t="n">
        <v>100</v>
      </c>
      <c r="G48" t="inlineStr">
        <is>
          <t>Concrete</t>
        </is>
      </c>
      <c r="H48" s="6" t="n">
        <v>1</v>
      </c>
      <c r="I48" s="6" t="n">
        <v>0.35</v>
      </c>
      <c r="J48" s="6" t="n">
        <v>1.25</v>
      </c>
      <c r="K48" s="6" t="n"/>
      <c r="X48" s="6" t="n">
        <v>1300</v>
      </c>
    </row>
    <row r="49">
      <c r="A49" t="inlineStr">
        <is>
          <t>redalert</t>
        </is>
      </c>
      <c r="B49" t="inlineStr">
        <is>
          <t>ra1_allies_pillbox</t>
        </is>
      </c>
      <c r="C49" t="inlineStr">
        <is>
          <t>Pillbox</t>
        </is>
      </c>
      <c r="D49" s="6" t="inlineStr">
        <is>
          <t>BasicDefense</t>
        </is>
      </c>
      <c r="E49" s="6" t="n">
        <v>90000</v>
      </c>
      <c r="F49" s="6" t="n">
        <v>100</v>
      </c>
      <c r="G49" t="inlineStr">
        <is>
          <t>Concrete</t>
        </is>
      </c>
      <c r="H49" s="6" t="n">
        <v>1</v>
      </c>
      <c r="I49" s="6" t="n">
        <v>1</v>
      </c>
      <c r="J49" s="6" t="n">
        <v>1</v>
      </c>
      <c r="K49" s="6" t="n"/>
      <c r="X49" s="6" t="n">
        <v>400</v>
      </c>
    </row>
    <row r="50">
      <c r="A50" t="inlineStr">
        <is>
          <t>tiberiansun</t>
        </is>
      </c>
      <c r="B50" t="inlineStr">
        <is>
          <t>cabal_pillbox</t>
        </is>
      </c>
      <c r="C50" t="inlineStr">
        <is>
          <t>Pillbox</t>
        </is>
      </c>
      <c r="D50" s="6" t="inlineStr">
        <is>
          <t>BasicDefense</t>
        </is>
      </c>
      <c r="E50" s="6" t="n">
        <v>85000</v>
      </c>
      <c r="F50" s="6" t="n">
        <v>100</v>
      </c>
      <c r="G50" t="inlineStr">
        <is>
          <t>Concrete</t>
        </is>
      </c>
      <c r="H50" s="6" t="n">
        <v>1</v>
      </c>
      <c r="I50" s="6" t="n">
        <v>1</v>
      </c>
      <c r="J50" s="6" t="n">
        <v>1</v>
      </c>
      <c r="K50" s="6" t="n"/>
      <c r="X50" s="6" t="n">
        <v>800</v>
      </c>
    </row>
    <row r="51">
      <c r="A51" t="inlineStr">
        <is>
          <t>tiberiansun</t>
        </is>
      </c>
      <c r="B51" t="inlineStr">
        <is>
          <t>cabal_plasmaturret</t>
        </is>
      </c>
      <c r="C51" t="inlineStr">
        <is>
          <t>Plasma Turret</t>
        </is>
      </c>
      <c r="D51" s="6" t="inlineStr">
        <is>
          <t>BasicDefense</t>
        </is>
      </c>
      <c r="E51" s="6" t="n">
        <v>60000</v>
      </c>
      <c r="F51" s="6" t="n">
        <v>100</v>
      </c>
      <c r="G51" t="inlineStr">
        <is>
          <t>Concrete</t>
        </is>
      </c>
      <c r="H51" s="6" t="n">
        <v>1</v>
      </c>
      <c r="I51" s="6" t="n">
        <v>1</v>
      </c>
      <c r="J51" s="6" t="n">
        <v>1</v>
      </c>
      <c r="K51" s="6" t="n"/>
      <c r="P51">
        <f>MAX(P52)</f>
        <v/>
      </c>
      <c r="S51">
        <f>S52</f>
        <v/>
      </c>
      <c r="T51">
        <f>(E51/100000+F51/100+(P51/1000)*J51/5+S51/200)*200*I51*H51</f>
        <v/>
      </c>
      <c r="U51">
        <f>((E51*F51/25000)+((P51/1000)*J51*S51/2.5))*I51*H51</f>
        <v/>
      </c>
      <c r="V51">
        <f>(E51*F51*(P51/1000)*J51*S51*I51*H51)/12500000</f>
        <v/>
      </c>
      <c r="W51">
        <f>(T51+U51+V51)/3</f>
        <v/>
      </c>
      <c r="X51" s="6" t="n">
        <v>800</v>
      </c>
      <c r="Y51">
        <f>IFERROR(W51-X51,"")</f>
        <v/>
      </c>
      <c r="Z51">
        <f>IFERROR(ABS(Y51)/MAX(X51,1),"")</f>
        <v/>
      </c>
      <c r="AA51">
        <f>IFERROR((X51-(((E51/100000+F51/100+S51/200)*200*I51*H51)+((E51*F51/25000)*I51*H51))/3)/(((J51/5)*200*I51*H51)+((J51*S51/2.5)*I51*H51)+((E51*F51*J51*S51*I51*H51)/12500000))/3*1000,"")</f>
        <v/>
      </c>
    </row>
    <row r="52">
      <c r="B52" s="7" t="inlineStr">
        <is>
          <t xml:space="preserve">  ↳ TSCABALPlasmaFire</t>
        </is>
      </c>
      <c r="C52" s="7" t="inlineStr">
        <is>
          <t>Armament@PRIMARY</t>
        </is>
      </c>
      <c r="L52" s="6" t="n">
        <v>10000</v>
      </c>
      <c r="M52" s="6" t="n">
        <v>25</v>
      </c>
      <c r="N52" s="6" t="n">
        <v>1</v>
      </c>
      <c r="O52" s="6" t="n"/>
      <c r="P52" s="6" t="n">
        <v>6487</v>
      </c>
      <c r="Q52" s="6" t="n">
        <v>1</v>
      </c>
      <c r="R52">
        <f>M52+IF(N52&gt;1,N(O52)*(N52-1),0)</f>
        <v/>
      </c>
      <c r="S52">
        <f>IFERROR(L52*MAX(N52,1)/R52*Q52*IF(ISBLANK(K51),1,K51),0)</f>
        <v/>
      </c>
      <c r="AB52" s="7" t="inlineStr">
        <is>
          <t>^Chaingun, ^LaserWeapon, ^TSLaserEffect</t>
        </is>
      </c>
    </row>
    <row r="53">
      <c r="A53" t="inlineStr">
        <is>
          <t>tiberiansun</t>
        </is>
      </c>
      <c r="B53" t="inlineStr">
        <is>
          <t>ts_nod_laserturret</t>
        </is>
      </c>
      <c r="C53" t="inlineStr">
        <is>
          <t>Laser Turret</t>
        </is>
      </c>
      <c r="D53" s="6" t="inlineStr">
        <is>
          <t>BasicDefense</t>
        </is>
      </c>
      <c r="E53" s="6" t="n">
        <v>60000</v>
      </c>
      <c r="F53" s="6" t="n">
        <v>100</v>
      </c>
      <c r="G53" t="inlineStr">
        <is>
          <t>Concrete</t>
        </is>
      </c>
      <c r="H53" s="6" t="n">
        <v>1</v>
      </c>
      <c r="I53" s="6" t="n">
        <v>1</v>
      </c>
      <c r="J53" s="6" t="n">
        <v>1</v>
      </c>
      <c r="K53" s="6" t="n"/>
      <c r="P53">
        <f>MAX(P54,P55)</f>
        <v/>
      </c>
      <c r="S53">
        <f>S54+S55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(T53+U53+V53)/3</f>
        <v/>
      </c>
      <c r="X53" s="6" t="n">
        <v>800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TSTurretLaser</t>
        </is>
      </c>
      <c r="C54" s="7" t="inlineStr">
        <is>
          <t>Armament@PRIMARY</t>
        </is>
      </c>
      <c r="L54" s="6" t="n">
        <v>10000</v>
      </c>
      <c r="M54" s="6" t="n">
        <v>25</v>
      </c>
      <c r="N54" s="6" t="n">
        <v>1</v>
      </c>
      <c r="O54" s="6" t="n"/>
      <c r="P54" s="6" t="n">
        <v>6487</v>
      </c>
      <c r="Q54" s="6" t="n">
        <v>1</v>
      </c>
      <c r="R54">
        <f>M54+IF(N54&gt;1,N(O54)*(N54-1),0)</f>
        <v/>
      </c>
      <c r="S54">
        <f>IFERROR(L54*MAX(N54,1)/R54*Q54*IF(ISBLANK(K53),1,K53),0)</f>
        <v/>
      </c>
      <c r="AB54" s="7" t="inlineStr">
        <is>
          <t>^Chaingun, ^LaserWeapon, ^TSLaserEffect</t>
        </is>
      </c>
    </row>
    <row r="55">
      <c r="B55" s="7" t="inlineStr">
        <is>
          <t xml:space="preserve">  ↳ TSLaserTurretLaser</t>
        </is>
      </c>
      <c r="C55" s="7" t="inlineStr">
        <is>
          <t>Armament@UPGRADE</t>
        </is>
      </c>
      <c r="L55" s="6" t="n">
        <v>16000</v>
      </c>
      <c r="M55" s="6" t="n">
        <v>20</v>
      </c>
      <c r="N55" s="6" t="n">
        <v>1</v>
      </c>
      <c r="O55" s="6" t="n"/>
      <c r="P55" s="6" t="n">
        <v>6992</v>
      </c>
      <c r="Q55" s="6" t="n">
        <v>1</v>
      </c>
      <c r="R55">
        <f>M55+IF(N55&gt;1,N(O55)*(N55-1),0)</f>
        <v/>
      </c>
      <c r="S55">
        <f>IFERROR(L55*MAX(N55,1)/R55*Q55*IF(ISBLANK(K53),1,K53),0)</f>
        <v/>
      </c>
      <c r="AB55" s="7" t="inlineStr">
        <is>
          <t>^Chaingun, ^LaserWeapon, ^TSLaserEffect</t>
        </is>
      </c>
    </row>
    <row r="56">
      <c r="A56" t="inlineStr">
        <is>
          <t>tiberiansun</t>
        </is>
      </c>
      <c r="B56" t="inlineStr">
        <is>
          <t>ts_gdi_vulcantower</t>
        </is>
      </c>
      <c r="C56" t="inlineStr">
        <is>
          <t>Vulcan Tower</t>
        </is>
      </c>
      <c r="D56" s="6" t="inlineStr">
        <is>
          <t>BasicDefense</t>
        </is>
      </c>
      <c r="E56" s="6" t="n">
        <v>80000</v>
      </c>
      <c r="F56" s="6" t="n">
        <v>100</v>
      </c>
      <c r="G56" t="inlineStr">
        <is>
          <t>Concrete</t>
        </is>
      </c>
      <c r="H56" s="6" t="n">
        <v>1</v>
      </c>
      <c r="I56" s="6" t="n">
        <v>1</v>
      </c>
      <c r="J56" s="6" t="n">
        <v>1</v>
      </c>
      <c r="K56" s="6" t="n"/>
      <c r="P56">
        <f>MAX(P57,P58)</f>
        <v/>
      </c>
      <c r="S56">
        <f>S57+S58</f>
        <v/>
      </c>
      <c r="T56">
        <f>(E56/100000+F56/100+(P56/1000)*J56/5+S56/200)*200*I56*H56</f>
        <v/>
      </c>
      <c r="U56">
        <f>((E56*F56/25000)+((P56/1000)*J56*S56/2.5))*I56*H56</f>
        <v/>
      </c>
      <c r="V56">
        <f>(E56*F56*(P56/1000)*J56*S56*I56*H56)/12500000</f>
        <v/>
      </c>
      <c r="W56">
        <f>(T56+U56+V56)/3</f>
        <v/>
      </c>
      <c r="X56" s="6" t="n">
        <v>600</v>
      </c>
      <c r="Y56">
        <f>IFERROR(W56-X56,"")</f>
        <v/>
      </c>
      <c r="Z56">
        <f>IFERROR(ABS(Y56)/MAX(X56,1),"")</f>
        <v/>
      </c>
      <c r="AA56">
        <f>IFERROR((X56-(((E56/100000+F56/100+S56/200)*200*I56*H56)+((E56*F56/25000)*I56*H56))/3)/(((J56/5)*200*I56*H56)+((J56*S56/2.5)*I56*H56)+((E56*F56*J56*S56*I56*H56)/12500000))/3*1000,"")</f>
        <v/>
      </c>
    </row>
    <row r="57">
      <c r="B57" s="7" t="inlineStr">
        <is>
          <t xml:space="preserve">  ↳ TSVulcanGun</t>
        </is>
      </c>
      <c r="C57" s="7" t="inlineStr">
        <is>
          <t>Armament@PRIMARY</t>
        </is>
      </c>
      <c r="L57" s="6" t="n">
        <v>4000</v>
      </c>
      <c r="M57" s="6" t="n">
        <v>48</v>
      </c>
      <c r="N57" s="6" t="n">
        <v>4</v>
      </c>
      <c r="O57" s="6" t="n">
        <v>2</v>
      </c>
      <c r="P57" s="6" t="n">
        <v>6809</v>
      </c>
      <c r="Q57" s="6" t="n">
        <v>0.875</v>
      </c>
      <c r="R57">
        <f>M57+IF(N57&gt;1,N(O57)*(N57-1),0)</f>
        <v/>
      </c>
      <c r="S57">
        <f>IFERROR(L57*MAX(N57,1)/R57*Q57*IF(ISBLANK(K56),1,K56),0)</f>
        <v/>
      </c>
      <c r="AB57" s="7" t="inlineStr">
        <is>
          <t>^SmallArms, ^Chaingun</t>
        </is>
      </c>
    </row>
    <row r="58">
      <c r="B58" s="7" t="inlineStr">
        <is>
          <t xml:space="preserve">  ↳ TSVulcanGunSonic</t>
        </is>
      </c>
      <c r="C58" s="7" t="inlineStr">
        <is>
          <t>Armament@Upgrade</t>
        </is>
      </c>
      <c r="L58" s="6" t="n">
        <v>4000</v>
      </c>
      <c r="M58" s="6" t="n">
        <v>66</v>
      </c>
      <c r="N58" s="6" t="n">
        <v>4</v>
      </c>
      <c r="O58" s="6" t="n">
        <v>2</v>
      </c>
      <c r="P58" s="6" t="n">
        <v>6809</v>
      </c>
      <c r="Q58" s="6" t="n">
        <v>0.9375</v>
      </c>
      <c r="R58">
        <f>M58+IF(N58&gt;1,N(O58)*(N58-1),0)</f>
        <v/>
      </c>
      <c r="S58">
        <f>IFERROR(L58*MAX(N58,1)/R58*Q58*IF(ISBLANK(K56),1,K56),0)</f>
        <v/>
      </c>
      <c r="AB58" s="7" t="inlineStr">
        <is>
          <t>^SmallArms, ^Chaingun, ^TeslaWeapon, ^MagicWeapon, ^TSSonicGrenade</t>
        </is>
      </c>
    </row>
    <row r="59">
      <c r="A59" t="inlineStr">
        <is>
          <t>tiberiansun</t>
        </is>
      </c>
      <c r="B59" t="inlineStr">
        <is>
          <t>forgotten_brokenrattytankturret</t>
        </is>
      </c>
      <c r="C59" t="inlineStr">
        <is>
          <t>actor_forgotten_brokenrattytankturret.name</t>
        </is>
      </c>
      <c r="D59" s="6" t="inlineStr">
        <is>
          <t>BasicDefense</t>
        </is>
      </c>
      <c r="E59" s="6" t="n">
        <v>90000</v>
      </c>
      <c r="F59" s="6" t="n">
        <v>100</v>
      </c>
      <c r="G59" t="inlineStr">
        <is>
          <t>Concrete</t>
        </is>
      </c>
      <c r="H59" s="6" t="n">
        <v>1</v>
      </c>
      <c r="I59" s="6" t="n">
        <v>1</v>
      </c>
      <c r="J59" s="6" t="n">
        <v>1</v>
      </c>
      <c r="K59" s="6" t="n"/>
      <c r="P59">
        <f>MAX(P60,P61)</f>
        <v/>
      </c>
      <c r="S59">
        <f>S60+S61</f>
        <v/>
      </c>
      <c r="T59">
        <f>(E59/100000+F59/100+(P59/1000)*J59/5+S59/200)*200*I59*H59</f>
        <v/>
      </c>
      <c r="U59">
        <f>((E59*F59/25000)+((P59/1000)*J59*S59/2.5))*I59*H59</f>
        <v/>
      </c>
      <c r="V59">
        <f>(E59*F59*(P59/1000)*J59*S59*I59*H59)/12500000</f>
        <v/>
      </c>
      <c r="W59">
        <f>(T59+U59+V59)/3</f>
        <v/>
      </c>
      <c r="X59" s="6" t="n">
        <v>800</v>
      </c>
      <c r="Y59">
        <f>IFERROR(W59-X59,"")</f>
        <v/>
      </c>
      <c r="Z59">
        <f>IFERROR(ABS(Y59)/MAX(X59,1),"")</f>
        <v/>
      </c>
      <c r="AA59">
        <f>IFERROR((X59-(((E59/100000+F59/100+S59/200)*200*I59*H59)+((E59*F59/25000)*I59*H59))/3)/(((J59/5)*200*I59*H59)+((J59*S59/2.5)*I59*H59)+((E59*F59*J59*S59*I59*H59)/12500000))/3*1000,"")</f>
        <v/>
      </c>
    </row>
    <row r="60">
      <c r="B60" s="7" t="inlineStr">
        <is>
          <t xml:space="preserve">  ↳ TS70mmTur</t>
        </is>
      </c>
      <c r="C60" s="7" t="inlineStr">
        <is>
          <t>Armament@PRIMARY</t>
        </is>
      </c>
      <c r="L60" s="6" t="n">
        <v>4000</v>
      </c>
      <c r="M60" s="6" t="n">
        <v>10</v>
      </c>
      <c r="N60" s="6" t="n">
        <v>1</v>
      </c>
      <c r="O60" s="6" t="n"/>
      <c r="P60" s="6" t="n">
        <v>6574</v>
      </c>
      <c r="Q60" s="6" t="n">
        <v>1</v>
      </c>
      <c r="R60">
        <f>M60+IF(N60&gt;1,N(O60)*(N60-1),0)</f>
        <v/>
      </c>
      <c r="S60">
        <f>IFERROR(L60*MAX(N60,1)/R60*Q60*IF(ISBLANK(K59),1,K59),0)</f>
        <v/>
      </c>
      <c r="AB60" s="7" t="inlineStr">
        <is>
          <t>^TSCannonEffect, ^TankDestroyerCannon, ^MediumCannon</t>
        </is>
      </c>
    </row>
    <row r="61">
      <c r="B61" s="7" t="inlineStr">
        <is>
          <t xml:space="preserve">  ↳ TS70mmTurChem</t>
        </is>
      </c>
      <c r="C61" s="7" t="inlineStr">
        <is>
          <t>Armament@UPGRADE</t>
        </is>
      </c>
      <c r="L61" s="6" t="n">
        <v>4000</v>
      </c>
      <c r="M61" s="6" t="n">
        <v>10</v>
      </c>
      <c r="N61" s="6" t="n">
        <v>1</v>
      </c>
      <c r="O61" s="6" t="n"/>
      <c r="P61" s="6" t="n">
        <v>6574</v>
      </c>
      <c r="Q61" s="6" t="n">
        <v>0.875</v>
      </c>
      <c r="R61">
        <f>M61+IF(N61&gt;1,N(O61)*(N61-1),0)</f>
        <v/>
      </c>
      <c r="S61">
        <f>IFERROR(L61*MAX(N61,1)/R61*Q61*IF(ISBLANK(K59),1,K59),0)</f>
        <v/>
      </c>
      <c r="AB61" s="7" t="inlineStr">
        <is>
          <t>^TSCannonEffect, ^LightChemicalWeapon, ^TankDestroyerCannon, ^MediumCannon</t>
        </is>
      </c>
    </row>
    <row r="62">
      <c r="A62" t="inlineStr">
        <is>
          <t>tiberiansun</t>
        </is>
      </c>
      <c r="B62" t="inlineStr">
        <is>
          <t>forgotten_machineguntower</t>
        </is>
      </c>
      <c r="C62" t="inlineStr">
        <is>
          <t>actor_forgotten_machineguntower.name</t>
        </is>
      </c>
      <c r="D62" s="6" t="inlineStr">
        <is>
          <t>BasicDefense</t>
        </is>
      </c>
      <c r="E62" s="6" t="n">
        <v>80000</v>
      </c>
      <c r="F62" s="6" t="n">
        <v>100</v>
      </c>
      <c r="G62" t="inlineStr">
        <is>
          <t>Concrete</t>
        </is>
      </c>
      <c r="H62" s="6" t="n">
        <v>1</v>
      </c>
      <c r="I62" s="6" t="n">
        <v>1</v>
      </c>
      <c r="J62" s="6" t="n">
        <v>1</v>
      </c>
      <c r="K62" s="6" t="n"/>
      <c r="P62">
        <f>MAX(P63)</f>
        <v/>
      </c>
      <c r="S62">
        <f>S63</f>
        <v/>
      </c>
      <c r="T62">
        <f>(E62/100000+F62/100+(P62/1000)*J62/5+S62/200)*200*I62*H62</f>
        <v/>
      </c>
      <c r="U62">
        <f>((E62*F62/25000)+((P62/1000)*J62*S62/2.5))*I62*H62</f>
        <v/>
      </c>
      <c r="V62">
        <f>(E62*F62*(P62/1000)*J62*S62*I62*H62)/12500000</f>
        <v/>
      </c>
      <c r="W62">
        <f>(T62+U62+V62)/3</f>
        <v/>
      </c>
      <c r="X62" s="6" t="n">
        <v>600</v>
      </c>
      <c r="Y62">
        <f>IFERROR(W62-X62,"")</f>
        <v/>
      </c>
      <c r="Z62">
        <f>IFERROR(ABS(Y62)/MAX(X62,1),"")</f>
        <v/>
      </c>
      <c r="AA62">
        <f>IFERROR((X62-(((E62/100000+F62/100+S62/200)*200*I62*H62)+((E62*F62/25000)*I62*H62))/3)/(((J62/5)*200*I62*H62)+((J62*S62/2.5)*I62*H62)+((E62*F62*J62*S62*I62*H62)/12500000))/3*1000,"")</f>
        <v/>
      </c>
    </row>
    <row r="63">
      <c r="B63" s="7" t="inlineStr">
        <is>
          <t xml:space="preserve">  ↳ TSMutVulcanTurret</t>
        </is>
      </c>
      <c r="C63" s="7" t="inlineStr">
        <is>
          <t>Armament@PRIMARY</t>
        </is>
      </c>
      <c r="L63" s="6" t="n">
        <v>2000</v>
      </c>
      <c r="M63" s="6" t="n">
        <v>6</v>
      </c>
      <c r="N63" s="6" t="n">
        <v>1</v>
      </c>
      <c r="O63" s="6" t="n"/>
      <c r="P63" s="6" t="n">
        <v>6272</v>
      </c>
      <c r="Q63" s="6" t="n">
        <v>0.875</v>
      </c>
      <c r="R63">
        <f>M63+IF(N63&gt;1,N(O63)*(N63-1),0)</f>
        <v/>
      </c>
      <c r="S63">
        <f>IFERROR(L63*MAX(N63,1)/R63*Q63*IF(ISBLANK(K62),1,K62),0)</f>
        <v/>
      </c>
      <c r="AB63" s="7" t="inlineStr">
        <is>
          <t>^SmallArms, ^Chaingun</t>
        </is>
      </c>
    </row>
    <row r="64">
      <c r="A64" t="inlineStr">
        <is>
          <t>redalert2</t>
        </is>
      </c>
      <c r="B64" t="inlineStr">
        <is>
          <t>ra2_allies_pillbox</t>
        </is>
      </c>
      <c r="C64" t="inlineStr">
        <is>
          <t>Pillbox</t>
        </is>
      </c>
      <c r="D64" s="6" t="inlineStr">
        <is>
          <t>BasicDefense</t>
        </is>
      </c>
      <c r="E64" s="6" t="n">
        <v>100000</v>
      </c>
      <c r="F64" s="6" t="n">
        <v>100</v>
      </c>
      <c r="G64" t="inlineStr">
        <is>
          <t>Concrete</t>
        </is>
      </c>
      <c r="H64" s="6" t="n">
        <v>1</v>
      </c>
      <c r="I64" s="6" t="n">
        <v>1</v>
      </c>
      <c r="J64" s="6" t="n">
        <v>1</v>
      </c>
      <c r="K64" s="6" t="n"/>
      <c r="X64" s="6" t="n">
        <v>500</v>
      </c>
    </row>
    <row r="65">
      <c r="A65" t="inlineStr">
        <is>
          <t>redalert2</t>
        </is>
      </c>
      <c r="B65" t="inlineStr">
        <is>
          <t>ra2_soviets_sentrygun</t>
        </is>
      </c>
      <c r="C65" t="inlineStr">
        <is>
          <t>Sentry Gun</t>
        </is>
      </c>
      <c r="D65" s="6" t="inlineStr">
        <is>
          <t>BasicDefense</t>
        </is>
      </c>
      <c r="E65" s="6" t="n">
        <v>57000</v>
      </c>
      <c r="F65" s="6" t="n">
        <v>100</v>
      </c>
      <c r="G65" t="inlineStr">
        <is>
          <t>Concrete</t>
        </is>
      </c>
      <c r="H65" s="6" t="n">
        <v>1</v>
      </c>
      <c r="I65" s="6" t="n">
        <v>0.35</v>
      </c>
      <c r="J65" s="6" t="n">
        <v>1</v>
      </c>
      <c r="K65" s="6" t="n"/>
      <c r="P65">
        <f>MAX(P66)</f>
        <v/>
      </c>
      <c r="S65">
        <f>S66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(T65+U65+V65)/3</f>
        <v/>
      </c>
      <c r="X65" s="6" t="n">
        <v>500</v>
      </c>
      <c r="Y65">
        <f>IFERROR(W65-X65,"")</f>
        <v/>
      </c>
      <c r="Z65">
        <f>IFERROR(ABS(Y65)/MAX(X65,1),"")</f>
        <v/>
      </c>
      <c r="AA65">
        <f>IFERROR((X65-(((E65/100000+F65/100+S65/200)*200*I65*H65)+((E65*F65/25000)*I65*H65))/3)/(((J65/5)*200*I65*H65)+((J65*S65/2.5)*I65*H65)+((E65*F65*J65*S65*I65*H65)/12500000))/3*1000,"")</f>
        <v/>
      </c>
    </row>
    <row r="66">
      <c r="B66" s="7" t="inlineStr">
        <is>
          <t xml:space="preserve">  ↳ RA2vulcan</t>
        </is>
      </c>
      <c r="C66" s="7" t="inlineStr">
        <is>
          <t>Armament</t>
        </is>
      </c>
      <c r="L66" s="6" t="n">
        <v>2000</v>
      </c>
      <c r="M66" s="6" t="n">
        <v>14</v>
      </c>
      <c r="N66" s="6" t="n">
        <v>3</v>
      </c>
      <c r="O66" s="6" t="n">
        <v>3</v>
      </c>
      <c r="P66" s="6" t="n">
        <v>6577</v>
      </c>
      <c r="Q66" s="6" t="n">
        <v>0.875</v>
      </c>
      <c r="R66">
        <f>M66+IF(N66&gt;1,N(O66)*(N66-1),0)</f>
        <v/>
      </c>
      <c r="S66">
        <f>IFERROR(L66*MAX(N66,1)/R66*Q66*IF(ISBLANK(K65),1,K65),0)</f>
        <v/>
      </c>
      <c r="AB66" s="7" t="inlineStr">
        <is>
          <t>^RA2SmallArms, ^RA2Chaingun</t>
        </is>
      </c>
    </row>
    <row r="67">
      <c r="A67" t="inlineStr">
        <is>
          <t>redalert2</t>
        </is>
      </c>
      <c r="B67" t="inlineStr">
        <is>
          <t>yuri_gatlingcannon</t>
        </is>
      </c>
      <c r="C67" t="inlineStr">
        <is>
          <t>Gatling Cannon</t>
        </is>
      </c>
      <c r="D67" s="6" t="inlineStr">
        <is>
          <t>BasicDefense</t>
        </is>
      </c>
      <c r="E67" s="6" t="n">
        <v>140000</v>
      </c>
      <c r="F67" s="6" t="n">
        <v>100</v>
      </c>
      <c r="G67" t="inlineStr">
        <is>
          <t>Concrete</t>
        </is>
      </c>
      <c r="H67" s="6" t="n">
        <v>1</v>
      </c>
      <c r="I67" s="6" t="n">
        <v>0.35</v>
      </c>
      <c r="J67" s="6" t="n">
        <v>1</v>
      </c>
      <c r="K67" s="6" t="n"/>
      <c r="P67">
        <f>MAX(P68,P69,P70,P71,P72,P73)</f>
        <v/>
      </c>
      <c r="S67">
        <f>S68+S69+S70+S71+S72+S73</f>
        <v/>
      </c>
      <c r="T67">
        <f>(E67/100000+F67/100+(P67/1000)*J67/5+S67/200)*200*I67*H67</f>
        <v/>
      </c>
      <c r="U67">
        <f>((E67*F67/25000)+((P67/1000)*J67*S67/2.5))*I67*H67</f>
        <v/>
      </c>
      <c r="V67">
        <f>(E67*F67*(P67/1000)*J67*S67*I67*H67)/12500000</f>
        <v/>
      </c>
      <c r="W67">
        <f>(T67+U67+V67)/3</f>
        <v/>
      </c>
      <c r="X67" s="6" t="n">
        <v>1000</v>
      </c>
      <c r="Y67">
        <f>IFERROR(W67-X67,"")</f>
        <v/>
      </c>
      <c r="Z67">
        <f>IFERROR(ABS(Y67)/MAX(X67,1),"")</f>
        <v/>
      </c>
      <c r="AA67">
        <f>IFERROR((X67-(((E67/100000+F67/100+S67/200)*200*I67*H67)+((E67*F67/25000)*I67*H67))/3)/(((J67/5)*200*I67*H67)+((J67*S67/2.5)*I67*H67)+((E67*F67*J67*S67*I67*H67)/12500000))/3*1000,"")</f>
        <v/>
      </c>
    </row>
    <row r="68">
      <c r="B68" s="7" t="inlineStr">
        <is>
          <t xml:space="preserve">  ↳ RA2GattlingMG1</t>
        </is>
      </c>
      <c r="C68" s="7" t="inlineStr">
        <is>
          <t>Armament@1</t>
        </is>
      </c>
      <c r="L68" s="6" t="n">
        <v>2000</v>
      </c>
      <c r="M68" s="6" t="n">
        <v>6</v>
      </c>
      <c r="N68" s="6" t="n">
        <v>1</v>
      </c>
      <c r="O68" s="6" t="n"/>
      <c r="P68" s="6" t="n">
        <v>5000</v>
      </c>
      <c r="Q68" s="6" t="n">
        <v>0.875</v>
      </c>
      <c r="R68">
        <f>M68+IF(N68&gt;1,N(O68)*(N68-1),0)</f>
        <v/>
      </c>
      <c r="S68">
        <f>IFERROR(L68*MAX(N68,1)/R68*Q68*IF(ISBLANK(K67),1,K67),0)</f>
        <v/>
      </c>
      <c r="AB68" s="7" t="inlineStr">
        <is>
          <t>^SmallArms, ^RA2Chaingun</t>
        </is>
      </c>
    </row>
    <row r="69">
      <c r="B69" s="7" t="inlineStr">
        <is>
          <t xml:space="preserve">  ↳ RA2GattlingMG2</t>
        </is>
      </c>
      <c r="C69" s="7" t="inlineStr">
        <is>
          <t>Armament@2</t>
        </is>
      </c>
      <c r="L69" s="6" t="n">
        <v>2000</v>
      </c>
      <c r="M69" s="6" t="n">
        <v>4</v>
      </c>
      <c r="N69" s="6" t="n">
        <v>1</v>
      </c>
      <c r="O69" s="6" t="n"/>
      <c r="P69" s="6" t="n">
        <v>5250</v>
      </c>
      <c r="Q69" s="6" t="n">
        <v>0.875</v>
      </c>
      <c r="R69">
        <f>M69+IF(N69&gt;1,N(O69)*(N69-1),0)</f>
        <v/>
      </c>
      <c r="S69">
        <f>IFERROR(L69*MAX(N69,1)/R69*Q69*IF(ISBLANK(K67),1,K67),0)</f>
        <v/>
      </c>
      <c r="AB69" s="7" t="inlineStr">
        <is>
          <t>^SmallArms, ^RA2Chaingun</t>
        </is>
      </c>
    </row>
    <row r="70">
      <c r="B70" s="7" t="inlineStr">
        <is>
          <t xml:space="preserve">  ↳ RA2GattlingMG3</t>
        </is>
      </c>
      <c r="C70" s="7" t="inlineStr">
        <is>
          <t>Armament@3</t>
        </is>
      </c>
      <c r="L70" s="6" t="n">
        <v>2000</v>
      </c>
      <c r="M70" s="6" t="n">
        <v>2</v>
      </c>
      <c r="N70" s="6" t="n">
        <v>1</v>
      </c>
      <c r="O70" s="6" t="n"/>
      <c r="P70" s="6" t="n">
        <v>5500</v>
      </c>
      <c r="Q70" s="6" t="n">
        <v>0.875</v>
      </c>
      <c r="R70">
        <f>M70+IF(N70&gt;1,N(O70)*(N70-1),0)</f>
        <v/>
      </c>
      <c r="S70">
        <f>IFERROR(L70*MAX(N70,1)/R70*Q70*IF(ISBLANK(K67),1,K67),0)</f>
        <v/>
      </c>
      <c r="AB70" s="7" t="inlineStr">
        <is>
          <t>^SmallArms, ^RA2Chaingun</t>
        </is>
      </c>
    </row>
    <row r="71">
      <c r="B71" s="7" t="inlineStr">
        <is>
          <t xml:space="preserve">  ↳ RA2GattlingMG1AA</t>
        </is>
      </c>
      <c r="C71" s="7" t="inlineStr">
        <is>
          <t>Armament@1AA</t>
        </is>
      </c>
      <c r="L71" s="6" t="n">
        <v>4000</v>
      </c>
      <c r="M71" s="6" t="n">
        <v>6</v>
      </c>
      <c r="N71" s="6" t="n">
        <v>1</v>
      </c>
      <c r="O71" s="6" t="n"/>
      <c r="P71" s="6" t="n">
        <v>6750</v>
      </c>
      <c r="Q71" s="6" t="n">
        <v>0.875</v>
      </c>
      <c r="R71">
        <f>M71+IF(N71&gt;1,N(O71)*(N71-1),0)</f>
        <v/>
      </c>
      <c r="S71">
        <f>IFERROR(L71*MAX(N71,1)/R71*Q71*IF(ISBLANK(K67),1,K67),0)</f>
        <v/>
      </c>
      <c r="AB71" s="7" t="inlineStr">
        <is>
          <t>^SmallArms, ^RA2Chaingun</t>
        </is>
      </c>
    </row>
    <row r="72">
      <c r="B72" s="7" t="inlineStr">
        <is>
          <t xml:space="preserve">  ↳ RA2GattlingMG2AA</t>
        </is>
      </c>
      <c r="C72" s="7" t="inlineStr">
        <is>
          <t>Armament@2AA</t>
        </is>
      </c>
      <c r="L72" s="6" t="n">
        <v>4000</v>
      </c>
      <c r="M72" s="6" t="n">
        <v>4</v>
      </c>
      <c r="N72" s="6" t="n">
        <v>1</v>
      </c>
      <c r="O72" s="6" t="n"/>
      <c r="P72" s="6" t="n">
        <v>7500</v>
      </c>
      <c r="Q72" s="6" t="n">
        <v>0.875</v>
      </c>
      <c r="R72">
        <f>M72+IF(N72&gt;1,N(O72)*(N72-1),0)</f>
        <v/>
      </c>
      <c r="S72">
        <f>IFERROR(L72*MAX(N72,1)/R72*Q72*IF(ISBLANK(K67),1,K67),0)</f>
        <v/>
      </c>
      <c r="AB72" s="7" t="inlineStr">
        <is>
          <t>^SmallArms, ^RA2Chaingun</t>
        </is>
      </c>
    </row>
    <row r="73">
      <c r="B73" s="7" t="inlineStr">
        <is>
          <t xml:space="preserve">  ↳ RA2GattlingMG3AA</t>
        </is>
      </c>
      <c r="C73" s="7" t="inlineStr">
        <is>
          <t>Armament@3AA</t>
        </is>
      </c>
      <c r="L73" s="6" t="n">
        <v>4000</v>
      </c>
      <c r="M73" s="6" t="n">
        <v>2</v>
      </c>
      <c r="N73" s="6" t="n">
        <v>1</v>
      </c>
      <c r="O73" s="6" t="n"/>
      <c r="P73" s="6" t="n">
        <v>8250</v>
      </c>
      <c r="Q73" s="6" t="n">
        <v>0.875</v>
      </c>
      <c r="R73">
        <f>M73+IF(N73&gt;1,N(O73)*(N73-1),0)</f>
        <v/>
      </c>
      <c r="S73">
        <f>IFERROR(L73*MAX(N73,1)/R73*Q73*IF(ISBLANK(K67),1,K67),0)</f>
        <v/>
      </c>
      <c r="AB73" s="7" t="inlineStr">
        <is>
          <t>^SmallArms, ^RA2Chaingun</t>
        </is>
      </c>
    </row>
    <row r="74">
      <c r="A74" t="inlineStr">
        <is>
          <t>redalert2</t>
        </is>
      </c>
      <c r="B74" t="inlineStr">
        <is>
          <t>yuri_slaveminer_2</t>
        </is>
      </c>
      <c r="C74" t="inlineStr">
        <is>
          <t>Slave Miner</t>
        </is>
      </c>
      <c r="D74" s="6" t="inlineStr">
        <is>
          <t>BasicDefense</t>
        </is>
      </c>
      <c r="E74" s="6" t="n">
        <v>200000</v>
      </c>
      <c r="F74" s="6" t="n">
        <v>100</v>
      </c>
      <c r="G74" t="inlineStr">
        <is>
          <t>Heavy</t>
        </is>
      </c>
      <c r="H74" s="6" t="n">
        <v>1</v>
      </c>
      <c r="I74" s="6" t="n">
        <v>1</v>
      </c>
      <c r="J74" s="6" t="n">
        <v>1</v>
      </c>
      <c r="K74" s="6" t="n"/>
      <c r="P74">
        <f>MAX(P75)</f>
        <v/>
      </c>
      <c r="S74">
        <f>S75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(T74+U74+V74)/3</f>
        <v/>
      </c>
      <c r="X74" s="6" t="n">
        <v>2000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RA220mmrapid</t>
        </is>
      </c>
      <c r="C75" s="7" t="inlineStr">
        <is>
          <t>Armament</t>
        </is>
      </c>
      <c r="L75" s="6" t="n">
        <v>4000</v>
      </c>
      <c r="M75" s="6" t="n">
        <v>15</v>
      </c>
      <c r="N75" s="6" t="n">
        <v>1</v>
      </c>
      <c r="O75" s="6" t="n"/>
      <c r="P75" s="6" t="n">
        <v>5000</v>
      </c>
      <c r="Q75" s="6" t="n">
        <v>0.875</v>
      </c>
      <c r="R75">
        <f>M75+IF(N75&gt;1,N(O75)*(N75-1),0)</f>
        <v/>
      </c>
      <c r="S75">
        <f>IFERROR(L75*MAX(N75,1)/R75*Q75*IF(ISBLANK(K74),1,K74),0)</f>
        <v/>
      </c>
      <c r="AB75" s="7" t="inlineStr">
        <is>
          <t>^RA2SmallArms, ^RA2Chaingun</t>
        </is>
      </c>
    </row>
    <row r="76">
      <c r="A76" t="inlineStr">
        <is>
          <t>redalert2mod</t>
        </is>
      </c>
      <c r="B76" t="inlineStr">
        <is>
          <t>asianalliance_asiansentryflamer</t>
        </is>
      </c>
      <c r="C76" t="inlineStr">
        <is>
          <t>Asian Sentry Flamer</t>
        </is>
      </c>
      <c r="D76" s="6" t="inlineStr">
        <is>
          <t>BasicDefense</t>
        </is>
      </c>
      <c r="E76" s="6" t="n">
        <v>71000</v>
      </c>
      <c r="F76" s="6" t="n"/>
      <c r="G76" t="inlineStr">
        <is>
          <t>Concrete</t>
        </is>
      </c>
      <c r="H76" s="6" t="n">
        <v>1</v>
      </c>
      <c r="I76" s="6" t="n">
        <v>1</v>
      </c>
      <c r="J76" s="6" t="n">
        <v>1</v>
      </c>
      <c r="K76" s="6" t="n"/>
      <c r="X76" s="6" t="n">
        <v>800</v>
      </c>
    </row>
    <row r="77">
      <c r="B77" s="7" t="inlineStr">
        <is>
          <t xml:space="preserve">  ↳ AsianFlamerTurret</t>
        </is>
      </c>
      <c r="C77" s="7" t="inlineStr">
        <is>
          <t>Armament</t>
        </is>
      </c>
      <c r="L77" s="6" t="n">
        <v>4000</v>
      </c>
      <c r="M77" s="6" t="n">
        <v>30</v>
      </c>
      <c r="N77" s="6" t="n">
        <v>6</v>
      </c>
      <c r="O77" s="6" t="n">
        <v>3</v>
      </c>
      <c r="P77" s="6" t="n">
        <v>6666</v>
      </c>
      <c r="Q77" s="6" t="n">
        <v>0.75</v>
      </c>
      <c r="R77">
        <f>M77+IF(N77&gt;1,N(O77)*(N77-1),0)</f>
        <v/>
      </c>
      <c r="S77">
        <f>IFERROR(L77*MAX(N77,1)/R77*Q77*IF(ISBLANK(K76),1,K76),0)</f>
        <v/>
      </c>
      <c r="AB77" s="7" t="inlineStr">
        <is>
          <t>^LightFlameWeapon</t>
        </is>
      </c>
    </row>
    <row r="78">
      <c r="A78" t="inlineStr">
        <is>
          <t>redalert2mod</t>
        </is>
      </c>
      <c r="B78" t="inlineStr">
        <is>
          <t>cgpnch.asian</t>
        </is>
      </c>
      <c r="C78" t="inlineStr">
        <is>
          <t>Punisher</t>
        </is>
      </c>
      <c r="D78" s="6" t="inlineStr">
        <is>
          <t>BasicDefense</t>
        </is>
      </c>
      <c r="E78" s="6" t="n">
        <v>140000</v>
      </c>
      <c r="F78" s="6" t="n"/>
      <c r="G78" t="inlineStr">
        <is>
          <t>Concrete</t>
        </is>
      </c>
      <c r="H78" s="6" t="n">
        <v>1</v>
      </c>
      <c r="I78" s="6" t="n">
        <v>1</v>
      </c>
      <c r="J78" s="6" t="n">
        <v>1</v>
      </c>
      <c r="K78" s="6" t="n"/>
      <c r="X78" s="6" t="n">
        <v>1200</v>
      </c>
    </row>
    <row r="79">
      <c r="B79" s="7" t="inlineStr">
        <is>
          <t xml:space="preserve">  ↳ AsianPunisherAG</t>
        </is>
      </c>
      <c r="C79" s="7" t="inlineStr">
        <is>
          <t>Armament</t>
        </is>
      </c>
      <c r="L79" s="6" t="n">
        <v>2000</v>
      </c>
      <c r="M79" s="6" t="n">
        <v>12</v>
      </c>
      <c r="N79" s="6" t="n">
        <v>1</v>
      </c>
      <c r="O79" s="6" t="n"/>
      <c r="P79" s="6" t="n">
        <v>12000</v>
      </c>
      <c r="Q79" s="6" t="n">
        <v>1</v>
      </c>
      <c r="R79">
        <f>M79+IF(N79&gt;1,N(O79)*(N79-1),0)</f>
        <v/>
      </c>
      <c r="S79">
        <f>IFERROR(L79*MAX(N79,1)/R79*Q79*IF(ISBLANK(K78),1,K78),0)</f>
        <v/>
      </c>
      <c r="AB79" s="7" t="inlineStr">
        <is>
          <t>^MediumMissile, ^FlakWeapon, ^TeslaWeapon, ^MagicWeapon</t>
        </is>
      </c>
    </row>
    <row r="80">
      <c r="B80" s="7" t="inlineStr">
        <is>
          <t xml:space="preserve">  ↳ AsianPunisherAGEMP</t>
        </is>
      </c>
      <c r="C80" s="7" t="inlineStr">
        <is>
          <t>Armament@Upgrade</t>
        </is>
      </c>
      <c r="L80" s="6" t="n">
        <v>2000</v>
      </c>
      <c r="M80" s="6" t="n">
        <v>12</v>
      </c>
      <c r="N80" s="6" t="n">
        <v>1</v>
      </c>
      <c r="O80" s="6" t="n"/>
      <c r="P80" s="6" t="n">
        <v>12000</v>
      </c>
      <c r="Q80" s="6" t="n">
        <v>1</v>
      </c>
      <c r="R80">
        <f>M80+IF(N80&gt;1,N(O80)*(N80-1),0)</f>
        <v/>
      </c>
      <c r="S80">
        <f>IFERROR(L80*MAX(N80,1)/R80*Q80*IF(ISBLANK(K78),1,K78),0)</f>
        <v/>
      </c>
      <c r="AB80" s="7" t="inlineStr">
        <is>
          <t>^MediumMissile, ^FlakWeapon, ^TeslaWeapon, ^MagicWeapon</t>
        </is>
      </c>
    </row>
    <row r="81">
      <c r="A81" t="inlineStr">
        <is>
          <t>redalert2mod</t>
        </is>
      </c>
      <c r="B81" t="inlineStr">
        <is>
          <t>steelconsortium_consortiumsentryturret</t>
        </is>
      </c>
      <c r="C81" t="inlineStr">
        <is>
          <t>Consortium Sentry Turret</t>
        </is>
      </c>
      <c r="D81" s="6" t="inlineStr">
        <is>
          <t>BasicDefense</t>
        </is>
      </c>
      <c r="E81" s="6" t="n">
        <v>88000</v>
      </c>
      <c r="F81" s="6" t="n"/>
      <c r="G81" t="inlineStr">
        <is>
          <t>Concrete</t>
        </is>
      </c>
      <c r="H81" s="6" t="n">
        <v>1</v>
      </c>
      <c r="I81" s="6" t="n">
        <v>0.35</v>
      </c>
      <c r="J81" s="6" t="n">
        <v>1</v>
      </c>
      <c r="K81" s="6" t="n"/>
      <c r="X81" s="6" t="n">
        <v>700</v>
      </c>
    </row>
    <row r="82">
      <c r="B82" s="7" t="inlineStr">
        <is>
          <t xml:space="preserve">  ↳ GLStingerTargeting</t>
        </is>
      </c>
      <c r="C82" s="7" t="inlineStr">
        <is>
          <t>Armament@DroneTargeting</t>
        </is>
      </c>
      <c r="L82" s="6" t="n"/>
      <c r="M82" s="6" t="n">
        <v>25</v>
      </c>
      <c r="N82" s="6" t="n">
        <v>1</v>
      </c>
      <c r="O82" s="6" t="n"/>
      <c r="P82" s="6" t="n">
        <v>15000</v>
      </c>
      <c r="Q82" s="6" t="n">
        <v>1</v>
      </c>
      <c r="R82">
        <f>M82+IF(N82&gt;1,N(O82)*(N82-1),0)</f>
        <v/>
      </c>
      <c r="S82">
        <f>IFERROR(L82*MAX(N82,1)/R82*Q82*IF(ISBLANK(K81),1,K81),0)</f>
        <v/>
      </c>
      <c r="AB82" s="7" t="inlineStr"/>
    </row>
    <row r="83">
      <c r="B83" s="7" t="inlineStr">
        <is>
          <t xml:space="preserve">  ↳ SteelVulcan</t>
        </is>
      </c>
      <c r="C83" s="7" t="inlineStr">
        <is>
          <t>Armament</t>
        </is>
      </c>
      <c r="L83" s="6" t="n">
        <v>2000</v>
      </c>
      <c r="M83" s="6" t="n">
        <v>10</v>
      </c>
      <c r="N83" s="6" t="n">
        <v>1</v>
      </c>
      <c r="O83" s="6" t="n"/>
      <c r="P83" s="6" t="n">
        <v>6666</v>
      </c>
      <c r="Q83" s="6" t="n">
        <v>1</v>
      </c>
      <c r="R83">
        <f>M83+IF(N83&gt;1,N(O83)*(N83-1),0)</f>
        <v/>
      </c>
      <c r="S83">
        <f>IFERROR(L83*MAX(N83,1)/R83*Q83*IF(ISBLANK(K81),1,K81),0)</f>
        <v/>
      </c>
      <c r="AB83" s="7" t="inlineStr">
        <is>
          <t>^SteelHeavyCannon, ^SteelSmallArms, ^SteelChaingun</t>
        </is>
      </c>
    </row>
    <row r="84">
      <c r="B84" s="7" t="inlineStr">
        <is>
          <t xml:space="preserve">  ↳ SteelVulcanResonance</t>
        </is>
      </c>
      <c r="C84" s="7" t="inlineStr">
        <is>
          <t>Armament@Upgrade</t>
        </is>
      </c>
      <c r="L84" s="6" t="n">
        <v>2000</v>
      </c>
      <c r="M84" s="6" t="n">
        <v>10</v>
      </c>
      <c r="N84" s="6" t="n">
        <v>1</v>
      </c>
      <c r="O84" s="6" t="n"/>
      <c r="P84" s="6" t="n">
        <v>6666</v>
      </c>
      <c r="Q84" s="6" t="n">
        <v>1</v>
      </c>
      <c r="R84">
        <f>M84+IF(N84&gt;1,N(O84)*(N84-1),0)</f>
        <v/>
      </c>
      <c r="S84">
        <f>IFERROR(L84*MAX(N84,1)/R84*Q84*IF(ISBLANK(K81),1,K81),0)</f>
        <v/>
      </c>
      <c r="AB84" s="7" t="inlineStr">
        <is>
          <t>^SteelHeavyCannon, ^SteelSmallArms, ^SteelChaingun</t>
        </is>
      </c>
    </row>
    <row r="85">
      <c r="A85" t="inlineStr">
        <is>
          <t>redalert2mod</t>
        </is>
      </c>
      <c r="B85" t="inlineStr">
        <is>
          <t>latinsyndicate_combatbarracks</t>
        </is>
      </c>
      <c r="C85" t="inlineStr">
        <is>
          <t>Combat Barracks</t>
        </is>
      </c>
      <c r="D85" s="6" t="inlineStr">
        <is>
          <t>BasicDefense</t>
        </is>
      </c>
      <c r="E85" s="6" t="n">
        <v>200000</v>
      </c>
      <c r="F85" s="6" t="n"/>
      <c r="G85" t="inlineStr">
        <is>
          <t>Wood</t>
        </is>
      </c>
      <c r="H85" s="6" t="n">
        <v>1</v>
      </c>
      <c r="I85" s="6" t="n">
        <v>1</v>
      </c>
      <c r="J85" s="6" t="n">
        <v>1</v>
      </c>
      <c r="K85" s="6" t="n"/>
      <c r="X85" s="6" t="n">
        <v>1000</v>
      </c>
    </row>
    <row r="86">
      <c r="A86" t="inlineStr">
        <is>
          <t>redalert2mod</t>
        </is>
      </c>
      <c r="B86" t="inlineStr">
        <is>
          <t>latinsyndicate_defensebureau</t>
        </is>
      </c>
      <c r="C86" t="inlineStr">
        <is>
          <t>Defense Bureau</t>
        </is>
      </c>
      <c r="D86" s="6" t="inlineStr">
        <is>
          <t>BasicDefense</t>
        </is>
      </c>
      <c r="E86" s="6" t="n">
        <v>500000</v>
      </c>
      <c r="F86" s="6" t="n"/>
      <c r="G86" t="inlineStr">
        <is>
          <t>Concrete</t>
        </is>
      </c>
      <c r="H86" s="6" t="n">
        <v>1</v>
      </c>
      <c r="I86" s="6" t="n">
        <v>1</v>
      </c>
      <c r="J86" s="6" t="n">
        <v>1</v>
      </c>
      <c r="K86" s="6" t="n"/>
      <c r="X86" s="6" t="n">
        <v>5000</v>
      </c>
    </row>
    <row r="87">
      <c r="A87" t="inlineStr">
        <is>
          <t>redalert2mod</t>
        </is>
      </c>
      <c r="B87" t="inlineStr">
        <is>
          <t>latinsyndicate_latinsentrygun</t>
        </is>
      </c>
      <c r="C87" t="inlineStr">
        <is>
          <t>Latin Sentry Gun</t>
        </is>
      </c>
      <c r="D87" s="6" t="inlineStr">
        <is>
          <t>BasicDefense</t>
        </is>
      </c>
      <c r="E87" s="6" t="n">
        <v>113500</v>
      </c>
      <c r="F87" s="6" t="n"/>
      <c r="G87" t="inlineStr">
        <is>
          <t>Concrete</t>
        </is>
      </c>
      <c r="H87" s="6" t="n">
        <v>1</v>
      </c>
      <c r="I87" s="6" t="n">
        <v>0.35</v>
      </c>
      <c r="J87" s="6" t="n">
        <v>1</v>
      </c>
      <c r="K87" s="6" t="n"/>
      <c r="X87" s="6" t="n">
        <v>700</v>
      </c>
    </row>
    <row r="88">
      <c r="B88" s="7" t="inlineStr">
        <is>
          <t xml:space="preserve">  ↳ LatinSentryMG</t>
        </is>
      </c>
      <c r="C88" s="7" t="inlineStr">
        <is>
          <t>Armament@PRIMARY</t>
        </is>
      </c>
      <c r="L88" s="6" t="n">
        <v>2000</v>
      </c>
      <c r="M88" s="6" t="n">
        <v>30</v>
      </c>
      <c r="N88" s="6" t="n">
        <v>3</v>
      </c>
      <c r="O88" s="6" t="n">
        <v>3</v>
      </c>
      <c r="P88" s="6" t="n">
        <v>6666</v>
      </c>
      <c r="Q88" s="6" t="n">
        <v>1</v>
      </c>
      <c r="R88">
        <f>M88+IF(N88&gt;1,N(O88)*(N88-1),0)</f>
        <v/>
      </c>
      <c r="S88">
        <f>IFERROR(L88*MAX(N88,1)/R88*Q88*IF(ISBLANK(K87),1,K87),0)</f>
        <v/>
      </c>
      <c r="AB88" s="7" t="inlineStr">
        <is>
          <t>^HeavyCannon, ^RA2SmallArms, ^RA2Chaingun</t>
        </is>
      </c>
    </row>
    <row r="89">
      <c r="B89" s="7" t="inlineStr">
        <is>
          <t xml:space="preserve">  ↳ LatinSentryMGE</t>
        </is>
      </c>
      <c r="C89" s="7" t="inlineStr">
        <is>
          <t>Armament@ELITE</t>
        </is>
      </c>
      <c r="L89" s="6" t="n">
        <v>2000</v>
      </c>
      <c r="M89" s="6" t="n">
        <v>30</v>
      </c>
      <c r="N89" s="6" t="n">
        <v>3</v>
      </c>
      <c r="O89" s="6" t="n">
        <v>3</v>
      </c>
      <c r="P89" s="6" t="n">
        <v>7777</v>
      </c>
      <c r="Q89" s="6" t="n">
        <v>1</v>
      </c>
      <c r="R89">
        <f>M89+IF(N89&gt;1,N(O89)*(N89-1),0)</f>
        <v/>
      </c>
      <c r="S89">
        <f>IFERROR(L89*MAX(N89,1)/R89*Q89*IF(ISBLANK(K87),1,K87),0)</f>
        <v/>
      </c>
      <c r="AB89" s="7" t="inlineStr">
        <is>
          <t>^HeavyCannon, ^RA2SmallArms, ^RA2Chaingun</t>
        </is>
      </c>
    </row>
    <row r="90">
      <c r="A90" t="inlineStr">
        <is>
          <t>redalert2mod</t>
        </is>
      </c>
      <c r="B90" t="inlineStr">
        <is>
          <t>naxis_airfield</t>
        </is>
      </c>
      <c r="C90" t="inlineStr">
        <is>
          <t>Naxis Airfield</t>
        </is>
      </c>
      <c r="D90" s="6" t="inlineStr">
        <is>
          <t>BasicDefense</t>
        </is>
      </c>
      <c r="E90" s="6" t="n">
        <v>600000</v>
      </c>
      <c r="F90" s="6" t="n"/>
      <c r="G90" t="inlineStr">
        <is>
          <t>Concrete</t>
        </is>
      </c>
      <c r="H90" s="6" t="n">
        <v>1</v>
      </c>
      <c r="I90" s="6" t="n">
        <v>1</v>
      </c>
      <c r="J90" s="6" t="n">
        <v>1</v>
      </c>
      <c r="K90" s="6" t="n"/>
      <c r="X90" s="6" t="n">
        <v>3000</v>
      </c>
    </row>
    <row r="91">
      <c r="B91" s="7" t="inlineStr">
        <is>
          <t xml:space="preserve">  ↳ NaxDefensivePlaneTarget</t>
        </is>
      </c>
      <c r="C91" s="7" t="inlineStr">
        <is>
          <t>Armament@PRIMARY</t>
        </is>
      </c>
      <c r="L91" s="6" t="n"/>
      <c r="M91" s="6" t="n">
        <v>30</v>
      </c>
      <c r="N91" s="6" t="n">
        <v>1</v>
      </c>
      <c r="O91" s="6" t="n"/>
      <c r="P91" s="6" t="n">
        <v>30000</v>
      </c>
      <c r="Q91" s="6" t="n">
        <v>1</v>
      </c>
      <c r="R91">
        <f>M91+IF(N91&gt;1,N(O91)*(N91-1),0)</f>
        <v/>
      </c>
      <c r="S91">
        <f>IFERROR(L91*MAX(N91,1)/R91*Q91*IF(ISBLANK(K90),1,K90),0)</f>
        <v/>
      </c>
      <c r="AB91" s="7" t="inlineStr"/>
    </row>
    <row r="92">
      <c r="A92" t="inlineStr">
        <is>
          <t>redalert2mod</t>
        </is>
      </c>
      <c r="B92" t="inlineStr">
        <is>
          <t>naxis_flak88</t>
        </is>
      </c>
      <c r="C92" t="inlineStr">
        <is>
          <t>Flak 88</t>
        </is>
      </c>
      <c r="D92" s="6" t="inlineStr">
        <is>
          <t>BasicDefense</t>
        </is>
      </c>
      <c r="E92" s="6" t="n">
        <v>160000</v>
      </c>
      <c r="F92" s="6" t="n"/>
      <c r="G92" t="inlineStr">
        <is>
          <t>Concrete</t>
        </is>
      </c>
      <c r="H92" s="6" t="n">
        <v>1</v>
      </c>
      <c r="I92" s="6" t="n">
        <v>0.5</v>
      </c>
      <c r="J92" s="6" t="n">
        <v>1</v>
      </c>
      <c r="K92" s="6" t="n"/>
      <c r="X92" s="6" t="n">
        <v>1200</v>
      </c>
    </row>
    <row r="93">
      <c r="B93" s="7" t="inlineStr">
        <is>
          <t xml:space="preserve">  ↳ NaxFlakAA</t>
        </is>
      </c>
      <c r="C93" s="7" t="inlineStr">
        <is>
          <t>Armament@PRIMARY</t>
        </is>
      </c>
      <c r="L93" s="6" t="n">
        <v>2000</v>
      </c>
      <c r="M93" s="6" t="n">
        <v>88</v>
      </c>
      <c r="N93" s="6" t="n">
        <v>8</v>
      </c>
      <c r="O93" s="6" t="n">
        <v>0</v>
      </c>
      <c r="P93" s="6" t="n">
        <v>13200</v>
      </c>
      <c r="Q93" s="6" t="n">
        <v>1.0625</v>
      </c>
      <c r="R93">
        <f>M93+IF(N93&gt;1,N(O93)*(N93-1),0)</f>
        <v/>
      </c>
      <c r="S93">
        <f>IFERROR(L93*MAX(N93,1)/R93*Q93*IF(ISBLANK(K92),1,K92),0)</f>
        <v/>
      </c>
      <c r="AB93" s="7" t="inlineStr">
        <is>
          <t>^Grenade, ^HeavyMissile, ^Chaingun, ^RA2FlakWeapon</t>
        </is>
      </c>
    </row>
    <row r="94">
      <c r="B94" s="7" t="inlineStr">
        <is>
          <t xml:space="preserve">  ↳ NaxFlakAG</t>
        </is>
      </c>
      <c r="C94" s="7" t="inlineStr">
        <is>
          <t>Armament@AA</t>
        </is>
      </c>
      <c r="L94" s="6" t="n">
        <v>2000</v>
      </c>
      <c r="M94" s="6" t="n">
        <v>88</v>
      </c>
      <c r="N94" s="6" t="n">
        <v>8</v>
      </c>
      <c r="O94" s="6" t="n">
        <v>0</v>
      </c>
      <c r="P94" s="6" t="n">
        <v>8800</v>
      </c>
      <c r="Q94" s="6" t="n">
        <v>1.0625</v>
      </c>
      <c r="R94">
        <f>M94+IF(N94&gt;1,N(O94)*(N94-1),0)</f>
        <v/>
      </c>
      <c r="S94">
        <f>IFERROR(L94*MAX(N94,1)/R94*Q94*IF(ISBLANK(K92),1,K92),0)</f>
        <v/>
      </c>
      <c r="AB94" s="7" t="inlineStr">
        <is>
          <t>^Grenade, ^HeavyMissile, ^Chaingun, ^RA2FlakWeapon</t>
        </is>
      </c>
    </row>
    <row r="95">
      <c r="A95" t="inlineStr">
        <is>
          <t>redalert2mod</t>
        </is>
      </c>
      <c r="B95" t="inlineStr">
        <is>
          <t>naxis_rifletower</t>
        </is>
      </c>
      <c r="C95" t="inlineStr">
        <is>
          <t>Rifle Tower</t>
        </is>
      </c>
      <c r="D95" s="6" t="inlineStr">
        <is>
          <t>BasicDefense</t>
        </is>
      </c>
      <c r="E95" s="6" t="n">
        <v>78000</v>
      </c>
      <c r="F95" s="6" t="n"/>
      <c r="G95" t="inlineStr">
        <is>
          <t>Concrete</t>
        </is>
      </c>
      <c r="H95" s="6" t="n">
        <v>1</v>
      </c>
      <c r="I95" s="6" t="n">
        <v>1</v>
      </c>
      <c r="J95" s="6" t="n">
        <v>1</v>
      </c>
      <c r="K95" s="6" t="n"/>
      <c r="X95" s="6" t="n">
        <v>650</v>
      </c>
    </row>
    <row r="96">
      <c r="B96" s="7" t="inlineStr">
        <is>
          <t xml:space="preserve">  ↳ NaxiRifleT</t>
        </is>
      </c>
      <c r="C96" s="7" t="inlineStr">
        <is>
          <t>Armament</t>
        </is>
      </c>
      <c r="L96" s="6" t="n">
        <v>32000</v>
      </c>
      <c r="M96" s="6" t="n">
        <v>50</v>
      </c>
      <c r="N96" s="6" t="n">
        <v>2</v>
      </c>
      <c r="O96" s="6" t="n">
        <v>5</v>
      </c>
      <c r="P96" s="6" t="n">
        <v>8100</v>
      </c>
      <c r="Q96" s="6" t="n">
        <v>0.75</v>
      </c>
      <c r="R96">
        <f>M96+IF(N96&gt;1,N(O96)*(N96-1),0)</f>
        <v/>
      </c>
      <c r="S96">
        <f>IFERROR(L96*MAX(N96,1)/R96*Q96*IF(ISBLANK(K95),1,K95),0)</f>
        <v/>
      </c>
      <c r="AB96" s="7" t="inlineStr">
        <is>
          <t>^SmallArms</t>
        </is>
      </c>
    </row>
    <row r="97">
      <c r="A97" t="inlineStr">
        <is>
          <t>redalert2mod</t>
        </is>
      </c>
      <c r="B97" t="inlineStr">
        <is>
          <t>schwarzermond_airfield</t>
        </is>
      </c>
      <c r="C97" t="inlineStr">
        <is>
          <t>Schwarzer Mond Airfield</t>
        </is>
      </c>
      <c r="D97" s="6" t="inlineStr">
        <is>
          <t>BasicDefense</t>
        </is>
      </c>
      <c r="E97" s="6" t="n">
        <v>600000</v>
      </c>
      <c r="F97" s="6" t="n"/>
      <c r="G97" t="inlineStr">
        <is>
          <t>Concrete</t>
        </is>
      </c>
      <c r="H97" s="6" t="n">
        <v>1</v>
      </c>
      <c r="I97" s="6" t="n">
        <v>1</v>
      </c>
      <c r="J97" s="6" t="n">
        <v>1</v>
      </c>
      <c r="K97" s="6" t="n"/>
      <c r="X97" s="6" t="n">
        <v>3000</v>
      </c>
    </row>
    <row r="98">
      <c r="B98" s="7" t="inlineStr">
        <is>
          <t xml:space="preserve">  ↳ NaxDefensivePlaneTarget</t>
        </is>
      </c>
      <c r="C98" s="7" t="inlineStr">
        <is>
          <t>Armament@PRIMARY</t>
        </is>
      </c>
      <c r="L98" s="6" t="n"/>
      <c r="M98" s="6" t="n">
        <v>30</v>
      </c>
      <c r="N98" s="6" t="n">
        <v>1</v>
      </c>
      <c r="O98" s="6" t="n"/>
      <c r="P98" s="6" t="n">
        <v>30000</v>
      </c>
      <c r="Q98" s="6" t="n">
        <v>1</v>
      </c>
      <c r="R98">
        <f>M98+IF(N98&gt;1,N(O98)*(N98-1),0)</f>
        <v/>
      </c>
      <c r="S98">
        <f>IFERROR(L98*MAX(N98,1)/R98*Q98*IF(ISBLANK(K97),1,K97),0)</f>
        <v/>
      </c>
      <c r="AB98" s="7" t="inlineStr"/>
    </row>
    <row r="99">
      <c r="A99" t="inlineStr">
        <is>
          <t>redalert2mod</t>
        </is>
      </c>
      <c r="B99" t="inlineStr">
        <is>
          <t>schwarzermond_sturmcannon</t>
        </is>
      </c>
      <c r="C99" t="inlineStr">
        <is>
          <t>Sturm Cannon</t>
        </is>
      </c>
      <c r="D99" s="6" t="inlineStr">
        <is>
          <t>BasicDefense</t>
        </is>
      </c>
      <c r="E99" s="6" t="n">
        <v>160000</v>
      </c>
      <c r="F99" s="6" t="n"/>
      <c r="G99" t="inlineStr">
        <is>
          <t>Concrete</t>
        </is>
      </c>
      <c r="H99" s="6" t="n">
        <v>1</v>
      </c>
      <c r="I99" s="6" t="n">
        <v>1</v>
      </c>
      <c r="J99" s="6" t="n">
        <v>1</v>
      </c>
      <c r="K99" s="6" t="n"/>
      <c r="X99" s="6" t="n">
        <v>1200</v>
      </c>
    </row>
    <row r="100">
      <c r="B100" s="7" t="inlineStr">
        <is>
          <t xml:space="preserve">  ↳ NaxSturmArty</t>
        </is>
      </c>
      <c r="C100" s="7" t="inlineStr">
        <is>
          <t>Armament@PRIMARY</t>
        </is>
      </c>
      <c r="L100" s="6" t="n">
        <v>30000</v>
      </c>
      <c r="M100" s="6" t="n">
        <v>140</v>
      </c>
      <c r="N100" s="6" t="n">
        <v>1</v>
      </c>
      <c r="O100" s="6" t="n"/>
      <c r="P100" s="6" t="n">
        <v>14000</v>
      </c>
      <c r="Q100" s="6" t="n">
        <v>1.083333333333333</v>
      </c>
      <c r="R100">
        <f>M100+IF(N100&gt;1,N(O100)*(N100-1),0)</f>
        <v/>
      </c>
      <c r="S100">
        <f>IFERROR(L100*MAX(N100,1)/R100*Q100*IF(ISBLANK(K99),1,K99),0)</f>
        <v/>
      </c>
      <c r="AB100" s="7" t="inlineStr">
        <is>
          <t>^HeavyBomb, ^RA2MediumCannon, ^RA2Grenade</t>
        </is>
      </c>
    </row>
    <row r="101">
      <c r="B101" s="7" t="inlineStr">
        <is>
          <t xml:space="preserve">  ↳ Lunar_GreenSturmArty</t>
        </is>
      </c>
      <c r="C101" s="7" t="inlineStr">
        <is>
          <t>Armament@PRIMARY_UP</t>
        </is>
      </c>
      <c r="L101" s="6" t="n">
        <v>30000</v>
      </c>
      <c r="M101" s="6" t="n">
        <v>140</v>
      </c>
      <c r="N101" s="6" t="n">
        <v>1</v>
      </c>
      <c r="O101" s="6" t="n"/>
      <c r="P101" s="6" t="n">
        <v>14000</v>
      </c>
      <c r="Q101" s="6" t="n">
        <v>1.0625</v>
      </c>
      <c r="R101">
        <f>M101+IF(N101&gt;1,N(O101)*(N101-1),0)</f>
        <v/>
      </c>
      <c r="S101">
        <f>IFERROR(L101*MAX(N101,1)/R101*Q101*IF(ISBLANK(K99),1,K99),0)</f>
        <v/>
      </c>
      <c r="AB101" s="7" t="inlineStr">
        <is>
          <t>^TeslaWeapon, ^HeavyBomb, ^RA2MediumCannon, ^RA2Grenade, ^LunarNaxisUpgradedCannons</t>
        </is>
      </c>
    </row>
    <row r="102">
      <c r="A102" t="inlineStr">
        <is>
          <t>redalert2mod</t>
        </is>
      </c>
      <c r="B102" t="inlineStr">
        <is>
          <t>futuretech_multiturretsystem</t>
        </is>
      </c>
      <c r="C102" t="inlineStr">
        <is>
          <t>Multi Turret System</t>
        </is>
      </c>
      <c r="D102" s="6" t="inlineStr">
        <is>
          <t>BasicDefense</t>
        </is>
      </c>
      <c r="E102" s="6" t="n">
        <v>105000</v>
      </c>
      <c r="F102" s="6" t="n"/>
      <c r="G102" t="inlineStr">
        <is>
          <t>Concrete</t>
        </is>
      </c>
      <c r="H102" s="6" t="n">
        <v>1</v>
      </c>
      <c r="I102" s="6" t="n">
        <v>1</v>
      </c>
      <c r="J102" s="6" t="n">
        <v>1</v>
      </c>
      <c r="K102" s="6" t="n"/>
      <c r="X102" s="6" t="n">
        <v>800</v>
      </c>
    </row>
    <row r="103">
      <c r="B103" s="7" t="inlineStr">
        <is>
          <t xml:space="preserve">  ↳ Future_MultiMissile</t>
        </is>
      </c>
      <c r="C103" s="7" t="inlineStr">
        <is>
          <t>Armament@primary</t>
        </is>
      </c>
      <c r="L103" s="6" t="n">
        <v>4000</v>
      </c>
      <c r="M103" s="6" t="n">
        <v>24</v>
      </c>
      <c r="N103" s="6" t="n">
        <v>3</v>
      </c>
      <c r="O103" s="6" t="n">
        <v>4</v>
      </c>
      <c r="P103" s="6" t="n">
        <v>7410</v>
      </c>
      <c r="Q103" s="6" t="n">
        <v>0.75</v>
      </c>
      <c r="R103">
        <f>M103+IF(N103&gt;1,N(O103)*(N103-1),0)</f>
        <v/>
      </c>
      <c r="S103">
        <f>IFERROR(L103*MAX(N103,1)/R103*Q103*IF(ISBLANK(K102),1,K102),0)</f>
        <v/>
      </c>
      <c r="AB103" s="7" t="inlineStr">
        <is>
          <t>^ArrowWeapon, ^RA2LightMissile</t>
        </is>
      </c>
    </row>
    <row r="104">
      <c r="B104" s="7" t="inlineStr">
        <is>
          <t xml:space="preserve">  ↳ Future_MultiMissile_Javelin</t>
        </is>
      </c>
      <c r="C104" s="7" t="inlineStr">
        <is>
          <t>Armament@MISS</t>
        </is>
      </c>
      <c r="L104" s="6" t="n">
        <v>2000</v>
      </c>
      <c r="M104" s="6" t="n">
        <v>32</v>
      </c>
      <c r="N104" s="6" t="n">
        <v>3</v>
      </c>
      <c r="O104" s="6" t="n">
        <v>4</v>
      </c>
      <c r="P104" s="6" t="n">
        <v>9000</v>
      </c>
      <c r="Q104" s="6" t="n">
        <v>0.9375</v>
      </c>
      <c r="R104">
        <f>M104+IF(N104&gt;1,N(O104)*(N104-1),0)</f>
        <v/>
      </c>
      <c r="S104">
        <f>IFERROR(L104*MAX(N104,1)/R104*Q104*IF(ISBLANK(K102),1,K102),0)</f>
        <v/>
      </c>
      <c r="AB104" s="7" t="inlineStr">
        <is>
          <t>^LightMissile, ^FlakWeapon, ^MediumMissile, ^ShrapnelWeapon, ^D2KRocket</t>
        </is>
      </c>
    </row>
    <row r="105">
      <c r="B105" s="7" t="inlineStr">
        <is>
          <t xml:space="preserve">  ↳ Future_MultiMissile_Frag</t>
        </is>
      </c>
      <c r="C105" s="7" t="inlineStr">
        <is>
          <t>Armament@FRAG</t>
        </is>
      </c>
      <c r="L105" s="6" t="n">
        <v>4000</v>
      </c>
      <c r="M105" s="6" t="n">
        <v>56</v>
      </c>
      <c r="N105" s="6" t="n">
        <v>3</v>
      </c>
      <c r="O105" s="6" t="n">
        <v>4</v>
      </c>
      <c r="P105" s="6" t="n">
        <v>8300</v>
      </c>
      <c r="Q105" s="6" t="n">
        <v>0.875</v>
      </c>
      <c r="R105">
        <f>M105+IF(N105&gt;1,N(O105)*(N105-1),0)</f>
        <v/>
      </c>
      <c r="S105">
        <f>IFERROR(L105*MAX(N105,1)/R105*Q105*IF(ISBLANK(K102),1,K102),0)</f>
        <v/>
      </c>
      <c r="AB105" s="7" t="inlineStr">
        <is>
          <t>^ShrapnelWeapon, ^MediumFlameWeapon, ^LightChemicalWeapon, ^LightMissile</t>
        </is>
      </c>
    </row>
    <row r="106">
      <c r="B106" s="7" t="inlineStr">
        <is>
          <t xml:space="preserve">  ↳ Future_MultiMissile_Sigma</t>
        </is>
      </c>
      <c r="C106" s="7" t="inlineStr">
        <is>
          <t>Armament@Sigma</t>
        </is>
      </c>
      <c r="L106" s="6" t="n">
        <v>10000</v>
      </c>
      <c r="M106" s="6" t="n">
        <v>50</v>
      </c>
      <c r="N106" s="6" t="n">
        <v>3</v>
      </c>
      <c r="O106" s="6" t="n">
        <v>6</v>
      </c>
      <c r="P106" s="6" t="n">
        <v>9000</v>
      </c>
      <c r="Q106" s="6" t="n">
        <v>1</v>
      </c>
      <c r="R106">
        <f>M106+IF(N106&gt;1,N(O106)*(N106-1),0)</f>
        <v/>
      </c>
      <c r="S106">
        <f>IFERROR(L106*MAX(N106,1)/R106*Q106*IF(ISBLANK(K102),1,K102),0)</f>
        <v/>
      </c>
      <c r="AB106" s="7" t="inlineStr">
        <is>
          <t>^TeslaChargedWeapon, ^MagicWeapon, ^FlakWeapon, ^ShrapnelWeapon, ^MediumMissile</t>
        </is>
      </c>
    </row>
    <row r="107">
      <c r="A107" t="inlineStr">
        <is>
          <t>redalert2mod</t>
        </is>
      </c>
      <c r="B107" t="inlineStr">
        <is>
          <t>tkm_tankturretbunker</t>
        </is>
      </c>
      <c r="C107" t="inlineStr">
        <is>
          <t>TKM Tank Turret Bunker</t>
        </is>
      </c>
      <c r="D107" s="6" t="inlineStr">
        <is>
          <t>BasicDefense</t>
        </is>
      </c>
      <c r="E107" s="6" t="n">
        <v>100000</v>
      </c>
      <c r="F107" s="6" t="n">
        <v>100</v>
      </c>
      <c r="G107" t="inlineStr">
        <is>
          <t>Concrete</t>
        </is>
      </c>
      <c r="H107" s="6" t="n">
        <v>1</v>
      </c>
      <c r="I107" s="6" t="n">
        <v>1</v>
      </c>
      <c r="J107" s="6" t="n">
        <v>1</v>
      </c>
      <c r="K107" s="6" t="n"/>
      <c r="P107">
        <f>MAX(P108)</f>
        <v/>
      </c>
      <c r="S107">
        <f>S108</f>
        <v/>
      </c>
      <c r="T107">
        <f>(E107/100000+F107/100+(P107/1000)*J107/5+S107/200)*200*I107*H107</f>
        <v/>
      </c>
      <c r="U107">
        <f>((E107*F107/25000)+((P107/1000)*J107*S107/2.5))*I107*H107</f>
        <v/>
      </c>
      <c r="V107">
        <f>(E107*F107*(P107/1000)*J107*S107*I107*H107)/12500000</f>
        <v/>
      </c>
      <c r="W107">
        <f>(T107+U107+V107)/3</f>
        <v/>
      </c>
      <c r="X107" s="6" t="n">
        <v>800</v>
      </c>
      <c r="Y107">
        <f>IFERROR(W107-X107,"")</f>
        <v/>
      </c>
      <c r="Z107">
        <f>IFERROR(ABS(Y107)/MAX(X107,1),"")</f>
        <v/>
      </c>
      <c r="AA107">
        <f>IFERROR((X107-(((E107/100000+F107/100+S107/200)*200*I107*H107)+((E107*F107/25000)*I107*H107))/3)/(((J107/5)*200*I107*H107)+((J107*S107/2.5)*I107*H107)+((E107*F107*J107*S107*I107*H107)/12500000))/3*1000,"")</f>
        <v/>
      </c>
    </row>
    <row r="108">
      <c r="B108" s="7" t="inlineStr">
        <is>
          <t xml:space="preserve">  ↳ tkmturretcannon</t>
        </is>
      </c>
      <c r="C108" s="7" t="inlineStr">
        <is>
          <t>Armament</t>
        </is>
      </c>
      <c r="L108" s="6" t="n">
        <v>8000</v>
      </c>
      <c r="M108" s="6" t="n">
        <v>28</v>
      </c>
      <c r="N108" s="6" t="n">
        <v>1</v>
      </c>
      <c r="O108" s="6" t="n"/>
      <c r="P108" s="6" t="n">
        <v>8683</v>
      </c>
      <c r="Q108" s="6" t="n">
        <v>1</v>
      </c>
      <c r="R108">
        <f>M108+IF(N108&gt;1,N(O108)*(N108-1),0)</f>
        <v/>
      </c>
      <c r="S108">
        <f>IFERROR(L108*MAX(N108,1)/R108*Q108*IF(ISBLANK(K107),1,K107),0)</f>
        <v/>
      </c>
      <c r="AB108" s="7" t="inlineStr">
        <is>
          <t>^TankDestroyerCannon, ^MediumCannon</t>
        </is>
      </c>
    </row>
    <row r="109">
      <c r="A109" t="inlineStr">
        <is>
          <t>redalert2mod</t>
        </is>
      </c>
      <c r="B109" t="inlineStr">
        <is>
          <t>tkmratflakdeployed</t>
        </is>
      </c>
      <c r="C109" t="inlineStr">
        <is>
          <t>Flak Bus (Deployed)</t>
        </is>
      </c>
      <c r="D109" s="6" t="inlineStr">
        <is>
          <t>BasicDefense</t>
        </is>
      </c>
      <c r="E109" s="6" t="n">
        <v>120000</v>
      </c>
      <c r="F109" s="6" t="n">
        <v>100</v>
      </c>
      <c r="G109" t="inlineStr">
        <is>
          <t>Heavy</t>
        </is>
      </c>
      <c r="H109" s="6" t="n">
        <v>1</v>
      </c>
      <c r="I109" s="6" t="n">
        <v>1</v>
      </c>
      <c r="J109" s="6" t="n">
        <v>1</v>
      </c>
      <c r="K109" s="6" t="n"/>
      <c r="P109">
        <f>MAX(P110)</f>
        <v/>
      </c>
      <c r="S109">
        <f>S110</f>
        <v/>
      </c>
      <c r="T109">
        <f>(E109/100000+F109/100+(P109/1000)*J109/5+S109/200)*200*I109*H109</f>
        <v/>
      </c>
      <c r="U109">
        <f>((E109*F109/25000)+((P109/1000)*J109*S109/2.5))*I109*H109</f>
        <v/>
      </c>
      <c r="V109">
        <f>(E109*F109*(P109/1000)*J109*S109*I109*H109)/12500000</f>
        <v/>
      </c>
      <c r="W109">
        <f>(T109+U109+V109)/3</f>
        <v/>
      </c>
      <c r="X109" s="6" t="n">
        <v>1600</v>
      </c>
      <c r="Y109">
        <f>IFERROR(W109-X109,"")</f>
        <v/>
      </c>
      <c r="Z109">
        <f>IFERROR(ABS(Y109)/MAX(X109,1),"")</f>
        <v/>
      </c>
      <c r="AA109">
        <f>IFERROR((X109-(((E109/100000+F109/100+S109/200)*200*I109*H109)+((E109*F109/25000)*I109*H109))/3)/(((J109/5)*200*I109*H109)+((J109*S109/2.5)*I109*H109)+((E109*F109*J109*S109*I109*H109)/12500000))/3*1000,"")</f>
        <v/>
      </c>
    </row>
    <row r="110">
      <c r="B110" s="7" t="inlineStr">
        <is>
          <t xml:space="preserve">  ↳ FlakbusAA</t>
        </is>
      </c>
      <c r="C110" s="7" t="inlineStr">
        <is>
          <t>Armament</t>
        </is>
      </c>
      <c r="L110" s="6" t="n">
        <v>16000</v>
      </c>
      <c r="M110" s="6" t="n">
        <v>32</v>
      </c>
      <c r="N110" s="6" t="n">
        <v>1</v>
      </c>
      <c r="O110" s="6" t="n"/>
      <c r="P110" s="6" t="n">
        <v>10929</v>
      </c>
      <c r="Q110" s="6" t="n">
        <v>1</v>
      </c>
      <c r="R110">
        <f>M110+IF(N110&gt;1,N(O110)*(N110-1),0)</f>
        <v/>
      </c>
      <c r="S110">
        <f>IFERROR(L110*MAX(N110,1)/R110*Q110*IF(ISBLANK(K109),1,K109),0)</f>
        <v/>
      </c>
      <c r="AB110" s="7" t="inlineStr">
        <is>
          <t>^MediumMissile, ^FlakWeapon</t>
        </is>
      </c>
    </row>
    <row r="111">
      <c r="A111" t="inlineStr">
        <is>
          <t>redalert2mod</t>
        </is>
      </c>
      <c r="B111" t="inlineStr">
        <is>
          <t>tkmtrenchtankdeployed</t>
        </is>
      </c>
      <c r="C111" t="inlineStr">
        <is>
          <t>TKM Trench Tank (Deployed)</t>
        </is>
      </c>
      <c r="D111" s="6" t="inlineStr">
        <is>
          <t>BasicDefense</t>
        </is>
      </c>
      <c r="E111" s="6" t="n">
        <v>200000</v>
      </c>
      <c r="F111" s="6" t="n">
        <v>100</v>
      </c>
      <c r="G111" t="inlineStr">
        <is>
          <t>Heavy</t>
        </is>
      </c>
      <c r="H111" s="6" t="n">
        <v>1</v>
      </c>
      <c r="I111" s="6" t="n">
        <v>1</v>
      </c>
      <c r="J111" s="6" t="n">
        <v>1</v>
      </c>
      <c r="K111" s="6" t="n"/>
      <c r="P111">
        <f>MAX(P112)</f>
        <v/>
      </c>
      <c r="S111">
        <f>S112</f>
        <v/>
      </c>
      <c r="T111">
        <f>(E111/100000+F111/100+(P111/1000)*J111/5+S111/200)*200*I111*H111</f>
        <v/>
      </c>
      <c r="U111">
        <f>((E111*F111/25000)+((P111/1000)*J111*S111/2.5))*I111*H111</f>
        <v/>
      </c>
      <c r="V111">
        <f>(E111*F111*(P111/1000)*J111*S111*I111*H111)/12500000</f>
        <v/>
      </c>
      <c r="W111">
        <f>(T111+U111+V111)/3</f>
        <v/>
      </c>
      <c r="X111" s="6" t="n">
        <v>2500</v>
      </c>
      <c r="Y111">
        <f>IFERROR(W111-X111,"")</f>
        <v/>
      </c>
      <c r="Z111">
        <f>IFERROR(ABS(Y111)/MAX(X111,1),"")</f>
        <v/>
      </c>
      <c r="AA111">
        <f>IFERROR((X111-(((E111/100000+F111/100+S111/200)*200*I111*H111)+((E111*F111/25000)*I111*H111))/3)/(((J111/5)*200*I111*H111)+((J111*S111/2.5)*I111*H111)+((E111*F111*J111*S111*I111*H111)/12500000))/3*1000,"")</f>
        <v/>
      </c>
    </row>
    <row r="112">
      <c r="B112" s="7" t="inlineStr">
        <is>
          <t xml:space="preserve">  ↳ tkmtrenchdepcannon</t>
        </is>
      </c>
      <c r="C112" s="7" t="inlineStr">
        <is>
          <t>Armament</t>
        </is>
      </c>
      <c r="L112" s="6" t="n">
        <v>20000</v>
      </c>
      <c r="M112" s="6" t="n">
        <v>36</v>
      </c>
      <c r="N112" s="6" t="n">
        <v>1</v>
      </c>
      <c r="O112" s="6" t="n"/>
      <c r="P112" s="6" t="n">
        <v>11071</v>
      </c>
      <c r="Q112" s="6" t="n">
        <v>1.125</v>
      </c>
      <c r="R112">
        <f>M112+IF(N112&gt;1,N(O112)*(N112-1),0)</f>
        <v/>
      </c>
      <c r="S112">
        <f>IFERROR(L112*MAX(N112,1)/R112*Q112*IF(ISBLANK(K111),1,K111),0)</f>
        <v/>
      </c>
      <c r="AB112" s="7" t="inlineStr">
        <is>
          <t>^ShrapnelWeapon, ^HeavyCannon</t>
        </is>
      </c>
    </row>
    <row r="113">
      <c r="A113" t="inlineStr">
        <is>
          <t>d2k</t>
        </is>
      </c>
      <c r="B113" t="inlineStr">
        <is>
          <t>ixian_gunturret</t>
        </is>
      </c>
      <c r="C113" t="inlineStr">
        <is>
          <t>Gun Turret</t>
        </is>
      </c>
      <c r="D113" s="6" t="inlineStr">
        <is>
          <t>BasicDefense</t>
        </is>
      </c>
      <c r="E113" s="6" t="n">
        <v>125000</v>
      </c>
      <c r="F113" s="6" t="n"/>
      <c r="G113" t="inlineStr">
        <is>
          <t>Concrete</t>
        </is>
      </c>
      <c r="H113" s="6" t="n">
        <v>1</v>
      </c>
      <c r="I113" s="6" t="n">
        <v>1</v>
      </c>
      <c r="J113" s="6" t="n">
        <v>1</v>
      </c>
      <c r="K113" s="6" t="n"/>
      <c r="X113" s="6" t="n">
        <v>1000</v>
      </c>
    </row>
    <row r="114">
      <c r="B114" s="7" t="inlineStr">
        <is>
          <t xml:space="preserve">  ↳ 110mm_Gun</t>
        </is>
      </c>
      <c r="C114" s="7" t="inlineStr">
        <is>
          <t>Armament</t>
        </is>
      </c>
      <c r="L114" s="6" t="n">
        <v>10000</v>
      </c>
      <c r="M114" s="6" t="n">
        <v>50</v>
      </c>
      <c r="N114" s="6" t="n">
        <v>1</v>
      </c>
      <c r="O114" s="6" t="n"/>
      <c r="P114" s="6" t="n">
        <v>7979</v>
      </c>
      <c r="Q114" s="6" t="n">
        <v>1.25</v>
      </c>
      <c r="R114">
        <f>M114+IF(N114&gt;1,N(O114)*(N114-1),0)</f>
        <v/>
      </c>
      <c r="S114">
        <f>IFERROR(L114*MAX(N114,1)/R114*Q114*IF(ISBLANK(K113),1,K113),0)</f>
        <v/>
      </c>
      <c r="AB114" s="7" t="inlineStr">
        <is>
          <t>^TankDestroyerCannon, ^HeavyCannon, ^D2K_Cannon</t>
        </is>
      </c>
    </row>
    <row r="115">
      <c r="A115" t="inlineStr">
        <is>
          <t>d2k</t>
        </is>
      </c>
      <c r="B115" t="inlineStr">
        <is>
          <t>ixian_machinegunturret</t>
        </is>
      </c>
      <c r="C115" t="inlineStr">
        <is>
          <t>Machine Gun Turret</t>
        </is>
      </c>
      <c r="D115" s="6" t="inlineStr">
        <is>
          <t>BasicDefense</t>
        </is>
      </c>
      <c r="E115" s="6" t="n">
        <v>75000</v>
      </c>
      <c r="F115" s="6" t="n"/>
      <c r="G115" t="inlineStr">
        <is>
          <t>Concrete</t>
        </is>
      </c>
      <c r="H115" s="6" t="n">
        <v>1</v>
      </c>
      <c r="I115" s="6" t="n">
        <v>1</v>
      </c>
      <c r="J115" s="6" t="n">
        <v>1</v>
      </c>
      <c r="K115" s="6" t="n"/>
      <c r="X115" s="6" t="n">
        <v>600</v>
      </c>
    </row>
    <row r="116">
      <c r="B116" s="7" t="inlineStr">
        <is>
          <t xml:space="preserve">  ↳ HMG_turret</t>
        </is>
      </c>
      <c r="C116" s="7" t="inlineStr">
        <is>
          <t>Armament</t>
        </is>
      </c>
      <c r="L116" s="6" t="n">
        <v>2000</v>
      </c>
      <c r="M116" s="6" t="n">
        <v>22</v>
      </c>
      <c r="N116" s="6" t="n">
        <v>4</v>
      </c>
      <c r="O116" s="6" t="n">
        <v>2</v>
      </c>
      <c r="P116" s="6" t="n">
        <v>7394</v>
      </c>
      <c r="Q116" s="6" t="n">
        <v>0.875</v>
      </c>
      <c r="R116">
        <f>M116+IF(N116&gt;1,N(O116)*(N116-1),0)</f>
        <v/>
      </c>
      <c r="S116">
        <f>IFERROR(L116*MAX(N116,1)/R116*Q116*IF(ISBLANK(K115),1,K115),0)</f>
        <v/>
      </c>
      <c r="AB116" s="7" t="inlineStr">
        <is>
          <t>^SmallArms, ^Chaingun</t>
        </is>
      </c>
    </row>
    <row r="117">
      <c r="B117" s="7" t="inlineStr">
        <is>
          <t xml:space="preserve">  ↳ HMG_turret_upgrade</t>
        </is>
      </c>
      <c r="C117" s="7" t="inlineStr">
        <is>
          <t>Armament@Upgrade</t>
        </is>
      </c>
      <c r="L117" s="6" t="n">
        <v>2000</v>
      </c>
      <c r="M117" s="6" t="n">
        <v>33</v>
      </c>
      <c r="N117" s="6" t="n">
        <v>4</v>
      </c>
      <c r="O117" s="6" t="n">
        <v>3</v>
      </c>
      <c r="P117" s="6" t="n">
        <v>7394</v>
      </c>
      <c r="Q117" s="6" t="n">
        <v>1.0625</v>
      </c>
      <c r="R117">
        <f>M117+IF(N117&gt;1,N(O117)*(N117-1),0)</f>
        <v/>
      </c>
      <c r="S117">
        <f>IFERROR(L117*MAX(N117,1)/R117*Q117*IF(ISBLANK(K115),1,K115),0)</f>
        <v/>
      </c>
      <c r="AB117" s="7" t="inlineStr">
        <is>
          <t>^HeavyCannon, ^SmallArms, ^Chaingun, ^HeavyMachineGunProjectile</t>
        </is>
      </c>
    </row>
    <row r="118">
      <c r="A118" t="inlineStr">
        <is>
          <t>d2k</t>
        </is>
      </c>
      <c r="B118" t="inlineStr">
        <is>
          <t>harkonnen_flameturret</t>
        </is>
      </c>
      <c r="C118" t="inlineStr">
        <is>
          <t>Harkonnen Flame Turret</t>
        </is>
      </c>
      <c r="D118" s="6" t="inlineStr">
        <is>
          <t>BasicDefense</t>
        </is>
      </c>
      <c r="E118" s="6" t="n">
        <v>125000</v>
      </c>
      <c r="F118" s="6" t="n"/>
      <c r="G118" t="inlineStr">
        <is>
          <t>Concrete</t>
        </is>
      </c>
      <c r="H118" s="6" t="n">
        <v>1</v>
      </c>
      <c r="I118" s="6" t="n">
        <v>1</v>
      </c>
      <c r="J118" s="6" t="n">
        <v>1</v>
      </c>
      <c r="K118" s="6" t="n"/>
      <c r="X118" s="6" t="n">
        <v>1200</v>
      </c>
    </row>
    <row r="119">
      <c r="B119" s="7" t="inlineStr">
        <is>
          <t xml:space="preserve">  ↳ HarkonnenFlameTurret</t>
        </is>
      </c>
      <c r="C119" s="7" t="inlineStr">
        <is>
          <t>Armament</t>
        </is>
      </c>
      <c r="L119" s="6" t="n">
        <v>25135</v>
      </c>
      <c r="M119" s="6" t="n">
        <v>50</v>
      </c>
      <c r="N119" s="6" t="n">
        <v>5</v>
      </c>
      <c r="O119" s="6" t="n">
        <v>3</v>
      </c>
      <c r="P119" s="6" t="n">
        <v>6742</v>
      </c>
      <c r="Q119" s="6" t="n">
        <v>1</v>
      </c>
      <c r="R119">
        <f>M119+IF(N119&gt;1,N(O119)*(N119-1),0)</f>
        <v/>
      </c>
      <c r="S119">
        <f>IFERROR(L119*MAX(N119,1)/R119*Q119*IF(ISBLANK(K118),1,K118),0)</f>
        <v/>
      </c>
      <c r="AB119" s="7" t="inlineStr">
        <is>
          <t>^MediumFlameWeapon</t>
        </is>
      </c>
    </row>
    <row r="120">
      <c r="A120" t="inlineStr">
        <is>
          <t>starcraft</t>
        </is>
      </c>
      <c r="B120" t="inlineStr">
        <is>
          <t>zerg_creepcolony</t>
        </is>
      </c>
      <c r="C120" t="inlineStr">
        <is>
          <t>Creep Colony</t>
        </is>
      </c>
      <c r="D120" s="6" t="inlineStr">
        <is>
          <t>BasicDefense</t>
        </is>
      </c>
      <c r="E120" s="6" t="n">
        <v>80000</v>
      </c>
      <c r="F120" s="6" t="n">
        <v>100</v>
      </c>
      <c r="G120" t="inlineStr">
        <is>
          <t>Wood</t>
        </is>
      </c>
      <c r="H120" s="6" t="n">
        <v>1</v>
      </c>
      <c r="I120" s="6" t="n">
        <v>1</v>
      </c>
      <c r="J120" s="6" t="n">
        <v>1</v>
      </c>
      <c r="K120" s="6" t="n"/>
      <c r="P120">
        <f>MAX(P121,P122)</f>
        <v/>
      </c>
      <c r="S120">
        <f>S121+S122</f>
        <v/>
      </c>
      <c r="T120">
        <f>(E120/100000+F120/100+(P120/1000)*J120/5+S120/200)*200*I120*H120</f>
        <v/>
      </c>
      <c r="U120">
        <f>((E120*F120/25000)+((P120/1000)*J120*S120/2.5))*I120*H120</f>
        <v/>
      </c>
      <c r="V120">
        <f>(E120*F120*(P120/1000)*J120*S120*I120*H120)/12500000</f>
        <v/>
      </c>
      <c r="W120">
        <f>(T120+U120+V120)/3</f>
        <v/>
      </c>
      <c r="X120" s="6" t="n">
        <v>1000</v>
      </c>
      <c r="Y120">
        <f>IFERROR(W120-X120,"")</f>
        <v/>
      </c>
      <c r="Z120">
        <f>IFERROR(ABS(Y120)/MAX(X120,1),"")</f>
        <v/>
      </c>
      <c r="AA120">
        <f>IFERROR((X120-(((E120/100000+F120/100+S120/200)*200*I120*H120)+((E120*F120/25000)*I120*H120))/3)/(((J120/5)*200*I120*H120)+((J120*S120/2.5)*I120*H120)+((E120*F120*J120*S120*I120*H120)/12500000))/3*1000,"")</f>
        <v/>
      </c>
    </row>
    <row r="121">
      <c r="B121" s="7" t="inlineStr">
        <is>
          <t xml:space="preserve">  ↳ Tentacle</t>
        </is>
      </c>
      <c r="C121" s="7" t="inlineStr">
        <is>
          <t>Armament@sunken</t>
        </is>
      </c>
      <c r="L121" s="6" t="n">
        <v>6000</v>
      </c>
      <c r="M121" s="6" t="n">
        <v>32</v>
      </c>
      <c r="N121" s="6" t="n">
        <v>1</v>
      </c>
      <c r="O121" s="6" t="n"/>
      <c r="P121" s="6" t="n">
        <v>7680</v>
      </c>
      <c r="Q121" s="6" t="n">
        <v>1.166666666666667</v>
      </c>
      <c r="R121">
        <f>M121+IF(N121&gt;1,N(O121)*(N121-1),0)</f>
        <v/>
      </c>
      <c r="S121">
        <f>IFERROR(L121*MAX(N121,1)/R121*Q121*IF(ISBLANK(K120),1,K120),0)</f>
        <v/>
      </c>
      <c r="AB121" s="7" t="inlineStr">
        <is>
          <t>^RailgunWeapon, ^Chaingun, ^HeavyCannon, ^SwordWeapon</t>
        </is>
      </c>
    </row>
    <row r="122">
      <c r="B122" s="7" t="inlineStr">
        <is>
          <t xml:space="preserve">  ↳ Spore</t>
        </is>
      </c>
      <c r="C122" s="7" t="inlineStr">
        <is>
          <t>Armament@spore</t>
        </is>
      </c>
      <c r="L122" s="6" t="n">
        <v>12000</v>
      </c>
      <c r="M122" s="6" t="n">
        <v>34</v>
      </c>
      <c r="N122" s="6" t="n">
        <v>1</v>
      </c>
      <c r="O122" s="6" t="n"/>
      <c r="P122" s="6" t="n">
        <v>10160</v>
      </c>
      <c r="Q122" s="6" t="n">
        <v>1</v>
      </c>
      <c r="R122">
        <f>M122+IF(N122&gt;1,N(O122)*(N122-1),0)</f>
        <v/>
      </c>
      <c r="S122">
        <f>IFERROR(L122*MAX(N122,1)/R122*Q122*IF(ISBLANK(K120),1,K120),0)</f>
        <v/>
      </c>
      <c r="AB122" s="7" t="inlineStr">
        <is>
          <t>^MediumMissile, ^Chaingun, ^FlakWeapon</t>
        </is>
      </c>
    </row>
    <row r="123">
      <c r="A123" t="inlineStr">
        <is>
          <t>starcraft</t>
        </is>
      </c>
      <c r="B123" t="inlineStr">
        <is>
          <t>zerg_creepcolony_2</t>
        </is>
      </c>
      <c r="C123" t="inlineStr">
        <is>
          <t>Creep Colony</t>
        </is>
      </c>
      <c r="D123" s="6" t="inlineStr">
        <is>
          <t>BasicDefense</t>
        </is>
      </c>
      <c r="E123" s="6" t="n">
        <v>80000</v>
      </c>
      <c r="F123" s="6" t="n">
        <v>100</v>
      </c>
      <c r="G123" t="inlineStr">
        <is>
          <t>Wood</t>
        </is>
      </c>
      <c r="H123" s="6" t="n">
        <v>1</v>
      </c>
      <c r="I123" s="6" t="n">
        <v>1</v>
      </c>
      <c r="J123" s="6" t="n">
        <v>1</v>
      </c>
      <c r="K123" s="6" t="n"/>
      <c r="P123">
        <f>MAX(P124,P125)</f>
        <v/>
      </c>
      <c r="S123">
        <f>S124+S125</f>
        <v/>
      </c>
      <c r="T123">
        <f>(E123/100000+F123/100+(P123/1000)*J123/5+S123/200)*200*I123*H123</f>
        <v/>
      </c>
      <c r="U123">
        <f>((E123*F123/25000)+((P123/1000)*J123*S123/2.5))*I123*H123</f>
        <v/>
      </c>
      <c r="V123">
        <f>(E123*F123*(P123/1000)*J123*S123*I123*H123)/12500000</f>
        <v/>
      </c>
      <c r="W123">
        <f>(T123+U123+V123)/3</f>
        <v/>
      </c>
      <c r="X123" s="6" t="n">
        <v>1000</v>
      </c>
      <c r="Y123">
        <f>IFERROR(W123-X123,"")</f>
        <v/>
      </c>
      <c r="Z123">
        <f>IFERROR(ABS(Y123)/MAX(X123,1),"")</f>
        <v/>
      </c>
      <c r="AA123">
        <f>IFERROR((X123-(((E123/100000+F123/100+S123/200)*200*I123*H123)+((E123*F123/25000)*I123*H123))/3)/(((J123/5)*200*I123*H123)+((J123*S123/2.5)*I123*H123)+((E123*F123*J123*S123*I123*H123)/12500000))/3*1000,"")</f>
        <v/>
      </c>
    </row>
    <row r="124">
      <c r="B124" s="7" t="inlineStr">
        <is>
          <t xml:space="preserve">  ↳ Tentacle</t>
        </is>
      </c>
      <c r="C124" s="7" t="inlineStr">
        <is>
          <t>Armament@sunken</t>
        </is>
      </c>
      <c r="L124" s="6" t="n">
        <v>6000</v>
      </c>
      <c r="M124" s="6" t="n">
        <v>32</v>
      </c>
      <c r="N124" s="6" t="n">
        <v>1</v>
      </c>
      <c r="O124" s="6" t="n"/>
      <c r="P124" s="6" t="n">
        <v>7680</v>
      </c>
      <c r="Q124" s="6" t="n">
        <v>1.166666666666667</v>
      </c>
      <c r="R124">
        <f>M124+IF(N124&gt;1,N(O124)*(N124-1),0)</f>
        <v/>
      </c>
      <c r="S124">
        <f>IFERROR(L124*MAX(N124,1)/R124*Q124*IF(ISBLANK(K123),1,K123),0)</f>
        <v/>
      </c>
      <c r="AB124" s="7" t="inlineStr">
        <is>
          <t>^RailgunWeapon, ^Chaingun, ^HeavyCannon, ^SwordWeapon</t>
        </is>
      </c>
    </row>
    <row r="125">
      <c r="B125" s="7" t="inlineStr">
        <is>
          <t xml:space="preserve">  ↳ Spore</t>
        </is>
      </c>
      <c r="C125" s="7" t="inlineStr">
        <is>
          <t>Armament@spore</t>
        </is>
      </c>
      <c r="L125" s="6" t="n">
        <v>12000</v>
      </c>
      <c r="M125" s="6" t="n">
        <v>34</v>
      </c>
      <c r="N125" s="6" t="n">
        <v>1</v>
      </c>
      <c r="O125" s="6" t="n"/>
      <c r="P125" s="6" t="n">
        <v>10160</v>
      </c>
      <c r="Q125" s="6" t="n">
        <v>1</v>
      </c>
      <c r="R125">
        <f>M125+IF(N125&gt;1,N(O125)*(N125-1),0)</f>
        <v/>
      </c>
      <c r="S125">
        <f>IFERROR(L125*MAX(N125,1)/R125*Q125*IF(ISBLANK(K123),1,K123),0)</f>
        <v/>
      </c>
      <c r="AB125" s="7" t="inlineStr">
        <is>
          <t>^MediumMissile, ^Chaingun, ^FlakWeapon</t>
        </is>
      </c>
    </row>
    <row r="126">
      <c r="A126" t="inlineStr">
        <is>
          <t>starcraft</t>
        </is>
      </c>
      <c r="B126" t="inlineStr">
        <is>
          <t>zerg_sporecolony</t>
        </is>
      </c>
      <c r="C126" t="inlineStr">
        <is>
          <t>Spore Colony</t>
        </is>
      </c>
      <c r="D126" s="6" t="inlineStr">
        <is>
          <t>BasicDefense</t>
        </is>
      </c>
      <c r="E126" s="6" t="n">
        <v>80000</v>
      </c>
      <c r="F126" s="6" t="n">
        <v>100</v>
      </c>
      <c r="G126" t="inlineStr">
        <is>
          <t>Wood</t>
        </is>
      </c>
      <c r="H126" s="6" t="n">
        <v>1</v>
      </c>
      <c r="I126" s="6" t="n">
        <v>1</v>
      </c>
      <c r="J126" s="6" t="n">
        <v>1</v>
      </c>
      <c r="K126" s="6" t="n"/>
      <c r="P126">
        <f>MAX(P127,P128)</f>
        <v/>
      </c>
      <c r="S126">
        <f>S127+S128</f>
        <v/>
      </c>
      <c r="T126">
        <f>(E126/100000+F126/100+(P126/1000)*J126/5+S126/200)*200*I126*H126</f>
        <v/>
      </c>
      <c r="U126">
        <f>((E126*F126/25000)+((P126/1000)*J126*S126/2.5))*I126*H126</f>
        <v/>
      </c>
      <c r="V126">
        <f>(E126*F126*(P126/1000)*J126*S126*I126*H126)/12500000</f>
        <v/>
      </c>
      <c r="W126">
        <f>(T126+U126+V126)/3</f>
        <v/>
      </c>
      <c r="X126" s="6" t="n">
        <v>1250</v>
      </c>
      <c r="Y126">
        <f>IFERROR(W126-X126,"")</f>
        <v/>
      </c>
      <c r="Z126">
        <f>IFERROR(ABS(Y126)/MAX(X126,1),"")</f>
        <v/>
      </c>
      <c r="AA126">
        <f>IFERROR((X126-(((E126/100000+F126/100+S126/200)*200*I126*H126)+((E126*F126/25000)*I126*H126))/3)/(((J126/5)*200*I126*H126)+((J126*S126/2.5)*I126*H126)+((E126*F126*J126*S126*I126*H126)/12500000))/3*1000,"")</f>
        <v/>
      </c>
    </row>
    <row r="127">
      <c r="B127" s="7" t="inlineStr">
        <is>
          <t xml:space="preserve">  ↳ Tentacle</t>
        </is>
      </c>
      <c r="C127" s="7" t="inlineStr">
        <is>
          <t>Armament@sunken</t>
        </is>
      </c>
      <c r="L127" s="6" t="n">
        <v>6000</v>
      </c>
      <c r="M127" s="6" t="n">
        <v>32</v>
      </c>
      <c r="N127" s="6" t="n">
        <v>1</v>
      </c>
      <c r="O127" s="6" t="n"/>
      <c r="P127" s="6" t="n">
        <v>7680</v>
      </c>
      <c r="Q127" s="6" t="n">
        <v>1.166666666666667</v>
      </c>
      <c r="R127">
        <f>M127+IF(N127&gt;1,N(O127)*(N127-1),0)</f>
        <v/>
      </c>
      <c r="S127">
        <f>IFERROR(L127*MAX(N127,1)/R127*Q127*IF(ISBLANK(K126),1,K126),0)</f>
        <v/>
      </c>
      <c r="AB127" s="7" t="inlineStr">
        <is>
          <t>^RailgunWeapon, ^Chaingun, ^HeavyCannon, ^SwordWeapon</t>
        </is>
      </c>
    </row>
    <row r="128">
      <c r="B128" s="7" t="inlineStr">
        <is>
          <t xml:space="preserve">  ↳ Spore</t>
        </is>
      </c>
      <c r="C128" s="7" t="inlineStr">
        <is>
          <t>Armament@spore</t>
        </is>
      </c>
      <c r="L128" s="6" t="n">
        <v>12000</v>
      </c>
      <c r="M128" s="6" t="n">
        <v>34</v>
      </c>
      <c r="N128" s="6" t="n">
        <v>1</v>
      </c>
      <c r="O128" s="6" t="n"/>
      <c r="P128" s="6" t="n">
        <v>10160</v>
      </c>
      <c r="Q128" s="6" t="n">
        <v>1</v>
      </c>
      <c r="R128">
        <f>M128+IF(N128&gt;1,N(O128)*(N128-1),0)</f>
        <v/>
      </c>
      <c r="S128">
        <f>IFERROR(L128*MAX(N128,1)/R128*Q128*IF(ISBLANK(K126),1,K126),0)</f>
        <v/>
      </c>
      <c r="AB128" s="7" t="inlineStr">
        <is>
          <t>^MediumMissile, ^Chaingun, ^FlakWeapon</t>
        </is>
      </c>
    </row>
    <row r="129">
      <c r="A129" t="inlineStr">
        <is>
          <t>starcraft</t>
        </is>
      </c>
      <c r="B129" t="inlineStr">
        <is>
          <t>zerg_sunkencolony_2</t>
        </is>
      </c>
      <c r="C129" t="inlineStr">
        <is>
          <t>Sunken Colony</t>
        </is>
      </c>
      <c r="D129" s="6" t="inlineStr">
        <is>
          <t>BasicDefense</t>
        </is>
      </c>
      <c r="E129" s="6" t="n">
        <v>80000</v>
      </c>
      <c r="F129" s="6" t="n">
        <v>100</v>
      </c>
      <c r="G129" t="inlineStr">
        <is>
          <t>Wood</t>
        </is>
      </c>
      <c r="H129" s="6" t="n">
        <v>1</v>
      </c>
      <c r="I129" s="6" t="n">
        <v>1</v>
      </c>
      <c r="J129" s="6" t="n">
        <v>1</v>
      </c>
      <c r="K129" s="6" t="n"/>
      <c r="P129">
        <f>MAX(P130,P131)</f>
        <v/>
      </c>
      <c r="S129">
        <f>S130+S131</f>
        <v/>
      </c>
      <c r="T129">
        <f>(E129/100000+F129/100+(P129/1000)*J129/5+S129/200)*200*I129*H129</f>
        <v/>
      </c>
      <c r="U129">
        <f>((E129*F129/25000)+((P129/1000)*J129*S129/2.5))*I129*H129</f>
        <v/>
      </c>
      <c r="V129">
        <f>(E129*F129*(P129/1000)*J129*S129*I129*H129)/12500000</f>
        <v/>
      </c>
      <c r="W129">
        <f>(T129+U129+V129)/3</f>
        <v/>
      </c>
      <c r="X129" s="6" t="n">
        <v>1250</v>
      </c>
      <c r="Y129">
        <f>IFERROR(W129-X129,"")</f>
        <v/>
      </c>
      <c r="Z129">
        <f>IFERROR(ABS(Y129)/MAX(X129,1),"")</f>
        <v/>
      </c>
      <c r="AA129">
        <f>IFERROR((X129-(((E129/100000+F129/100+S129/200)*200*I129*H129)+((E129*F129/25000)*I129*H129))/3)/(((J129/5)*200*I129*H129)+((J129*S129/2.5)*I129*H129)+((E129*F129*J129*S129*I129*H129)/12500000))/3*1000,"")</f>
        <v/>
      </c>
    </row>
    <row r="130">
      <c r="B130" s="7" t="inlineStr">
        <is>
          <t xml:space="preserve">  ↳ Tentacle</t>
        </is>
      </c>
      <c r="C130" s="7" t="inlineStr">
        <is>
          <t>Armament@sunken</t>
        </is>
      </c>
      <c r="L130" s="6" t="n">
        <v>6000</v>
      </c>
      <c r="M130" s="6" t="n">
        <v>32</v>
      </c>
      <c r="N130" s="6" t="n">
        <v>1</v>
      </c>
      <c r="O130" s="6" t="n"/>
      <c r="P130" s="6" t="n">
        <v>7680</v>
      </c>
      <c r="Q130" s="6" t="n">
        <v>1.166666666666667</v>
      </c>
      <c r="R130">
        <f>M130+IF(N130&gt;1,N(O130)*(N130-1),0)</f>
        <v/>
      </c>
      <c r="S130">
        <f>IFERROR(L130*MAX(N130,1)/R130*Q130*IF(ISBLANK(K129),1,K129),0)</f>
        <v/>
      </c>
      <c r="AB130" s="7" t="inlineStr">
        <is>
          <t>^RailgunWeapon, ^Chaingun, ^HeavyCannon, ^SwordWeapon</t>
        </is>
      </c>
    </row>
    <row r="131">
      <c r="B131" s="7" t="inlineStr">
        <is>
          <t xml:space="preserve">  ↳ Spore</t>
        </is>
      </c>
      <c r="C131" s="7" t="inlineStr">
        <is>
          <t>Armament@spore</t>
        </is>
      </c>
      <c r="L131" s="6" t="n">
        <v>12000</v>
      </c>
      <c r="M131" s="6" t="n">
        <v>34</v>
      </c>
      <c r="N131" s="6" t="n">
        <v>1</v>
      </c>
      <c r="O131" s="6" t="n"/>
      <c r="P131" s="6" t="n">
        <v>10160</v>
      </c>
      <c r="Q131" s="6" t="n">
        <v>1</v>
      </c>
      <c r="R131">
        <f>M131+IF(N131&gt;1,N(O131)*(N131-1),0)</f>
        <v/>
      </c>
      <c r="S131">
        <f>IFERROR(L131*MAX(N131,1)/R131*Q131*IF(ISBLANK(K129),1,K129),0)</f>
        <v/>
      </c>
      <c r="AB131" s="7" t="inlineStr">
        <is>
          <t>^MediumMissile, ^Chaingun, ^FlakWeapon</t>
        </is>
      </c>
    </row>
    <row r="132">
      <c r="A132" t="inlineStr">
        <is>
          <t>warcraft2</t>
        </is>
      </c>
      <c r="B132" t="inlineStr">
        <is>
          <t>wc2_orcs_cannontower</t>
        </is>
      </c>
      <c r="C132" t="inlineStr">
        <is>
          <t>Cannon Tower</t>
        </is>
      </c>
      <c r="D132" s="6" t="inlineStr">
        <is>
          <t>BasicDefense</t>
        </is>
      </c>
      <c r="E132" s="6" t="n">
        <v>100000</v>
      </c>
      <c r="F132" s="6" t="n">
        <v>100</v>
      </c>
      <c r="G132" t="inlineStr">
        <is>
          <t>Wood</t>
        </is>
      </c>
      <c r="H132" s="6" t="n">
        <v>1</v>
      </c>
      <c r="I132" s="6" t="n">
        <v>1</v>
      </c>
      <c r="J132" s="6" t="n">
        <v>1</v>
      </c>
      <c r="K132" s="6" t="n"/>
      <c r="P132">
        <f>MAX(P133,P134)</f>
        <v/>
      </c>
      <c r="S132">
        <f>S133+S134</f>
        <v/>
      </c>
      <c r="T132">
        <f>(E132/100000+F132/100+(P132/1000)*J132/5+S132/200)*200*I132*H132</f>
        <v/>
      </c>
      <c r="U132">
        <f>((E132*F132/25000)+((P132/1000)*J132*S132/2.5))*I132*H132</f>
        <v/>
      </c>
      <c r="V132">
        <f>(E132*F132*(P132/1000)*J132*S132*I132*H132)/12500000</f>
        <v/>
      </c>
      <c r="W132">
        <f>(T132+U132+V132)/3</f>
        <v/>
      </c>
      <c r="X132" s="6" t="n">
        <v>1600</v>
      </c>
      <c r="Y132">
        <f>IFERROR(W132-X132,"")</f>
        <v/>
      </c>
      <c r="Z132">
        <f>IFERROR(ABS(Y132)/MAX(X132,1),"")</f>
        <v/>
      </c>
      <c r="AA132">
        <f>IFERROR((X132-(((E132/100000+F132/100+S132/200)*200*I132*H132)+((E132*F132/25000)*I132*H132))/3)/(((J132/5)*200*I132*H132)+((J132*S132/2.5)*I132*H132)+((E132*F132*J132*S132*I132*H132)/12500000))/3*1000,"")</f>
        <v/>
      </c>
    </row>
    <row r="133">
      <c r="B133" s="7" t="inlineStr">
        <is>
          <t xml:space="preserve">  ↳ wc2_tower_arrow</t>
        </is>
      </c>
      <c r="C133" s="7" t="inlineStr">
        <is>
          <t>Armament@guard</t>
        </is>
      </c>
      <c r="L133" s="6" t="n">
        <v>6000</v>
      </c>
      <c r="M133" s="6" t="n">
        <v>34</v>
      </c>
      <c r="N133" s="6" t="n">
        <v>1</v>
      </c>
      <c r="O133" s="6" t="n"/>
      <c r="P133" s="6" t="n">
        <v>8750</v>
      </c>
      <c r="Q133" s="6" t="n">
        <v>1.125</v>
      </c>
      <c r="R133">
        <f>M133+IF(N133&gt;1,N(O133)*(N133-1),0)</f>
        <v/>
      </c>
      <c r="S133">
        <f>IFERROR(L133*MAX(N133,1)/R133*Q133*IF(ISBLANK(K132),1,K132),0)</f>
        <v/>
      </c>
      <c r="AB133" s="7" t="inlineStr">
        <is>
          <t>^RailgunWeapon, ^Chaingun, ^ArrowWeapon</t>
        </is>
      </c>
    </row>
    <row r="134">
      <c r="B134" s="7" t="inlineStr">
        <is>
          <t xml:space="preserve">  ↳ wc2cannontowerFire</t>
        </is>
      </c>
      <c r="C134" s="7" t="inlineStr">
        <is>
          <t>Armament@cannon</t>
        </is>
      </c>
      <c r="L134" s="6" t="n">
        <v>4000</v>
      </c>
      <c r="M134" s="6" t="n">
        <v>90</v>
      </c>
      <c r="N134" s="6" t="n">
        <v>1</v>
      </c>
      <c r="O134" s="6" t="n"/>
      <c r="P134" s="6" t="n">
        <v>10500</v>
      </c>
      <c r="Q134" s="6" t="n">
        <v>1.035714285714286</v>
      </c>
      <c r="R134">
        <f>M134+IF(N134&gt;1,N(O134)*(N134-1),0)</f>
        <v/>
      </c>
      <c r="S134">
        <f>IFERROR(L134*MAX(N134,1)/R134*Q134*IF(ISBLANK(K132),1,K132),0)</f>
        <v/>
      </c>
      <c r="AB134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135">
      <c r="A135" t="inlineStr">
        <is>
          <t>warcraft2</t>
        </is>
      </c>
      <c r="B135" t="inlineStr">
        <is>
          <t>wc2_orcs_guardtower</t>
        </is>
      </c>
      <c r="C135" t="inlineStr">
        <is>
          <t>Guard Tower</t>
        </is>
      </c>
      <c r="D135" s="6" t="inlineStr">
        <is>
          <t>BasicDefense</t>
        </is>
      </c>
      <c r="E135" s="6" t="n">
        <v>100000</v>
      </c>
      <c r="F135" s="6" t="n">
        <v>100</v>
      </c>
      <c r="G135" t="inlineStr">
        <is>
          <t>Wood</t>
        </is>
      </c>
      <c r="H135" s="6" t="n">
        <v>1</v>
      </c>
      <c r="I135" s="6" t="n">
        <v>1</v>
      </c>
      <c r="J135" s="6" t="n">
        <v>1</v>
      </c>
      <c r="K135" s="6" t="n"/>
      <c r="P135">
        <f>MAX(P136,P137)</f>
        <v/>
      </c>
      <c r="S135">
        <f>S136+S137</f>
        <v/>
      </c>
      <c r="T135">
        <f>(E135/100000+F135/100+(P135/1000)*J135/5+S135/200)*200*I135*H135</f>
        <v/>
      </c>
      <c r="U135">
        <f>((E135*F135/25000)+((P135/1000)*J135*S135/2.5))*I135*H135</f>
        <v/>
      </c>
      <c r="V135">
        <f>(E135*F135*(P135/1000)*J135*S135*I135*H135)/12500000</f>
        <v/>
      </c>
      <c r="W135">
        <f>(T135+U135+V135)/3</f>
        <v/>
      </c>
      <c r="X135" s="6" t="n">
        <v>1600</v>
      </c>
      <c r="Y135">
        <f>IFERROR(W135-X135,"")</f>
        <v/>
      </c>
      <c r="Z135">
        <f>IFERROR(ABS(Y135)/MAX(X135,1),"")</f>
        <v/>
      </c>
      <c r="AA135">
        <f>IFERROR((X135-(((E135/100000+F135/100+S135/200)*200*I135*H135)+((E135*F135/25000)*I135*H135))/3)/(((J135/5)*200*I135*H135)+((J135*S135/2.5)*I135*H135)+((E135*F135*J135*S135*I135*H135)/12500000))/3*1000,"")</f>
        <v/>
      </c>
    </row>
    <row r="136">
      <c r="B136" s="7" t="inlineStr">
        <is>
          <t xml:space="preserve">  ↳ wc2_tower_arrow</t>
        </is>
      </c>
      <c r="C136" s="7" t="inlineStr">
        <is>
          <t>Armament@guard</t>
        </is>
      </c>
      <c r="L136" s="6" t="n">
        <v>6000</v>
      </c>
      <c r="M136" s="6" t="n">
        <v>34</v>
      </c>
      <c r="N136" s="6" t="n">
        <v>1</v>
      </c>
      <c r="O136" s="6" t="n"/>
      <c r="P136" s="6" t="n">
        <v>8750</v>
      </c>
      <c r="Q136" s="6" t="n">
        <v>1.125</v>
      </c>
      <c r="R136">
        <f>M136+IF(N136&gt;1,N(O136)*(N136-1),0)</f>
        <v/>
      </c>
      <c r="S136">
        <f>IFERROR(L136*MAX(N136,1)/R136*Q136*IF(ISBLANK(K135),1,K135),0)</f>
        <v/>
      </c>
      <c r="AB136" s="7" t="inlineStr">
        <is>
          <t>^RailgunWeapon, ^Chaingun, ^ArrowWeapon</t>
        </is>
      </c>
    </row>
    <row r="137">
      <c r="B137" s="7" t="inlineStr">
        <is>
          <t xml:space="preserve">  ↳ wc2cannontowerFire</t>
        </is>
      </c>
      <c r="C137" s="7" t="inlineStr">
        <is>
          <t>Armament@cannon</t>
        </is>
      </c>
      <c r="L137" s="6" t="n">
        <v>4000</v>
      </c>
      <c r="M137" s="6" t="n">
        <v>90</v>
      </c>
      <c r="N137" s="6" t="n">
        <v>1</v>
      </c>
      <c r="O137" s="6" t="n"/>
      <c r="P137" s="6" t="n">
        <v>10500</v>
      </c>
      <c r="Q137" s="6" t="n">
        <v>1.035714285714286</v>
      </c>
      <c r="R137">
        <f>M137+IF(N137&gt;1,N(O137)*(N137-1),0)</f>
        <v/>
      </c>
      <c r="S137">
        <f>IFERROR(L137*MAX(N137,1)/R137*Q137*IF(ISBLANK(K135),1,K135),0)</f>
        <v/>
      </c>
      <c r="AB137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138">
      <c r="A138" t="inlineStr">
        <is>
          <t>warcraft2</t>
        </is>
      </c>
      <c r="B138" t="inlineStr">
        <is>
          <t>wc2_orcs_orcwatchtower</t>
        </is>
      </c>
      <c r="C138" t="inlineStr">
        <is>
          <t>Orc Watch Tower</t>
        </is>
      </c>
      <c r="D138" s="6" t="inlineStr">
        <is>
          <t>BasicDefense</t>
        </is>
      </c>
      <c r="E138" s="6" t="n">
        <v>100000</v>
      </c>
      <c r="F138" s="6" t="n">
        <v>100</v>
      </c>
      <c r="G138" t="inlineStr">
        <is>
          <t>Wood</t>
        </is>
      </c>
      <c r="H138" s="6" t="n">
        <v>1</v>
      </c>
      <c r="I138" s="6" t="n">
        <v>1</v>
      </c>
      <c r="J138" s="6" t="n">
        <v>1</v>
      </c>
      <c r="K138" s="6" t="n"/>
      <c r="P138">
        <f>MAX(P139,P140)</f>
        <v/>
      </c>
      <c r="S138">
        <f>S139+S140</f>
        <v/>
      </c>
      <c r="T138">
        <f>(E138/100000+F138/100+(P138/1000)*J138/5+S138/200)*200*I138*H138</f>
        <v/>
      </c>
      <c r="U138">
        <f>((E138*F138/25000)+((P138/1000)*J138*S138/2.5))*I138*H138</f>
        <v/>
      </c>
      <c r="V138">
        <f>(E138*F138*(P138/1000)*J138*S138*I138*H138)/12500000</f>
        <v/>
      </c>
      <c r="W138">
        <f>(T138+U138+V138)/3</f>
        <v/>
      </c>
      <c r="X138" s="6" t="n">
        <v>1200</v>
      </c>
      <c r="Y138">
        <f>IFERROR(W138-X138,"")</f>
        <v/>
      </c>
      <c r="Z138">
        <f>IFERROR(ABS(Y138)/MAX(X138,1),"")</f>
        <v/>
      </c>
      <c r="AA138">
        <f>IFERROR((X138-(((E138/100000+F138/100+S138/200)*200*I138*H138)+((E138*F138/25000)*I138*H138))/3)/(((J138/5)*200*I138*H138)+((J138*S138/2.5)*I138*H138)+((E138*F138*J138*S138*I138*H138)/12500000))/3*1000,"")</f>
        <v/>
      </c>
    </row>
    <row r="139">
      <c r="B139" s="7" t="inlineStr">
        <is>
          <t xml:space="preserve">  ↳ wc2_tower_arrow</t>
        </is>
      </c>
      <c r="C139" s="7" t="inlineStr">
        <is>
          <t>Armament@guard</t>
        </is>
      </c>
      <c r="L139" s="6" t="n">
        <v>6000</v>
      </c>
      <c r="M139" s="6" t="n">
        <v>34</v>
      </c>
      <c r="N139" s="6" t="n">
        <v>1</v>
      </c>
      <c r="O139" s="6" t="n"/>
      <c r="P139" s="6" t="n">
        <v>8750</v>
      </c>
      <c r="Q139" s="6" t="n">
        <v>1.125</v>
      </c>
      <c r="R139">
        <f>M139+IF(N139&gt;1,N(O139)*(N139-1),0)</f>
        <v/>
      </c>
      <c r="S139">
        <f>IFERROR(L139*MAX(N139,1)/R139*Q139*IF(ISBLANK(K138),1,K138),0)</f>
        <v/>
      </c>
      <c r="AB139" s="7" t="inlineStr">
        <is>
          <t>^RailgunWeapon, ^Chaingun, ^ArrowWeapon</t>
        </is>
      </c>
    </row>
    <row r="140">
      <c r="B140" s="7" t="inlineStr">
        <is>
          <t xml:space="preserve">  ↳ wc2cannontowerFire</t>
        </is>
      </c>
      <c r="C140" s="7" t="inlineStr">
        <is>
          <t>Armament@cannon</t>
        </is>
      </c>
      <c r="L140" s="6" t="n">
        <v>4000</v>
      </c>
      <c r="M140" s="6" t="n">
        <v>90</v>
      </c>
      <c r="N140" s="6" t="n">
        <v>1</v>
      </c>
      <c r="O140" s="6" t="n"/>
      <c r="P140" s="6" t="n">
        <v>10500</v>
      </c>
      <c r="Q140" s="6" t="n">
        <v>1.035714285714286</v>
      </c>
      <c r="R140">
        <f>M140+IF(N140&gt;1,N(O140)*(N140-1),0)</f>
        <v/>
      </c>
      <c r="S140">
        <f>IFERROR(L140*MAX(N140,1)/R140*Q140*IF(ISBLANK(K138),1,K138),0)</f>
        <v/>
      </c>
      <c r="AB140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141">
      <c r="A141" t="inlineStr">
        <is>
          <t>warcraft2</t>
        </is>
      </c>
      <c r="B141" t="inlineStr">
        <is>
          <t>wc2_humans_cannontower</t>
        </is>
      </c>
      <c r="C141" t="inlineStr">
        <is>
          <t>Cannon Tower</t>
        </is>
      </c>
      <c r="D141" s="6" t="inlineStr">
        <is>
          <t>BasicDefense</t>
        </is>
      </c>
      <c r="E141" s="6" t="n">
        <v>100000</v>
      </c>
      <c r="F141" s="6" t="n">
        <v>100</v>
      </c>
      <c r="G141" t="inlineStr">
        <is>
          <t>Wood</t>
        </is>
      </c>
      <c r="H141" s="6" t="n">
        <v>1</v>
      </c>
      <c r="I141" s="6" t="n">
        <v>1</v>
      </c>
      <c r="J141" s="6" t="n">
        <v>1</v>
      </c>
      <c r="K141" s="6" t="n"/>
      <c r="P141">
        <f>MAX(P142,P143)</f>
        <v/>
      </c>
      <c r="S141">
        <f>S142+S143</f>
        <v/>
      </c>
      <c r="T141">
        <f>(E141/100000+F141/100+(P141/1000)*J141/5+S141/200)*200*I141*H141</f>
        <v/>
      </c>
      <c r="U141">
        <f>((E141*F141/25000)+((P141/1000)*J141*S141/2.5))*I141*H141</f>
        <v/>
      </c>
      <c r="V141">
        <f>(E141*F141*(P141/1000)*J141*S141*I141*H141)/12500000</f>
        <v/>
      </c>
      <c r="W141">
        <f>(T141+U141+V141)/3</f>
        <v/>
      </c>
      <c r="X141" s="6" t="n">
        <v>1500</v>
      </c>
      <c r="Y141">
        <f>IFERROR(W141-X141,"")</f>
        <v/>
      </c>
      <c r="Z141">
        <f>IFERROR(ABS(Y141)/MAX(X141,1),"")</f>
        <v/>
      </c>
      <c r="AA141">
        <f>IFERROR((X141-(((E141/100000+F141/100+S141/200)*200*I141*H141)+((E141*F141/25000)*I141*H141))/3)/(((J141/5)*200*I141*H141)+((J141*S141/2.5)*I141*H141)+((E141*F141*J141*S141*I141*H141)/12500000))/3*1000,"")</f>
        <v/>
      </c>
    </row>
    <row r="142">
      <c r="B142" s="7" t="inlineStr">
        <is>
          <t xml:space="preserve">  ↳ wc2_tower_arrow</t>
        </is>
      </c>
      <c r="C142" s="7" t="inlineStr">
        <is>
          <t>Armament@guard</t>
        </is>
      </c>
      <c r="L142" s="6" t="n">
        <v>6000</v>
      </c>
      <c r="M142" s="6" t="n">
        <v>34</v>
      </c>
      <c r="N142" s="6" t="n">
        <v>1</v>
      </c>
      <c r="O142" s="6" t="n"/>
      <c r="P142" s="6" t="n">
        <v>8750</v>
      </c>
      <c r="Q142" s="6" t="n">
        <v>1.125</v>
      </c>
      <c r="R142">
        <f>M142+IF(N142&gt;1,N(O142)*(N142-1),0)</f>
        <v/>
      </c>
      <c r="S142">
        <f>IFERROR(L142*MAX(N142,1)/R142*Q142*IF(ISBLANK(K141),1,K141),0)</f>
        <v/>
      </c>
      <c r="AB142" s="7" t="inlineStr">
        <is>
          <t>^RailgunWeapon, ^Chaingun, ^ArrowWeapon</t>
        </is>
      </c>
    </row>
    <row r="143">
      <c r="B143" s="7" t="inlineStr">
        <is>
          <t xml:space="preserve">  ↳ wc2cannontowerFire</t>
        </is>
      </c>
      <c r="C143" s="7" t="inlineStr">
        <is>
          <t>Armament@cannon</t>
        </is>
      </c>
      <c r="L143" s="6" t="n">
        <v>4000</v>
      </c>
      <c r="M143" s="6" t="n">
        <v>90</v>
      </c>
      <c r="N143" s="6" t="n">
        <v>1</v>
      </c>
      <c r="O143" s="6" t="n"/>
      <c r="P143" s="6" t="n">
        <v>10500</v>
      </c>
      <c r="Q143" s="6" t="n">
        <v>1.035714285714286</v>
      </c>
      <c r="R143">
        <f>M143+IF(N143&gt;1,N(O143)*(N143-1),0)</f>
        <v/>
      </c>
      <c r="S143">
        <f>IFERROR(L143*MAX(N143,1)/R143*Q143*IF(ISBLANK(K141),1,K141),0)</f>
        <v/>
      </c>
      <c r="AB143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144">
      <c r="A144" t="inlineStr">
        <is>
          <t>warcraft2</t>
        </is>
      </c>
      <c r="B144" t="inlineStr">
        <is>
          <t>wc2_humans_guardtower</t>
        </is>
      </c>
      <c r="C144" t="inlineStr">
        <is>
          <t>Guard Tower</t>
        </is>
      </c>
      <c r="D144" s="6" t="inlineStr">
        <is>
          <t>BasicDefense</t>
        </is>
      </c>
      <c r="E144" s="6" t="n">
        <v>100000</v>
      </c>
      <c r="F144" s="6" t="n">
        <v>100</v>
      </c>
      <c r="G144" t="inlineStr">
        <is>
          <t>Wood</t>
        </is>
      </c>
      <c r="H144" s="6" t="n">
        <v>1</v>
      </c>
      <c r="I144" s="6" t="n">
        <v>1</v>
      </c>
      <c r="J144" s="6" t="n">
        <v>1</v>
      </c>
      <c r="K144" s="6" t="n"/>
      <c r="P144">
        <f>MAX(P145,P146)</f>
        <v/>
      </c>
      <c r="S144">
        <f>S145+S146</f>
        <v/>
      </c>
      <c r="T144">
        <f>(E144/100000+F144/100+(P144/1000)*J144/5+S144/200)*200*I144*H144</f>
        <v/>
      </c>
      <c r="U144">
        <f>((E144*F144/25000)+((P144/1000)*J144*S144/2.5))*I144*H144</f>
        <v/>
      </c>
      <c r="V144">
        <f>(E144*F144*(P144/1000)*J144*S144*I144*H144)/12500000</f>
        <v/>
      </c>
      <c r="W144">
        <f>(T144+U144+V144)/3</f>
        <v/>
      </c>
      <c r="X144" s="6" t="n">
        <v>1500</v>
      </c>
      <c r="Y144">
        <f>IFERROR(W144-X144,"")</f>
        <v/>
      </c>
      <c r="Z144">
        <f>IFERROR(ABS(Y144)/MAX(X144,1),"")</f>
        <v/>
      </c>
      <c r="AA144">
        <f>IFERROR((X144-(((E144/100000+F144/100+S144/200)*200*I144*H144)+((E144*F144/25000)*I144*H144))/3)/(((J144/5)*200*I144*H144)+((J144*S144/2.5)*I144*H144)+((E144*F144*J144*S144*I144*H144)/12500000))/3*1000,"")</f>
        <v/>
      </c>
    </row>
    <row r="145">
      <c r="B145" s="7" t="inlineStr">
        <is>
          <t xml:space="preserve">  ↳ wc2_tower_arrow</t>
        </is>
      </c>
      <c r="C145" s="7" t="inlineStr">
        <is>
          <t>Armament@guard</t>
        </is>
      </c>
      <c r="L145" s="6" t="n">
        <v>6000</v>
      </c>
      <c r="M145" s="6" t="n">
        <v>34</v>
      </c>
      <c r="N145" s="6" t="n">
        <v>1</v>
      </c>
      <c r="O145" s="6" t="n"/>
      <c r="P145" s="6" t="n">
        <v>8750</v>
      </c>
      <c r="Q145" s="6" t="n">
        <v>1.125</v>
      </c>
      <c r="R145">
        <f>M145+IF(N145&gt;1,N(O145)*(N145-1),0)</f>
        <v/>
      </c>
      <c r="S145">
        <f>IFERROR(L145*MAX(N145,1)/R145*Q145*IF(ISBLANK(K144),1,K144),0)</f>
        <v/>
      </c>
      <c r="AB145" s="7" t="inlineStr">
        <is>
          <t>^RailgunWeapon, ^Chaingun, ^ArrowWeapon</t>
        </is>
      </c>
    </row>
    <row r="146">
      <c r="B146" s="7" t="inlineStr">
        <is>
          <t xml:space="preserve">  ↳ wc2cannontowerFire</t>
        </is>
      </c>
      <c r="C146" s="7" t="inlineStr">
        <is>
          <t>Armament@cannon</t>
        </is>
      </c>
      <c r="L146" s="6" t="n">
        <v>4000</v>
      </c>
      <c r="M146" s="6" t="n">
        <v>90</v>
      </c>
      <c r="N146" s="6" t="n">
        <v>1</v>
      </c>
      <c r="O146" s="6" t="n"/>
      <c r="P146" s="6" t="n">
        <v>10500</v>
      </c>
      <c r="Q146" s="6" t="n">
        <v>1.035714285714286</v>
      </c>
      <c r="R146">
        <f>M146+IF(N146&gt;1,N(O146)*(N146-1),0)</f>
        <v/>
      </c>
      <c r="S146">
        <f>IFERROR(L146*MAX(N146,1)/R146*Q146*IF(ISBLANK(K144),1,K144),0)</f>
        <v/>
      </c>
      <c r="AB146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147">
      <c r="A147" t="inlineStr">
        <is>
          <t>warcraft2</t>
        </is>
      </c>
      <c r="B147" t="inlineStr">
        <is>
          <t>wc2_humans_humanscouttower</t>
        </is>
      </c>
      <c r="C147" t="inlineStr">
        <is>
          <t>Human Scout Tower</t>
        </is>
      </c>
      <c r="D147" s="6" t="inlineStr">
        <is>
          <t>BasicDefense</t>
        </is>
      </c>
      <c r="E147" s="6" t="n">
        <v>100000</v>
      </c>
      <c r="F147" s="6" t="n">
        <v>100</v>
      </c>
      <c r="G147" t="inlineStr">
        <is>
          <t>Wood</t>
        </is>
      </c>
      <c r="H147" s="6" t="n">
        <v>1</v>
      </c>
      <c r="I147" s="6" t="n">
        <v>1</v>
      </c>
      <c r="J147" s="6" t="n">
        <v>1</v>
      </c>
      <c r="K147" s="6" t="n"/>
      <c r="P147">
        <f>MAX(P148,P149)</f>
        <v/>
      </c>
      <c r="S147">
        <f>S148+S149</f>
        <v/>
      </c>
      <c r="T147">
        <f>(E147/100000+F147/100+(P147/1000)*J147/5+S147/200)*200*I147*H147</f>
        <v/>
      </c>
      <c r="U147">
        <f>((E147*F147/25000)+((P147/1000)*J147*S147/2.5))*I147*H147</f>
        <v/>
      </c>
      <c r="V147">
        <f>(E147*F147*(P147/1000)*J147*S147*I147*H147)/12500000</f>
        <v/>
      </c>
      <c r="W147">
        <f>(T147+U147+V147)/3</f>
        <v/>
      </c>
      <c r="X147" s="6" t="n">
        <v>1200</v>
      </c>
      <c r="Y147">
        <f>IFERROR(W147-X147,"")</f>
        <v/>
      </c>
      <c r="Z147">
        <f>IFERROR(ABS(Y147)/MAX(X147,1),"")</f>
        <v/>
      </c>
      <c r="AA147">
        <f>IFERROR((X147-(((E147/100000+F147/100+S147/200)*200*I147*H147)+((E147*F147/25000)*I147*H147))/3)/(((J147/5)*200*I147*H147)+((J147*S147/2.5)*I147*H147)+((E147*F147*J147*S147*I147*H147)/12500000))/3*1000,"")</f>
        <v/>
      </c>
    </row>
    <row r="148">
      <c r="B148" s="7" t="inlineStr">
        <is>
          <t xml:space="preserve">  ↳ wc2_tower_arrow</t>
        </is>
      </c>
      <c r="C148" s="7" t="inlineStr">
        <is>
          <t>Armament@guard</t>
        </is>
      </c>
      <c r="L148" s="6" t="n">
        <v>6000</v>
      </c>
      <c r="M148" s="6" t="n">
        <v>34</v>
      </c>
      <c r="N148" s="6" t="n">
        <v>1</v>
      </c>
      <c r="O148" s="6" t="n"/>
      <c r="P148" s="6" t="n">
        <v>8750</v>
      </c>
      <c r="Q148" s="6" t="n">
        <v>1.125</v>
      </c>
      <c r="R148">
        <f>M148+IF(N148&gt;1,N(O148)*(N148-1),0)</f>
        <v/>
      </c>
      <c r="S148">
        <f>IFERROR(L148*MAX(N148,1)/R148*Q148*IF(ISBLANK(K147),1,K147),0)</f>
        <v/>
      </c>
      <c r="AB148" s="7" t="inlineStr">
        <is>
          <t>^RailgunWeapon, ^Chaingun, ^ArrowWeapon</t>
        </is>
      </c>
    </row>
    <row r="149">
      <c r="B149" s="7" t="inlineStr">
        <is>
          <t xml:space="preserve">  ↳ wc2cannontowerFire</t>
        </is>
      </c>
      <c r="C149" s="7" t="inlineStr">
        <is>
          <t>Armament@cannon</t>
        </is>
      </c>
      <c r="L149" s="6" t="n">
        <v>4000</v>
      </c>
      <c r="M149" s="6" t="n">
        <v>90</v>
      </c>
      <c r="N149" s="6" t="n">
        <v>1</v>
      </c>
      <c r="O149" s="6" t="n"/>
      <c r="P149" s="6" t="n">
        <v>10500</v>
      </c>
      <c r="Q149" s="6" t="n">
        <v>1.035714285714286</v>
      </c>
      <c r="R149">
        <f>M149+IF(N149&gt;1,N(O149)*(N149-1),0)</f>
        <v/>
      </c>
      <c r="S149">
        <f>IFERROR(L149*MAX(N149,1)/R149*Q149*IF(ISBLANK(K147),1,K147),0)</f>
        <v/>
      </c>
      <c r="AB149" s="7" t="inlineStr">
        <is>
          <t>^LightFlameWeapon, ^LightChemicalWeapon, ^MediumFlameWeapon, ^MediumChemicalWeapon, ^HeavyFlameWeapon, ^HeavyChemicalWeapon, ^TankDestroyerCannon, ^MediumCannon, ^HeavyCannon, ^Grenade, ^ShrapnelWeapon, ^HeavyBomb, ^MediumMissile, ^Chaingun, ^FlakWeapon</t>
        </is>
      </c>
    </row>
    <row r="150">
      <c r="A150" s="4" t="inlineStr">
        <is>
          <t>Bunker</t>
        </is>
      </c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</row>
    <row r="151">
      <c r="A151" t="inlineStr">
        <is>
          <t>redalert2</t>
        </is>
      </c>
      <c r="B151" t="inlineStr">
        <is>
          <t>ra2_soviets_battlebunker</t>
        </is>
      </c>
      <c r="C151" t="inlineStr">
        <is>
          <t>Battle Bunker</t>
        </is>
      </c>
      <c r="D151" s="6" t="inlineStr">
        <is>
          <t>Bunker</t>
        </is>
      </c>
      <c r="E151" s="6" t="n">
        <v>80000</v>
      </c>
      <c r="F151" s="6" t="n">
        <v>100</v>
      </c>
      <c r="G151" t="inlineStr">
        <is>
          <t>Steel</t>
        </is>
      </c>
      <c r="H151" s="6" t="n">
        <v>1</v>
      </c>
      <c r="I151" s="6" t="n">
        <v>1</v>
      </c>
      <c r="J151" s="6" t="n">
        <v>1</v>
      </c>
      <c r="K151" s="6" t="n"/>
      <c r="X151" s="6" t="n">
        <v>800</v>
      </c>
    </row>
    <row r="152">
      <c r="A152" t="inlineStr">
        <is>
          <t>redalert2</t>
        </is>
      </c>
      <c r="B152" t="inlineStr">
        <is>
          <t>yuri_tankbunker</t>
        </is>
      </c>
      <c r="C152" t="inlineStr">
        <is>
          <t>Tank Bunker</t>
        </is>
      </c>
      <c r="D152" s="6" t="inlineStr">
        <is>
          <t>Bunker</t>
        </is>
      </c>
      <c r="E152" s="6" t="n">
        <v>100000</v>
      </c>
      <c r="F152" s="6" t="n">
        <v>100</v>
      </c>
      <c r="G152" t="inlineStr">
        <is>
          <t>Steel</t>
        </is>
      </c>
      <c r="H152" s="6" t="n">
        <v>1</v>
      </c>
      <c r="I152" s="6" t="n">
        <v>1</v>
      </c>
      <c r="J152" s="6" t="n">
        <v>1</v>
      </c>
      <c r="K152" s="6" t="n"/>
      <c r="X152" s="6" t="n">
        <v>1000</v>
      </c>
    </row>
    <row r="153">
      <c r="A153" t="inlineStr">
        <is>
          <t>redalert2mod</t>
        </is>
      </c>
      <c r="B153" t="inlineStr">
        <is>
          <t>latinsyndicate_bunkertower</t>
        </is>
      </c>
      <c r="C153" t="inlineStr">
        <is>
          <t>Bunker Tower</t>
        </is>
      </c>
      <c r="D153" s="6" t="inlineStr">
        <is>
          <t>Bunker</t>
        </is>
      </c>
      <c r="E153" s="6" t="n">
        <v>60000</v>
      </c>
      <c r="F153" s="6" t="n"/>
      <c r="G153" t="inlineStr">
        <is>
          <t>Steel</t>
        </is>
      </c>
      <c r="H153" s="6" t="n">
        <v>1</v>
      </c>
      <c r="I153" s="6" t="n">
        <v>1</v>
      </c>
      <c r="J153" s="6" t="n">
        <v>1</v>
      </c>
      <c r="K153" s="6" t="n"/>
      <c r="X153" s="6" t="n">
        <v>600</v>
      </c>
    </row>
    <row r="154">
      <c r="A154" t="inlineStr">
        <is>
          <t>redalert2mod</t>
        </is>
      </c>
      <c r="B154" t="inlineStr">
        <is>
          <t>naxis_naxibunker</t>
        </is>
      </c>
      <c r="C154" t="inlineStr">
        <is>
          <t>Naxi Bunker</t>
        </is>
      </c>
      <c r="D154" s="6" t="inlineStr">
        <is>
          <t>Bunker</t>
        </is>
      </c>
      <c r="E154" s="6" t="n">
        <v>90000</v>
      </c>
      <c r="F154" s="6" t="n"/>
      <c r="G154" t="inlineStr">
        <is>
          <t>Steel</t>
        </is>
      </c>
      <c r="H154" s="6" t="n">
        <v>1</v>
      </c>
      <c r="I154" s="6" t="n">
        <v>1</v>
      </c>
      <c r="J154" s="6" t="n">
        <v>1</v>
      </c>
      <c r="K154" s="6" t="n"/>
      <c r="X154" s="6" t="n">
        <v>1000</v>
      </c>
    </row>
    <row r="155">
      <c r="B155" s="7" t="inlineStr">
        <is>
          <t xml:space="preserve">  ↳ NaxGrilleArty</t>
        </is>
      </c>
      <c r="C155" s="7" t="inlineStr">
        <is>
          <t>Armament@mortar</t>
        </is>
      </c>
      <c r="L155" s="6" t="n">
        <v>16000</v>
      </c>
      <c r="M155" s="6" t="n">
        <v>111</v>
      </c>
      <c r="N155" s="6" t="n">
        <v>1</v>
      </c>
      <c r="O155" s="6" t="n"/>
      <c r="P155" s="6" t="n">
        <v>12345</v>
      </c>
      <c r="Q155" s="6" t="n">
        <v>1.083333333333333</v>
      </c>
      <c r="R155">
        <f>M155+IF(N155&gt;1,N(O155)*(N155-1),0)</f>
        <v/>
      </c>
      <c r="S155">
        <f>IFERROR(L155*MAX(N155,1)/R155*Q155*IF(ISBLANK(K154),1,K154),0)</f>
        <v/>
      </c>
      <c r="AB155" s="7" t="inlineStr">
        <is>
          <t>^HeavyCannon, ^ShrapnelWeapon, ^RA2Grenade</t>
        </is>
      </c>
    </row>
    <row r="156">
      <c r="B156" s="7" t="inlineStr">
        <is>
          <t xml:space="preserve">  ↳ NaxiWW2MachinegunTop</t>
        </is>
      </c>
      <c r="C156" s="7" t="inlineStr">
        <is>
          <t>Armament@mg</t>
        </is>
      </c>
      <c r="L156" s="6" t="n">
        <v>4000</v>
      </c>
      <c r="M156" s="6" t="n">
        <v>60</v>
      </c>
      <c r="N156" s="6" t="n">
        <v>6</v>
      </c>
      <c r="O156" s="6" t="n">
        <v>4</v>
      </c>
      <c r="P156" s="6" t="n">
        <v>7555</v>
      </c>
      <c r="Q156" s="6" t="n">
        <v>0.875</v>
      </c>
      <c r="R156">
        <f>M156+IF(N156&gt;1,N(O156)*(N156-1),0)</f>
        <v/>
      </c>
      <c r="S156">
        <f>IFERROR(L156*MAX(N156,1)/R156*Q156*IF(ISBLANK(K154),1,K154),0)</f>
        <v/>
      </c>
      <c r="AB156" s="7" t="inlineStr">
        <is>
          <t>^RA2SmallArms, ^RA2Chaingun</t>
        </is>
      </c>
    </row>
    <row r="157">
      <c r="B157" s="7" t="inlineStr">
        <is>
          <t xml:space="preserve">  ↳ NaxQuadCannonAAE</t>
        </is>
      </c>
      <c r="C157" s="7" t="inlineStr">
        <is>
          <t>Armament@aa</t>
        </is>
      </c>
      <c r="L157" s="6" t="n">
        <v>2000</v>
      </c>
      <c r="M157" s="6" t="n">
        <v>47</v>
      </c>
      <c r="N157" s="6" t="n">
        <v>8</v>
      </c>
      <c r="O157" s="6" t="n">
        <v>3</v>
      </c>
      <c r="P157" s="6" t="n">
        <v>9052</v>
      </c>
      <c r="Q157" s="6" t="n">
        <v>1.0625</v>
      </c>
      <c r="R157">
        <f>M157+IF(N157&gt;1,N(O157)*(N157-1),0)</f>
        <v/>
      </c>
      <c r="S157">
        <f>IFERROR(L157*MAX(N157,1)/R157*Q157*IF(ISBLANK(K154),1,K154),0)</f>
        <v/>
      </c>
      <c r="AB157" s="7" t="inlineStr">
        <is>
          <t>^Grenade, ^HeavyMissile, ^Chaingun, ^RA2FlakWeapon</t>
        </is>
      </c>
    </row>
    <row r="158">
      <c r="A158" t="inlineStr">
        <is>
          <t>redalert2mod</t>
        </is>
      </c>
      <c r="B158" t="inlineStr">
        <is>
          <t>tkm_bunker</t>
        </is>
      </c>
      <c r="C158" t="inlineStr">
        <is>
          <t>TKM Bunker</t>
        </is>
      </c>
      <c r="D158" s="6" t="inlineStr">
        <is>
          <t>Bunker</t>
        </is>
      </c>
      <c r="E158" s="6" t="n">
        <v>120000</v>
      </c>
      <c r="F158" s="6" t="n">
        <v>100</v>
      </c>
      <c r="G158" t="inlineStr">
        <is>
          <t>Steel</t>
        </is>
      </c>
      <c r="H158" s="6" t="n">
        <v>1</v>
      </c>
      <c r="I158" s="6" t="n">
        <v>1</v>
      </c>
      <c r="J158" s="6" t="n">
        <v>1</v>
      </c>
      <c r="K158" s="6" t="n"/>
      <c r="P158">
        <f>MAX(P159,P160)</f>
        <v/>
      </c>
      <c r="S158">
        <f>S159+S160</f>
        <v/>
      </c>
      <c r="T158">
        <f>(E158/100000+F158/100+(P158/1000)*J158/5+S158/200)*200*I158*H158</f>
        <v/>
      </c>
      <c r="U158">
        <f>((E158*F158/25000)+((P158/1000)*J158*S158/2.5))*I158*H158</f>
        <v/>
      </c>
      <c r="V158">
        <f>(E158*F158*(P158/1000)*J158*S158*I158*H158)/12500000</f>
        <v/>
      </c>
      <c r="W158">
        <f>(T158+U158+V158)/3</f>
        <v/>
      </c>
      <c r="X158" s="6" t="n">
        <v>600</v>
      </c>
      <c r="Y158">
        <f>IFERROR(W158-X158,"")</f>
        <v/>
      </c>
      <c r="Z158">
        <f>IFERROR(ABS(Y158)/MAX(X158,1),"")</f>
        <v/>
      </c>
      <c r="AA158">
        <f>IFERROR((X158-(((E158/100000+F158/100+S158/200)*200*I158*H158)+((E158*F158/25000)*I158*H158))/3)/(((J158/5)*200*I158*H158)+((J158*S158/2.5)*I158*H158)+((E158*F158*J158*S158*I158*H158)/12500000))/3*1000,"")</f>
        <v/>
      </c>
    </row>
    <row r="159">
      <c r="B159" s="7" t="inlineStr">
        <is>
          <t xml:space="preserve">  ↳ tkmbunkmg</t>
        </is>
      </c>
      <c r="C159" s="7" t="inlineStr">
        <is>
          <t>Armament</t>
        </is>
      </c>
      <c r="L159" s="6" t="n">
        <v>2000</v>
      </c>
      <c r="M159" s="6" t="n">
        <v>41</v>
      </c>
      <c r="N159" s="6" t="n">
        <v>4</v>
      </c>
      <c r="O159" s="6" t="n">
        <v>3</v>
      </c>
      <c r="P159" s="6" t="n">
        <v>7496</v>
      </c>
      <c r="Q159" s="6" t="n">
        <v>0.875</v>
      </c>
      <c r="R159">
        <f>M159+IF(N159&gt;1,N(O159)*(N159-1),0)</f>
        <v/>
      </c>
      <c r="S159">
        <f>IFERROR(L159*MAX(N159,1)/R159*Q159*IF(ISBLANK(K158),1,K158),0)</f>
        <v/>
      </c>
      <c r="AB159" s="7" t="inlineStr">
        <is>
          <t>^RA2Chaingun, ^SmallArms</t>
        </is>
      </c>
    </row>
    <row r="160">
      <c r="B160" s="7" t="inlineStr">
        <is>
          <t xml:space="preserve">  ↳ HighVAP</t>
        </is>
      </c>
      <c r="C160" s="7" t="inlineStr">
        <is>
          <t>Armament@Upgrade</t>
        </is>
      </c>
      <c r="L160" s="6" t="n">
        <v>4000</v>
      </c>
      <c r="M160" s="6" t="n">
        <v>22</v>
      </c>
      <c r="N160" s="6" t="n">
        <v>4</v>
      </c>
      <c r="O160" s="6" t="n">
        <v>2</v>
      </c>
      <c r="P160" s="6" t="n">
        <v>6720</v>
      </c>
      <c r="Q160" s="6" t="n">
        <v>1</v>
      </c>
      <c r="R160">
        <f>M160+IF(N160&gt;1,N(O160)*(N160-1),0)</f>
        <v/>
      </c>
      <c r="S160">
        <f>IFERROR(L160*MAX(N160,1)/R160*Q160*IF(ISBLANK(K158),1,K158),0)</f>
        <v/>
      </c>
      <c r="AB160" s="7" t="inlineStr">
        <is>
          <t>^Chaingun</t>
        </is>
      </c>
    </row>
    <row r="161">
      <c r="A161" t="inlineStr">
        <is>
          <t>starcraft</t>
        </is>
      </c>
      <c r="B161" t="inlineStr">
        <is>
          <t>terran_bunker</t>
        </is>
      </c>
      <c r="C161" t="inlineStr">
        <is>
          <t>Bunker</t>
        </is>
      </c>
      <c r="D161" s="6" t="inlineStr">
        <is>
          <t>Bunker</t>
        </is>
      </c>
      <c r="E161" s="6" t="n">
        <v>240000</v>
      </c>
      <c r="F161" s="6" t="n">
        <v>100</v>
      </c>
      <c r="G161" t="inlineStr">
        <is>
          <t>Steel</t>
        </is>
      </c>
      <c r="H161" s="6" t="n">
        <v>1</v>
      </c>
      <c r="I161" s="6" t="n">
        <v>1</v>
      </c>
      <c r="J161" s="6" t="n">
        <v>1</v>
      </c>
      <c r="K161" s="6" t="n"/>
      <c r="X161" s="6" t="n">
        <v>1200</v>
      </c>
    </row>
    <row r="162">
      <c r="A162" s="4" t="inlineStr">
        <is>
          <t>AntiAirDefense</t>
        </is>
      </c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</row>
    <row r="163">
      <c r="A163" t="inlineStr">
        <is>
          <t>tiberiandawn</t>
        </is>
      </c>
      <c r="B163" t="inlineStr">
        <is>
          <t>td_gdi_skyshield</t>
        </is>
      </c>
      <c r="C163" t="inlineStr">
        <is>
          <t>Skyshield</t>
        </is>
      </c>
      <c r="D163" s="6" t="inlineStr">
        <is>
          <t>AntiAirDefense</t>
        </is>
      </c>
      <c r="E163" s="6" t="n">
        <v>93000</v>
      </c>
      <c r="F163" s="6" t="n"/>
      <c r="G163" t="inlineStr">
        <is>
          <t>Concrete</t>
        </is>
      </c>
      <c r="H163" s="6" t="n">
        <v>1</v>
      </c>
      <c r="I163" s="6" t="n">
        <v>0.225</v>
      </c>
      <c r="J163" s="6" t="n">
        <v>1</v>
      </c>
      <c r="K163" s="6" t="n"/>
      <c r="X163" s="6" t="n">
        <v>900</v>
      </c>
    </row>
    <row r="164">
      <c r="B164" s="7" t="inlineStr">
        <is>
          <t xml:space="preserve">  ↳ SkyshieldCannon</t>
        </is>
      </c>
      <c r="C164" s="7" t="inlineStr">
        <is>
          <t>Armament</t>
        </is>
      </c>
      <c r="L164" s="6" t="n">
        <v>2000</v>
      </c>
      <c r="M164" s="6" t="n">
        <v>11</v>
      </c>
      <c r="N164" s="6" t="n">
        <v>1</v>
      </c>
      <c r="O164" s="6" t="n"/>
      <c r="P164" s="6" t="n">
        <v>13800</v>
      </c>
      <c r="Q164" s="6" t="n">
        <v>0.875</v>
      </c>
      <c r="R164">
        <f>M164+IF(N164&gt;1,N(O164)*(N164-1),0)</f>
        <v/>
      </c>
      <c r="S164">
        <f>IFERROR(L164*MAX(N164,1)/R164*Q164*IF(ISBLANK(K163),1,K163),0)</f>
        <v/>
      </c>
      <c r="AB164" s="7" t="inlineStr">
        <is>
          <t>^SmallArms, ^LightMissile, ^Chaingun, ^FlakWeapon</t>
        </is>
      </c>
    </row>
    <row r="165">
      <c r="A165" t="inlineStr">
        <is>
          <t>tiberiandawn</t>
        </is>
      </c>
      <c r="B165" t="inlineStr">
        <is>
          <t>td_nod_samsite</t>
        </is>
      </c>
      <c r="C165" t="inlineStr">
        <is>
          <t>Nod SAM Site</t>
        </is>
      </c>
      <c r="D165" s="6" t="inlineStr">
        <is>
          <t>AntiAirDefense</t>
        </is>
      </c>
      <c r="E165" s="6" t="n">
        <v>100000</v>
      </c>
      <c r="F165" s="6" t="n"/>
      <c r="G165" t="inlineStr">
        <is>
          <t>Concrete</t>
        </is>
      </c>
      <c r="H165" s="6" t="n">
        <v>1</v>
      </c>
      <c r="I165" s="6" t="n">
        <v>0.225</v>
      </c>
      <c r="J165" s="6" t="n">
        <v>1</v>
      </c>
      <c r="K165" s="6" t="n"/>
      <c r="X165" s="6" t="n">
        <v>800</v>
      </c>
    </row>
    <row r="166">
      <c r="B166" s="7" t="inlineStr">
        <is>
          <t xml:space="preserve">  ↳ Dragon</t>
        </is>
      </c>
      <c r="C166" s="7" t="inlineStr">
        <is>
          <t>Armament</t>
        </is>
      </c>
      <c r="L166" s="6" t="n">
        <v>6000</v>
      </c>
      <c r="M166" s="6" t="n">
        <v>40</v>
      </c>
      <c r="N166" s="6" t="n">
        <v>2</v>
      </c>
      <c r="O166" s="6" t="n">
        <v>10</v>
      </c>
      <c r="P166" s="6" t="n">
        <v>12193</v>
      </c>
      <c r="Q166" s="6" t="n">
        <v>1.25</v>
      </c>
      <c r="R166">
        <f>M166+IF(N166&gt;1,N(O166)*(N166-1),0)</f>
        <v/>
      </c>
      <c r="S166">
        <f>IFERROR(L166*MAX(N166,1)/R166*Q166*IF(ISBLANK(K165),1,K165),0)</f>
        <v/>
      </c>
      <c r="AB166" s="7" t="inlineStr">
        <is>
          <t>^HeavyAAWeapon, ^ImpactGlow, ^HeavyMissile</t>
        </is>
      </c>
    </row>
    <row r="167">
      <c r="A167" t="inlineStr">
        <is>
          <t>redalert</t>
        </is>
      </c>
      <c r="B167" t="inlineStr">
        <is>
          <t>ra1_soviets_samsite</t>
        </is>
      </c>
      <c r="C167" t="inlineStr">
        <is>
          <t>Soviet SAM Site</t>
        </is>
      </c>
      <c r="D167" s="6" t="inlineStr">
        <is>
          <t>AntiAirDefense</t>
        </is>
      </c>
      <c r="E167" s="6" t="n">
        <v>75000</v>
      </c>
      <c r="F167" s="6" t="n">
        <v>100</v>
      </c>
      <c r="G167" t="inlineStr">
        <is>
          <t>Concrete</t>
        </is>
      </c>
      <c r="H167" s="6" t="n">
        <v>1</v>
      </c>
      <c r="I167" s="6" t="n">
        <v>0.225</v>
      </c>
      <c r="J167" s="6" t="n">
        <v>1</v>
      </c>
      <c r="K167" s="6" t="n">
        <v>1.1</v>
      </c>
      <c r="P167">
        <f>MAX(P168)</f>
        <v/>
      </c>
      <c r="S167">
        <f>S168</f>
        <v/>
      </c>
      <c r="T167">
        <f>(E167/100000+F167/100+(P167/1000)*J167/5+S167/200)*200*I167*H167</f>
        <v/>
      </c>
      <c r="U167">
        <f>((E167*F167/25000)+((P167/1000)*J167*S167/2.5))*I167*H167</f>
        <v/>
      </c>
      <c r="V167">
        <f>(E167*F167*(P167/1000)*J167*S167*I167*H167)/12500000</f>
        <v/>
      </c>
      <c r="W167">
        <f>(T167+U167+V167)/3</f>
        <v/>
      </c>
      <c r="X167" s="6" t="n">
        <v>700</v>
      </c>
      <c r="Y167">
        <f>IFERROR(W167-X167,"")</f>
        <v/>
      </c>
      <c r="Z167">
        <f>IFERROR(ABS(Y167)/MAX(X167,1),"")</f>
        <v/>
      </c>
      <c r="AA167">
        <f>IFERROR((X167-(((E167/100000+F167/100+S167/200)*200*I167*H167)+((E167*F167/25000)*I167*H167))/3)/(((J167/5)*200*I167*H167)+((J167*S167/2.5)*I167*H167)+((E167*F167*J167*S167*I167*H167)/12500000))/3*1000,"")</f>
        <v/>
      </c>
    </row>
    <row r="168">
      <c r="B168" s="7" t="inlineStr">
        <is>
          <t xml:space="preserve">  ↳ Nike</t>
        </is>
      </c>
      <c r="C168" s="7" t="inlineStr">
        <is>
          <t>Armament</t>
        </is>
      </c>
      <c r="L168" s="6" t="n">
        <v>4000</v>
      </c>
      <c r="M168" s="6" t="n">
        <v>27</v>
      </c>
      <c r="N168" s="6" t="n">
        <v>1</v>
      </c>
      <c r="O168" s="6" t="n"/>
      <c r="P168" s="6" t="n">
        <v>12790</v>
      </c>
      <c r="Q168" s="6" t="n">
        <v>1</v>
      </c>
      <c r="R168">
        <f>M168+IF(N168&gt;1,N(O168)*(N168-1),0)</f>
        <v/>
      </c>
      <c r="S168">
        <f>IFERROR(L168*MAX(N168,1)/R168*Q168*IF(ISBLANK(K167),1,K167),0)</f>
        <v/>
      </c>
      <c r="AB168" s="7" t="inlineStr">
        <is>
          <t>^FlakWeapon, ^HeavyMissile, ^MediumMissile, ^LightMissile</t>
        </is>
      </c>
    </row>
    <row r="169">
      <c r="A169" t="inlineStr">
        <is>
          <t>redalert</t>
        </is>
      </c>
      <c r="B169" t="inlineStr">
        <is>
          <t>ra1_allies_alliedaagun</t>
        </is>
      </c>
      <c r="C169" t="inlineStr">
        <is>
          <t>Allied AA Gun</t>
        </is>
      </c>
      <c r="D169" s="6" t="inlineStr">
        <is>
          <t>AntiAirDefense</t>
        </is>
      </c>
      <c r="E169" s="6" t="n">
        <v>62500</v>
      </c>
      <c r="F169" s="6" t="n">
        <v>100</v>
      </c>
      <c r="G169" t="inlineStr">
        <is>
          <t>Concrete</t>
        </is>
      </c>
      <c r="H169" s="6" t="n">
        <v>1</v>
      </c>
      <c r="I169" s="6" t="n">
        <v>1</v>
      </c>
      <c r="J169" s="6" t="n">
        <v>1</v>
      </c>
      <c r="K169" s="6" t="n"/>
      <c r="P169">
        <f>MAX(P170)</f>
        <v/>
      </c>
      <c r="S169">
        <f>S170</f>
        <v/>
      </c>
      <c r="T169">
        <f>(E169/100000+F169/100+(P169/1000)*J169/5+S169/200)*200*I169*H169</f>
        <v/>
      </c>
      <c r="U169">
        <f>((E169*F169/25000)+((P169/1000)*J169*S169/2.5))*I169*H169</f>
        <v/>
      </c>
      <c r="V169">
        <f>(E169*F169*(P169/1000)*J169*S169*I169*H169)/12500000</f>
        <v/>
      </c>
      <c r="W169">
        <f>(T169+U169+V169)/3</f>
        <v/>
      </c>
      <c r="X169" s="6" t="n">
        <v>500</v>
      </c>
      <c r="Y169">
        <f>IFERROR(W169-X169,"")</f>
        <v/>
      </c>
      <c r="Z169">
        <f>IFERROR(ABS(Y169)/MAX(X169,1),"")</f>
        <v/>
      </c>
      <c r="AA169">
        <f>IFERROR((X169-(((E169/100000+F169/100+S169/200)*200*I169*H169)+((E169*F169/25000)*I169*H169))/3)/(((J169/5)*200*I169*H169)+((J169*S169/2.5)*I169*H169)+((E169*F169*J169*S169*I169*H169)/12500000))/3*1000,"")</f>
        <v/>
      </c>
    </row>
    <row r="170">
      <c r="B170" s="7" t="inlineStr">
        <is>
          <t xml:space="preserve">  ↳ zsu_23</t>
        </is>
      </c>
      <c r="C170" s="7" t="inlineStr">
        <is>
          <t>Armament</t>
        </is>
      </c>
      <c r="L170" s="6" t="n">
        <v>4000</v>
      </c>
      <c r="M170" s="6" t="n">
        <v>14</v>
      </c>
      <c r="N170" s="6" t="n">
        <v>2</v>
      </c>
      <c r="O170" s="6" t="n">
        <v>2</v>
      </c>
      <c r="P170" s="6" t="n">
        <v>11412</v>
      </c>
      <c r="Q170" s="6" t="n">
        <v>1</v>
      </c>
      <c r="R170">
        <f>M170+IF(N170&gt;1,N(O170)*(N170-1),0)</f>
        <v/>
      </c>
      <c r="S170">
        <f>IFERROR(L170*MAX(N170,1)/R170*Q170*IF(ISBLANK(K169),1,K169),0)</f>
        <v/>
      </c>
      <c r="AB170" s="7" t="inlineStr">
        <is>
          <t>^FlakWeapon</t>
        </is>
      </c>
    </row>
    <row r="171">
      <c r="A171" t="inlineStr">
        <is>
          <t>tiberiansun</t>
        </is>
      </c>
      <c r="B171" t="inlineStr">
        <is>
          <t>cabal_obeliskofdarkness</t>
        </is>
      </c>
      <c r="C171" t="inlineStr">
        <is>
          <t>Obelisk of Darkness</t>
        </is>
      </c>
      <c r="D171" s="6" t="inlineStr">
        <is>
          <t>AntiAirDefense</t>
        </is>
      </c>
      <c r="E171" s="6" t="n">
        <v>120000</v>
      </c>
      <c r="F171" s="6" t="n">
        <v>100</v>
      </c>
      <c r="G171" t="inlineStr">
        <is>
          <t>Heavy</t>
        </is>
      </c>
      <c r="H171" s="6" t="n">
        <v>1</v>
      </c>
      <c r="I171" s="6" t="n">
        <v>1</v>
      </c>
      <c r="J171" s="6" t="n">
        <v>1</v>
      </c>
      <c r="K171" s="6" t="n"/>
      <c r="P171">
        <f>MAX(P172)</f>
        <v/>
      </c>
      <c r="S171">
        <f>S172</f>
        <v/>
      </c>
      <c r="T171">
        <f>(E171/100000+F171/100+(P171/1000)*J171/5+S171/200)*200*I171*H171</f>
        <v/>
      </c>
      <c r="U171">
        <f>((E171*F171/25000)+((P171/1000)*J171*S171/2.5))*I171*H171</f>
        <v/>
      </c>
      <c r="V171">
        <f>(E171*F171*(P171/1000)*J171*S171*I171*H171)/12500000</f>
        <v/>
      </c>
      <c r="W171">
        <f>(T171+U171+V171)/3</f>
        <v/>
      </c>
      <c r="X171" s="6" t="n">
        <v>1200</v>
      </c>
      <c r="Y171">
        <f>IFERROR(W171-X171,"")</f>
        <v/>
      </c>
      <c r="Z171">
        <f>IFERROR(ABS(Y171)/MAX(X171,1),"")</f>
        <v/>
      </c>
      <c r="AA171">
        <f>IFERROR((X171-(((E171/100000+F171/100+S171/200)*200*I171*H171)+((E171*F171/25000)*I171*H171))/3)/(((J171/5)*200*I171*H171)+((J171*S171/2.5)*I171*H171)+((E171*F171*J171*S171*I171*H171)/12500000))/3*1000,"")</f>
        <v/>
      </c>
    </row>
    <row r="172">
      <c r="B172" s="7" t="inlineStr">
        <is>
          <t xml:space="preserve">  ↳ DarkObeliskLaser</t>
        </is>
      </c>
      <c r="C172" s="7" t="inlineStr">
        <is>
          <t>Armament</t>
        </is>
      </c>
      <c r="L172" s="6" t="n">
        <v>36000</v>
      </c>
      <c r="M172" s="6" t="n">
        <v>50</v>
      </c>
      <c r="N172" s="6" t="n">
        <v>1</v>
      </c>
      <c r="O172" s="6" t="n"/>
      <c r="P172" s="6" t="n">
        <v>12288</v>
      </c>
      <c r="Q172" s="6" t="n">
        <v>1</v>
      </c>
      <c r="R172">
        <f>M172+IF(N172&gt;1,N(O172)*(N172-1),0)</f>
        <v/>
      </c>
      <c r="S172">
        <f>IFERROR(L172*MAX(N172,1)/R172*Q172*IF(ISBLANK(K171),1,K171),0)</f>
        <v/>
      </c>
      <c r="AB172" s="7" t="inlineStr">
        <is>
          <t>^LaserWeapon</t>
        </is>
      </c>
    </row>
    <row r="173">
      <c r="A173" t="inlineStr">
        <is>
          <t>tiberiansun</t>
        </is>
      </c>
      <c r="B173" t="inlineStr">
        <is>
          <t>ts_nod_samsite</t>
        </is>
      </c>
      <c r="C173" t="inlineStr">
        <is>
          <t>SAM Site</t>
        </is>
      </c>
      <c r="D173" s="6" t="inlineStr">
        <is>
          <t>AntiAirDefense</t>
        </is>
      </c>
      <c r="E173" s="6" t="n">
        <v>100000</v>
      </c>
      <c r="F173" s="6" t="n">
        <v>100</v>
      </c>
      <c r="G173" t="inlineStr">
        <is>
          <t>Concrete</t>
        </is>
      </c>
      <c r="H173" s="6" t="n">
        <v>1</v>
      </c>
      <c r="I173" s="6" t="n">
        <v>1</v>
      </c>
      <c r="J173" s="6" t="n">
        <v>1</v>
      </c>
      <c r="K173" s="6" t="n"/>
      <c r="P173">
        <f>MAX(P174,P175)</f>
        <v/>
      </c>
      <c r="S173">
        <f>S174+S175</f>
        <v/>
      </c>
      <c r="T173">
        <f>(E173/100000+F173/100+(P173/1000)*J173/5+S173/200)*200*I173*H173</f>
        <v/>
      </c>
      <c r="U173">
        <f>((E173*F173/25000)+((P173/1000)*J173*S173/2.5))*I173*H173</f>
        <v/>
      </c>
      <c r="V173">
        <f>(E173*F173*(P173/1000)*J173*S173*I173*H173)/12500000</f>
        <v/>
      </c>
      <c r="W173">
        <f>(T173+U173+V173)/3</f>
        <v/>
      </c>
      <c r="X173" s="6" t="n">
        <v>800</v>
      </c>
      <c r="Y173">
        <f>IFERROR(W173-X173,"")</f>
        <v/>
      </c>
      <c r="Z173">
        <f>IFERROR(ABS(Y173)/MAX(X173,1),"")</f>
        <v/>
      </c>
      <c r="AA173">
        <f>IFERROR((X173-(((E173/100000+F173/100+S173/200)*200*I173*H173)+((E173*F173/25000)*I173*H173))/3)/(((J173/5)*200*I173*H173)+((J173*S173/2.5)*I173*H173)+((E173*F173*J173*S173*I173*H173)/12500000))/3*1000,"")</f>
        <v/>
      </c>
    </row>
    <row r="174">
      <c r="B174" s="7" t="inlineStr">
        <is>
          <t xml:space="preserve">  ↳ TSNODRedEye</t>
        </is>
      </c>
      <c r="C174" s="7" t="inlineStr">
        <is>
          <t>Armament@PRIMARY</t>
        </is>
      </c>
      <c r="L174" s="6" t="n">
        <v>12000</v>
      </c>
      <c r="M174" s="6" t="n">
        <v>50</v>
      </c>
      <c r="N174" s="6" t="n">
        <v>3</v>
      </c>
      <c r="O174" s="6" t="n">
        <v>2</v>
      </c>
      <c r="P174" s="6" t="n">
        <v>13176</v>
      </c>
      <c r="Q174" s="6" t="n">
        <v>1.25</v>
      </c>
      <c r="R174">
        <f>M174+IF(N174&gt;1,N(O174)*(N174-1),0)</f>
        <v/>
      </c>
      <c r="S174">
        <f>IFERROR(L174*MAX(N174,1)/R174*Q174*IF(ISBLANK(K173),1,K173),0)</f>
        <v/>
      </c>
      <c r="AB174" s="7" t="inlineStr">
        <is>
          <t>^HeavyMissile</t>
        </is>
      </c>
    </row>
    <row r="175">
      <c r="B175" s="7" t="inlineStr">
        <is>
          <t xml:space="preserve">  ↳ TSNODTibRedEye</t>
        </is>
      </c>
      <c r="C175" s="7" t="inlineStr">
        <is>
          <t>Armament@UPGRADE</t>
        </is>
      </c>
      <c r="L175" s="6" t="n">
        <v>18000</v>
      </c>
      <c r="M175" s="6" t="n">
        <v>50</v>
      </c>
      <c r="N175" s="6" t="n">
        <v>3</v>
      </c>
      <c r="O175" s="6" t="n">
        <v>2</v>
      </c>
      <c r="P175" s="6" t="n">
        <v>13176</v>
      </c>
      <c r="Q175" s="6" t="n">
        <v>1.25</v>
      </c>
      <c r="R175">
        <f>M175+IF(N175&gt;1,N(O175)*(N175-1),0)</f>
        <v/>
      </c>
      <c r="S175">
        <f>IFERROR(L175*MAX(N175,1)/R175*Q175*IF(ISBLANK(K173),1,K173),0)</f>
        <v/>
      </c>
      <c r="AB175" s="7" t="inlineStr">
        <is>
          <t>^HeavyMissile</t>
        </is>
      </c>
    </row>
    <row r="176">
      <c r="A176" t="inlineStr">
        <is>
          <t>tiberiansun</t>
        </is>
      </c>
      <c r="B176" t="inlineStr">
        <is>
          <t>ts_gdi_samtower</t>
        </is>
      </c>
      <c r="C176" t="inlineStr">
        <is>
          <t>SAM Tower</t>
        </is>
      </c>
      <c r="D176" s="6" t="inlineStr">
        <is>
          <t>AntiAirDefense</t>
        </is>
      </c>
      <c r="E176" s="6" t="n">
        <v>100000</v>
      </c>
      <c r="F176" s="6" t="n">
        <v>100</v>
      </c>
      <c r="G176" t="inlineStr">
        <is>
          <t>Light</t>
        </is>
      </c>
      <c r="H176" s="6" t="n">
        <v>1</v>
      </c>
      <c r="I176" s="6" t="n">
        <v>1</v>
      </c>
      <c r="J176" s="6" t="n">
        <v>1</v>
      </c>
      <c r="K176" s="6" t="n"/>
      <c r="P176">
        <f>MAX(P177)</f>
        <v/>
      </c>
      <c r="S176">
        <f>S177</f>
        <v/>
      </c>
      <c r="T176">
        <f>(E176/100000+F176/100+(P176/1000)*J176/5+S176/200)*200*I176*H176</f>
        <v/>
      </c>
      <c r="U176">
        <f>((E176*F176/25000)+((P176/1000)*J176*S176/2.5))*I176*H176</f>
        <v/>
      </c>
      <c r="V176">
        <f>(E176*F176*(P176/1000)*J176*S176*I176*H176)/12500000</f>
        <v/>
      </c>
      <c r="W176">
        <f>(T176+U176+V176)/3</f>
        <v/>
      </c>
      <c r="X176" s="6" t="n">
        <v>800</v>
      </c>
      <c r="Y176">
        <f>IFERROR(W176-X176,"")</f>
        <v/>
      </c>
      <c r="Z176">
        <f>IFERROR(ABS(Y176)/MAX(X176,1),"")</f>
        <v/>
      </c>
      <c r="AA176">
        <f>IFERROR((X176-(((E176/100000+F176/100+S176/200)*200*I176*H176)+((E176*F176/25000)*I176*H176))/3)/(((J176/5)*200*I176*H176)+((J176*S176/2.5)*I176*H176)+((E176*F176*J176*S176*I176*H176)/12500000))/3*1000,"")</f>
        <v/>
      </c>
    </row>
    <row r="177">
      <c r="B177" s="7" t="inlineStr">
        <is>
          <t xml:space="preserve">  ↳ TSGDIRedEye</t>
        </is>
      </c>
      <c r="C177" s="7" t="inlineStr">
        <is>
          <t>Armament</t>
        </is>
      </c>
      <c r="L177" s="6" t="n">
        <v>8000</v>
      </c>
      <c r="M177" s="6" t="n">
        <v>30</v>
      </c>
      <c r="N177" s="6" t="n">
        <v>2</v>
      </c>
      <c r="O177" s="6" t="n">
        <v>4</v>
      </c>
      <c r="P177" s="6" t="n">
        <v>12440</v>
      </c>
      <c r="Q177" s="6" t="n">
        <v>1.25</v>
      </c>
      <c r="R177">
        <f>M177+IF(N177&gt;1,N(O177)*(N177-1),0)</f>
        <v/>
      </c>
      <c r="S177">
        <f>IFERROR(L177*MAX(N177,1)/R177*Q177*IF(ISBLANK(K176),1,K176),0)</f>
        <v/>
      </c>
      <c r="AB177" s="7" t="inlineStr">
        <is>
          <t>^HeavyMissile</t>
        </is>
      </c>
    </row>
    <row r="178">
      <c r="A178" t="inlineStr">
        <is>
          <t>tiberiansun</t>
        </is>
      </c>
      <c r="B178" t="inlineStr">
        <is>
          <t>forgotten_juggerflakwall</t>
        </is>
      </c>
      <c r="C178" t="inlineStr">
        <is>
          <t>actor_forgotten_juggerflakwall.name</t>
        </is>
      </c>
      <c r="D178" s="6" t="inlineStr">
        <is>
          <t>AntiAirDefense</t>
        </is>
      </c>
      <c r="E178" s="6" t="n">
        <v>75000</v>
      </c>
      <c r="F178" s="6" t="n">
        <v>100</v>
      </c>
      <c r="G178" t="inlineStr">
        <is>
          <t>Concrete</t>
        </is>
      </c>
      <c r="H178" s="6" t="n">
        <v>1</v>
      </c>
      <c r="I178" s="6" t="n">
        <v>1</v>
      </c>
      <c r="J178" s="6" t="n">
        <v>1</v>
      </c>
      <c r="K178" s="6" t="n"/>
      <c r="P178">
        <f>MAX(P179)</f>
        <v/>
      </c>
      <c r="S178">
        <f>S179</f>
        <v/>
      </c>
      <c r="T178">
        <f>(E178/100000+F178/100+(P178/1000)*J178/5+S178/200)*200*I178*H178</f>
        <v/>
      </c>
      <c r="U178">
        <f>((E178*F178/25000)+((P178/1000)*J178*S178/2.5))*I178*H178</f>
        <v/>
      </c>
      <c r="V178">
        <f>(E178*F178*(P178/1000)*J178*S178*I178*H178)/12500000</f>
        <v/>
      </c>
      <c r="W178">
        <f>(T178+U178+V178)/3</f>
        <v/>
      </c>
      <c r="X178" s="6" t="n">
        <v>1000</v>
      </c>
      <c r="Y178">
        <f>IFERROR(W178-X178,"")</f>
        <v/>
      </c>
      <c r="Z178">
        <f>IFERROR(ABS(Y178)/MAX(X178,1),"")</f>
        <v/>
      </c>
      <c r="AA178">
        <f>IFERROR((X178-(((E178/100000+F178/100+S178/200)*200*I178*H178)+((E178*F178/25000)*I178*H178))/3)/(((J178/5)*200*I178*H178)+((J178*S178/2.5)*I178*H178)+((E178*F178*J178*S178*I178*H178)/12500000))/3*1000,"")</f>
        <v/>
      </c>
    </row>
    <row r="179">
      <c r="B179" s="7" t="inlineStr">
        <is>
          <t xml:space="preserve">  ↳ TSJuggerFlakAA</t>
        </is>
      </c>
      <c r="C179" s="7" t="inlineStr">
        <is>
          <t>Armament</t>
        </is>
      </c>
      <c r="L179" s="6" t="n">
        <v>10000</v>
      </c>
      <c r="M179" s="6" t="n">
        <v>28</v>
      </c>
      <c r="N179" s="6" t="n">
        <v>3</v>
      </c>
      <c r="O179" s="6" t="n">
        <v>1</v>
      </c>
      <c r="P179" s="6" t="n">
        <v>11234</v>
      </c>
      <c r="Q179" s="6" t="n">
        <v>1</v>
      </c>
      <c r="R179">
        <f>M179+IF(N179&gt;1,N(O179)*(N179-1),0)</f>
        <v/>
      </c>
      <c r="S179">
        <f>IFERROR(L179*MAX(N179,1)/R179*Q179*IF(ISBLANK(K178),1,K178),0)</f>
        <v/>
      </c>
      <c r="AB179" s="7" t="inlineStr">
        <is>
          <t>^FlakWeapon</t>
        </is>
      </c>
    </row>
    <row r="180">
      <c r="A180" t="inlineStr">
        <is>
          <t>redalert2</t>
        </is>
      </c>
      <c r="B180" t="inlineStr">
        <is>
          <t>ra2_allies_patriotmissilesystem</t>
        </is>
      </c>
      <c r="C180" t="inlineStr">
        <is>
          <t>Patriot Missile System</t>
        </is>
      </c>
      <c r="D180" s="6" t="inlineStr">
        <is>
          <t>AntiAirDefense</t>
        </is>
      </c>
      <c r="E180" s="6" t="n">
        <v>90000</v>
      </c>
      <c r="F180" s="6" t="n">
        <v>100</v>
      </c>
      <c r="G180" t="inlineStr">
        <is>
          <t>Concrete</t>
        </is>
      </c>
      <c r="H180" s="6" t="n">
        <v>1</v>
      </c>
      <c r="I180" s="6" t="n">
        <v>0.225</v>
      </c>
      <c r="J180" s="6" t="n">
        <v>1</v>
      </c>
      <c r="K180" s="6" t="n"/>
      <c r="P180">
        <f>MAX(P181,P182)</f>
        <v/>
      </c>
      <c r="S180">
        <f>S181+S182</f>
        <v/>
      </c>
      <c r="T180">
        <f>(E180/100000+F180/100+(P180/1000)*J180/5+S180/200)*200*I180*H180</f>
        <v/>
      </c>
      <c r="U180">
        <f>((E180*F180/25000)+((P180/1000)*J180*S180/2.5))*I180*H180</f>
        <v/>
      </c>
      <c r="V180">
        <f>(E180*F180*(P180/1000)*J180*S180*I180*H180)/12500000</f>
        <v/>
      </c>
      <c r="W180">
        <f>(T180+U180+V180)/3</f>
        <v/>
      </c>
      <c r="X180" s="6" t="n">
        <v>800</v>
      </c>
      <c r="Y180">
        <f>IFERROR(W180-X180,"")</f>
        <v/>
      </c>
      <c r="Z180">
        <f>IFERROR(ABS(Y180)/MAX(X180,1),"")</f>
        <v/>
      </c>
      <c r="AA180">
        <f>IFERROR((X180-(((E180/100000+F180/100+S180/200)*200*I180*H180)+((E180*F180/25000)*I180*H180))/3)/(((J180/5)*200*I180*H180)+((J180*S180/2.5)*I180*H180)+((E180*F180*J180*S180*I180*H180)/12500000))/3*1000,"")</f>
        <v/>
      </c>
    </row>
    <row r="181">
      <c r="B181" s="7" t="inlineStr">
        <is>
          <t xml:space="preserve">  ↳ RA2Patriot</t>
        </is>
      </c>
      <c r="C181" s="7" t="inlineStr">
        <is>
          <t>Armament</t>
        </is>
      </c>
      <c r="L181" s="6" t="n">
        <v>10000</v>
      </c>
      <c r="M181" s="6" t="n">
        <v>30</v>
      </c>
      <c r="N181" s="6" t="n">
        <v>2</v>
      </c>
      <c r="O181" s="6" t="n">
        <v>6</v>
      </c>
      <c r="P181" s="6" t="n">
        <v>14150</v>
      </c>
      <c r="Q181" s="6" t="n">
        <v>1</v>
      </c>
      <c r="R181">
        <f>M181+IF(N181&gt;1,N(O181)*(N181-1),0)</f>
        <v/>
      </c>
      <c r="S181">
        <f>IFERROR(L181*MAX(N181,1)/R181*Q181*IF(ISBLANK(K180),1,K180),0)</f>
        <v/>
      </c>
      <c r="AB181" s="7" t="inlineStr">
        <is>
          <t>^RA2MediumMissile</t>
        </is>
      </c>
    </row>
    <row r="182">
      <c r="B182" s="7" t="inlineStr">
        <is>
          <t xml:space="preserve">  ↳ RA2PatriotThunderboltMissile</t>
        </is>
      </c>
      <c r="C182" s="7" t="inlineStr">
        <is>
          <t>Armament@missileeliteThunderbolt</t>
        </is>
      </c>
      <c r="L182" s="6" t="n">
        <v>2000</v>
      </c>
      <c r="M182" s="6" t="n">
        <v>30</v>
      </c>
      <c r="N182" s="6" t="n">
        <v>2</v>
      </c>
      <c r="O182" s="6" t="n">
        <v>6</v>
      </c>
      <c r="P182" s="6" t="n">
        <v>14150</v>
      </c>
      <c r="Q182" s="6" t="n">
        <v>1.05</v>
      </c>
      <c r="R182">
        <f>M182+IF(N182&gt;1,N(O182)*(N182-1),0)</f>
        <v/>
      </c>
      <c r="S182">
        <f>IFERROR(L182*MAX(N182,1)/R182*Q182*IF(ISBLANK(K180),1,K180),0)</f>
        <v/>
      </c>
      <c r="AB182" s="7" t="inlineStr">
        <is>
          <t>^HeavyMissile, ^HeavyAAWeapon, ^MediumMissile, ^FlakWeapon, ^ArrowWeapon, ^RA2LightMissile</t>
        </is>
      </c>
    </row>
    <row r="183">
      <c r="A183" t="inlineStr">
        <is>
          <t>redalert2</t>
        </is>
      </c>
      <c r="B183" t="inlineStr">
        <is>
          <t>ra2_soviets_flakcannon</t>
        </is>
      </c>
      <c r="C183" t="inlineStr">
        <is>
          <t>Flak Cannon</t>
        </is>
      </c>
      <c r="D183" s="6" t="inlineStr">
        <is>
          <t>AntiAirDefense</t>
        </is>
      </c>
      <c r="E183" s="6" t="n">
        <v>60000</v>
      </c>
      <c r="F183" s="6" t="n">
        <v>100</v>
      </c>
      <c r="G183" t="inlineStr">
        <is>
          <t>Concrete</t>
        </is>
      </c>
      <c r="H183" s="6" t="n">
        <v>1</v>
      </c>
      <c r="I183" s="6" t="n">
        <v>0.225</v>
      </c>
      <c r="J183" s="6" t="n">
        <v>1</v>
      </c>
      <c r="K183" s="6" t="n"/>
      <c r="P183">
        <f>MAX(P184)</f>
        <v/>
      </c>
      <c r="S183">
        <f>S184</f>
        <v/>
      </c>
      <c r="T183">
        <f>(E183/100000+F183/100+(P183/1000)*J183/5+S183/200)*200*I183*H183</f>
        <v/>
      </c>
      <c r="U183">
        <f>((E183*F183/25000)+((P183/1000)*J183*S183/2.5))*I183*H183</f>
        <v/>
      </c>
      <c r="V183">
        <f>(E183*F183*(P183/1000)*J183*S183*I183*H183)/12500000</f>
        <v/>
      </c>
      <c r="W183">
        <f>(T183+U183+V183)/3</f>
        <v/>
      </c>
      <c r="X183" s="6" t="n">
        <v>700</v>
      </c>
      <c r="Y183">
        <f>IFERROR(W183-X183,"")</f>
        <v/>
      </c>
      <c r="Z183">
        <f>IFERROR(ABS(Y183)/MAX(X183,1),"")</f>
        <v/>
      </c>
      <c r="AA183">
        <f>IFERROR((X183-(((E183/100000+F183/100+S183/200)*200*I183*H183)+((E183*F183/25000)*I183*H183))/3)/(((J183/5)*200*I183*H183)+((J183*S183/2.5)*I183*H183)+((E183*F183*J183*S183*I183*H183)/12500000))/3*1000,"")</f>
        <v/>
      </c>
    </row>
    <row r="184">
      <c r="B184" s="7" t="inlineStr">
        <is>
          <t xml:space="preserve">  ↳ RA2TURRETFLAKAA</t>
        </is>
      </c>
      <c r="C184" s="7" t="inlineStr">
        <is>
          <t>Armament</t>
        </is>
      </c>
      <c r="L184" s="6" t="n">
        <v>10000</v>
      </c>
      <c r="M184" s="6" t="n">
        <v>15</v>
      </c>
      <c r="N184" s="6" t="n">
        <v>1</v>
      </c>
      <c r="O184" s="6" t="n"/>
      <c r="P184" s="6" t="n">
        <v>12936</v>
      </c>
      <c r="Q184" s="6" t="n">
        <v>1</v>
      </c>
      <c r="R184">
        <f>M184+IF(N184&gt;1,N(O184)*(N184-1),0)</f>
        <v/>
      </c>
      <c r="S184">
        <f>IFERROR(L184*MAX(N184,1)/R184*Q184*IF(ISBLANK(K183),1,K183),0)</f>
        <v/>
      </c>
      <c r="AB184" s="7" t="inlineStr">
        <is>
          <t>^RA2FlakWeapon</t>
        </is>
      </c>
    </row>
    <row r="185">
      <c r="A185" t="inlineStr">
        <is>
          <t>redalert2mod</t>
        </is>
      </c>
      <c r="B185" t="inlineStr">
        <is>
          <t>asianalliance_hyperionprojector</t>
        </is>
      </c>
      <c r="C185" t="inlineStr">
        <is>
          <t>Hyperion Projector</t>
        </is>
      </c>
      <c r="D185" s="6" t="inlineStr">
        <is>
          <t>AntiAirDefense</t>
        </is>
      </c>
      <c r="E185" s="6" t="n">
        <v>100000</v>
      </c>
      <c r="F185" s="6" t="n"/>
      <c r="G185" t="inlineStr">
        <is>
          <t>Concrete</t>
        </is>
      </c>
      <c r="H185" s="6" t="n">
        <v>1</v>
      </c>
      <c r="I185" s="6" t="n">
        <v>1</v>
      </c>
      <c r="J185" s="6" t="n">
        <v>1</v>
      </c>
      <c r="K185" s="6" t="n"/>
      <c r="X185" s="6" t="n">
        <v>1000</v>
      </c>
    </row>
    <row r="186">
      <c r="B186" s="7" t="inlineStr">
        <is>
          <t xml:space="preserve">  ↳ AAHyperionMagnet</t>
        </is>
      </c>
      <c r="C186" s="7" t="inlineStr">
        <is>
          <t>Armament@Normal</t>
        </is>
      </c>
      <c r="L186" s="6" t="n">
        <v>2000</v>
      </c>
      <c r="M186" s="6" t="n">
        <v>200</v>
      </c>
      <c r="N186" s="6" t="n">
        <v>100</v>
      </c>
      <c r="O186" s="6" t="n">
        <v>1</v>
      </c>
      <c r="P186" s="6" t="n">
        <v>9000</v>
      </c>
      <c r="Q186" s="6" t="n">
        <v>1</v>
      </c>
      <c r="R186">
        <f>M186+IF(N186&gt;1,N(O186)*(N186-1),0)</f>
        <v/>
      </c>
      <c r="S186">
        <f>IFERROR(L186*MAX(N186,1)/R186*Q186*IF(ISBLANK(K185),1,K185),0)</f>
        <v/>
      </c>
      <c r="AB186" s="7" t="inlineStr">
        <is>
          <t>^RA2LaserWeapon</t>
        </is>
      </c>
    </row>
    <row r="187">
      <c r="A187" t="inlineStr">
        <is>
          <t>redalert2mod</t>
        </is>
      </c>
      <c r="B187" t="inlineStr">
        <is>
          <t>asianalliance_pulsar</t>
        </is>
      </c>
      <c r="C187" t="inlineStr">
        <is>
          <t>Pulsar</t>
        </is>
      </c>
      <c r="D187" s="6" t="inlineStr">
        <is>
          <t>AntiAirDefense</t>
        </is>
      </c>
      <c r="E187" s="6" t="n">
        <v>80000</v>
      </c>
      <c r="F187" s="6" t="n"/>
      <c r="G187" t="inlineStr">
        <is>
          <t>Concrete</t>
        </is>
      </c>
      <c r="H187" s="6" t="n">
        <v>1</v>
      </c>
      <c r="I187" s="6" t="n">
        <v>1</v>
      </c>
      <c r="J187" s="6" t="n">
        <v>1</v>
      </c>
      <c r="K187" s="6" t="n"/>
      <c r="X187" s="6" t="n">
        <v>900</v>
      </c>
    </row>
    <row r="188">
      <c r="B188" s="7" t="inlineStr">
        <is>
          <t xml:space="preserve">  ↳ AsianPhotonCannon</t>
        </is>
      </c>
      <c r="C188" s="7" t="inlineStr">
        <is>
          <t>Armament</t>
        </is>
      </c>
      <c r="L188" s="6" t="n">
        <v>2000</v>
      </c>
      <c r="M188" s="6" t="n">
        <v>13</v>
      </c>
      <c r="N188" s="6" t="n">
        <v>1</v>
      </c>
      <c r="O188" s="6" t="n"/>
      <c r="P188" s="6" t="n">
        <v>14000</v>
      </c>
      <c r="Q188" s="6" t="n">
        <v>1</v>
      </c>
      <c r="R188">
        <f>M188+IF(N188&gt;1,N(O188)*(N188-1),0)</f>
        <v/>
      </c>
      <c r="S188">
        <f>IFERROR(L188*MAX(N188,1)/R188*Q188*IF(ISBLANK(K187),1,K187),0)</f>
        <v/>
      </c>
      <c r="AB188" s="7" t="inlineStr">
        <is>
          <t>^MediumMissile, ^FlakWeapon, ^TeslaWeapon, ^MagicWeapon</t>
        </is>
      </c>
    </row>
    <row r="189">
      <c r="B189" s="7" t="inlineStr">
        <is>
          <t xml:space="preserve">  ↳ AsianPhotonCannonEMP</t>
        </is>
      </c>
      <c r="C189" s="7" t="inlineStr">
        <is>
          <t>Armament@Upgrade</t>
        </is>
      </c>
      <c r="L189" s="6" t="n">
        <v>2000</v>
      </c>
      <c r="M189" s="6" t="n">
        <v>13</v>
      </c>
      <c r="N189" s="6" t="n">
        <v>1</v>
      </c>
      <c r="O189" s="6" t="n"/>
      <c r="P189" s="6" t="n">
        <v>14000</v>
      </c>
      <c r="Q189" s="6" t="n">
        <v>1</v>
      </c>
      <c r="R189">
        <f>M189+IF(N189&gt;1,N(O189)*(N189-1),0)</f>
        <v/>
      </c>
      <c r="S189">
        <f>IFERROR(L189*MAX(N189,1)/R189*Q189*IF(ISBLANK(K187),1,K187),0)</f>
        <v/>
      </c>
      <c r="AB189" s="7" t="inlineStr">
        <is>
          <t>^MediumMissile, ^FlakWeapon, ^TeslaWeapon, ^MagicWeapon</t>
        </is>
      </c>
    </row>
    <row r="190">
      <c r="A190" t="inlineStr">
        <is>
          <t>redalert2mod</t>
        </is>
      </c>
      <c r="B190" t="inlineStr">
        <is>
          <t>steelconsortium_antiairquantummissileturret</t>
        </is>
      </c>
      <c r="C190" t="inlineStr">
        <is>
          <t>Anti Air Quantum Missile Turret</t>
        </is>
      </c>
      <c r="D190" s="6" t="inlineStr">
        <is>
          <t>AntiAirDefense</t>
        </is>
      </c>
      <c r="E190" s="6" t="n">
        <v>121000</v>
      </c>
      <c r="F190" s="6" t="n"/>
      <c r="G190" t="inlineStr">
        <is>
          <t>Concrete</t>
        </is>
      </c>
      <c r="H190" s="6" t="n">
        <v>1</v>
      </c>
      <c r="I190" s="6" t="n">
        <v>1</v>
      </c>
      <c r="J190" s="6" t="n">
        <v>1</v>
      </c>
      <c r="K190" s="6" t="n"/>
      <c r="X190" s="6" t="n">
        <v>1000</v>
      </c>
    </row>
    <row r="191">
      <c r="B191" s="7" t="inlineStr">
        <is>
          <t xml:space="preserve">  ↳ GLStingerTargeting</t>
        </is>
      </c>
      <c r="C191" s="7" t="inlineStr">
        <is>
          <t>Armament@DroneTargeting</t>
        </is>
      </c>
      <c r="L191" s="6" t="n"/>
      <c r="M191" s="6" t="n">
        <v>25</v>
      </c>
      <c r="N191" s="6" t="n">
        <v>1</v>
      </c>
      <c r="O191" s="6" t="n"/>
      <c r="P191" s="6" t="n">
        <v>15000</v>
      </c>
      <c r="Q191" s="6" t="n">
        <v>1</v>
      </c>
      <c r="R191">
        <f>M191+IF(N191&gt;1,N(O191)*(N191-1),0)</f>
        <v/>
      </c>
      <c r="S191">
        <f>IFERROR(L191*MAX(N191,1)/R191*Q191*IF(ISBLANK(K190),1,K190),0)</f>
        <v/>
      </c>
      <c r="AB191" s="7" t="inlineStr"/>
    </row>
    <row r="192">
      <c r="B192" s="7" t="inlineStr">
        <is>
          <t xml:space="preserve">  ↳ ConsortiumMissileSystem</t>
        </is>
      </c>
      <c r="C192" s="7" t="inlineStr">
        <is>
          <t>Armament</t>
        </is>
      </c>
      <c r="L192" s="6" t="n">
        <v>6000</v>
      </c>
      <c r="M192" s="6" t="n">
        <v>60</v>
      </c>
      <c r="N192" s="6" t="n">
        <v>2</v>
      </c>
      <c r="O192" s="6" t="n">
        <v>10</v>
      </c>
      <c r="P192" s="6" t="n">
        <v>12000</v>
      </c>
      <c r="Q192" s="6" t="n">
        <v>1</v>
      </c>
      <c r="R192">
        <f>M192+IF(N192&gt;1,N(O192)*(N192-1),0)</f>
        <v/>
      </c>
      <c r="S192">
        <f>IFERROR(L192*MAX(N192,1)/R192*Q192*IF(ISBLANK(K190),1,K190),0)</f>
        <v/>
      </c>
      <c r="AB192" s="7" t="inlineStr">
        <is>
          <t>^TeslaWeapon, ^ArrowWeapon, ^RA2FlakWeapon, ^SteelMediumMissile</t>
        </is>
      </c>
    </row>
    <row r="193">
      <c r="B193" s="7" t="inlineStr">
        <is>
          <t xml:space="preserve">  ↳ ConsortiumMissileSystemEMP</t>
        </is>
      </c>
      <c r="C193" s="7" t="inlineStr">
        <is>
          <t>Armament@Upgrade</t>
        </is>
      </c>
      <c r="L193" s="6" t="n">
        <v>6000</v>
      </c>
      <c r="M193" s="6" t="n">
        <v>60</v>
      </c>
      <c r="N193" s="6" t="n">
        <v>2</v>
      </c>
      <c r="O193" s="6" t="n">
        <v>10</v>
      </c>
      <c r="P193" s="6" t="n">
        <v>12000</v>
      </c>
      <c r="Q193" s="6" t="n">
        <v>1</v>
      </c>
      <c r="R193">
        <f>M193+IF(N193&gt;1,N(O193)*(N193-1),0)</f>
        <v/>
      </c>
      <c r="S193">
        <f>IFERROR(L193*MAX(N193,1)/R193*Q193*IF(ISBLANK(K190),1,K190),0)</f>
        <v/>
      </c>
      <c r="AB193" s="7" t="inlineStr">
        <is>
          <t>^TeslaWeapon, ^ArrowWeapon, ^RA2FlakWeapon, ^SteelMediumMissile</t>
        </is>
      </c>
    </row>
    <row r="194">
      <c r="A194" t="inlineStr">
        <is>
          <t>redalert2mod</t>
        </is>
      </c>
      <c r="B194" t="inlineStr">
        <is>
          <t>latinsyndicate_latinaadefender</t>
        </is>
      </c>
      <c r="C194" t="inlineStr">
        <is>
          <t>Latin AA Defender</t>
        </is>
      </c>
      <c r="D194" s="6" t="inlineStr">
        <is>
          <t>AntiAirDefense</t>
        </is>
      </c>
      <c r="E194" s="6" t="n">
        <v>132500</v>
      </c>
      <c r="F194" s="6" t="n"/>
      <c r="G194" t="inlineStr">
        <is>
          <t>Concrete</t>
        </is>
      </c>
      <c r="H194" s="6" t="n">
        <v>1</v>
      </c>
      <c r="I194" s="6" t="n">
        <v>1</v>
      </c>
      <c r="J194" s="6" t="n">
        <v>1</v>
      </c>
      <c r="K194" s="6" t="n"/>
      <c r="X194" s="6" t="n">
        <v>1500</v>
      </c>
    </row>
    <row r="195">
      <c r="B195" s="7" t="inlineStr">
        <is>
          <t xml:space="preserve">  ↳ LatinAADefenderCannon</t>
        </is>
      </c>
      <c r="C195" s="7" t="inlineStr">
        <is>
          <t>Armament@1</t>
        </is>
      </c>
      <c r="L195" s="6" t="n">
        <v>2000</v>
      </c>
      <c r="M195" s="6" t="n">
        <v>20</v>
      </c>
      <c r="N195" s="6" t="n">
        <v>2</v>
      </c>
      <c r="O195" s="6" t="n">
        <v>0</v>
      </c>
      <c r="P195" s="6" t="n">
        <v>15000</v>
      </c>
      <c r="Q195" s="6" t="n">
        <v>1</v>
      </c>
      <c r="R195">
        <f>M195+IF(N195&gt;1,N(O195)*(N195-1),0)</f>
        <v/>
      </c>
      <c r="S195">
        <f>IFERROR(L195*MAX(N195,1)/R195*Q195*IF(ISBLANK(K194),1,K194),0)</f>
        <v/>
      </c>
      <c r="AB195" s="7" t="inlineStr">
        <is>
          <t>^MediumMissile, ^RA2FlakWeapon</t>
        </is>
      </c>
    </row>
    <row r="196">
      <c r="B196" s="7" t="inlineStr">
        <is>
          <t xml:space="preserve">  ↳ LatinAADefenderCannon</t>
        </is>
      </c>
      <c r="C196" s="7" t="inlineStr">
        <is>
          <t>Armament@2</t>
        </is>
      </c>
      <c r="L196" s="6" t="n">
        <v>2000</v>
      </c>
      <c r="M196" s="6" t="n">
        <v>20</v>
      </c>
      <c r="N196" s="6" t="n">
        <v>2</v>
      </c>
      <c r="O196" s="6" t="n">
        <v>0</v>
      </c>
      <c r="P196" s="6" t="n">
        <v>15000</v>
      </c>
      <c r="Q196" s="6" t="n">
        <v>1</v>
      </c>
      <c r="R196">
        <f>M196+IF(N196&gt;1,N(O196)*(N196-1),0)</f>
        <v/>
      </c>
      <c r="S196">
        <f>IFERROR(L196*MAX(N196,1)/R196*Q196*IF(ISBLANK(K194),1,K194),0)</f>
        <v/>
      </c>
      <c r="AB196" s="7" t="inlineStr">
        <is>
          <t>^MediumMissile, ^RA2FlakWeapon</t>
        </is>
      </c>
    </row>
    <row r="197">
      <c r="A197" t="inlineStr">
        <is>
          <t>redalert2mod</t>
        </is>
      </c>
      <c r="B197" t="inlineStr">
        <is>
          <t>tkm_quadturretbunker</t>
        </is>
      </c>
      <c r="C197" t="inlineStr">
        <is>
          <t>TKM Quad Turret Bunker</t>
        </is>
      </c>
      <c r="D197" s="6" t="inlineStr">
        <is>
          <t>AntiAirDefense</t>
        </is>
      </c>
      <c r="E197" s="6" t="n">
        <v>85000</v>
      </c>
      <c r="F197" s="6" t="n">
        <v>100</v>
      </c>
      <c r="G197" t="inlineStr">
        <is>
          <t>Concrete</t>
        </is>
      </c>
      <c r="H197" s="6" t="n">
        <v>1</v>
      </c>
      <c r="I197" s="6" t="n">
        <v>1</v>
      </c>
      <c r="J197" s="6" t="n">
        <v>1</v>
      </c>
      <c r="K197" s="6" t="n"/>
      <c r="P197">
        <f>MAX(P198)</f>
        <v/>
      </c>
      <c r="S197">
        <f>S198</f>
        <v/>
      </c>
      <c r="T197">
        <f>(E197/100000+F197/100+(P197/1000)*J197/5+S197/200)*200*I197*H197</f>
        <v/>
      </c>
      <c r="U197">
        <f>((E197*F197/25000)+((P197/1000)*J197*S197/2.5))*I197*H197</f>
        <v/>
      </c>
      <c r="V197">
        <f>(E197*F197*(P197/1000)*J197*S197*I197*H197)/12500000</f>
        <v/>
      </c>
      <c r="W197">
        <f>(T197+U197+V197)/3</f>
        <v/>
      </c>
      <c r="X197" s="6" t="n">
        <v>900</v>
      </c>
      <c r="Y197">
        <f>IFERROR(W197-X197,"")</f>
        <v/>
      </c>
      <c r="Z197">
        <f>IFERROR(ABS(Y197)/MAX(X197,1),"")</f>
        <v/>
      </c>
      <c r="AA197">
        <f>IFERROR((X197-(((E197/100000+F197/100+S197/200)*200*I197*H197)+((E197*F197/25000)*I197*H197))/3)/(((J197/5)*200*I197*H197)+((J197*S197/2.5)*I197*H197)+((E197*F197*J197*S197*I197*H197)/12500000))/3*1000,"")</f>
        <v/>
      </c>
    </row>
    <row r="198">
      <c r="B198" s="7" t="inlineStr">
        <is>
          <t xml:space="preserve">  ↳ TKMAATurretCannon</t>
        </is>
      </c>
      <c r="C198" s="7" t="inlineStr">
        <is>
          <t>Armament@AA</t>
        </is>
      </c>
      <c r="L198" s="6" t="n">
        <v>2000</v>
      </c>
      <c r="M198" s="6" t="n">
        <v>5</v>
      </c>
      <c r="N198" s="6" t="n">
        <v>1</v>
      </c>
      <c r="O198" s="6" t="n"/>
      <c r="P198" s="6" t="n">
        <v>11604</v>
      </c>
      <c r="Q198" s="6" t="n">
        <v>1</v>
      </c>
      <c r="R198">
        <f>M198+IF(N198&gt;1,N(O198)*(N198-1),0)</f>
        <v/>
      </c>
      <c r="S198">
        <f>IFERROR(L198*MAX(N198,1)/R198*Q198*IF(ISBLANK(K197),1,K197),0)</f>
        <v/>
      </c>
      <c r="AB198" s="7" t="inlineStr">
        <is>
          <t>^MediumMissile, ^FlakWeapon</t>
        </is>
      </c>
    </row>
    <row r="199">
      <c r="A199" t="inlineStr">
        <is>
          <t>starcraft</t>
        </is>
      </c>
      <c r="B199" t="inlineStr">
        <is>
          <t>protoss_photoncannon</t>
        </is>
      </c>
      <c r="C199" t="inlineStr">
        <is>
          <t>Photon Cannon</t>
        </is>
      </c>
      <c r="D199" s="6" t="inlineStr">
        <is>
          <t>AntiAirDefense</t>
        </is>
      </c>
      <c r="E199" s="6" t="n">
        <v>200000</v>
      </c>
      <c r="F199" s="6" t="n">
        <v>100</v>
      </c>
      <c r="G199" t="inlineStr">
        <is>
          <t>Concrete</t>
        </is>
      </c>
      <c r="H199" s="6" t="n">
        <v>1</v>
      </c>
      <c r="I199" s="6" t="n">
        <v>0.325</v>
      </c>
      <c r="J199" s="6" t="n">
        <v>1</v>
      </c>
      <c r="K199" s="6" t="n"/>
      <c r="P199">
        <f>MAX(P200)</f>
        <v/>
      </c>
      <c r="S199">
        <f>S200</f>
        <v/>
      </c>
      <c r="T199">
        <f>(E199/100000+F199/100+(P199/1000)*J199/5+S199/200)*200*I199*H199</f>
        <v/>
      </c>
      <c r="U199">
        <f>((E199*F199/25000)+((P199/1000)*J199*S199/2.5))*I199*H199</f>
        <v/>
      </c>
      <c r="V199">
        <f>(E199*F199*(P199/1000)*J199*S199*I199*H199)/12500000</f>
        <v/>
      </c>
      <c r="W199">
        <f>(T199+U199+V199)/3</f>
        <v/>
      </c>
      <c r="X199" s="6" t="n">
        <v>2000</v>
      </c>
      <c r="Y199">
        <f>IFERROR(W199-X199,"")</f>
        <v/>
      </c>
      <c r="Z199">
        <f>IFERROR(ABS(Y199)/MAX(X199,1),"")</f>
        <v/>
      </c>
      <c r="AA199">
        <f>IFERROR((X199-(((E199/100000+F199/100+S199/200)*200*I199*H199)+((E199*F199/25000)*I199*H199))/3)/(((J199/5)*200*I199*H199)+((J199*S199/2.5)*I199*H199)+((E199*F199*J199*S199*I199*H199)/12500000))/3*1000,"")</f>
        <v/>
      </c>
    </row>
    <row r="200">
      <c r="B200" s="7" t="inlineStr">
        <is>
          <t xml:space="preserve">  ↳ PhotonCannon</t>
        </is>
      </c>
      <c r="C200" s="7" t="inlineStr">
        <is>
          <t>Armament</t>
        </is>
      </c>
      <c r="L200" s="6" t="n">
        <v>10000</v>
      </c>
      <c r="M200" s="6" t="n">
        <v>28</v>
      </c>
      <c r="N200" s="6" t="n">
        <v>1</v>
      </c>
      <c r="O200" s="6" t="n"/>
      <c r="P200" s="6" t="n">
        <v>8228</v>
      </c>
      <c r="Q200" s="6" t="n">
        <v>1.083333333333333</v>
      </c>
      <c r="R200">
        <f>M200+IF(N200&gt;1,N(O200)*(N200-1),0)</f>
        <v/>
      </c>
      <c r="S200">
        <f>IFERROR(L200*MAX(N200,1)/R200*Q200*IF(ISBLANK(K199),1,K199),0)</f>
        <v/>
      </c>
      <c r="AB200" s="7" t="inlineStr">
        <is>
          <t>^FlakWeapon, ^HeavyCannon, ^MediumCannon, ^TankDestroyerCannon</t>
        </is>
      </c>
    </row>
    <row r="201">
      <c r="A201" t="inlineStr">
        <is>
          <t>starcraft</t>
        </is>
      </c>
      <c r="B201" t="inlineStr">
        <is>
          <t>terran_missileturret</t>
        </is>
      </c>
      <c r="C201" t="inlineStr">
        <is>
          <t>Missile Turret</t>
        </is>
      </c>
      <c r="D201" s="6" t="inlineStr">
        <is>
          <t>AntiAirDefense</t>
        </is>
      </c>
      <c r="E201" s="6" t="n">
        <v>200000</v>
      </c>
      <c r="F201" s="6" t="n">
        <v>100</v>
      </c>
      <c r="G201" t="inlineStr">
        <is>
          <t>Concrete</t>
        </is>
      </c>
      <c r="H201" s="6" t="n">
        <v>1</v>
      </c>
      <c r="I201" s="6" t="n">
        <v>0.225</v>
      </c>
      <c r="J201" s="6" t="n">
        <v>1</v>
      </c>
      <c r="K201" s="6" t="n"/>
      <c r="P201">
        <f>MAX(P202,P203)</f>
        <v/>
      </c>
      <c r="S201">
        <f>S202+S203</f>
        <v/>
      </c>
      <c r="T201">
        <f>(E201/100000+F201/100+(P201/1000)*J201/5+S201/200)*200*I201*H201</f>
        <v/>
      </c>
      <c r="U201">
        <f>((E201*F201/25000)+((P201/1000)*J201*S201/2.5))*I201*H201</f>
        <v/>
      </c>
      <c r="V201">
        <f>(E201*F201*(P201/1000)*J201*S201*I201*H201)/12500000</f>
        <v/>
      </c>
      <c r="W201">
        <f>(T201+U201+V201)/3</f>
        <v/>
      </c>
      <c r="X201" s="6" t="n">
        <v>1200</v>
      </c>
      <c r="Y201">
        <f>IFERROR(W201-X201,"")</f>
        <v/>
      </c>
      <c r="Z201">
        <f>IFERROR(ABS(Y201)/MAX(X201,1),"")</f>
        <v/>
      </c>
      <c r="AA201">
        <f>IFERROR((X201-(((E201/100000+F201/100+S201/200)*200*I201*H201)+((E201*F201/25000)*I201*H201))/3)/(((J201/5)*200*I201*H201)+((J201*S201/2.5)*I201*H201)+((E201*F201*J201*S201*I201*H201)/12500000))/3*1000,"")</f>
        <v/>
      </c>
    </row>
    <row r="202">
      <c r="B202" s="7" t="inlineStr">
        <is>
          <t xml:space="preserve">  ↳ MissileTurret</t>
        </is>
      </c>
      <c r="C202" s="7" t="inlineStr">
        <is>
          <t>Armament@1</t>
        </is>
      </c>
      <c r="L202" s="6" t="n">
        <v>4000</v>
      </c>
      <c r="M202" s="6" t="n">
        <v>30</v>
      </c>
      <c r="N202" s="6" t="n">
        <v>1</v>
      </c>
      <c r="O202" s="6" t="n"/>
      <c r="P202" s="6" t="n">
        <v>11626</v>
      </c>
      <c r="Q202" s="6" t="n">
        <v>0.9375</v>
      </c>
      <c r="R202">
        <f>M202+IF(N202&gt;1,N(O202)*(N202-1),0)</f>
        <v/>
      </c>
      <c r="S202">
        <f>IFERROR(L202*MAX(N202,1)/R202*Q202*IF(ISBLANK(K201),1,K201),0)</f>
        <v/>
      </c>
      <c r="AB202" s="7" t="inlineStr">
        <is>
          <t>^Chaingun, ^FlakWeapon, ^LightMissile, ^MediumMissile, ^D2KRocket</t>
        </is>
      </c>
    </row>
    <row r="203">
      <c r="B203" s="7" t="inlineStr">
        <is>
          <t xml:space="preserve">  ↳ MissileTurret</t>
        </is>
      </c>
      <c r="C203" s="7" t="inlineStr">
        <is>
          <t>Armament@2</t>
        </is>
      </c>
      <c r="L203" s="6" t="n">
        <v>4000</v>
      </c>
      <c r="M203" s="6" t="n">
        <v>30</v>
      </c>
      <c r="N203" s="6" t="n">
        <v>1</v>
      </c>
      <c r="O203" s="6" t="n"/>
      <c r="P203" s="6" t="n">
        <v>11626</v>
      </c>
      <c r="Q203" s="6" t="n">
        <v>0.9375</v>
      </c>
      <c r="R203">
        <f>M203+IF(N203&gt;1,N(O203)*(N203-1),0)</f>
        <v/>
      </c>
      <c r="S203">
        <f>IFERROR(L203*MAX(N203,1)/R203*Q203*IF(ISBLANK(K201),1,K201),0)</f>
        <v/>
      </c>
      <c r="AB203" s="7" t="inlineStr">
        <is>
          <t>^Chaingun, ^FlakWeapon, ^LightMissile, ^MediumMissile, ^D2KRocket</t>
        </is>
      </c>
    </row>
    <row r="204">
      <c r="A204" s="4" t="inlineStr">
        <is>
          <t>AdvancedDefense</t>
        </is>
      </c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</row>
    <row r="205">
      <c r="A205" t="inlineStr">
        <is>
          <t>tiberiandawn</t>
        </is>
      </c>
      <c r="B205" t="inlineStr">
        <is>
          <t>td_gdi_advancedguardtower</t>
        </is>
      </c>
      <c r="C205" t="inlineStr">
        <is>
          <t>Advanced Guard Tower</t>
        </is>
      </c>
      <c r="D205" s="6" t="inlineStr">
        <is>
          <t>AdvancedDefense</t>
        </is>
      </c>
      <c r="E205" s="6" t="n">
        <v>140000</v>
      </c>
      <c r="F205" s="6" t="n"/>
      <c r="G205" t="inlineStr">
        <is>
          <t>Steel</t>
        </is>
      </c>
      <c r="H205" s="6" t="n">
        <v>1</v>
      </c>
      <c r="I205" s="6" t="n">
        <v>0.325</v>
      </c>
      <c r="J205" s="6" t="n">
        <v>1</v>
      </c>
      <c r="K205" s="6" t="n"/>
      <c r="X205" s="6" t="n">
        <v>1600</v>
      </c>
    </row>
    <row r="206">
      <c r="B206" s="7" t="inlineStr">
        <is>
          <t xml:space="preserve">  ↳ TowerMissile</t>
        </is>
      </c>
      <c r="C206" s="7" t="inlineStr">
        <is>
          <t>Armament@PRIMARY</t>
        </is>
      </c>
      <c r="L206" s="6" t="n">
        <v>2000</v>
      </c>
      <c r="M206" s="6" t="n">
        <v>25</v>
      </c>
      <c r="N206" s="6" t="n">
        <v>2</v>
      </c>
      <c r="O206" s="6" t="n">
        <v>5</v>
      </c>
      <c r="P206" s="6" t="n">
        <v>8772</v>
      </c>
      <c r="Q206" s="6" t="n">
        <v>1.083333333333333</v>
      </c>
      <c r="R206">
        <f>M206+IF(N206&gt;1,N(O206)*(N206-1),0)</f>
        <v/>
      </c>
      <c r="S206">
        <f>IFERROR(L206*MAX(N206,1)/R206*Q206*IF(ISBLANK(K205),1,K205),0)</f>
        <v/>
      </c>
      <c r="AB206" s="7" t="inlineStr">
        <is>
          <t>^TankDestroyerCannon, ^Grenade, ^ShrapnelWeapon, ^FlakWeapon, ^HeavyAAWeapon, ^HeavyMissile, ^MediumMissile</t>
        </is>
      </c>
    </row>
    <row r="207">
      <c r="B207" s="7" t="inlineStr">
        <is>
          <t xml:space="preserve">  ↳ TowerMissileAMT</t>
        </is>
      </c>
      <c r="C207" s="7" t="inlineStr">
        <is>
          <t>Armament@AdvancedMissileTargeting</t>
        </is>
      </c>
      <c r="L207" s="6" t="n">
        <v>2000</v>
      </c>
      <c r="M207" s="6" t="n">
        <v>25</v>
      </c>
      <c r="N207" s="6" t="n">
        <v>2</v>
      </c>
      <c r="O207" s="6" t="n">
        <v>5</v>
      </c>
      <c r="P207" s="6" t="n">
        <v>8772</v>
      </c>
      <c r="Q207" s="6" t="n">
        <v>1.083333333333333</v>
      </c>
      <c r="R207">
        <f>M207+IF(N207&gt;1,N(O207)*(N207-1),0)</f>
        <v/>
      </c>
      <c r="S207">
        <f>IFERROR(L207*MAX(N207,1)/R207*Q207*IF(ISBLANK(K205),1,K205),0)</f>
        <v/>
      </c>
      <c r="AB207" s="7" t="inlineStr">
        <is>
          <t>^TankDestroyerCannon, ^Grenade, ^ShrapnelWeapon, ^FlakWeapon, ^HeavyAAWeapon, ^HeavyMissile, ^MediumMissile, ^AMTProjectile</t>
        </is>
      </c>
    </row>
    <row r="208">
      <c r="A208" t="inlineStr">
        <is>
          <t>tiberiandawn</t>
        </is>
      </c>
      <c r="B208" t="inlineStr">
        <is>
          <t>td_nod_obeliskoflight</t>
        </is>
      </c>
      <c r="C208" t="inlineStr">
        <is>
          <t>Obelisk of Light</t>
        </is>
      </c>
      <c r="D208" s="6" t="inlineStr">
        <is>
          <t>AdvancedDefense</t>
        </is>
      </c>
      <c r="E208" s="6" t="n">
        <v>242500</v>
      </c>
      <c r="F208" s="6" t="n"/>
      <c r="G208" t="inlineStr">
        <is>
          <t>Steel</t>
        </is>
      </c>
      <c r="H208" s="6" t="n">
        <v>1</v>
      </c>
      <c r="I208" s="6" t="n">
        <v>1</v>
      </c>
      <c r="J208" s="6" t="n">
        <v>1</v>
      </c>
      <c r="K208" s="6" t="n">
        <v>1.6</v>
      </c>
      <c r="X208" s="6" t="n">
        <v>1800</v>
      </c>
    </row>
    <row r="209">
      <c r="B209" s="7" t="inlineStr">
        <is>
          <t xml:space="preserve">  ↳ LaserObelisk</t>
        </is>
      </c>
      <c r="C209" s="7" t="inlineStr">
        <is>
          <t>Armament</t>
        </is>
      </c>
      <c r="L209" s="6" t="n">
        <v>96000</v>
      </c>
      <c r="M209" s="6" t="n">
        <v>96</v>
      </c>
      <c r="N209" s="6" t="n">
        <v>1</v>
      </c>
      <c r="O209" s="6" t="n"/>
      <c r="P209" s="6" t="n">
        <v>9600</v>
      </c>
      <c r="Q209" s="6" t="n">
        <v>1</v>
      </c>
      <c r="R209">
        <f>M209+IF(N209&gt;1,N(O209)*(N209-1),0)</f>
        <v/>
      </c>
      <c r="S209">
        <f>IFERROR(L209*MAX(N209,1)/R209*Q209*IF(ISBLANK(K208),1,K208),0)</f>
        <v/>
      </c>
      <c r="AB209" s="7" t="inlineStr">
        <is>
          <t>^LaserWeapon</t>
        </is>
      </c>
    </row>
    <row r="210">
      <c r="A210" t="inlineStr">
        <is>
          <t>redalert</t>
        </is>
      </c>
      <c r="B210" t="inlineStr">
        <is>
          <t>japan_ballistatower</t>
        </is>
      </c>
      <c r="C210" t="inlineStr">
        <is>
          <t>Ballista Tower</t>
        </is>
      </c>
      <c r="D210" s="6" t="inlineStr">
        <is>
          <t>AdvancedDefense</t>
        </is>
      </c>
      <c r="E210" s="6" t="n">
        <v>190000</v>
      </c>
      <c r="F210" s="6" t="n">
        <v>100</v>
      </c>
      <c r="G210" t="inlineStr">
        <is>
          <t>Steel</t>
        </is>
      </c>
      <c r="H210" s="6" t="n">
        <v>1</v>
      </c>
      <c r="I210" s="6" t="n">
        <v>0.325</v>
      </c>
      <c r="J210" s="6" t="n">
        <v>1</v>
      </c>
      <c r="K210" s="6" t="n">
        <v>0.75</v>
      </c>
      <c r="P210">
        <f>MAX(P211,P212,P213,P214)</f>
        <v/>
      </c>
      <c r="S210">
        <f>S211+S212+S213+S214</f>
        <v/>
      </c>
      <c r="T210">
        <f>(E210/100000+F210/100+(P210/1000)*J210/5+S210/200)*200*I210*H210</f>
        <v/>
      </c>
      <c r="U210">
        <f>((E210*F210/25000)+((P210/1000)*J210*S210/2.5))*I210*H210</f>
        <v/>
      </c>
      <c r="V210">
        <f>(E210*F210*(P210/1000)*J210*S210*I210*H210)/12500000</f>
        <v/>
      </c>
      <c r="W210">
        <f>(T210+U210+V210)/3</f>
        <v/>
      </c>
      <c r="X210" s="6" t="n">
        <v>1400</v>
      </c>
      <c r="Y210">
        <f>IFERROR(W210-X210,"")</f>
        <v/>
      </c>
      <c r="Z210">
        <f>IFERROR(ABS(Y210)/MAX(X210,1),"")</f>
        <v/>
      </c>
      <c r="AA210">
        <f>IFERROR((X210-(((E210/100000+F210/100+S210/200)*200*I210*H210)+((E210*F210/25000)*I210*H210))/3)/(((J210/5)*200*I210*H210)+((J210*S210/2.5)*I210*H210)+((E210*F210*J210*S210*I210*H210)/12500000))/3*1000,"")</f>
        <v/>
      </c>
    </row>
    <row r="211">
      <c r="B211" s="7" t="inlineStr">
        <is>
          <t xml:space="preserve">  ↳ BallistaTowerMultiShot</t>
        </is>
      </c>
      <c r="C211" s="7" t="inlineStr">
        <is>
          <t>Armament@PRIMARY</t>
        </is>
      </c>
      <c r="L211" s="6" t="n">
        <v>10000</v>
      </c>
      <c r="M211" s="6" t="n">
        <v>176</v>
      </c>
      <c r="N211" s="6" t="n">
        <v>5</v>
      </c>
      <c r="O211" s="6" t="n">
        <v>6</v>
      </c>
      <c r="P211" s="6" t="n">
        <v>9214</v>
      </c>
      <c r="Q211" s="6" t="n">
        <v>0.8333333333333334</v>
      </c>
      <c r="R211">
        <f>M211+IF(N211&gt;1,N(O211)*(N211-1),0)</f>
        <v/>
      </c>
      <c r="S211">
        <f>IFERROR(L211*MAX(N211,1)/R211*Q211*IF(ISBLANK(K210),1,K210),0)</f>
        <v/>
      </c>
      <c r="AB211" s="7" t="inlineStr">
        <is>
          <t>^Grenade, ^LightFlameWeapon, ^LightChemicalWeapon, ^ArrowWeapon</t>
        </is>
      </c>
    </row>
    <row r="212">
      <c r="B212" s="7" t="inlineStr">
        <is>
          <t xml:space="preserve">  ↳ BallistaSingleShotAir</t>
        </is>
      </c>
      <c r="C212" s="7" t="inlineStr">
        <is>
          <t>Armament@AIR</t>
        </is>
      </c>
      <c r="L212" s="6" t="n">
        <v>160000</v>
      </c>
      <c r="M212" s="6" t="n">
        <v>200</v>
      </c>
      <c r="N212" s="6" t="n">
        <v>1</v>
      </c>
      <c r="O212" s="6" t="n"/>
      <c r="P212" s="6" t="n">
        <v>9214</v>
      </c>
      <c r="Q212" s="6" t="n">
        <v>1</v>
      </c>
      <c r="R212">
        <f>M212+IF(N212&gt;1,N(O212)*(N212-1),0)</f>
        <v/>
      </c>
      <c r="S212">
        <f>IFERROR(L212*MAX(N212,1)/R212*Q212*IF(ISBLANK(K210),1,K210),0)</f>
        <v/>
      </c>
      <c r="AB212" s="7" t="inlineStr">
        <is>
          <t>^ArrowWeapon</t>
        </is>
      </c>
    </row>
    <row r="213">
      <c r="B213" s="7" t="inlineStr">
        <is>
          <t xml:space="preserve">  ↳ BallistaTowerMultiShotEnergized</t>
        </is>
      </c>
      <c r="C213" s="7" t="inlineStr">
        <is>
          <t>Armament@Upgrade</t>
        </is>
      </c>
      <c r="L213" s="6" t="n">
        <v>10000</v>
      </c>
      <c r="M213" s="6" t="n">
        <v>176</v>
      </c>
      <c r="N213" s="6" t="n">
        <v>5</v>
      </c>
      <c r="O213" s="6" t="n">
        <v>6</v>
      </c>
      <c r="P213" s="6" t="n">
        <v>9214</v>
      </c>
      <c r="Q213" s="6" t="n">
        <v>1</v>
      </c>
      <c r="R213">
        <f>M213+IF(N213&gt;1,N(O213)*(N213-1),0)</f>
        <v/>
      </c>
      <c r="S213">
        <f>IFERROR(L213*MAX(N213,1)/R213*Q213*IF(ISBLANK(K210),1,K210),0)</f>
        <v/>
      </c>
      <c r="AB213" s="7" t="inlineStr">
        <is>
          <t>^TeslaWeapon, ^MediumFlameWeapon, ^MediumChemicalWeapon, ^ArrowWeapon</t>
        </is>
      </c>
    </row>
    <row r="214">
      <c r="B214" s="7" t="inlineStr">
        <is>
          <t xml:space="preserve">  ↳ BallistaSingleShotAirEnergized</t>
        </is>
      </c>
      <c r="C214" s="7" t="inlineStr">
        <is>
          <t>Armament@UpgradeAIR</t>
        </is>
      </c>
      <c r="L214" s="6" t="n">
        <v>20000</v>
      </c>
      <c r="M214" s="6" t="n">
        <v>200</v>
      </c>
      <c r="N214" s="6" t="n">
        <v>1</v>
      </c>
      <c r="O214" s="6" t="n"/>
      <c r="P214" s="6" t="n">
        <v>9214</v>
      </c>
      <c r="Q214" s="6" t="n">
        <v>0.9583333333333334</v>
      </c>
      <c r="R214">
        <f>M214+IF(N214&gt;1,N(O214)*(N214-1),0)</f>
        <v/>
      </c>
      <c r="S214">
        <f>IFERROR(L214*MAX(N214,1)/R214*Q214*IF(ISBLANK(K210),1,K210),0)</f>
        <v/>
      </c>
      <c r="AB214" s="7" t="inlineStr">
        <is>
          <t>^LightMissile, ^MediumFlameWeapon, ^MediumChemicalWeapon, ^ShrapnelWeapon, ^MediumMissile, ^TeslaWeapon, ^ArrowWeapon</t>
        </is>
      </c>
    </row>
    <row r="215">
      <c r="A215" t="inlineStr">
        <is>
          <t>redalert</t>
        </is>
      </c>
      <c r="B215" t="inlineStr">
        <is>
          <t>japan_waveforceturret</t>
        </is>
      </c>
      <c r="C215" t="inlineStr">
        <is>
          <t>Waveforce Turret</t>
        </is>
      </c>
      <c r="D215" s="6" t="inlineStr">
        <is>
          <t>AdvancedDefense</t>
        </is>
      </c>
      <c r="E215" s="6" t="n">
        <v>220000</v>
      </c>
      <c r="F215" s="6" t="n">
        <v>100</v>
      </c>
      <c r="G215" t="inlineStr">
        <is>
          <t>Steel</t>
        </is>
      </c>
      <c r="H215" s="6" t="n">
        <v>1</v>
      </c>
      <c r="I215" s="6" t="n">
        <v>0.325</v>
      </c>
      <c r="J215" s="6" t="n">
        <v>1.25</v>
      </c>
      <c r="K215" s="6" t="n">
        <v>0.5</v>
      </c>
      <c r="P215">
        <f>MAX(P216)</f>
        <v/>
      </c>
      <c r="S215">
        <f>S216</f>
        <v/>
      </c>
      <c r="T215">
        <f>(E215/100000+F215/100+(P215/1000)*J215/5+S215/200)*200*I215*H215</f>
        <v/>
      </c>
      <c r="U215">
        <f>((E215*F215/25000)+((P215/1000)*J215*S215/2.5))*I215*H215</f>
        <v/>
      </c>
      <c r="V215">
        <f>(E215*F215*(P215/1000)*J215*S215*I215*H215)/12500000</f>
        <v/>
      </c>
      <c r="W215">
        <f>(T215+U215+V215)/3</f>
        <v/>
      </c>
      <c r="X215" s="6" t="n">
        <v>3200</v>
      </c>
      <c r="Y215">
        <f>IFERROR(W215-X215,"")</f>
        <v/>
      </c>
      <c r="Z215">
        <f>IFERROR(ABS(Y215)/MAX(X215,1),"")</f>
        <v/>
      </c>
      <c r="AA215">
        <f>IFERROR((X215-(((E215/100000+F215/100+S215/200)*200*I215*H215)+((E215*F215/25000)*I215*H215))/3)/(((J215/5)*200*I215*H215)+((J215*S215/2.5)*I215*H215)+((E215*F215*J215*S215*I215*H215)/12500000))/3*1000,"")</f>
        <v/>
      </c>
    </row>
    <row r="216">
      <c r="B216" s="7" t="inlineStr">
        <is>
          <t xml:space="preserve">  ↳ WaveTurretShell</t>
        </is>
      </c>
      <c r="C216" s="7" t="inlineStr">
        <is>
          <t>Armament@WaveTurretShell</t>
        </is>
      </c>
      <c r="L216" s="6" t="n"/>
      <c r="M216" s="6" t="n">
        <v>100</v>
      </c>
      <c r="N216" s="6" t="n">
        <v>1</v>
      </c>
      <c r="O216" s="6" t="n"/>
      <c r="P216" s="6" t="n">
        <v>9825</v>
      </c>
      <c r="Q216" s="6" t="n">
        <v>1</v>
      </c>
      <c r="R216">
        <f>M216+IF(N216&gt;1,N(O216)*(N216-1),0)</f>
        <v/>
      </c>
      <c r="S216">
        <f>IFERROR(L216*MAX(N216,1)/R216*Q216*IF(ISBLANK(K215),1,K215),0)</f>
        <v/>
      </c>
      <c r="AB216" s="7" t="inlineStr">
        <is>
          <t>WaveArtilleryShell</t>
        </is>
      </c>
    </row>
    <row r="217">
      <c r="A217" t="inlineStr">
        <is>
          <t>redalert</t>
        </is>
      </c>
      <c r="B217" t="inlineStr">
        <is>
          <t>ra1_soviets_teslacoil</t>
        </is>
      </c>
      <c r="C217" t="inlineStr">
        <is>
          <t>Tesla Coil</t>
        </is>
      </c>
      <c r="D217" s="6" t="inlineStr">
        <is>
          <t>AdvancedDefense</t>
        </is>
      </c>
      <c r="E217" s="6" t="n">
        <v>90000</v>
      </c>
      <c r="F217" s="6" t="n">
        <v>100</v>
      </c>
      <c r="G217" t="inlineStr">
        <is>
          <t>Steel</t>
        </is>
      </c>
      <c r="H217" s="6" t="n">
        <v>1</v>
      </c>
      <c r="I217" s="6" t="n">
        <v>1</v>
      </c>
      <c r="J217" s="6" t="n">
        <v>1</v>
      </c>
      <c r="K217" s="6" t="n"/>
      <c r="P217">
        <f>MAX(P218,P219,P220)</f>
        <v/>
      </c>
      <c r="S217">
        <f>S218+S219+S220</f>
        <v/>
      </c>
      <c r="T217">
        <f>(E217/100000+F217/100+(P217/1000)*J217/5+S217/200)*200*I217*H217</f>
        <v/>
      </c>
      <c r="U217">
        <f>((E217*F217/25000)+((P217/1000)*J217*S217/2.5))*I217*H217</f>
        <v/>
      </c>
      <c r="V217">
        <f>(E217*F217*(P217/1000)*J217*S217*I217*H217)/12500000</f>
        <v/>
      </c>
      <c r="W217">
        <f>(T217+U217+V217)/3</f>
        <v/>
      </c>
      <c r="X217" s="6" t="n">
        <v>1500</v>
      </c>
      <c r="Y217">
        <f>IFERROR(W217-X217,"")</f>
        <v/>
      </c>
      <c r="Z217">
        <f>IFERROR(ABS(Y217)/MAX(X217,1),"")</f>
        <v/>
      </c>
      <c r="AA217">
        <f>IFERROR((X217-(((E217/100000+F217/100+S217/200)*200*I217*H217)+((E217*F217/25000)*I217*H217))/3)/(((J217/5)*200*I217*H217)+((J217*S217/2.5)*I217*H217)+((E217*F217*J217*S217*I217*H217)/12500000))/3*1000,"")</f>
        <v/>
      </c>
    </row>
    <row r="218">
      <c r="B218" s="7" t="inlineStr">
        <is>
          <t xml:space="preserve">  ↳ TeslaZap</t>
        </is>
      </c>
      <c r="C218" s="7" t="inlineStr">
        <is>
          <t>Armament</t>
        </is>
      </c>
      <c r="L218" s="6" t="n">
        <v>32000</v>
      </c>
      <c r="M218" s="6" t="n">
        <v>3</v>
      </c>
      <c r="N218" s="6" t="n">
        <v>1</v>
      </c>
      <c r="O218" s="6" t="n"/>
      <c r="P218" s="6" t="n">
        <v>9320</v>
      </c>
      <c r="Q218" s="6" t="n">
        <v>1</v>
      </c>
      <c r="R218">
        <f>M218+IF(N218&gt;1,N(O218)*(N218-1),0)</f>
        <v/>
      </c>
      <c r="S218">
        <f>IFERROR(L218*MAX(N218,1)/R218*Q218*IF(ISBLANK(K217),1,K217),0)</f>
        <v/>
      </c>
      <c r="AB218" s="7" t="inlineStr">
        <is>
          <t>^TeslaWeapon</t>
        </is>
      </c>
    </row>
    <row r="219">
      <c r="B219" s="7" t="inlineStr">
        <is>
          <t xml:space="preserve">  ↳ TeslaZapEMP</t>
        </is>
      </c>
      <c r="C219" s="7" t="inlineStr">
        <is>
          <t>Armament@Upgrade1</t>
        </is>
      </c>
      <c r="L219" s="6" t="n">
        <v>32000</v>
      </c>
      <c r="M219" s="6" t="n">
        <v>3</v>
      </c>
      <c r="N219" s="6" t="n">
        <v>1</v>
      </c>
      <c r="O219" s="6" t="n"/>
      <c r="P219" s="6" t="n">
        <v>9320</v>
      </c>
      <c r="Q219" s="6" t="n">
        <v>1</v>
      </c>
      <c r="R219">
        <f>M219+IF(N219&gt;1,N(O219)*(N219-1),0)</f>
        <v/>
      </c>
      <c r="S219">
        <f>IFERROR(L219*MAX(N219,1)/R219*Q219*IF(ISBLANK(K217),1,K217),0)</f>
        <v/>
      </c>
      <c r="AB219" s="7" t="inlineStr">
        <is>
          <t>^TeslaWeapon</t>
        </is>
      </c>
    </row>
    <row r="220">
      <c r="B220" s="7" t="inlineStr">
        <is>
          <t xml:space="preserve">  ↳ TeslaZapEMPArc</t>
        </is>
      </c>
      <c r="C220" s="7" t="inlineStr">
        <is>
          <t>Armament@Upgrade2</t>
        </is>
      </c>
      <c r="L220" s="6" t="n">
        <v>32000</v>
      </c>
      <c r="M220" s="6" t="n">
        <v>3</v>
      </c>
      <c r="N220" s="6" t="n">
        <v>1</v>
      </c>
      <c r="O220" s="6" t="n"/>
      <c r="P220" s="6" t="n">
        <v>9320</v>
      </c>
      <c r="Q220" s="6" t="n">
        <v>1</v>
      </c>
      <c r="R220">
        <f>M220+IF(N220&gt;1,N(O220)*(N220-1),0)</f>
        <v/>
      </c>
      <c r="S220">
        <f>IFERROR(L220*MAX(N220,1)/R220*Q220*IF(ISBLANK(K217),1,K217),0)</f>
        <v/>
      </c>
      <c r="AB220" s="7" t="inlineStr">
        <is>
          <t>^TeslaWeapon</t>
        </is>
      </c>
    </row>
    <row r="221">
      <c r="A221" t="inlineStr">
        <is>
          <t>redalert</t>
        </is>
      </c>
      <c r="B221" t="inlineStr">
        <is>
          <t>ra1_allies_bastionartillerybunker</t>
        </is>
      </c>
      <c r="C221" t="inlineStr">
        <is>
          <t>Bastion Artillery Bunker</t>
        </is>
      </c>
      <c r="D221" s="6" t="inlineStr">
        <is>
          <t>AdvancedDefense</t>
        </is>
      </c>
      <c r="E221" s="6" t="n">
        <v>350000</v>
      </c>
      <c r="F221" s="6" t="n">
        <v>100</v>
      </c>
      <c r="G221" t="inlineStr">
        <is>
          <t>Steel</t>
        </is>
      </c>
      <c r="H221" s="6" t="n">
        <v>1</v>
      </c>
      <c r="I221" s="6" t="n">
        <v>1</v>
      </c>
      <c r="J221" s="6" t="n">
        <v>1</v>
      </c>
      <c r="K221" s="6" t="n"/>
      <c r="P221">
        <f>MAX(P222,P223)</f>
        <v/>
      </c>
      <c r="S221">
        <f>S222+S223</f>
        <v/>
      </c>
      <c r="T221">
        <f>(E221/100000+F221/100+(P221/1000)*J221/5+S221/200)*200*I221*H221</f>
        <v/>
      </c>
      <c r="U221">
        <f>((E221*F221/25000)+((P221/1000)*J221*S221/2.5))*I221*H221</f>
        <v/>
      </c>
      <c r="V221">
        <f>(E221*F221*(P221/1000)*J221*S221*I221*H221)/12500000</f>
        <v/>
      </c>
      <c r="W221">
        <f>(T221+U221+V221)/3</f>
        <v/>
      </c>
      <c r="X221" s="6" t="n">
        <v>2000</v>
      </c>
      <c r="Y221">
        <f>IFERROR(W221-X221,"")</f>
        <v/>
      </c>
      <c r="Z221">
        <f>IFERROR(ABS(Y221)/MAX(X221,1),"")</f>
        <v/>
      </c>
      <c r="AA221">
        <f>IFERROR((X221-(((E221/100000+F221/100+S221/200)*200*I221*H221)+((E221*F221/25000)*I221*H221))/3)/(((J221/5)*200*I221*H221)+((J221*S221/2.5)*I221*H221)+((E221*F221*J221*S221*I221*H221)/12500000))/3*1000,"")</f>
        <v/>
      </c>
    </row>
    <row r="222">
      <c r="B222" s="7" t="inlineStr">
        <is>
          <t xml:space="preserve">  ↳ 155mmBastion</t>
        </is>
      </c>
      <c r="C222" s="7" t="inlineStr">
        <is>
          <t>Armament</t>
        </is>
      </c>
      <c r="L222" s="6" t="n">
        <v>10000</v>
      </c>
      <c r="M222" s="6" t="n">
        <v>80</v>
      </c>
      <c r="N222" s="6" t="n">
        <v>1</v>
      </c>
      <c r="O222" s="6" t="n"/>
      <c r="P222" s="6" t="n">
        <v>10185</v>
      </c>
      <c r="Q222" s="6" t="n">
        <v>1.083333333333333</v>
      </c>
      <c r="R222">
        <f>M222+IF(N222&gt;1,N(O222)*(N222-1),0)</f>
        <v/>
      </c>
      <c r="S222">
        <f>IFERROR(L222*MAX(N222,1)/R222*Q222*IF(ISBLANK(K221),1,K221),0)</f>
        <v/>
      </c>
      <c r="AB222" s="7" t="inlineStr">
        <is>
          <t>^HeavyCannon, ^ShrapnelWeapon, ^Grenade</t>
        </is>
      </c>
    </row>
    <row r="223">
      <c r="B223" s="7" t="inlineStr">
        <is>
          <t xml:space="preserve">  ↳ 155mmBastionCryo</t>
        </is>
      </c>
      <c r="C223" s="7" t="inlineStr">
        <is>
          <t>Armament@Upgrade</t>
        </is>
      </c>
      <c r="L223" s="6" t="n">
        <v>10000</v>
      </c>
      <c r="M223" s="6" t="n">
        <v>80</v>
      </c>
      <c r="N223" s="6" t="n">
        <v>1</v>
      </c>
      <c r="O223" s="6" t="n"/>
      <c r="P223" s="6" t="n">
        <v>10185</v>
      </c>
      <c r="Q223" s="6" t="n">
        <v>1.083333333333333</v>
      </c>
      <c r="R223">
        <f>M223+IF(N223&gt;1,N(O223)*(N223-1),0)</f>
        <v/>
      </c>
      <c r="S223">
        <f>IFERROR(L223*MAX(N223,1)/R223*Q223*IF(ISBLANK(K221),1,K221),0)</f>
        <v/>
      </c>
      <c r="AB223" s="7" t="inlineStr">
        <is>
          <t>^HeavyCannon, ^ShrapnelWeapon, ^Grenade, ^CryoMissileProjectile</t>
        </is>
      </c>
    </row>
    <row r="224">
      <c r="A224" t="inlineStr">
        <is>
          <t>redalert</t>
        </is>
      </c>
      <c r="B224" t="inlineStr">
        <is>
          <t>ra1_allies_gapgenerator</t>
        </is>
      </c>
      <c r="C224" t="inlineStr">
        <is>
          <t>Gap Generator</t>
        </is>
      </c>
      <c r="D224" s="6" t="inlineStr">
        <is>
          <t>AdvancedDefense</t>
        </is>
      </c>
      <c r="E224" s="6" t="n">
        <v>50000</v>
      </c>
      <c r="F224" s="6" t="n">
        <v>100</v>
      </c>
      <c r="G224" t="inlineStr">
        <is>
          <t>Steel</t>
        </is>
      </c>
      <c r="H224" s="6" t="n">
        <v>1</v>
      </c>
      <c r="I224" s="6" t="n">
        <v>1</v>
      </c>
      <c r="J224" s="6" t="n">
        <v>1</v>
      </c>
      <c r="K224" s="6" t="n"/>
      <c r="X224" s="6" t="n">
        <v>5000</v>
      </c>
    </row>
    <row r="225">
      <c r="A225" t="inlineStr">
        <is>
          <t>tiberiansun</t>
        </is>
      </c>
      <c r="B225" t="inlineStr">
        <is>
          <t>cabal_heavycabalobelisk</t>
        </is>
      </c>
      <c r="C225" t="inlineStr">
        <is>
          <t>Fortified Obelisk</t>
        </is>
      </c>
      <c r="D225" s="6" t="inlineStr">
        <is>
          <t>AdvancedDefense</t>
        </is>
      </c>
      <c r="E225" s="6" t="n">
        <v>300000</v>
      </c>
      <c r="F225" s="6" t="n">
        <v>100</v>
      </c>
      <c r="G225" t="inlineStr">
        <is>
          <t>Steel</t>
        </is>
      </c>
      <c r="H225" s="6" t="n">
        <v>1</v>
      </c>
      <c r="I225" s="6" t="n">
        <v>1</v>
      </c>
      <c r="J225" s="6" t="n">
        <v>1</v>
      </c>
      <c r="K225" s="6" t="n"/>
      <c r="P225">
        <f>MAX(P226)</f>
        <v/>
      </c>
      <c r="S225">
        <f>S226</f>
        <v/>
      </c>
      <c r="T225">
        <f>(E225/100000+F225/100+(P225/1000)*J225/5+S225/200)*200*I225*H225</f>
        <v/>
      </c>
      <c r="U225">
        <f>((E225*F225/25000)+((P225/1000)*J225*S225/2.5))*I225*H225</f>
        <v/>
      </c>
      <c r="V225">
        <f>(E225*F225*(P225/1000)*J225*S225*I225*H225)/12500000</f>
        <v/>
      </c>
      <c r="W225">
        <f>(T225+U225+V225)/3</f>
        <v/>
      </c>
      <c r="X225" s="6" t="n">
        <v>2400</v>
      </c>
      <c r="Y225">
        <f>IFERROR(W225-X225,"")</f>
        <v/>
      </c>
      <c r="Z225">
        <f>IFERROR(ABS(Y225)/MAX(X225,1),"")</f>
        <v/>
      </c>
      <c r="AA225">
        <f>IFERROR((X225-(((E225/100000+F225/100+S225/200)*200*I225*H225)+((E225*F225/25000)*I225*H225))/3)/(((J225/5)*200*I225*H225)+((J225*S225/2.5)*I225*H225)+((E225*F225*J225*S225*I225*H225)/12500000))/3*1000,"")</f>
        <v/>
      </c>
    </row>
    <row r="226">
      <c r="B226" s="7" t="inlineStr">
        <is>
          <t xml:space="preserve">  ↳ TSCABALObeliskLaserFire</t>
        </is>
      </c>
      <c r="C226" s="7" t="inlineStr">
        <is>
          <t>Armament@PRIMARY</t>
        </is>
      </c>
      <c r="L226" s="6" t="n">
        <v>70000</v>
      </c>
      <c r="M226" s="6" t="n">
        <v>90</v>
      </c>
      <c r="N226" s="6" t="n">
        <v>1</v>
      </c>
      <c r="O226" s="6" t="n"/>
      <c r="P226" s="6" t="n">
        <v>12288</v>
      </c>
      <c r="Q226" s="6" t="n">
        <v>1</v>
      </c>
      <c r="R226">
        <f>M226+IF(N226&gt;1,N(O226)*(N226-1),0)</f>
        <v/>
      </c>
      <c r="S226">
        <f>IFERROR(L226*MAX(N226,1)/R226*Q226*IF(ISBLANK(K225),1,K225),0)</f>
        <v/>
      </c>
      <c r="AB226" s="7" t="inlineStr">
        <is>
          <t>^TankDestroyerCannon, ^LaserWeapon, ^MediumFlameWeapon, ^MediumChemicalWeapon, ^TSLaserEffect</t>
        </is>
      </c>
    </row>
    <row r="227">
      <c r="A227" t="inlineStr">
        <is>
          <t>tiberiansun</t>
        </is>
      </c>
      <c r="B227" t="inlineStr">
        <is>
          <t>ts_nod_obeliskoflight</t>
        </is>
      </c>
      <c r="C227" t="inlineStr">
        <is>
          <t>Obelisk of Light</t>
        </is>
      </c>
      <c r="D227" s="6" t="inlineStr">
        <is>
          <t>AdvancedDefense</t>
        </is>
      </c>
      <c r="E227" s="6" t="n">
        <v>250000</v>
      </c>
      <c r="F227" s="6" t="n">
        <v>100</v>
      </c>
      <c r="G227" t="inlineStr">
        <is>
          <t>Steel</t>
        </is>
      </c>
      <c r="H227" s="6" t="n">
        <v>1</v>
      </c>
      <c r="I227" s="6" t="n">
        <v>1</v>
      </c>
      <c r="J227" s="6" t="n">
        <v>1</v>
      </c>
      <c r="K227" s="6" t="n"/>
      <c r="P227">
        <f>MAX(P228,P229)</f>
        <v/>
      </c>
      <c r="S227">
        <f>S228+S229</f>
        <v/>
      </c>
      <c r="T227">
        <f>(E227/100000+F227/100+(P227/1000)*J227/5+S227/200)*200*I227*H227</f>
        <v/>
      </c>
      <c r="U227">
        <f>((E227*F227/25000)+((P227/1000)*J227*S227/2.5))*I227*H227</f>
        <v/>
      </c>
      <c r="V227">
        <f>(E227*F227*(P227/1000)*J227*S227*I227*H227)/12500000</f>
        <v/>
      </c>
      <c r="W227">
        <f>(T227+U227+V227)/3</f>
        <v/>
      </c>
      <c r="X227" s="6" t="n">
        <v>2200</v>
      </c>
      <c r="Y227">
        <f>IFERROR(W227-X227,"")</f>
        <v/>
      </c>
      <c r="Z227">
        <f>IFERROR(ABS(Y227)/MAX(X227,1),"")</f>
        <v/>
      </c>
      <c r="AA227">
        <f>IFERROR((X227-(((E227/100000+F227/100+S227/200)*200*I227*H227)+((E227*F227/25000)*I227*H227))/3)/(((J227/5)*200*I227*H227)+((J227*S227/2.5)*I227*H227)+((E227*F227*J227*S227*I227*H227)/12500000))/3*1000,"")</f>
        <v/>
      </c>
    </row>
    <row r="228">
      <c r="B228" s="7" t="inlineStr">
        <is>
          <t xml:space="preserve">  ↳ TSObeliskLaserFire</t>
        </is>
      </c>
      <c r="C228" s="7" t="inlineStr">
        <is>
          <t>Armament@PRIMARY</t>
        </is>
      </c>
      <c r="L228" s="6" t="n">
        <v>52000</v>
      </c>
      <c r="M228" s="6" t="n">
        <v>60</v>
      </c>
      <c r="N228" s="6" t="n">
        <v>1</v>
      </c>
      <c r="O228" s="6" t="n"/>
      <c r="P228" s="6" t="n">
        <v>10199</v>
      </c>
      <c r="Q228" s="6" t="n">
        <v>1</v>
      </c>
      <c r="R228">
        <f>M228+IF(N228&gt;1,N(O228)*(N228-1),0)</f>
        <v/>
      </c>
      <c r="S228">
        <f>IFERROR(L228*MAX(N228,1)/R228*Q228*IF(ISBLANK(K227),1,K227),0)</f>
        <v/>
      </c>
      <c r="AB228" s="7" t="inlineStr">
        <is>
          <t>^TankDestroyerCannon, ^LaserWeapon, ^TSLaserEffect</t>
        </is>
      </c>
    </row>
    <row r="229">
      <c r="B229" s="7" t="inlineStr">
        <is>
          <t xml:space="preserve">  ↳ TSLaserObeliskLaserFire</t>
        </is>
      </c>
      <c r="C229" s="7" t="inlineStr">
        <is>
          <t>Armament@UPGRADE</t>
        </is>
      </c>
      <c r="L229" s="6" t="n">
        <v>80000</v>
      </c>
      <c r="M229" s="6" t="n">
        <v>32</v>
      </c>
      <c r="N229" s="6" t="n">
        <v>1</v>
      </c>
      <c r="O229" s="6" t="n"/>
      <c r="P229" s="6" t="n">
        <v>10435</v>
      </c>
      <c r="Q229" s="6" t="n">
        <v>1</v>
      </c>
      <c r="R229">
        <f>M229+IF(N229&gt;1,N(O229)*(N229-1),0)</f>
        <v/>
      </c>
      <c r="S229">
        <f>IFERROR(L229*MAX(N229,1)/R229*Q229*IF(ISBLANK(K227),1,K227),0)</f>
        <v/>
      </c>
      <c r="AB229" s="7" t="inlineStr">
        <is>
          <t>^TankDestroyerCannon, ^LaserWeapon, ^TSLaserEffect</t>
        </is>
      </c>
    </row>
    <row r="230">
      <c r="A230" t="inlineStr">
        <is>
          <t>tiberiansun</t>
        </is>
      </c>
      <c r="B230" t="inlineStr">
        <is>
          <t>ts_gdi_empulsecannon</t>
        </is>
      </c>
      <c r="C230" t="inlineStr">
        <is>
          <t>E.M. Pulse Cannon</t>
        </is>
      </c>
      <c r="D230" s="6" t="inlineStr">
        <is>
          <t>AdvancedDefense</t>
        </is>
      </c>
      <c r="E230" s="6" t="n">
        <v>250000</v>
      </c>
      <c r="F230" s="6" t="n">
        <v>100</v>
      </c>
      <c r="G230" t="inlineStr">
        <is>
          <t>Concrete</t>
        </is>
      </c>
      <c r="H230" s="6" t="n">
        <v>1</v>
      </c>
      <c r="I230" s="6" t="n">
        <v>1</v>
      </c>
      <c r="J230" s="6" t="n">
        <v>1</v>
      </c>
      <c r="K230" s="6" t="n"/>
      <c r="P230">
        <f>MAX(P231)</f>
        <v/>
      </c>
      <c r="S230">
        <f>S231</f>
        <v/>
      </c>
      <c r="T230">
        <f>(E230/100000+F230/100+(P230/1000)*J230/5+S230/200)*200*I230*H230</f>
        <v/>
      </c>
      <c r="U230">
        <f>((E230*F230/25000)+((P230/1000)*J230*S230/2.5))*I230*H230</f>
        <v/>
      </c>
      <c r="V230">
        <f>(E230*F230*(P230/1000)*J230*S230*I230*H230)/12500000</f>
        <v/>
      </c>
      <c r="W230">
        <f>(T230+U230+V230)/3</f>
        <v/>
      </c>
      <c r="X230" s="6" t="n">
        <v>2000</v>
      </c>
      <c r="Y230">
        <f>IFERROR(W230-X230,"")</f>
        <v/>
      </c>
      <c r="Z230">
        <f>IFERROR(ABS(Y230)/MAX(X230,1),"")</f>
        <v/>
      </c>
      <c r="AA230">
        <f>IFERROR((X230-(((E230/100000+F230/100+S230/200)*200*I230*H230)+((E230*F230/25000)*I230*H230))/3)/(((J230/5)*200*I230*H230)+((J230*S230/2.5)*I230*H230)+((E230*F230*J230*S230*I230*H230)/12500000))/3*1000,"")</f>
        <v/>
      </c>
    </row>
    <row r="231">
      <c r="B231" s="7" t="inlineStr">
        <is>
          <t xml:space="preserve">  ↳ TSEMPZapWeapon</t>
        </is>
      </c>
      <c r="C231" s="7" t="inlineStr">
        <is>
          <t>Armament@PRIMARY</t>
        </is>
      </c>
      <c r="L231" s="6" t="n">
        <v>2000</v>
      </c>
      <c r="M231" s="6" t="n">
        <v>60</v>
      </c>
      <c r="N231" s="6" t="n">
        <v>1</v>
      </c>
      <c r="O231" s="6" t="n"/>
      <c r="P231" s="6" t="n">
        <v>10205</v>
      </c>
      <c r="Q231" s="6" t="n">
        <v>1</v>
      </c>
      <c r="R231">
        <f>M231+IF(N231&gt;1,N(O231)*(N231-1),0)</f>
        <v/>
      </c>
      <c r="S231">
        <f>IFERROR(L231*MAX(N231,1)/R231*Q231*IF(ISBLANK(K230),1,K230),0)</f>
        <v/>
      </c>
      <c r="AB231" s="7" t="inlineStr">
        <is>
          <t>^TeslaWeapon</t>
        </is>
      </c>
    </row>
    <row r="232">
      <c r="A232" t="inlineStr">
        <is>
          <t>tiberiansun</t>
        </is>
      </c>
      <c r="B232" t="inlineStr">
        <is>
          <t>ts_gdi_rpgtower</t>
        </is>
      </c>
      <c r="C232" t="inlineStr">
        <is>
          <t>RPG Tower</t>
        </is>
      </c>
      <c r="D232" s="6" t="inlineStr">
        <is>
          <t>AdvancedDefense</t>
        </is>
      </c>
      <c r="E232" s="6" t="n">
        <v>150000</v>
      </c>
      <c r="F232" s="6" t="n">
        <v>100</v>
      </c>
      <c r="G232" t="inlineStr">
        <is>
          <t>Steel</t>
        </is>
      </c>
      <c r="H232" s="6" t="n">
        <v>1</v>
      </c>
      <c r="I232" s="6" t="n">
        <v>1</v>
      </c>
      <c r="J232" s="6" t="n">
        <v>1</v>
      </c>
      <c r="K232" s="6" t="n"/>
      <c r="P232">
        <f>MAX(P233,P234)</f>
        <v/>
      </c>
      <c r="S232">
        <f>S233+S234</f>
        <v/>
      </c>
      <c r="T232">
        <f>(E232/100000+F232/100+(P232/1000)*J232/5+S232/200)*200*I232*H232</f>
        <v/>
      </c>
      <c r="U232">
        <f>((E232*F232/25000)+((P232/1000)*J232*S232/2.5))*I232*H232</f>
        <v/>
      </c>
      <c r="V232">
        <f>(E232*F232*(P232/1000)*J232*S232*I232*H232)/12500000</f>
        <v/>
      </c>
      <c r="W232">
        <f>(T232+U232+V232)/3</f>
        <v/>
      </c>
      <c r="X232" s="6" t="n">
        <v>1400</v>
      </c>
      <c r="Y232">
        <f>IFERROR(W232-X232,"")</f>
        <v/>
      </c>
      <c r="Z232">
        <f>IFERROR(ABS(Y232)/MAX(X232,1),"")</f>
        <v/>
      </c>
      <c r="AA232">
        <f>IFERROR((X232-(((E232/100000+F232/100+S232/200)*200*I232*H232)+((E232*F232/25000)*I232*H232))/3)/(((J232/5)*200*I232*H232)+((J232*S232/2.5)*I232*H232)+((E232*F232*J232*S232*I232*H232)/12500000))/3*1000,"")</f>
        <v/>
      </c>
    </row>
    <row r="233">
      <c r="B233" s="7" t="inlineStr">
        <is>
          <t xml:space="preserve">  ↳ TSRPGTower</t>
        </is>
      </c>
      <c r="C233" s="7" t="inlineStr">
        <is>
          <t>Armament@PRIMARY</t>
        </is>
      </c>
      <c r="L233" s="6" t="n">
        <v>16000</v>
      </c>
      <c r="M233" s="6" t="n">
        <v>46</v>
      </c>
      <c r="N233" s="6" t="n">
        <v>1</v>
      </c>
      <c r="O233" s="6" t="n"/>
      <c r="P233" s="6" t="n">
        <v>8544</v>
      </c>
      <c r="Q233" s="6" t="n">
        <v>1.125</v>
      </c>
      <c r="R233">
        <f>M233+IF(N233&gt;1,N(O233)*(N233-1),0)</f>
        <v/>
      </c>
      <c r="S233">
        <f>IFERROR(L233*MAX(N233,1)/R233*Q233*IF(ISBLANK(K232),1,K232),0)</f>
        <v/>
      </c>
      <c r="AB233" s="7" t="inlineStr">
        <is>
          <t>^ShrapnelWeapon, ^HeavyCannon</t>
        </is>
      </c>
    </row>
    <row r="234">
      <c r="B234" s="7" t="inlineStr">
        <is>
          <t xml:space="preserve">  ↳ TSRPGTowerRail</t>
        </is>
      </c>
      <c r="C234" s="7" t="inlineStr">
        <is>
          <t>Armament@Upgrade</t>
        </is>
      </c>
      <c r="L234" s="6" t="n">
        <v>16000</v>
      </c>
      <c r="M234" s="6" t="n">
        <v>46</v>
      </c>
      <c r="N234" s="6" t="n">
        <v>1</v>
      </c>
      <c r="O234" s="6" t="n"/>
      <c r="P234" s="6" t="n">
        <v>8544</v>
      </c>
      <c r="Q234" s="6" t="n">
        <v>1.166666666666667</v>
      </c>
      <c r="R234">
        <f>M234+IF(N234&gt;1,N(O234)*(N234-1),0)</f>
        <v/>
      </c>
      <c r="S234">
        <f>IFERROR(L234*MAX(N234,1)/R234*Q234*IF(ISBLANK(K232),1,K232),0)</f>
        <v/>
      </c>
      <c r="AB234" s="7" t="inlineStr">
        <is>
          <t>^ShrapnelWeapon, ^HeavyCannon, ^RailgunWeapon</t>
        </is>
      </c>
    </row>
    <row r="235">
      <c r="A235" t="inlineStr">
        <is>
          <t>tiberiansun</t>
        </is>
      </c>
      <c r="B235" t="inlineStr">
        <is>
          <t>forgotten_brokenscoopertankturret</t>
        </is>
      </c>
      <c r="C235" t="inlineStr">
        <is>
          <t>actor_forgotten_brokenscoopertankturret.name</t>
        </is>
      </c>
      <c r="D235" s="6" t="inlineStr">
        <is>
          <t>AdvancedDefense</t>
        </is>
      </c>
      <c r="E235" s="6" t="n">
        <v>200000</v>
      </c>
      <c r="F235" s="6" t="n">
        <v>100</v>
      </c>
      <c r="G235" t="inlineStr">
        <is>
          <t>Steel</t>
        </is>
      </c>
      <c r="H235" s="6" t="n">
        <v>1</v>
      </c>
      <c r="I235" s="6" t="n">
        <v>1</v>
      </c>
      <c r="J235" s="6" t="n">
        <v>1</v>
      </c>
      <c r="K235" s="6" t="n"/>
      <c r="P235">
        <f>MAX(P236,P237)</f>
        <v/>
      </c>
      <c r="S235">
        <f>S236+S237</f>
        <v/>
      </c>
      <c r="T235">
        <f>(E235/100000+F235/100+(P235/1000)*J235/5+S235/200)*200*I235*H235</f>
        <v/>
      </c>
      <c r="U235">
        <f>((E235*F235/25000)+((P235/1000)*J235*S235/2.5))*I235*H235</f>
        <v/>
      </c>
      <c r="V235">
        <f>(E235*F235*(P235/1000)*J235*S235*I235*H235)/12500000</f>
        <v/>
      </c>
      <c r="W235">
        <f>(T235+U235+V235)/3</f>
        <v/>
      </c>
      <c r="X235" s="6" t="n">
        <v>1750</v>
      </c>
      <c r="Y235">
        <f>IFERROR(W235-X235,"")</f>
        <v/>
      </c>
      <c r="Z235">
        <f>IFERROR(ABS(Y235)/MAX(X235,1),"")</f>
        <v/>
      </c>
      <c r="AA235">
        <f>IFERROR((X235-(((E235/100000+F235/100+S235/200)*200*I235*H235)+((E235*F235/25000)*I235*H235))/3)/(((J235/5)*200*I235*H235)+((J235*S235/2.5)*I235*H235)+((E235*F235*J235*S235*I235*H235)/12500000))/3*1000,"")</f>
        <v/>
      </c>
    </row>
    <row r="236">
      <c r="B236" s="7" t="inlineStr">
        <is>
          <t xml:space="preserve">  ↳ TSScoopDualTur</t>
        </is>
      </c>
      <c r="C236" s="7" t="inlineStr">
        <is>
          <t>Armament@PRIMARY</t>
        </is>
      </c>
      <c r="L236" s="6" t="n">
        <v>16000</v>
      </c>
      <c r="M236" s="6" t="n">
        <v>48</v>
      </c>
      <c r="N236" s="6" t="n">
        <v>2</v>
      </c>
      <c r="O236" s="6" t="n">
        <v>2</v>
      </c>
      <c r="P236" s="6" t="n">
        <v>6404</v>
      </c>
      <c r="Q236" s="6" t="n">
        <v>1.125</v>
      </c>
      <c r="R236">
        <f>M236+IF(N236&gt;1,N(O236)*(N236-1),0)</f>
        <v/>
      </c>
      <c r="S236">
        <f>IFERROR(L236*MAX(N236,1)/R236*Q236*IF(ISBLANK(K235),1,K235),0)</f>
        <v/>
      </c>
      <c r="AB236" s="7" t="inlineStr">
        <is>
          <t>^TSCannonEffect, ^ShrapnelWeapon, ^HeavyCannon</t>
        </is>
      </c>
    </row>
    <row r="237">
      <c r="B237" s="7" t="inlineStr">
        <is>
          <t xml:space="preserve">  ↳ TSScoopDualTurChem</t>
        </is>
      </c>
      <c r="C237" s="7" t="inlineStr">
        <is>
          <t>Armament@UPGRADE</t>
        </is>
      </c>
      <c r="L237" s="6" t="n">
        <v>16000</v>
      </c>
      <c r="M237" s="6" t="n">
        <v>48</v>
      </c>
      <c r="N237" s="6" t="n">
        <v>2</v>
      </c>
      <c r="O237" s="6" t="n">
        <v>2</v>
      </c>
      <c r="P237" s="6" t="n">
        <v>6404</v>
      </c>
      <c r="Q237" s="6" t="n">
        <v>1.083333333333333</v>
      </c>
      <c r="R237">
        <f>M237+IF(N237&gt;1,N(O237)*(N237-1),0)</f>
        <v/>
      </c>
      <c r="S237">
        <f>IFERROR(L237*MAX(N237,1)/R237*Q237*IF(ISBLANK(K235),1,K235),0)</f>
        <v/>
      </c>
      <c r="AB237" s="7" t="inlineStr">
        <is>
          <t>^TSCannonEffect, ^MediumChemicalWeapon, ^ShrapnelWeapon, ^HeavyCannon</t>
        </is>
      </c>
    </row>
    <row r="238">
      <c r="A238" t="inlineStr">
        <is>
          <t>tiberiansun</t>
        </is>
      </c>
      <c r="B238" t="inlineStr">
        <is>
          <t>forgotten_brokenwarriortankturret</t>
        </is>
      </c>
      <c r="C238" t="inlineStr">
        <is>
          <t>actor_forgotten_brokenwarriortankturret.name</t>
        </is>
      </c>
      <c r="D238" s="6" t="inlineStr">
        <is>
          <t>AdvancedDefense</t>
        </is>
      </c>
      <c r="E238" s="6" t="n">
        <v>125000</v>
      </c>
      <c r="F238" s="6" t="n">
        <v>100</v>
      </c>
      <c r="G238" t="inlineStr">
        <is>
          <t>Steel</t>
        </is>
      </c>
      <c r="H238" s="6" t="n">
        <v>1</v>
      </c>
      <c r="I238" s="6" t="n">
        <v>1</v>
      </c>
      <c r="J238" s="6" t="n">
        <v>1</v>
      </c>
      <c r="K238" s="6" t="n"/>
      <c r="P238">
        <f>MAX(P239)</f>
        <v/>
      </c>
      <c r="S238">
        <f>S239</f>
        <v/>
      </c>
      <c r="T238">
        <f>(E238/100000+F238/100+(P238/1000)*J238/5+S238/200)*200*I238*H238</f>
        <v/>
      </c>
      <c r="U238">
        <f>((E238*F238/25000)+((P238/1000)*J238*S238/2.5))*I238*H238</f>
        <v/>
      </c>
      <c r="V238">
        <f>(E238*F238*(P238/1000)*J238*S238*I238*H238)/12500000</f>
        <v/>
      </c>
      <c r="W238">
        <f>(T238+U238+V238)/3</f>
        <v/>
      </c>
      <c r="X238" s="6" t="n">
        <v>1500</v>
      </c>
      <c r="Y238">
        <f>IFERROR(W238-X238,"")</f>
        <v/>
      </c>
      <c r="Z238">
        <f>IFERROR(ABS(Y238)/MAX(X238,1),"")</f>
        <v/>
      </c>
      <c r="AA238">
        <f>IFERROR((X238-(((E238/100000+F238/100+S238/200)*200*I238*H238)+((E238*F238/25000)*I238*H238))/3)/(((J238/5)*200*I238*H238)+((J238*S238/2.5)*I238*H238)+((E238*F238*J238*S238*I238*H238)/12500000))/3*1000,"")</f>
        <v/>
      </c>
    </row>
    <row r="239">
      <c r="B239" s="7" t="inlineStr">
        <is>
          <t xml:space="preserve">  ↳ TSHighVelocityTur</t>
        </is>
      </c>
      <c r="C239" s="7" t="inlineStr">
        <is>
          <t>Armament@PRIMARY</t>
        </is>
      </c>
      <c r="L239" s="6" t="n">
        <v>48000</v>
      </c>
      <c r="M239" s="6" t="n">
        <v>30</v>
      </c>
      <c r="N239" s="6" t="n">
        <v>1</v>
      </c>
      <c r="O239" s="6" t="n"/>
      <c r="P239" s="6" t="n">
        <v>9483</v>
      </c>
      <c r="Q239" s="6" t="n">
        <v>1</v>
      </c>
      <c r="R239">
        <f>M239+IF(N239&gt;1,N(O239)*(N239-1),0)</f>
        <v/>
      </c>
      <c r="S239">
        <f>IFERROR(L239*MAX(N239,1)/R239*Q239*IF(ISBLANK(K238),1,K238),0)</f>
        <v/>
      </c>
      <c r="AB239" s="7" t="inlineStr">
        <is>
          <t>^TSCannonEffect, ^TankDestroyerCannon</t>
        </is>
      </c>
    </row>
    <row r="240">
      <c r="A240" t="inlineStr">
        <is>
          <t>redalert2</t>
        </is>
      </c>
      <c r="B240" t="inlineStr">
        <is>
          <t>ra2_allies_gapgenerator</t>
        </is>
      </c>
      <c r="C240" t="inlineStr">
        <is>
          <t>Gap Generator</t>
        </is>
      </c>
      <c r="D240" s="6" t="inlineStr">
        <is>
          <t>AdvancedDefense</t>
        </is>
      </c>
      <c r="E240" s="6" t="n">
        <v>50000</v>
      </c>
      <c r="F240" s="6" t="n">
        <v>100</v>
      </c>
      <c r="G240" t="inlineStr">
        <is>
          <t>Steel</t>
        </is>
      </c>
      <c r="H240" s="6" t="n">
        <v>1</v>
      </c>
      <c r="I240" s="6" t="n">
        <v>1</v>
      </c>
      <c r="J240" s="6" t="n">
        <v>1</v>
      </c>
      <c r="K240" s="6" t="n"/>
      <c r="X240" s="6" t="n">
        <v>5000</v>
      </c>
    </row>
    <row r="241">
      <c r="A241" t="inlineStr">
        <is>
          <t>redalert2</t>
        </is>
      </c>
      <c r="B241" t="inlineStr">
        <is>
          <t>ra2_allies_grandcannon</t>
        </is>
      </c>
      <c r="C241" t="inlineStr">
        <is>
          <t>Grand Cannon</t>
        </is>
      </c>
      <c r="D241" s="6" t="inlineStr">
        <is>
          <t>AdvancedDefense</t>
        </is>
      </c>
      <c r="E241" s="6" t="n">
        <v>250000</v>
      </c>
      <c r="F241" s="6" t="n">
        <v>100</v>
      </c>
      <c r="G241" t="inlineStr">
        <is>
          <t>Steel</t>
        </is>
      </c>
      <c r="H241" s="6" t="n">
        <v>1</v>
      </c>
      <c r="I241" s="6" t="n">
        <v>0.325</v>
      </c>
      <c r="J241" s="6" t="n">
        <v>1</v>
      </c>
      <c r="K241" s="6" t="n"/>
      <c r="P241">
        <f>MAX(P242)</f>
        <v/>
      </c>
      <c r="S241">
        <f>S242</f>
        <v/>
      </c>
      <c r="T241">
        <f>(E241/100000+F241/100+(P241/1000)*J241/5+S241/200)*200*I241*H241</f>
        <v/>
      </c>
      <c r="U241">
        <f>((E241*F241/25000)+((P241/1000)*J241*S241/2.5))*I241*H241</f>
        <v/>
      </c>
      <c r="V241">
        <f>(E241*F241*(P241/1000)*J241*S241*I241*H241)/12500000</f>
        <v/>
      </c>
      <c r="W241">
        <f>(T241+U241+V241)/3</f>
        <v/>
      </c>
      <c r="X241" s="6" t="n">
        <v>5000</v>
      </c>
      <c r="Y241">
        <f>IFERROR(W241-X241,"")</f>
        <v/>
      </c>
      <c r="Z241">
        <f>IFERROR(ABS(Y241)/MAX(X241,1),"")</f>
        <v/>
      </c>
      <c r="AA241">
        <f>IFERROR((X241-(((E241/100000+F241/100+S241/200)*200*I241*H241)+((E241*F241/25000)*I241*H241))/3)/(((J241/5)*200*I241*H241)+((J241*S241/2.5)*I241*H241)+((E241*F241*J241*S241*I241*H241)/12500000))/3*1000,"")</f>
        <v/>
      </c>
    </row>
    <row r="242">
      <c r="B242" s="7" t="inlineStr">
        <is>
          <t xml:space="preserve">  ↳ RA2GrandCannonWeapon</t>
        </is>
      </c>
      <c r="C242" s="7" t="inlineStr">
        <is>
          <t>Armament</t>
        </is>
      </c>
      <c r="L242" s="6" t="n">
        <v>50000</v>
      </c>
      <c r="M242" s="6" t="n">
        <v>200</v>
      </c>
      <c r="N242" s="6" t="n">
        <v>1</v>
      </c>
      <c r="O242" s="6" t="n"/>
      <c r="P242" s="6" t="n">
        <v>11800</v>
      </c>
      <c r="Q242" s="6" t="n">
        <v>1.041666666666667</v>
      </c>
      <c r="R242">
        <f>M242+IF(N242&gt;1,N(O242)*(N242-1),0)</f>
        <v/>
      </c>
      <c r="S242">
        <f>IFERROR(L242*MAX(N242,1)/R242*Q242*IF(ISBLANK(K241),1,K241),0)</f>
        <v/>
      </c>
      <c r="AB242" s="7" t="inlineStr">
        <is>
          <t>^HeavyCannon, ^HeavyBomb, ^MediumFlameWeapon, ^ShrapnelWeapon, ^LightChemicalWeapon, ^RA2Grenade</t>
        </is>
      </c>
    </row>
    <row r="243">
      <c r="A243" t="inlineStr">
        <is>
          <t>redalert2</t>
        </is>
      </c>
      <c r="B243" t="inlineStr">
        <is>
          <t>ra2_allies_prismtower</t>
        </is>
      </c>
      <c r="C243" t="inlineStr">
        <is>
          <t>Prism Tower</t>
        </is>
      </c>
      <c r="D243" s="6" t="inlineStr">
        <is>
          <t>AdvancedDefense</t>
        </is>
      </c>
      <c r="E243" s="6" t="n">
        <v>135000</v>
      </c>
      <c r="F243" s="6" t="n">
        <v>100</v>
      </c>
      <c r="G243" t="inlineStr">
        <is>
          <t>Steel</t>
        </is>
      </c>
      <c r="H243" s="6" t="n">
        <v>1</v>
      </c>
      <c r="I243" s="6" t="n">
        <v>0.325</v>
      </c>
      <c r="J243" s="6" t="n">
        <v>1.25</v>
      </c>
      <c r="K243" s="6" t="n"/>
      <c r="P243">
        <f>MAX(P244,P245)</f>
        <v/>
      </c>
      <c r="S243">
        <f>S244+S245</f>
        <v/>
      </c>
      <c r="T243">
        <f>(E243/100000+F243/100+(P243/1000)*J243/5+S243/200)*200*I243*H243</f>
        <v/>
      </c>
      <c r="U243">
        <f>((E243*F243/25000)+((P243/1000)*J243*S243/2.5))*I243*H243</f>
        <v/>
      </c>
      <c r="V243">
        <f>(E243*F243*(P243/1000)*J243*S243*I243*H243)/12500000</f>
        <v/>
      </c>
      <c r="W243">
        <f>(T243+U243+V243)/3</f>
        <v/>
      </c>
      <c r="X243" s="6" t="n">
        <v>2200</v>
      </c>
      <c r="Y243">
        <f>IFERROR(W243-X243,"")</f>
        <v/>
      </c>
      <c r="Z243">
        <f>IFERROR(ABS(Y243)/MAX(X243,1),"")</f>
        <v/>
      </c>
      <c r="AA243">
        <f>IFERROR((X243-(((E243/100000+F243/100+S243/200)*200*I243*H243)+((E243*F243/25000)*I243*H243))/3)/(((J243/5)*200*I243*H243)+((J243*S243/2.5)*I243*H243)+((E243*F243*J243*S243*I243*H243)/12500000))/3*1000,"")</f>
        <v/>
      </c>
    </row>
    <row r="244">
      <c r="B244" s="7" t="inlineStr">
        <is>
          <t xml:space="preserve">  ↳ PrismCharge</t>
        </is>
      </c>
      <c r="C244" s="7" t="inlineStr">
        <is>
          <t>Armament@Charge</t>
        </is>
      </c>
      <c r="L244" s="6" t="n"/>
      <c r="M244" s="6" t="n">
        <v>3</v>
      </c>
      <c r="N244" s="6" t="n">
        <v>1</v>
      </c>
      <c r="O244" s="6" t="n"/>
      <c r="P244" s="6" t="n">
        <v>9630</v>
      </c>
      <c r="Q244" s="6" t="n">
        <v>1</v>
      </c>
      <c r="R244">
        <f>M244+IF(N244&gt;1,N(O244)*(N244-1),0)</f>
        <v/>
      </c>
      <c r="S244">
        <f>IFERROR(L244*MAX(N244,1)/R244*Q244*IF(ISBLANK(K243),1,K243),0)</f>
        <v/>
      </c>
      <c r="AB244" s="7" t="inlineStr"/>
    </row>
    <row r="245">
      <c r="B245" s="7" t="inlineStr">
        <is>
          <t xml:space="preserve">  ↳ RA2Prism</t>
        </is>
      </c>
      <c r="C245" s="7" t="inlineStr">
        <is>
          <t>Armament</t>
        </is>
      </c>
      <c r="L245" s="6" t="n">
        <v>32000</v>
      </c>
      <c r="M245" s="6" t="n">
        <v>3</v>
      </c>
      <c r="N245" s="6" t="n">
        <v>1</v>
      </c>
      <c r="O245" s="6" t="n"/>
      <c r="P245" s="6" t="n">
        <v>9630</v>
      </c>
      <c r="Q245" s="6" t="n">
        <v>1</v>
      </c>
      <c r="R245">
        <f>M245+IF(N245&gt;1,N(O245)*(N245-1),0)</f>
        <v/>
      </c>
      <c r="S245">
        <f>IFERROR(L245*MAX(N245,1)/R245*Q245*IF(ISBLANK(K243),1,K243),0)</f>
        <v/>
      </c>
      <c r="AB245" s="7" t="inlineStr">
        <is>
          <t>^LaserWeapon</t>
        </is>
      </c>
    </row>
    <row r="246">
      <c r="A246" t="inlineStr">
        <is>
          <t>redalert2</t>
        </is>
      </c>
      <c r="B246" t="inlineStr">
        <is>
          <t>ra2_soviets_teslacoil</t>
        </is>
      </c>
      <c r="C246" t="inlineStr">
        <is>
          <t>Tesla Coil</t>
        </is>
      </c>
      <c r="D246" s="6" t="inlineStr">
        <is>
          <t>AdvancedDefense</t>
        </is>
      </c>
      <c r="E246" s="6" t="n">
        <v>120000</v>
      </c>
      <c r="F246" s="6" t="n">
        <v>100</v>
      </c>
      <c r="G246" t="inlineStr">
        <is>
          <t>Steel</t>
        </is>
      </c>
      <c r="H246" s="6" t="n">
        <v>1</v>
      </c>
      <c r="I246" s="6" t="n">
        <v>1</v>
      </c>
      <c r="J246" s="6" t="n">
        <v>1</v>
      </c>
      <c r="K246" s="6" t="n"/>
      <c r="P246">
        <f>MAX(P247,P248,P249,P250,P251,P252)</f>
        <v/>
      </c>
      <c r="S246">
        <f>S247+S248+S249+S250+S251+S252</f>
        <v/>
      </c>
      <c r="T246">
        <f>(E246/100000+F246/100+(P246/1000)*J246/5+S246/200)*200*I246*H246</f>
        <v/>
      </c>
      <c r="U246">
        <f>((E246*F246/25000)+((P246/1000)*J246*S246/2.5))*I246*H246</f>
        <v/>
      </c>
      <c r="V246">
        <f>(E246*F246*(P246/1000)*J246*S246*I246*H246)/12500000</f>
        <v/>
      </c>
      <c r="W246">
        <f>(T246+U246+V246)/3</f>
        <v/>
      </c>
      <c r="X246" s="6" t="n">
        <v>2000</v>
      </c>
      <c r="Y246">
        <f>IFERROR(W246-X246,"")</f>
        <v/>
      </c>
      <c r="Z246">
        <f>IFERROR(ABS(Y246)/MAX(X246,1),"")</f>
        <v/>
      </c>
      <c r="AA246">
        <f>IFERROR((X246-(((E246/100000+F246/100+S246/200)*200*I246*H246)+((E246*F246/25000)*I246*H246))/3)/(((J246/5)*200*I246*H246)+((J246*S246/2.5)*I246*H246)+((E246*F246*J246*S246*I246*H246)/12500000))/3*1000,"")</f>
        <v/>
      </c>
    </row>
    <row r="247">
      <c r="B247" s="7" t="inlineStr">
        <is>
          <t xml:space="preserve">  ↳ RA2CoilBolt</t>
        </is>
      </c>
      <c r="C247" s="7" t="inlineStr">
        <is>
          <t>Armament</t>
        </is>
      </c>
      <c r="L247" s="6" t="n">
        <v>64000</v>
      </c>
      <c r="M247" s="6" t="n">
        <v>3</v>
      </c>
      <c r="N247" s="6" t="n">
        <v>1</v>
      </c>
      <c r="O247" s="6" t="n"/>
      <c r="P247" s="6" t="n">
        <v>8842</v>
      </c>
      <c r="Q247" s="6" t="n">
        <v>1</v>
      </c>
      <c r="R247">
        <f>M247+IF(N247&gt;1,N(O247)*(N247-1),0)</f>
        <v/>
      </c>
      <c r="S247">
        <f>IFERROR(L247*MAX(N247,1)/R247*Q247*IF(ISBLANK(K246),1,K246),0)</f>
        <v/>
      </c>
      <c r="AB247" s="7" t="inlineStr">
        <is>
          <t>^TeslaWeapon</t>
        </is>
      </c>
    </row>
    <row r="248">
      <c r="B248" s="7" t="inlineStr">
        <is>
          <t xml:space="preserve">  ↳ RA2CoilBolt2</t>
        </is>
      </c>
      <c r="C248" s="7" t="inlineStr">
        <is>
          <t>Armament@2</t>
        </is>
      </c>
      <c r="L248" s="6" t="n">
        <v>64000</v>
      </c>
      <c r="M248" s="6" t="n">
        <v>3</v>
      </c>
      <c r="N248" s="6" t="n">
        <v>1</v>
      </c>
      <c r="O248" s="6" t="n"/>
      <c r="P248" s="6" t="n">
        <v>8842</v>
      </c>
      <c r="Q248" s="6" t="n">
        <v>1</v>
      </c>
      <c r="R248">
        <f>M248+IF(N248&gt;1,N(O248)*(N248-1),0)</f>
        <v/>
      </c>
      <c r="S248">
        <f>IFERROR(L248*MAX(N248,1)/R248*Q248*IF(ISBLANK(K246),1,K246),0)</f>
        <v/>
      </c>
      <c r="AB248" s="7" t="inlineStr">
        <is>
          <t>^TeslaWeapon</t>
        </is>
      </c>
    </row>
    <row r="249">
      <c r="B249" s="7" t="inlineStr">
        <is>
          <t xml:space="preserve">  ↳ RA2CoilBolt3</t>
        </is>
      </c>
      <c r="C249" s="7" t="inlineStr">
        <is>
          <t>Armament@3</t>
        </is>
      </c>
      <c r="L249" s="6" t="n">
        <v>64000</v>
      </c>
      <c r="M249" s="6" t="n">
        <v>3</v>
      </c>
      <c r="N249" s="6" t="n">
        <v>1</v>
      </c>
      <c r="O249" s="6" t="n"/>
      <c r="P249" s="6" t="n">
        <v>8842</v>
      </c>
      <c r="Q249" s="6" t="n">
        <v>1</v>
      </c>
      <c r="R249">
        <f>M249+IF(N249&gt;1,N(O249)*(N249-1),0)</f>
        <v/>
      </c>
      <c r="S249">
        <f>IFERROR(L249*MAX(N249,1)/R249*Q249*IF(ISBLANK(K246),1,K246),0)</f>
        <v/>
      </c>
      <c r="AB249" s="7" t="inlineStr">
        <is>
          <t>^TeslaWeapon</t>
        </is>
      </c>
    </row>
    <row r="250">
      <c r="B250" s="7" t="inlineStr">
        <is>
          <t xml:space="preserve">  ↳ RA2OPCoilBolt1</t>
        </is>
      </c>
      <c r="C250" s="7" t="inlineStr">
        <is>
          <t>Armament@Charged1</t>
        </is>
      </c>
      <c r="L250" s="6" t="n">
        <v>64000</v>
      </c>
      <c r="M250" s="6" t="n">
        <v>3</v>
      </c>
      <c r="N250" s="6" t="n">
        <v>1</v>
      </c>
      <c r="O250" s="6" t="n"/>
      <c r="P250" s="6" t="n">
        <v>8842</v>
      </c>
      <c r="Q250" s="6" t="n">
        <v>1</v>
      </c>
      <c r="R250">
        <f>M250+IF(N250&gt;1,N(O250)*(N250-1),0)</f>
        <v/>
      </c>
      <c r="S250">
        <f>IFERROR(L250*MAX(N250,1)/R250*Q250*IF(ISBLANK(K246),1,K246),0)</f>
        <v/>
      </c>
      <c r="AB250" s="7" t="inlineStr">
        <is>
          <t>^TeslaChargedWeapon</t>
        </is>
      </c>
    </row>
    <row r="251">
      <c r="B251" s="7" t="inlineStr">
        <is>
          <t xml:space="preserve">  ↳ RA2OPCoilBolt2</t>
        </is>
      </c>
      <c r="C251" s="7" t="inlineStr">
        <is>
          <t>Armament@Charged2</t>
        </is>
      </c>
      <c r="L251" s="6" t="n">
        <v>64000</v>
      </c>
      <c r="M251" s="6" t="n">
        <v>3</v>
      </c>
      <c r="N251" s="6" t="n">
        <v>1</v>
      </c>
      <c r="O251" s="6" t="n"/>
      <c r="P251" s="6" t="n">
        <v>8842</v>
      </c>
      <c r="Q251" s="6" t="n">
        <v>1</v>
      </c>
      <c r="R251">
        <f>M251+IF(N251&gt;1,N(O251)*(N251-1),0)</f>
        <v/>
      </c>
      <c r="S251">
        <f>IFERROR(L251*MAX(N251,1)/R251*Q251*IF(ISBLANK(K246),1,K246),0)</f>
        <v/>
      </c>
      <c r="AB251" s="7" t="inlineStr">
        <is>
          <t>^TeslaChargedWeapon</t>
        </is>
      </c>
    </row>
    <row r="252">
      <c r="B252" s="7" t="inlineStr">
        <is>
          <t xml:space="preserve">  ↳ RA2OPCoilBolt3</t>
        </is>
      </c>
      <c r="C252" s="7" t="inlineStr">
        <is>
          <t>Armament@Charged3</t>
        </is>
      </c>
      <c r="L252" s="6" t="n">
        <v>64000</v>
      </c>
      <c r="M252" s="6" t="n">
        <v>3</v>
      </c>
      <c r="N252" s="6" t="n">
        <v>1</v>
      </c>
      <c r="O252" s="6" t="n"/>
      <c r="P252" s="6" t="n">
        <v>8842</v>
      </c>
      <c r="Q252" s="6" t="n">
        <v>1</v>
      </c>
      <c r="R252">
        <f>M252+IF(N252&gt;1,N(O252)*(N252-1),0)</f>
        <v/>
      </c>
      <c r="S252">
        <f>IFERROR(L252*MAX(N252,1)/R252*Q252*IF(ISBLANK(K246),1,K246),0)</f>
        <v/>
      </c>
      <c r="AB252" s="7" t="inlineStr">
        <is>
          <t>^TeslaChargedWeapon</t>
        </is>
      </c>
    </row>
    <row r="253">
      <c r="A253" t="inlineStr">
        <is>
          <t>redalert2</t>
        </is>
      </c>
      <c r="B253" t="inlineStr">
        <is>
          <t>yuri_psychictower</t>
        </is>
      </c>
      <c r="C253" t="inlineStr">
        <is>
          <t>Psychic Tower</t>
        </is>
      </c>
      <c r="D253" s="6" t="inlineStr">
        <is>
          <t>AdvancedDefense</t>
        </is>
      </c>
      <c r="E253" s="6" t="n">
        <v>150000</v>
      </c>
      <c r="F253" s="6" t="n">
        <v>100</v>
      </c>
      <c r="G253" t="inlineStr">
        <is>
          <t>Steel</t>
        </is>
      </c>
      <c r="H253" s="6" t="n">
        <v>1</v>
      </c>
      <c r="I253" s="6" t="n">
        <v>1</v>
      </c>
      <c r="J253" s="6" t="n">
        <v>1</v>
      </c>
      <c r="K253" s="6" t="n"/>
      <c r="P253">
        <f>MAX(P254)</f>
        <v/>
      </c>
      <c r="S253">
        <f>S254</f>
        <v/>
      </c>
      <c r="T253">
        <f>(E253/100000+F253/100+(P253/1000)*J253/5+S253/200)*200*I253*H253</f>
        <v/>
      </c>
      <c r="U253">
        <f>((E253*F253/25000)+((P253/1000)*J253*S253/2.5))*I253*H253</f>
        <v/>
      </c>
      <c r="V253">
        <f>(E253*F253*(P253/1000)*J253*S253*I253*H253)/12500000</f>
        <v/>
      </c>
      <c r="W253">
        <f>(T253+U253+V253)/3</f>
        <v/>
      </c>
      <c r="X253" s="6" t="n">
        <v>2000</v>
      </c>
      <c r="Y253">
        <f>IFERROR(W253-X253,"")</f>
        <v/>
      </c>
      <c r="Z253">
        <f>IFERROR(ABS(Y253)/MAX(X253,1),"")</f>
        <v/>
      </c>
      <c r="AA253">
        <f>IFERROR((X253-(((E253/100000+F253/100+S253/200)*200*I253*H253)+((E253*F253/25000)*I253*H253))/3)/(((J253/5)*200*I253*H253)+((J253*S253/2.5)*I253*H253)+((E253*F253*J253*S253*I253*H253)/12500000))/3*1000,"")</f>
        <v/>
      </c>
    </row>
    <row r="254">
      <c r="B254" s="7" t="inlineStr">
        <is>
          <t xml:space="preserve">  ↳ RA2TMindControl</t>
        </is>
      </c>
      <c r="C254" s="7" t="inlineStr">
        <is>
          <t>Armament@CONTROL</t>
        </is>
      </c>
      <c r="L254" s="6" t="n">
        <v>0</v>
      </c>
      <c r="M254" s="6" t="n">
        <v>75</v>
      </c>
      <c r="N254" s="6" t="n">
        <v>1</v>
      </c>
      <c r="O254" s="6" t="n"/>
      <c r="P254" s="6" t="n">
        <v>8000</v>
      </c>
      <c r="Q254" s="6" t="n">
        <v>1</v>
      </c>
      <c r="R254">
        <f>M254+IF(N254&gt;1,N(O254)*(N254-1),0)</f>
        <v/>
      </c>
      <c r="S254">
        <f>IFERROR(L254*MAX(N254,1)/R254*Q254*IF(ISBLANK(K253),1,K253),0)</f>
        <v/>
      </c>
      <c r="AB254" s="7" t="inlineStr">
        <is>
          <t>RA2MindControl</t>
        </is>
      </c>
    </row>
    <row r="255">
      <c r="A255" t="inlineStr">
        <is>
          <t>redalert2mod</t>
        </is>
      </c>
      <c r="B255" t="inlineStr">
        <is>
          <t>asianalliance_chaostower</t>
        </is>
      </c>
      <c r="C255" t="inlineStr">
        <is>
          <t>Chaos Tower</t>
        </is>
      </c>
      <c r="D255" s="6" t="inlineStr">
        <is>
          <t>AdvancedDefense</t>
        </is>
      </c>
      <c r="E255" s="6" t="n">
        <v>100000</v>
      </c>
      <c r="F255" s="6" t="n"/>
      <c r="G255" t="inlineStr">
        <is>
          <t>Steel</t>
        </is>
      </c>
      <c r="H255" s="6" t="n">
        <v>1</v>
      </c>
      <c r="I255" s="6" t="n">
        <v>1</v>
      </c>
      <c r="J255" s="6" t="n">
        <v>1</v>
      </c>
      <c r="K255" s="6" t="n"/>
      <c r="X255" s="6" t="n">
        <v>1000</v>
      </c>
    </row>
    <row r="256">
      <c r="B256" s="7" t="inlineStr">
        <is>
          <t xml:space="preserve">  ↳ AsianChaosTurret</t>
        </is>
      </c>
      <c r="C256" s="7" t="inlineStr">
        <is>
          <t>Armament</t>
        </is>
      </c>
      <c r="L256" s="6" t="n"/>
      <c r="M256" s="6" t="n">
        <v>125</v>
      </c>
      <c r="N256" s="6" t="n">
        <v>1</v>
      </c>
      <c r="O256" s="6" t="n"/>
      <c r="P256" s="6" t="n">
        <v>5000</v>
      </c>
      <c r="Q256" s="6" t="n">
        <v>1</v>
      </c>
      <c r="R256">
        <f>M256+IF(N256&gt;1,N(O256)*(N256-1),0)</f>
        <v/>
      </c>
      <c r="S256">
        <f>IFERROR(L256*MAX(N256,1)/R256*Q256*IF(ISBLANK(K255),1,K255),0)</f>
        <v/>
      </c>
      <c r="AB256" s="7" t="inlineStr"/>
    </row>
    <row r="257">
      <c r="A257" t="inlineStr">
        <is>
          <t>redalert2mod</t>
        </is>
      </c>
      <c r="B257" t="inlineStr">
        <is>
          <t>asianalliance_plasmacannon</t>
        </is>
      </c>
      <c r="C257" t="inlineStr">
        <is>
          <t>Plasma Cannon</t>
        </is>
      </c>
      <c r="D257" s="6" t="inlineStr">
        <is>
          <t>AdvancedDefense</t>
        </is>
      </c>
      <c r="E257" s="6" t="n">
        <v>300000</v>
      </c>
      <c r="F257" s="6" t="n"/>
      <c r="G257" t="inlineStr">
        <is>
          <t>Steel</t>
        </is>
      </c>
      <c r="H257" s="6" t="n">
        <v>1</v>
      </c>
      <c r="I257" s="6" t="n">
        <v>1</v>
      </c>
      <c r="J257" s="6" t="n">
        <v>1</v>
      </c>
      <c r="K257" s="6" t="n"/>
      <c r="X257" s="6" t="n">
        <v>4000</v>
      </c>
    </row>
    <row r="258">
      <c r="B258" s="7" t="inlineStr">
        <is>
          <t xml:space="preserve">  ↳ AsianTurretPlasma</t>
        </is>
      </c>
      <c r="C258" s="7" t="inlineStr">
        <is>
          <t>Armament</t>
        </is>
      </c>
      <c r="L258" s="6" t="n">
        <v>2000</v>
      </c>
      <c r="M258" s="6" t="n">
        <v>90</v>
      </c>
      <c r="N258" s="6" t="n">
        <v>2</v>
      </c>
      <c r="O258" s="6" t="n">
        <v>6</v>
      </c>
      <c r="P258" s="6" t="n">
        <v>14000</v>
      </c>
      <c r="Q258" s="6" t="n">
        <v>1</v>
      </c>
      <c r="R258">
        <f>M258+IF(N258&gt;1,N(O258)*(N258-1),0)</f>
        <v/>
      </c>
      <c r="S258">
        <f>IFERROR(L258*MAX(N258,1)/R258*Q258*IF(ISBLANK(K257),1,K257),0)</f>
        <v/>
      </c>
      <c r="AB258" s="7" t="inlineStr">
        <is>
          <t>^LightFlameWeapon, ^LightChemicalWeapon, ^MediumFlameWeapon, ^MediumChemicalWeapon, ^MediumCannon, ^ShrapnelWeapon, ^HeavyBomb, ^RA2HeavyCannon</t>
        </is>
      </c>
    </row>
    <row r="259">
      <c r="A259" t="inlineStr">
        <is>
          <t>redalert2mod</t>
        </is>
      </c>
      <c r="B259" t="inlineStr">
        <is>
          <t>asianalliance_railtower</t>
        </is>
      </c>
      <c r="C259" t="inlineStr">
        <is>
          <t>Rail Tower</t>
        </is>
      </c>
      <c r="D259" s="6" t="inlineStr">
        <is>
          <t>AdvancedDefense</t>
        </is>
      </c>
      <c r="E259" s="6" t="n">
        <v>125000</v>
      </c>
      <c r="F259" s="6" t="n"/>
      <c r="G259" t="inlineStr">
        <is>
          <t>Steel</t>
        </is>
      </c>
      <c r="H259" s="6" t="n">
        <v>1</v>
      </c>
      <c r="I259" s="6" t="n">
        <v>1</v>
      </c>
      <c r="J259" s="6" t="n">
        <v>1</v>
      </c>
      <c r="K259" s="6" t="n"/>
      <c r="X259" s="6" t="n">
        <v>2500</v>
      </c>
    </row>
    <row r="260">
      <c r="B260" s="7" t="inlineStr">
        <is>
          <t xml:space="preserve">  ↳ AsianRailgun</t>
        </is>
      </c>
      <c r="C260" s="7" t="inlineStr">
        <is>
          <t>Armament</t>
        </is>
      </c>
      <c r="L260" s="6" t="n">
        <v>30000</v>
      </c>
      <c r="M260" s="6" t="n">
        <v>10</v>
      </c>
      <c r="N260" s="6" t="n">
        <v>1</v>
      </c>
      <c r="O260" s="6" t="n"/>
      <c r="P260" s="6" t="n">
        <v>9600</v>
      </c>
      <c r="Q260" s="6" t="n">
        <v>1.25</v>
      </c>
      <c r="R260">
        <f>M260+IF(N260&gt;1,N(O260)*(N260-1),0)</f>
        <v/>
      </c>
      <c r="S260">
        <f>IFERROR(L260*MAX(N260,1)/R260*Q260*IF(ISBLANK(K259),1,K259),0)</f>
        <v/>
      </c>
      <c r="AB260" s="7" t="inlineStr">
        <is>
          <t>^RailgunWeapon</t>
        </is>
      </c>
    </row>
    <row r="261">
      <c r="A261" t="inlineStr">
        <is>
          <t>redalert2mod</t>
        </is>
      </c>
      <c r="B261" t="inlineStr">
        <is>
          <t>steelconsortium_bfg10000</t>
        </is>
      </c>
      <c r="C261" t="inlineStr">
        <is>
          <t>BFG 10000</t>
        </is>
      </c>
      <c r="D261" s="6" t="inlineStr">
        <is>
          <t>AdvancedDefense</t>
        </is>
      </c>
      <c r="E261" s="6" t="n">
        <v>1000000</v>
      </c>
      <c r="F261" s="6" t="n"/>
      <c r="G261" t="inlineStr">
        <is>
          <t>Steel</t>
        </is>
      </c>
      <c r="H261" s="6" t="n">
        <v>1</v>
      </c>
      <c r="I261" s="6" t="n">
        <v>0.5</v>
      </c>
      <c r="J261" s="6" t="n">
        <v>1</v>
      </c>
      <c r="K261" s="6" t="n"/>
      <c r="X261" s="6" t="n">
        <v>10000</v>
      </c>
    </row>
    <row r="262">
      <c r="B262" s="7" t="inlineStr">
        <is>
          <t xml:space="preserve">  ↳ bfg10kCannonDummy</t>
        </is>
      </c>
      <c r="C262" s="7" t="inlineStr">
        <is>
          <t>Armament@Dummy</t>
        </is>
      </c>
      <c r="L262" s="6" t="n"/>
      <c r="M262" s="6" t="n">
        <v>750</v>
      </c>
      <c r="N262" s="6" t="n">
        <v>1</v>
      </c>
      <c r="O262" s="6" t="n"/>
      <c r="P262" s="6" t="n">
        <v>25000</v>
      </c>
      <c r="Q262" s="6" t="n">
        <v>1</v>
      </c>
      <c r="R262">
        <f>M262+IF(N262&gt;1,N(O262)*(N262-1),0)</f>
        <v/>
      </c>
      <c r="S262">
        <f>IFERROR(L262*MAX(N262,1)/R262*Q262*IF(ISBLANK(K261),1,K261),0)</f>
        <v/>
      </c>
      <c r="AB262" s="7" t="inlineStr"/>
    </row>
    <row r="263">
      <c r="B263" s="7" t="inlineStr">
        <is>
          <t xml:space="preserve">  ↳ bfg10kCannon</t>
        </is>
      </c>
      <c r="C263" s="7" t="inlineStr">
        <is>
          <t>Armament@Weapon</t>
        </is>
      </c>
      <c r="L263" s="6" t="n">
        <v>250000</v>
      </c>
      <c r="M263" s="6" t="n">
        <v>750</v>
      </c>
      <c r="N263" s="6" t="n">
        <v>1</v>
      </c>
      <c r="O263" s="6" t="n"/>
      <c r="P263" s="6" t="n">
        <v>25000</v>
      </c>
      <c r="Q263" s="6" t="n">
        <v>1.083333333333333</v>
      </c>
      <c r="R263">
        <f>M263+IF(N263&gt;1,N(O263)*(N263-1),0)</f>
        <v/>
      </c>
      <c r="S263">
        <f>IFERROR(L263*MAX(N263,1)/R263*Q263*IF(ISBLANK(K261),1,K261),0)</f>
        <v/>
      </c>
      <c r="AB263" s="7" t="inlineStr">
        <is>
          <t>^TeslaChargedWeapon, ^MagicWeapon, ^LaserWeapon, ^RailgunWeapon</t>
        </is>
      </c>
    </row>
    <row r="264">
      <c r="B264" s="7" t="inlineStr">
        <is>
          <t xml:space="preserve">  ↳ superbfg10kCannonDummy</t>
        </is>
      </c>
      <c r="C264" s="7" t="inlineStr">
        <is>
          <t>Armament@SuperDummy</t>
        </is>
      </c>
      <c r="L264" s="6" t="n"/>
      <c r="M264" s="6" t="n">
        <v>750</v>
      </c>
      <c r="N264" s="6" t="n">
        <v>1</v>
      </c>
      <c r="O264" s="6" t="n"/>
      <c r="P264" s="6" t="n">
        <v>10238976</v>
      </c>
      <c r="Q264" s="6" t="n">
        <v>1</v>
      </c>
      <c r="R264">
        <f>M264+IF(N264&gt;1,N(O264)*(N264-1),0)</f>
        <v/>
      </c>
      <c r="S264">
        <f>IFERROR(L264*MAX(N264,1)/R264*Q264*IF(ISBLANK(K261),1,K261),0)</f>
        <v/>
      </c>
      <c r="AB264" s="7" t="inlineStr">
        <is>
          <t>bfg10kCannonDummy</t>
        </is>
      </c>
    </row>
    <row r="265">
      <c r="B265" s="7" t="inlineStr">
        <is>
          <t xml:space="preserve">  ↳ superbfg10kCannon</t>
        </is>
      </c>
      <c r="C265" s="7" t="inlineStr">
        <is>
          <t>Armament@SuperWeapon</t>
        </is>
      </c>
      <c r="L265" s="6" t="n">
        <v>250000</v>
      </c>
      <c r="M265" s="6" t="n">
        <v>750</v>
      </c>
      <c r="N265" s="6" t="n">
        <v>1</v>
      </c>
      <c r="O265" s="6" t="n"/>
      <c r="P265" s="6" t="n">
        <v>10238976</v>
      </c>
      <c r="Q265" s="6" t="n">
        <v>1.083333333333333</v>
      </c>
      <c r="R265">
        <f>M265+IF(N265&gt;1,N(O265)*(N265-1),0)</f>
        <v/>
      </c>
      <c r="S265">
        <f>IFERROR(L265*MAX(N265,1)/R265*Q265*IF(ISBLANK(K261),1,K261),0)</f>
        <v/>
      </c>
      <c r="AB265" s="7" t="inlineStr">
        <is>
          <t>^TeslaChargedWeapon, ^MagicWeapon, ^LaserWeapon, ^RailgunWeapon</t>
        </is>
      </c>
    </row>
    <row r="266">
      <c r="A266" t="inlineStr">
        <is>
          <t>redalert2mod</t>
        </is>
      </c>
      <c r="B266" t="inlineStr">
        <is>
          <t>steelconsortium_quantumcannon</t>
        </is>
      </c>
      <c r="C266" t="inlineStr">
        <is>
          <t>Quantum Cannon</t>
        </is>
      </c>
      <c r="D266" s="6" t="inlineStr">
        <is>
          <t>AdvancedDefense</t>
        </is>
      </c>
      <c r="E266" s="6" t="n">
        <v>230000</v>
      </c>
      <c r="F266" s="6" t="n"/>
      <c r="G266" t="inlineStr">
        <is>
          <t>Steel</t>
        </is>
      </c>
      <c r="H266" s="6" t="n">
        <v>1</v>
      </c>
      <c r="I266" s="6" t="n">
        <v>1</v>
      </c>
      <c r="J266" s="6" t="n">
        <v>1</v>
      </c>
      <c r="K266" s="6" t="n"/>
      <c r="X266" s="6" t="n">
        <v>2000</v>
      </c>
    </row>
    <row r="267">
      <c r="B267" s="7" t="inlineStr">
        <is>
          <t xml:space="preserve">  ↳ GLStingerTargeting</t>
        </is>
      </c>
      <c r="C267" s="7" t="inlineStr">
        <is>
          <t>Armament@DroneTargeting</t>
        </is>
      </c>
      <c r="L267" s="6" t="n"/>
      <c r="M267" s="6" t="n">
        <v>25</v>
      </c>
      <c r="N267" s="6" t="n">
        <v>1</v>
      </c>
      <c r="O267" s="6" t="n"/>
      <c r="P267" s="6" t="n">
        <v>15000</v>
      </c>
      <c r="Q267" s="6" t="n">
        <v>1</v>
      </c>
      <c r="R267">
        <f>M267+IF(N267&gt;1,N(O267)*(N267-1),0)</f>
        <v/>
      </c>
      <c r="S267">
        <f>IFERROR(L267*MAX(N267,1)/R267*Q267*IF(ISBLANK(K266),1,K266),0)</f>
        <v/>
      </c>
      <c r="AB267" s="7" t="inlineStr"/>
    </row>
    <row r="268">
      <c r="B268" s="7" t="inlineStr">
        <is>
          <t xml:space="preserve">  ↳ SteelQuantumTurretRail</t>
        </is>
      </c>
      <c r="C268" s="7" t="inlineStr">
        <is>
          <t>Armament@1</t>
        </is>
      </c>
      <c r="L268" s="6" t="n">
        <v>2000</v>
      </c>
      <c r="M268" s="6" t="n">
        <v>38</v>
      </c>
      <c r="N268" s="6" t="n">
        <v>1</v>
      </c>
      <c r="O268" s="6" t="n"/>
      <c r="P268" s="6" t="n">
        <v>8888</v>
      </c>
      <c r="Q268" s="6" t="n">
        <v>1.166666666666667</v>
      </c>
      <c r="R268">
        <f>M268+IF(N268&gt;1,N(O268)*(N268-1),0)</f>
        <v/>
      </c>
      <c r="S268">
        <f>IFERROR(L268*MAX(N268,1)/R268*Q268*IF(ISBLANK(K266),1,K266),0)</f>
        <v/>
      </c>
      <c r="AB268" s="7" t="inlineStr">
        <is>
          <t>^TeslaWeapon, ^HeavyChemicalWeapon, ^HeavyFlameWeapon, ^LaserWeapon, ^RailgunWeapon, ^SteelHeavyCannon</t>
        </is>
      </c>
    </row>
    <row r="269">
      <c r="B269" s="7" t="inlineStr">
        <is>
          <t xml:space="preserve">  ↳ SteelQuantumTurretRail</t>
        </is>
      </c>
      <c r="C269" s="7" t="inlineStr">
        <is>
          <t>Armament@2</t>
        </is>
      </c>
      <c r="L269" s="6" t="n">
        <v>2000</v>
      </c>
      <c r="M269" s="6" t="n">
        <v>38</v>
      </c>
      <c r="N269" s="6" t="n">
        <v>1</v>
      </c>
      <c r="O269" s="6" t="n"/>
      <c r="P269" s="6" t="n">
        <v>8888</v>
      </c>
      <c r="Q269" s="6" t="n">
        <v>1.166666666666667</v>
      </c>
      <c r="R269">
        <f>M269+IF(N269&gt;1,N(O269)*(N269-1),0)</f>
        <v/>
      </c>
      <c r="S269">
        <f>IFERROR(L269*MAX(N269,1)/R269*Q269*IF(ISBLANK(K266),1,K266),0)</f>
        <v/>
      </c>
      <c r="AB269" s="7" t="inlineStr">
        <is>
          <t>^TeslaWeapon, ^HeavyChemicalWeapon, ^HeavyFlameWeapon, ^LaserWeapon, ^RailgunWeapon, ^SteelHeavyCannon</t>
        </is>
      </c>
    </row>
    <row r="270">
      <c r="B270" s="7" t="inlineStr">
        <is>
          <t xml:space="preserve">  ↳ SteelQuantumTurretRailEMP</t>
        </is>
      </c>
      <c r="C270" s="7" t="inlineStr">
        <is>
          <t>Armament@Upgrade1</t>
        </is>
      </c>
      <c r="L270" s="6" t="n">
        <v>2000</v>
      </c>
      <c r="M270" s="6" t="n">
        <v>38</v>
      </c>
      <c r="N270" s="6" t="n">
        <v>1</v>
      </c>
      <c r="O270" s="6" t="n"/>
      <c r="P270" s="6" t="n">
        <v>8888</v>
      </c>
      <c r="Q270" s="6" t="n">
        <v>1.166666666666667</v>
      </c>
      <c r="R270">
        <f>M270+IF(N270&gt;1,N(O270)*(N270-1),0)</f>
        <v/>
      </c>
      <c r="S270">
        <f>IFERROR(L270*MAX(N270,1)/R270*Q270*IF(ISBLANK(K266),1,K266),0)</f>
        <v/>
      </c>
      <c r="AB270" s="7" t="inlineStr">
        <is>
          <t>^TeslaWeapon, ^HeavyChemicalWeapon, ^HeavyFlameWeapon, ^LaserWeapon, ^RailgunWeapon, ^SteelHeavyCannon</t>
        </is>
      </c>
    </row>
    <row r="271">
      <c r="B271" s="7" t="inlineStr">
        <is>
          <t xml:space="preserve">  ↳ SteelQuantumTurretRailEMP</t>
        </is>
      </c>
      <c r="C271" s="7" t="inlineStr">
        <is>
          <t>Armament@Upgrade2</t>
        </is>
      </c>
      <c r="L271" s="6" t="n">
        <v>2000</v>
      </c>
      <c r="M271" s="6" t="n">
        <v>38</v>
      </c>
      <c r="N271" s="6" t="n">
        <v>1</v>
      </c>
      <c r="O271" s="6" t="n"/>
      <c r="P271" s="6" t="n">
        <v>8888</v>
      </c>
      <c r="Q271" s="6" t="n">
        <v>1.166666666666667</v>
      </c>
      <c r="R271">
        <f>M271+IF(N271&gt;1,N(O271)*(N271-1),0)</f>
        <v/>
      </c>
      <c r="S271">
        <f>IFERROR(L271*MAX(N271,1)/R271*Q271*IF(ISBLANK(K266),1,K266),0)</f>
        <v/>
      </c>
      <c r="AB271" s="7" t="inlineStr">
        <is>
          <t>^TeslaWeapon, ^HeavyChemicalWeapon, ^HeavyFlameWeapon, ^LaserWeapon, ^RailgunWeapon, ^SteelHeavyCannon</t>
        </is>
      </c>
    </row>
    <row r="272">
      <c r="A272" t="inlineStr">
        <is>
          <t>redalert2mod</t>
        </is>
      </c>
      <c r="B272" t="inlineStr">
        <is>
          <t>latinsyndicate_smlturret</t>
        </is>
      </c>
      <c r="C272" t="inlineStr">
        <is>
          <t>SML Turret</t>
        </is>
      </c>
      <c r="D272" s="6" t="inlineStr">
        <is>
          <t>AdvancedDefense</t>
        </is>
      </c>
      <c r="E272" s="6" t="n">
        <v>300000</v>
      </c>
      <c r="F272" s="6" t="n"/>
      <c r="G272" t="inlineStr">
        <is>
          <t>Steel</t>
        </is>
      </c>
      <c r="H272" s="6" t="n">
        <v>1</v>
      </c>
      <c r="I272" s="6" t="n">
        <v>1</v>
      </c>
      <c r="J272" s="6" t="n">
        <v>1</v>
      </c>
      <c r="K272" s="6" t="n"/>
      <c r="X272" s="6" t="n">
        <v>5000</v>
      </c>
    </row>
    <row r="273">
      <c r="B273" s="7" t="inlineStr">
        <is>
          <t xml:space="preserve">  ↳ SMLLauncher</t>
        </is>
      </c>
      <c r="C273" s="7" t="inlineStr">
        <is>
          <t>Armament</t>
        </is>
      </c>
      <c r="L273" s="6" t="n"/>
      <c r="M273" s="6" t="n">
        <v>125</v>
      </c>
      <c r="N273" s="6" t="n">
        <v>4</v>
      </c>
      <c r="O273" s="6" t="n"/>
      <c r="P273" s="6" t="n">
        <v>15000</v>
      </c>
      <c r="Q273" s="6" t="n">
        <v>1</v>
      </c>
      <c r="R273">
        <f>M273+IF(N273&gt;1,N(O273)*(N273-1),0)</f>
        <v/>
      </c>
      <c r="S273">
        <f>IFERROR(L273*MAX(N273,1)/R273*Q273*IF(ISBLANK(K272),1,K272),0)</f>
        <v/>
      </c>
      <c r="AB273" s="7" t="inlineStr"/>
    </row>
    <row r="274">
      <c r="A274" t="inlineStr">
        <is>
          <t>redalert2mod</t>
        </is>
      </c>
      <c r="B274" t="inlineStr">
        <is>
          <t>schwarzermond_lasertower</t>
        </is>
      </c>
      <c r="C274" t="inlineStr">
        <is>
          <t>Laser Tower</t>
        </is>
      </c>
      <c r="D274" s="6" t="inlineStr">
        <is>
          <t>AdvancedDefense</t>
        </is>
      </c>
      <c r="E274" s="6" t="n">
        <v>160000</v>
      </c>
      <c r="F274" s="6" t="n"/>
      <c r="G274" t="inlineStr">
        <is>
          <t>Steel</t>
        </is>
      </c>
      <c r="H274" s="6" t="n">
        <v>1</v>
      </c>
      <c r="I274" s="6" t="n">
        <v>1</v>
      </c>
      <c r="J274" s="6" t="n">
        <v>1</v>
      </c>
      <c r="K274" s="6" t="n"/>
      <c r="X274" s="6" t="n">
        <v>800</v>
      </c>
    </row>
    <row r="275">
      <c r="B275" s="7" t="inlineStr">
        <is>
          <t xml:space="preserve">  ↳ NaxLaserT</t>
        </is>
      </c>
      <c r="C275" s="7" t="inlineStr">
        <is>
          <t>Armament</t>
        </is>
      </c>
      <c r="L275" s="6" t="n">
        <v>2000</v>
      </c>
      <c r="M275" s="6" t="n">
        <v>20</v>
      </c>
      <c r="N275" s="6" t="n">
        <v>1</v>
      </c>
      <c r="O275" s="6" t="n"/>
      <c r="P275" s="6" t="n">
        <v>8181</v>
      </c>
      <c r="Q275" s="6" t="n">
        <v>0.9375</v>
      </c>
      <c r="R275">
        <f>M275+IF(N275&gt;1,N(O275)*(N275-1),0)</f>
        <v/>
      </c>
      <c r="S275">
        <f>IFERROR(L275*MAX(N275,1)/R275*Q275*IF(ISBLANK(K274),1,K274),0)</f>
        <v/>
      </c>
      <c r="AB275" s="7" t="inlineStr">
        <is>
          <t>^SmallArms, ^Chaingun, ^MediumMissile, ^LaserWeapon</t>
        </is>
      </c>
    </row>
    <row r="276">
      <c r="B276" s="7" t="inlineStr">
        <is>
          <t xml:space="preserve">  ↳ Lunar_YellowLaserT</t>
        </is>
      </c>
      <c r="C276" s="7" t="inlineStr">
        <is>
          <t>Armament@UP</t>
        </is>
      </c>
      <c r="L276" s="6" t="n">
        <v>2000</v>
      </c>
      <c r="M276" s="6" t="n">
        <v>20</v>
      </c>
      <c r="N276" s="6" t="n">
        <v>2</v>
      </c>
      <c r="O276" s="6" t="n"/>
      <c r="P276" s="6" t="n">
        <v>8181</v>
      </c>
      <c r="Q276" s="6" t="n">
        <v>0.9375</v>
      </c>
      <c r="R276">
        <f>M276+IF(N276&gt;1,N(O276)*(N276-1),0)</f>
        <v/>
      </c>
      <c r="S276">
        <f>IFERROR(L276*MAX(N276,1)/R276*Q276*IF(ISBLANK(K274),1,K274),0)</f>
        <v/>
      </c>
      <c r="AB276" s="7" t="inlineStr">
        <is>
          <t>^SmallArms, ^Chaingun, ^MediumMissile, ^LaserWeapon</t>
        </is>
      </c>
    </row>
    <row r="277">
      <c r="B277" s="7" t="inlineStr">
        <is>
          <t xml:space="preserve">  ↳ Lunar_AmplifiedLaserT</t>
        </is>
      </c>
      <c r="C277" s="7" t="inlineStr">
        <is>
          <t>Armament@AMP</t>
        </is>
      </c>
      <c r="L277" s="6" t="n">
        <v>2000</v>
      </c>
      <c r="M277" s="6" t="n">
        <v>20</v>
      </c>
      <c r="N277" s="6" t="n">
        <v>3</v>
      </c>
      <c r="O277" s="6" t="n"/>
      <c r="P277" s="6" t="n">
        <v>8181</v>
      </c>
      <c r="Q277" s="6" t="n">
        <v>0.9375</v>
      </c>
      <c r="R277">
        <f>M277+IF(N277&gt;1,N(O277)*(N277-1),0)</f>
        <v/>
      </c>
      <c r="S277">
        <f>IFERROR(L277*MAX(N277,1)/R277*Q277*IF(ISBLANK(K274),1,K274),0)</f>
        <v/>
      </c>
      <c r="AB277" s="7" t="inlineStr">
        <is>
          <t>^SmallArms, ^Chaingun, ^MediumMissile, ^LaserWeapon</t>
        </is>
      </c>
    </row>
    <row r="278">
      <c r="A278" t="inlineStr">
        <is>
          <t>redalert2mod</t>
        </is>
      </c>
      <c r="B278" t="inlineStr">
        <is>
          <t>futuretech_frostbiteturret</t>
        </is>
      </c>
      <c r="C278" t="inlineStr">
        <is>
          <t>Frostbite Turret</t>
        </is>
      </c>
      <c r="D278" s="6" t="inlineStr">
        <is>
          <t>AdvancedDefense</t>
        </is>
      </c>
      <c r="E278" s="6" t="n">
        <v>120000</v>
      </c>
      <c r="F278" s="6" t="n"/>
      <c r="G278" t="inlineStr">
        <is>
          <t>Steel</t>
        </is>
      </c>
      <c r="H278" s="6" t="n">
        <v>1</v>
      </c>
      <c r="I278" s="6" t="n">
        <v>1</v>
      </c>
      <c r="J278" s="6" t="n">
        <v>1</v>
      </c>
      <c r="K278" s="6" t="n">
        <v>0.48</v>
      </c>
      <c r="X278" s="6" t="n">
        <v>1500</v>
      </c>
    </row>
    <row r="279">
      <c r="B279" s="7" t="inlineStr">
        <is>
          <t xml:space="preserve">  ↳ Future_Turret_Cryo</t>
        </is>
      </c>
      <c r="C279" s="7" t="inlineStr">
        <is>
          <t>Armament</t>
        </is>
      </c>
      <c r="L279" s="6" t="n">
        <v>2000</v>
      </c>
      <c r="M279" s="6" t="n">
        <v>8</v>
      </c>
      <c r="N279" s="6" t="n">
        <v>1</v>
      </c>
      <c r="O279" s="6" t="n"/>
      <c r="P279" s="6" t="n">
        <v>7124</v>
      </c>
      <c r="Q279" s="6" t="n">
        <v>0.9166666666666666</v>
      </c>
      <c r="R279">
        <f>M279+IF(N279&gt;1,N(O279)*(N279-1),0)</f>
        <v/>
      </c>
      <c r="S279">
        <f>IFERROR(L279*MAX(N279,1)/R279*Q279*IF(ISBLANK(K278),1,K278),0)</f>
        <v/>
      </c>
      <c r="AB279" s="7" t="inlineStr">
        <is>
          <t>^LightMissile, ^SmallArms, ^Chaingun, ^FlakWeapon, ^TeslaWeapon, ^LaserWeapon</t>
        </is>
      </c>
    </row>
    <row r="280">
      <c r="A280" t="inlineStr">
        <is>
          <t>d2k</t>
        </is>
      </c>
      <c r="B280" t="inlineStr">
        <is>
          <t>ordos_artilleryplatform</t>
        </is>
      </c>
      <c r="C280" t="inlineStr">
        <is>
          <t>Artillery Platform</t>
        </is>
      </c>
      <c r="D280" s="6" t="inlineStr">
        <is>
          <t>AdvancedDefense</t>
        </is>
      </c>
      <c r="E280" s="6" t="n">
        <v>125000</v>
      </c>
      <c r="F280" s="6" t="n"/>
      <c r="G280" t="inlineStr">
        <is>
          <t>Steel</t>
        </is>
      </c>
      <c r="H280" s="6" t="n">
        <v>1</v>
      </c>
      <c r="I280" s="6" t="n">
        <v>0.325</v>
      </c>
      <c r="J280" s="6" t="n">
        <v>1</v>
      </c>
      <c r="K280" s="6" t="n"/>
      <c r="X280" s="6" t="n">
        <v>1200</v>
      </c>
    </row>
    <row r="281">
      <c r="B281" s="7" t="inlineStr">
        <is>
          <t xml:space="preserve">  ↳ D2K_155mm_turret</t>
        </is>
      </c>
      <c r="C281" s="7" t="inlineStr">
        <is>
          <t>Armament</t>
        </is>
      </c>
      <c r="L281" s="6" t="n">
        <v>12000</v>
      </c>
      <c r="M281" s="6" t="n">
        <v>74</v>
      </c>
      <c r="N281" s="6" t="n">
        <v>1</v>
      </c>
      <c r="O281" s="6" t="n"/>
      <c r="P281" s="6" t="n">
        <v>10000</v>
      </c>
      <c r="Q281" s="6" t="n">
        <v>1.083333333333333</v>
      </c>
      <c r="R281">
        <f>M281+IF(N281&gt;1,N(O281)*(N281-1),0)</f>
        <v/>
      </c>
      <c r="S281">
        <f>IFERROR(L281*MAX(N281,1)/R281*Q281*IF(ISBLANK(K280),1,K280),0)</f>
        <v/>
      </c>
      <c r="AB281" s="7" t="inlineStr">
        <is>
          <t>^Grenade, ^ShrapnelWeapon, ^HeavyBomb, ^D2K_Cannon</t>
        </is>
      </c>
    </row>
    <row r="282">
      <c r="A282" t="inlineStr">
        <is>
          <t>d2k</t>
        </is>
      </c>
      <c r="B282" t="inlineStr">
        <is>
          <t>ordos_autogunturret</t>
        </is>
      </c>
      <c r="C282" t="inlineStr">
        <is>
          <t>Autogun Turret</t>
        </is>
      </c>
      <c r="D282" s="6" t="inlineStr">
        <is>
          <t>AdvancedDefense</t>
        </is>
      </c>
      <c r="E282" s="6" t="n">
        <v>75000</v>
      </c>
      <c r="F282" s="6" t="n"/>
      <c r="G282" t="inlineStr">
        <is>
          <t>Steel</t>
        </is>
      </c>
      <c r="H282" s="6" t="n">
        <v>1</v>
      </c>
      <c r="I282" s="6" t="n">
        <v>0.325</v>
      </c>
      <c r="J282" s="6" t="n">
        <v>1.25</v>
      </c>
      <c r="K282" s="6" t="n"/>
      <c r="X282" s="6" t="n">
        <v>1100</v>
      </c>
    </row>
    <row r="283">
      <c r="B283" s="7" t="inlineStr">
        <is>
          <t xml:space="preserve">  ↳ ordos_autogunturret</t>
        </is>
      </c>
      <c r="C283" s="7" t="inlineStr">
        <is>
          <t>Armament</t>
        </is>
      </c>
      <c r="L283" s="6" t="n">
        <v>2000</v>
      </c>
      <c r="M283" s="6" t="n">
        <v>22</v>
      </c>
      <c r="N283" s="6" t="n">
        <v>4</v>
      </c>
      <c r="O283" s="6" t="n">
        <v>2</v>
      </c>
      <c r="P283" s="6" t="n">
        <v>7700</v>
      </c>
      <c r="Q283" s="6" t="n">
        <v>1</v>
      </c>
      <c r="R283">
        <f>M283+IF(N283&gt;1,N(O283)*(N283-1),0)</f>
        <v/>
      </c>
      <c r="S283">
        <f>IFERROR(L283*MAX(N283,1)/R283*Q283*IF(ISBLANK(K282),1,K282),0)</f>
        <v/>
      </c>
      <c r="AB283" s="7" t="inlineStr">
        <is>
          <t>^HeavyCannon, ^SmallArms, ^Chaingun</t>
        </is>
      </c>
    </row>
    <row r="284">
      <c r="A284" t="inlineStr">
        <is>
          <t>d2k</t>
        </is>
      </c>
      <c r="B284" t="inlineStr">
        <is>
          <t>ixian_rocketturret</t>
        </is>
      </c>
      <c r="C284" t="inlineStr">
        <is>
          <t>Rocket Turret</t>
        </is>
      </c>
      <c r="D284" s="6" t="inlineStr">
        <is>
          <t>AdvancedDefense</t>
        </is>
      </c>
      <c r="E284" s="6" t="n">
        <v>150000</v>
      </c>
      <c r="F284" s="6" t="n"/>
      <c r="G284" t="inlineStr">
        <is>
          <t>Steel</t>
        </is>
      </c>
      <c r="H284" s="6" t="n">
        <v>1</v>
      </c>
      <c r="I284" s="6" t="n">
        <v>1</v>
      </c>
      <c r="J284" s="6" t="n">
        <v>1</v>
      </c>
      <c r="K284" s="6" t="n"/>
      <c r="X284" s="6" t="n">
        <v>1500</v>
      </c>
    </row>
    <row r="285">
      <c r="B285" s="7" t="inlineStr">
        <is>
          <t xml:space="preserve">  ↳ D2K_TowerMissile</t>
        </is>
      </c>
      <c r="C285" s="7" t="inlineStr">
        <is>
          <t>Armament@PRIMARY</t>
        </is>
      </c>
      <c r="L285" s="6" t="n">
        <v>4000</v>
      </c>
      <c r="M285" s="6" t="n">
        <v>42</v>
      </c>
      <c r="N285" s="6" t="n">
        <v>2</v>
      </c>
      <c r="O285" s="6" t="n">
        <v>5</v>
      </c>
      <c r="P285" s="6" t="n">
        <v>10684</v>
      </c>
      <c r="Q285" s="6" t="n">
        <v>1</v>
      </c>
      <c r="R285">
        <f>M285+IF(N285&gt;1,N(O285)*(N285-1),0)</f>
        <v/>
      </c>
      <c r="S285">
        <f>IFERROR(L285*MAX(N285,1)/R285*Q285*IF(ISBLANK(K284),1,K284),0)</f>
        <v/>
      </c>
      <c r="AB285" s="7" t="inlineStr">
        <is>
          <t>^Grenade, ^MediumFlameWeapon, ^FlakWeapon, ^D2KMissile</t>
        </is>
      </c>
    </row>
    <row r="286">
      <c r="A286" t="inlineStr">
        <is>
          <t>d2k</t>
        </is>
      </c>
      <c r="B286" t="inlineStr">
        <is>
          <t>ixian_stormlasher</t>
        </is>
      </c>
      <c r="C286" t="inlineStr">
        <is>
          <t>Storm Lasher</t>
        </is>
      </c>
      <c r="D286" s="6" t="inlineStr">
        <is>
          <t>AdvancedDefense</t>
        </is>
      </c>
      <c r="E286" s="6" t="n">
        <v>200000</v>
      </c>
      <c r="F286" s="6" t="n"/>
      <c r="G286" t="inlineStr">
        <is>
          <t>Steel</t>
        </is>
      </c>
      <c r="H286" s="6" t="n">
        <v>1</v>
      </c>
      <c r="I286" s="6" t="n">
        <v>0.325</v>
      </c>
      <c r="J286" s="6" t="n">
        <v>1.25</v>
      </c>
      <c r="K286" s="6" t="n"/>
      <c r="X286" s="6" t="n">
        <v>5000</v>
      </c>
    </row>
    <row r="287">
      <c r="B287" s="7" t="inlineStr">
        <is>
          <t xml:space="preserve">  ↳ d2kStormLasher</t>
        </is>
      </c>
      <c r="C287" s="7" t="inlineStr">
        <is>
          <t>Armament</t>
        </is>
      </c>
      <c r="L287" s="6" t="n">
        <v>150000</v>
      </c>
      <c r="M287" s="6" t="n">
        <v>250</v>
      </c>
      <c r="N287" s="6" t="n">
        <v>1</v>
      </c>
      <c r="O287" s="6" t="n"/>
      <c r="P287" s="6" t="n">
        <v>11384</v>
      </c>
      <c r="Q287" s="6" t="n">
        <v>1</v>
      </c>
      <c r="R287">
        <f>M287+IF(N287&gt;1,N(O287)*(N287-1),0)</f>
        <v/>
      </c>
      <c r="S287">
        <f>IFERROR(L287*MAX(N287,1)/R287*Q287*IF(ISBLANK(K286),1,K286),0)</f>
        <v/>
      </c>
      <c r="AB287" s="7" t="inlineStr">
        <is>
          <t>^TeslaWeapon, ^MagicWeapon</t>
        </is>
      </c>
    </row>
    <row r="288">
      <c r="A288" t="inlineStr">
        <is>
          <t>d2k</t>
        </is>
      </c>
      <c r="B288" t="inlineStr">
        <is>
          <t>harkonnen_autogunturret</t>
        </is>
      </c>
      <c r="C288" t="inlineStr">
        <is>
          <t>Harkonnen Autogun Turret</t>
        </is>
      </c>
      <c r="D288" s="6" t="inlineStr">
        <is>
          <t>AdvancedDefense</t>
        </is>
      </c>
      <c r="E288" s="6" t="n">
        <v>75000</v>
      </c>
      <c r="F288" s="6" t="n"/>
      <c r="G288" t="inlineStr">
        <is>
          <t>Steel</t>
        </is>
      </c>
      <c r="H288" s="6" t="n">
        <v>1</v>
      </c>
      <c r="I288" s="6" t="n">
        <v>1</v>
      </c>
      <c r="J288" s="6" t="n">
        <v>1</v>
      </c>
      <c r="K288" s="6" t="n"/>
      <c r="X288" s="6" t="n">
        <v>1100</v>
      </c>
    </row>
    <row r="289">
      <c r="B289" s="7" t="inlineStr">
        <is>
          <t xml:space="preserve">  ↳ harkonnen_autogunturret</t>
        </is>
      </c>
      <c r="C289" s="7" t="inlineStr">
        <is>
          <t>Armament</t>
        </is>
      </c>
      <c r="L289" s="6" t="n">
        <v>2000</v>
      </c>
      <c r="M289" s="6" t="n">
        <v>132</v>
      </c>
      <c r="N289" s="6" t="n">
        <v>26</v>
      </c>
      <c r="O289" s="6" t="n">
        <v>2</v>
      </c>
      <c r="P289" s="6" t="n">
        <v>7700</v>
      </c>
      <c r="Q289" s="6" t="n">
        <v>1</v>
      </c>
      <c r="R289">
        <f>M289+IF(N289&gt;1,N(O289)*(N289-1),0)</f>
        <v/>
      </c>
      <c r="S289">
        <f>IFERROR(L289*MAX(N289,1)/R289*Q289*IF(ISBLANK(K288),1,K288),0)</f>
        <v/>
      </c>
      <c r="AB289" s="7" t="inlineStr">
        <is>
          <t>^HeavyCannon, ^SmallArms, ^Chaingun</t>
        </is>
      </c>
    </row>
    <row r="290">
      <c r="A290" t="inlineStr">
        <is>
          <t>d2k</t>
        </is>
      </c>
      <c r="B290" t="inlineStr">
        <is>
          <t>harkonnen_rocketturret</t>
        </is>
      </c>
      <c r="C290" t="inlineStr">
        <is>
          <t>Harkonnen Rocket Turret</t>
        </is>
      </c>
      <c r="D290" s="6" t="inlineStr">
        <is>
          <t>AdvancedDefense</t>
        </is>
      </c>
      <c r="E290" s="6" t="n">
        <v>150000</v>
      </c>
      <c r="F290" s="6" t="n"/>
      <c r="G290" t="inlineStr">
        <is>
          <t>Steel</t>
        </is>
      </c>
      <c r="H290" s="6" t="n">
        <v>1</v>
      </c>
      <c r="I290" s="6" t="n">
        <v>1</v>
      </c>
      <c r="J290" s="6" t="n">
        <v>1</v>
      </c>
      <c r="K290" s="6" t="n"/>
      <c r="X290" s="6" t="n">
        <v>1500</v>
      </c>
    </row>
    <row r="291">
      <c r="B291" s="7" t="inlineStr">
        <is>
          <t xml:space="preserve">  ↳ D2K_TowerMissile</t>
        </is>
      </c>
      <c r="C291" s="7" t="inlineStr">
        <is>
          <t>Armament@PRIMARY</t>
        </is>
      </c>
      <c r="L291" s="6" t="n">
        <v>4000</v>
      </c>
      <c r="M291" s="6" t="n">
        <v>42</v>
      </c>
      <c r="N291" s="6" t="n">
        <v>2</v>
      </c>
      <c r="O291" s="6" t="n">
        <v>5</v>
      </c>
      <c r="P291" s="6" t="n">
        <v>10684</v>
      </c>
      <c r="Q291" s="6" t="n">
        <v>1</v>
      </c>
      <c r="R291">
        <f>M291+IF(N291&gt;1,N(O291)*(N291-1),0)</f>
        <v/>
      </c>
      <c r="S291">
        <f>IFERROR(L291*MAX(N291,1)/R291*Q291*IF(ISBLANK(K290),1,K290),0)</f>
        <v/>
      </c>
      <c r="AB291" s="7" t="inlineStr">
        <is>
          <t>^Grenade, ^MediumFlameWeapon, ^FlakWeapon, ^D2KMissile</t>
        </is>
      </c>
    </row>
    <row r="292">
      <c r="A292" t="inlineStr">
        <is>
          <t>starcraft</t>
        </is>
      </c>
      <c r="B292" t="inlineStr">
        <is>
          <t>terran_sentinel</t>
        </is>
      </c>
      <c r="C292" t="inlineStr">
        <is>
          <t>Sentinel</t>
        </is>
      </c>
      <c r="D292" s="6" t="inlineStr">
        <is>
          <t>AdvancedDefense</t>
        </is>
      </c>
      <c r="E292" s="6" t="n">
        <v>160000</v>
      </c>
      <c r="F292" s="6" t="n">
        <v>100</v>
      </c>
      <c r="G292" t="inlineStr">
        <is>
          <t>Steel</t>
        </is>
      </c>
      <c r="H292" s="6" t="n">
        <v>1</v>
      </c>
      <c r="I292" s="6" t="n">
        <v>1</v>
      </c>
      <c r="J292" s="6" t="n">
        <v>1</v>
      </c>
      <c r="K292" s="6" t="n"/>
      <c r="P292">
        <f>MAX(P293)</f>
        <v/>
      </c>
      <c r="S292">
        <f>S293</f>
        <v/>
      </c>
      <c r="T292">
        <f>(E292/100000+F292/100+(P292/1000)*J292/5+S292/200)*200*I292*H292</f>
        <v/>
      </c>
      <c r="U292">
        <f>((E292*F292/25000)+((P292/1000)*J292*S292/2.5))*I292*H292</f>
        <v/>
      </c>
      <c r="V292">
        <f>(E292*F292*(P292/1000)*J292*S292*I292*H292)/12500000</f>
        <v/>
      </c>
      <c r="W292">
        <f>(T292+U292+V292)/3</f>
        <v/>
      </c>
      <c r="X292" s="6" t="n">
        <v>800</v>
      </c>
      <c r="Y292">
        <f>IFERROR(W292-X292,"")</f>
        <v/>
      </c>
      <c r="Z292">
        <f>IFERROR(ABS(Y292)/MAX(X292,1),"")</f>
        <v/>
      </c>
      <c r="AA292">
        <f>IFERROR((X292-(((E292/100000+F292/100+S292/200)*200*I292*H292)+((E292*F292/25000)*I292*H292))/3)/(((J292/5)*200*I292*H292)+((J292*S292/2.5)*I292*H292)+((E292*F292*J292*S292*I292*H292)/12500000))/3*1000,"")</f>
        <v/>
      </c>
    </row>
    <row r="293">
      <c r="B293" s="7" t="inlineStr">
        <is>
          <t xml:space="preserve">  ↳ NaxLaserT</t>
        </is>
      </c>
      <c r="C293" s="7" t="inlineStr">
        <is>
          <t>Armament</t>
        </is>
      </c>
      <c r="L293" s="6" t="n">
        <v>2000</v>
      </c>
      <c r="M293" s="6" t="n">
        <v>20</v>
      </c>
      <c r="N293" s="6" t="n">
        <v>1</v>
      </c>
      <c r="O293" s="6" t="n"/>
      <c r="P293" s="6" t="n">
        <v>8181</v>
      </c>
      <c r="Q293" s="6" t="n">
        <v>0.9375</v>
      </c>
      <c r="R293">
        <f>M293+IF(N293&gt;1,N(O293)*(N293-1),0)</f>
        <v/>
      </c>
      <c r="S293">
        <f>IFERROR(L293*MAX(N293,1)/R293*Q293*IF(ISBLANK(K292),1,K292),0)</f>
        <v/>
      </c>
      <c r="AB293" s="7" t="inlineStr">
        <is>
          <t>^SmallArms, ^Chaingun, ^MediumMissile, ^LaserWeapon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294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1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8" customWidth="1" min="3" max="3"/>
    <col width="22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  <col width="10" customWidth="1" min="10" max="10"/>
    <col width="18" customWidth="1" min="11" max="11"/>
    <col width="12" customWidth="1" min="12" max="12"/>
    <col width="1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38" customWidth="1" min="28" max="28"/>
  </cols>
  <sheetData>
    <row r="1" ht="30" customHeight="1">
      <c r="A1" s="3" t="inlineStr">
        <is>
          <t>Mod</t>
        </is>
      </c>
      <c r="B1" s="3" t="inlineStr">
        <is>
          <t>Actor</t>
        </is>
      </c>
      <c r="C1" s="3" t="inlineStr">
        <is>
          <t>Name</t>
        </is>
      </c>
      <c r="D1" s="3" t="inlineStr">
        <is>
          <t>Class</t>
        </is>
      </c>
      <c r="E1" s="3" t="inlineStr">
        <is>
          <t>HP</t>
        </is>
      </c>
      <c r="F1" s="3" t="inlineStr">
        <is>
          <t>Speed</t>
        </is>
      </c>
      <c r="G1" s="3" t="inlineStr">
        <is>
          <t>Armor</t>
        </is>
      </c>
      <c r="H1" s="3" t="inlineStr">
        <is>
          <t>TechTier</t>
        </is>
      </c>
      <c r="I1" s="3" t="inlineStr">
        <is>
          <t>UnitClass</t>
        </is>
      </c>
      <c r="J1" s="3" t="inlineStr">
        <is>
          <t>Special</t>
        </is>
      </c>
      <c r="K1" s="3" t="inlineStr">
        <is>
          <t>FirepowerMultiplier</t>
        </is>
      </c>
      <c r="L1" s="3" t="inlineStr">
        <is>
          <t>Damage</t>
        </is>
      </c>
      <c r="M1" s="3" t="inlineStr">
        <is>
          <t>Reload</t>
        </is>
      </c>
      <c r="N1" s="3" t="inlineStr">
        <is>
          <t>Burst</t>
        </is>
      </c>
      <c r="O1" s="3" t="inlineStr">
        <is>
          <t>BurstDel</t>
        </is>
      </c>
      <c r="P1" s="3" t="inlineStr">
        <is>
          <t>Range(wd)</t>
        </is>
      </c>
      <c r="Q1" s="3" t="inlineStr">
        <is>
          <t>WeapClass</t>
        </is>
      </c>
      <c r="R1" s="3" t="inlineStr">
        <is>
          <t>EffReload</t>
        </is>
      </c>
      <c r="S1" s="3" t="inlineStr">
        <is>
          <t>DPS</t>
        </is>
      </c>
      <c r="T1" s="3" t="inlineStr">
        <is>
          <t>O</t>
        </is>
      </c>
      <c r="U1" s="3" t="inlineStr">
        <is>
          <t>P</t>
        </is>
      </c>
      <c r="V1" s="3" t="inlineStr">
        <is>
          <t>Q</t>
        </is>
      </c>
      <c r="W1" s="3" t="inlineStr">
        <is>
          <t>Price</t>
        </is>
      </c>
      <c r="X1" s="3" t="inlineStr">
        <is>
          <t>Cost</t>
        </is>
      </c>
      <c r="Y1" s="3" t="inlineStr">
        <is>
          <t>Delta</t>
        </is>
      </c>
      <c r="Z1" s="3" t="inlineStr">
        <is>
          <t>Delta%</t>
        </is>
      </c>
      <c r="AA1" s="3" t="inlineStr">
        <is>
          <t>RangeSolve</t>
        </is>
      </c>
      <c r="AB1" s="3" t="inlineStr">
        <is>
          <t>WeaponTypes</t>
        </is>
      </c>
    </row>
    <row r="2">
      <c r="A2" s="4" t="inlineStr">
        <is>
          <t>Ship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</row>
    <row r="3">
      <c r="A3" t="inlineStr">
        <is>
          <t>tiberiandawn</t>
        </is>
      </c>
      <c r="B3" t="inlineStr">
        <is>
          <t>LST</t>
        </is>
      </c>
      <c r="C3" t="inlineStr">
        <is>
          <t>Landing Craft</t>
        </is>
      </c>
      <c r="D3" s="6" t="inlineStr">
        <is>
          <t>Ship</t>
        </is>
      </c>
      <c r="E3" s="6" t="n">
        <v>75000</v>
      </c>
      <c r="F3" s="6" t="n">
        <v>125</v>
      </c>
      <c r="G3" t="inlineStr">
        <is>
          <t>Medium</t>
        </is>
      </c>
      <c r="H3" s="6" t="n">
        <v>1</v>
      </c>
      <c r="I3" s="6" t="n">
        <v>1</v>
      </c>
      <c r="J3" s="6" t="n">
        <v>1</v>
      </c>
      <c r="K3" s="6" t="n"/>
      <c r="X3" s="6" t="n">
        <v>500</v>
      </c>
    </row>
    <row r="4">
      <c r="A4" t="inlineStr">
        <is>
          <t>tiberiandawn</t>
        </is>
      </c>
      <c r="B4" t="inlineStr">
        <is>
          <t>CNCRSS</t>
        </is>
      </c>
      <c r="C4" t="inlineStr">
        <is>
          <t>Transport Submarine</t>
        </is>
      </c>
      <c r="D4" s="6" t="inlineStr">
        <is>
          <t>Ship</t>
        </is>
      </c>
      <c r="E4" s="6" t="n">
        <v>50000</v>
      </c>
      <c r="F4" s="6" t="n">
        <v>150</v>
      </c>
      <c r="G4" t="inlineStr">
        <is>
          <t>Light</t>
        </is>
      </c>
      <c r="H4" s="6" t="n">
        <v>1</v>
      </c>
      <c r="I4" s="6" t="n">
        <v>1</v>
      </c>
      <c r="J4" s="6" t="n">
        <v>1</v>
      </c>
      <c r="K4" s="6" t="n"/>
      <c r="X4" s="6" t="n">
        <v>500</v>
      </c>
    </row>
    <row r="5">
      <c r="A5" t="inlineStr">
        <is>
          <t>shared</t>
        </is>
      </c>
      <c r="B5" t="inlineStr">
        <is>
          <t>ra1_navaltransport</t>
        </is>
      </c>
      <c r="C5" t="inlineStr">
        <is>
          <t>Naval Transport</t>
        </is>
      </c>
      <c r="D5" s="6" t="inlineStr">
        <is>
          <t>Ship</t>
        </is>
      </c>
      <c r="E5" s="6" t="n">
        <v>100000</v>
      </c>
      <c r="F5" s="6" t="n">
        <v>100</v>
      </c>
      <c r="G5" t="inlineStr">
        <is>
          <t>Heavy</t>
        </is>
      </c>
      <c r="H5" s="6" t="n">
        <v>1</v>
      </c>
      <c r="I5" s="6" t="n">
        <v>1</v>
      </c>
      <c r="J5" s="6" t="n">
        <v>1</v>
      </c>
      <c r="K5" s="6" t="n"/>
      <c r="X5" s="6" t="n">
        <v>500</v>
      </c>
    </row>
    <row r="6">
      <c r="A6" s="4" t="inlineStr">
        <is>
          <t>ScoutShip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</row>
    <row r="7">
      <c r="A7" t="inlineStr">
        <is>
          <t>tiberiandawn</t>
        </is>
      </c>
      <c r="B7" t="inlineStr">
        <is>
          <t>CNCPT</t>
        </is>
      </c>
      <c r="C7" t="inlineStr">
        <is>
          <t>Missile Boat</t>
        </is>
      </c>
      <c r="D7" s="6" t="inlineStr">
        <is>
          <t>ScoutShip</t>
        </is>
      </c>
      <c r="E7" s="6" t="n">
        <v>75000</v>
      </c>
      <c r="F7" s="6" t="n">
        <v>100</v>
      </c>
      <c r="G7" t="inlineStr">
        <is>
          <t>Heavy</t>
        </is>
      </c>
      <c r="H7" s="6" t="n">
        <v>1</v>
      </c>
      <c r="I7" s="6" t="n">
        <v>1</v>
      </c>
      <c r="J7" s="6" t="n">
        <v>1</v>
      </c>
      <c r="K7" s="6" t="n"/>
      <c r="P7">
        <f>MAX(P8,P9,P10,P11)</f>
        <v/>
      </c>
      <c r="S7">
        <f>S8+S9+S10+S11</f>
        <v/>
      </c>
      <c r="T7">
        <f>(E7/100000+F7/100+(P7/1000)*J7/5+S7/200)*200*I7*H7</f>
        <v/>
      </c>
      <c r="U7">
        <f>((E7*F7/25000)+((P7/1000)*J7*S7/2.5))*I7*H7</f>
        <v/>
      </c>
      <c r="V7">
        <f>(E7*F7*(P7/1000)*J7*S7*I7*H7)/12500000</f>
        <v/>
      </c>
      <c r="W7">
        <f>(T7+U7+V7)/3</f>
        <v/>
      </c>
      <c r="X7" s="6" t="n">
        <v>1600</v>
      </c>
      <c r="Y7">
        <f>IFERROR(W7-X7,"")</f>
        <v/>
      </c>
      <c r="Z7">
        <f>IFERROR(ABS(Y7)/MAX(X7,1),"")</f>
        <v/>
      </c>
      <c r="AA7">
        <f>IFERROR((X7-(((E7/100000+F7/100+S7/200)*200*I7*H7)+((E7*F7/25000)*I7*H7))/3)/(((J7/5)*200*I7*H7)+((J7*S7/2.5)*I7*H7)+((E7*F7*J7*S7*I7*H7)/12500000))/3*1000,"")</f>
        <v/>
      </c>
    </row>
    <row r="8">
      <c r="B8" s="7" t="inlineStr">
        <is>
          <t xml:space="preserve">  ↳ GunboatMissile</t>
        </is>
      </c>
      <c r="C8" s="7" t="inlineStr">
        <is>
          <t>Armament@Ground</t>
        </is>
      </c>
      <c r="L8" s="6" t="n">
        <v>18000</v>
      </c>
      <c r="M8" s="6" t="n">
        <v>33</v>
      </c>
      <c r="N8" s="6" t="n">
        <v>2</v>
      </c>
      <c r="O8" s="6" t="n">
        <v>11</v>
      </c>
      <c r="P8" s="6" t="n">
        <v>6666</v>
      </c>
      <c r="Q8" s="6" t="n">
        <v>1</v>
      </c>
      <c r="R8">
        <f>M8+IF(N8&gt;1,N(O8)*(N8-1),0)</f>
        <v/>
      </c>
      <c r="S8">
        <f>IFERROR(L8*MAX(N8,1)/R8*Q8*IF(ISBLANK(K7),1,K7),0)</f>
        <v/>
      </c>
      <c r="AB8" s="7" t="inlineStr">
        <is>
          <t>^MediumMissile</t>
        </is>
      </c>
    </row>
    <row r="9">
      <c r="B9" s="7" t="inlineStr">
        <is>
          <t xml:space="preserve">  ↳ GunboatMissileAMT</t>
        </is>
      </c>
      <c r="C9" s="7" t="inlineStr">
        <is>
          <t>Armament@AdvancedMissileTargeting</t>
        </is>
      </c>
      <c r="L9" s="6" t="n">
        <v>18000</v>
      </c>
      <c r="M9" s="6" t="n">
        <v>33</v>
      </c>
      <c r="N9" s="6" t="n">
        <v>2</v>
      </c>
      <c r="O9" s="6" t="n">
        <v>11</v>
      </c>
      <c r="P9" s="6" t="n">
        <v>6666</v>
      </c>
      <c r="Q9" s="6" t="n">
        <v>1</v>
      </c>
      <c r="R9">
        <f>M9+IF(N9&gt;1,N(O9)*(N9-1),0)</f>
        <v/>
      </c>
      <c r="S9">
        <f>IFERROR(L9*MAX(N9,1)/R9*Q9*IF(ISBLANK(K7),1,K7),0)</f>
        <v/>
      </c>
      <c r="AB9" s="7" t="inlineStr">
        <is>
          <t>^MediumMissile, ^AMTProjectile</t>
        </is>
      </c>
    </row>
    <row r="10">
      <c r="B10" s="7" t="inlineStr">
        <is>
          <t xml:space="preserve">  ↳ DepthCharge</t>
        </is>
      </c>
      <c r="C10" s="7" t="inlineStr">
        <is>
          <t>Armament@DC1</t>
        </is>
      </c>
      <c r="L10" s="6" t="n">
        <v>60000</v>
      </c>
      <c r="M10" s="6" t="n">
        <v>60</v>
      </c>
      <c r="N10" s="6" t="n">
        <v>1</v>
      </c>
      <c r="O10" s="6" t="n"/>
      <c r="P10" s="6" t="n">
        <v>6000</v>
      </c>
      <c r="Q10" s="6" t="n">
        <v>1</v>
      </c>
      <c r="R10">
        <f>M10+IF(N10&gt;1,N(O10)*(N10-1),0)</f>
        <v/>
      </c>
      <c r="S10">
        <f>IFERROR(L10*MAX(N10,1)/R10*Q10*IF(ISBLANK(K7),1,K7),0)</f>
        <v/>
      </c>
      <c r="AB10" s="7" t="inlineStr">
        <is>
          <t>^Grenade</t>
        </is>
      </c>
    </row>
    <row r="11">
      <c r="B11" s="7" t="inlineStr">
        <is>
          <t xml:space="preserve">  ↳ DepthCharge</t>
        </is>
      </c>
      <c r="C11" s="7" t="inlineStr">
        <is>
          <t>Armament@DC2</t>
        </is>
      </c>
      <c r="L11" s="6" t="n">
        <v>60000</v>
      </c>
      <c r="M11" s="6" t="n">
        <v>60</v>
      </c>
      <c r="N11" s="6" t="n">
        <v>1</v>
      </c>
      <c r="O11" s="6" t="n"/>
      <c r="P11" s="6" t="n">
        <v>6000</v>
      </c>
      <c r="Q11" s="6" t="n">
        <v>1</v>
      </c>
      <c r="R11">
        <f>M11+IF(N11&gt;1,N(O11)*(N11-1),0)</f>
        <v/>
      </c>
      <c r="S11">
        <f>IFERROR(L11*MAX(N11,1)/R11*Q11*IF(ISBLANK(K7),1,K7),0)</f>
        <v/>
      </c>
      <c r="AB11" s="7" t="inlineStr">
        <is>
          <t>^Grenade</t>
        </is>
      </c>
    </row>
    <row r="12">
      <c r="A12" t="inlineStr">
        <is>
          <t>tiberiandawn</t>
        </is>
      </c>
      <c r="B12" t="inlineStr">
        <is>
          <t>CNCSS</t>
        </is>
      </c>
      <c r="C12" t="inlineStr">
        <is>
          <t>Nod Attack Submarine</t>
        </is>
      </c>
      <c r="D12" s="6" t="inlineStr">
        <is>
          <t>ScoutShip</t>
        </is>
      </c>
      <c r="E12" s="6" t="n">
        <v>160000</v>
      </c>
      <c r="F12" s="6" t="n">
        <v>80</v>
      </c>
      <c r="G12" t="inlineStr">
        <is>
          <t>Heavy</t>
        </is>
      </c>
      <c r="H12" s="6" t="n">
        <v>1</v>
      </c>
      <c r="I12" s="6" t="n">
        <v>1</v>
      </c>
      <c r="J12" s="6" t="n">
        <v>1</v>
      </c>
      <c r="K12" s="6" t="n"/>
      <c r="P12">
        <f>MAX(P13,P14)</f>
        <v/>
      </c>
      <c r="S12">
        <f>S13+S14</f>
        <v/>
      </c>
      <c r="T12">
        <f>(E12/100000+F12/100+(P12/1000)*J12/5+S12/200)*200*I12*H12</f>
        <v/>
      </c>
      <c r="U12">
        <f>((E12*F12/25000)+((P12/1000)*J12*S12/2.5))*I12*H12</f>
        <v/>
      </c>
      <c r="V12">
        <f>(E12*F12*(P12/1000)*J12*S12*I12*H12)/12500000</f>
        <v/>
      </c>
      <c r="W12">
        <f>(T12+U12+V12)/3</f>
        <v/>
      </c>
      <c r="X12" s="6" t="n">
        <v>1600</v>
      </c>
      <c r="Y12">
        <f>IFERROR(W12-X12,"")</f>
        <v/>
      </c>
      <c r="Z12">
        <f>IFERROR(ABS(Y12)/MAX(X12,1),"")</f>
        <v/>
      </c>
      <c r="AA12">
        <f>IFERROR((X12-(((E12/100000+F12/100+S12/200)*200*I12*H12)+((E12*F12/25000)*I12*H12))/3)/(((J12/5)*200*I12*H12)+((J12*S12/2.5)*I12*H12)+((E12*F12*J12*S12*I12*H12)/12500000))/3*1000,"")</f>
        <v/>
      </c>
    </row>
    <row r="13">
      <c r="B13" s="7" t="inlineStr">
        <is>
          <t xml:space="preserve">  ↳ NodTorpTube</t>
        </is>
      </c>
      <c r="C13" s="7" t="inlineStr">
        <is>
          <t>Armament@PRIMARY</t>
        </is>
      </c>
      <c r="L13" s="6" t="n">
        <v>8000</v>
      </c>
      <c r="M13" s="6" t="n">
        <v>64</v>
      </c>
      <c r="N13" s="6" t="n">
        <v>2</v>
      </c>
      <c r="O13" s="6" t="n">
        <v>8</v>
      </c>
      <c r="P13" s="6" t="n">
        <v>8000</v>
      </c>
      <c r="Q13" s="6" t="n">
        <v>1.125</v>
      </c>
      <c r="R13">
        <f>M13+IF(N13&gt;1,N(O13)*(N13-1),0)</f>
        <v/>
      </c>
      <c r="S13">
        <f>IFERROR(L13*MAX(N13,1)/R13*Q13*IF(ISBLANK(K12),1,K12),0)</f>
        <v/>
      </c>
      <c r="AB13" s="7" t="inlineStr">
        <is>
          <t>^Grenade, ^HeavyMissile</t>
        </is>
      </c>
    </row>
    <row r="14">
      <c r="B14" s="7" t="inlineStr">
        <is>
          <t xml:space="preserve">  ↳ NodTorpTubeBlackMarket</t>
        </is>
      </c>
      <c r="C14" s="7" t="inlineStr">
        <is>
          <t>Armament@Upgrade</t>
        </is>
      </c>
      <c r="L14" s="6" t="n">
        <v>8000</v>
      </c>
      <c r="M14" s="6" t="n">
        <v>64</v>
      </c>
      <c r="N14" s="6" t="n">
        <v>2</v>
      </c>
      <c r="O14" s="6" t="n">
        <v>8</v>
      </c>
      <c r="P14" s="6" t="n">
        <v>8000</v>
      </c>
      <c r="Q14" s="6" t="n">
        <v>1.25</v>
      </c>
      <c r="R14">
        <f>M14+IF(N14&gt;1,N(O14)*(N14-1),0)</f>
        <v/>
      </c>
      <c r="S14">
        <f>IFERROR(L14*MAX(N14,1)/R14*Q14*IF(ISBLANK(K12),1,K12),0)</f>
        <v/>
      </c>
      <c r="AB14" s="7" t="inlineStr">
        <is>
          <t>^HeavyBomb, ^HeavyMissile</t>
        </is>
      </c>
    </row>
    <row r="15">
      <c r="A15" t="inlineStr">
        <is>
          <t>shared</t>
        </is>
      </c>
      <c r="B15" t="inlineStr">
        <is>
          <t>japan_japanesespeedboat</t>
        </is>
      </c>
      <c r="C15" t="inlineStr">
        <is>
          <t>Japanese Speedboat</t>
        </is>
      </c>
      <c r="D15" s="6" t="inlineStr">
        <is>
          <t>ScoutShip</t>
        </is>
      </c>
      <c r="E15" s="6" t="n">
        <v>40000</v>
      </c>
      <c r="F15" s="6" t="n">
        <v>140</v>
      </c>
      <c r="G15" t="inlineStr">
        <is>
          <t>Light</t>
        </is>
      </c>
      <c r="H15" s="6" t="n">
        <v>1</v>
      </c>
      <c r="I15" s="6" t="n">
        <v>1</v>
      </c>
      <c r="J15" s="6" t="n">
        <v>1</v>
      </c>
      <c r="K15" s="6" t="n"/>
      <c r="P15">
        <f>MAX(P16,P17,P18,P19)</f>
        <v/>
      </c>
      <c r="S15">
        <f>S16+S17+S18+S19</f>
        <v/>
      </c>
      <c r="T15">
        <f>(E15/100000+F15/100+(P15/1000)*J15/5+S15/200)*200*I15*H15</f>
        <v/>
      </c>
      <c r="U15">
        <f>((E15*F15/25000)+((P15/1000)*J15*S15/2.5))*I15*H15</f>
        <v/>
      </c>
      <c r="V15">
        <f>(E15*F15*(P15/1000)*J15*S15*I15*H15)/12500000</f>
        <v/>
      </c>
      <c r="W15">
        <f>(T15+U15+V15)/3</f>
        <v/>
      </c>
      <c r="X15" s="6" t="n">
        <v>1200</v>
      </c>
      <c r="Y15">
        <f>IFERROR(W15-X15,"")</f>
        <v/>
      </c>
      <c r="Z15">
        <f>IFERROR(ABS(Y15)/MAX(X15,1),"")</f>
        <v/>
      </c>
      <c r="AA15">
        <f>IFERROR((X15-(((E15/100000+F15/100+S15/200)*200*I15*H15)+((E15*F15/25000)*I15*H15))/3)/(((J15/5)*200*I15*H15)+((J15*S15/2.5)*I15*H15)+((E15*F15*J15*S15*I15*H15)/12500000))/3*1000,"")</f>
        <v/>
      </c>
    </row>
    <row r="16">
      <c r="B16" s="7" t="inlineStr">
        <is>
          <t xml:space="preserve">  ↳ JapanSpeedBoatGun</t>
        </is>
      </c>
      <c r="C16" s="7" t="inlineStr">
        <is>
          <t>Armament@AG</t>
        </is>
      </c>
      <c r="L16" s="6" t="n">
        <v>2000</v>
      </c>
      <c r="M16" s="6" t="n">
        <v>4</v>
      </c>
      <c r="N16" s="6" t="n">
        <v>1</v>
      </c>
      <c r="O16" s="6" t="n"/>
      <c r="P16" s="6" t="n">
        <v>5750</v>
      </c>
      <c r="Q16" s="6" t="n">
        <v>0.875</v>
      </c>
      <c r="R16">
        <f>M16+IF(N16&gt;1,N(O16)*(N16-1),0)</f>
        <v/>
      </c>
      <c r="S16">
        <f>IFERROR(L16*MAX(N16,1)/R16*Q16*IF(ISBLANK(K15),1,K15),0)</f>
        <v/>
      </c>
      <c r="AB16" s="7" t="inlineStr">
        <is>
          <t>^SmallArms, ^Chaingun</t>
        </is>
      </c>
    </row>
    <row r="17">
      <c r="B17" s="7" t="inlineStr">
        <is>
          <t xml:space="preserve">  ↳ JapanSpeedBoatGunWaveforce</t>
        </is>
      </c>
      <c r="C17" s="7" t="inlineStr">
        <is>
          <t>Armament@Upgrade</t>
        </is>
      </c>
      <c r="L17" s="6" t="n">
        <v>2000</v>
      </c>
      <c r="M17" s="6" t="n">
        <v>4</v>
      </c>
      <c r="N17" s="6" t="n">
        <v>1</v>
      </c>
      <c r="O17" s="6" t="n"/>
      <c r="P17" s="6" t="n">
        <v>5750</v>
      </c>
      <c r="Q17" s="6" t="n">
        <v>0.875</v>
      </c>
      <c r="R17">
        <f>M17+IF(N17&gt;1,N(O17)*(N17-1),0)</f>
        <v/>
      </c>
      <c r="S17">
        <f>IFERROR(L17*MAX(N17,1)/R17*Q17*IF(ISBLANK(K15),1,K15),0)</f>
        <v/>
      </c>
      <c r="AB17" s="7" t="inlineStr">
        <is>
          <t>^WaveforceBulletWarhead, ^SmallArms, ^Chaingun, ^WaveforceBulletProjectile</t>
        </is>
      </c>
    </row>
    <row r="18">
      <c r="B18" s="7" t="inlineStr">
        <is>
          <t xml:space="preserve">  ↳ DepthCharge</t>
        </is>
      </c>
      <c r="C18" s="7" t="inlineStr">
        <is>
          <t>Armament@DC1</t>
        </is>
      </c>
      <c r="L18" s="6" t="n">
        <v>60000</v>
      </c>
      <c r="M18" s="6" t="n">
        <v>60</v>
      </c>
      <c r="N18" s="6" t="n">
        <v>1</v>
      </c>
      <c r="O18" s="6" t="n"/>
      <c r="P18" s="6" t="n">
        <v>6000</v>
      </c>
      <c r="Q18" s="6" t="n">
        <v>1</v>
      </c>
      <c r="R18">
        <f>M18+IF(N18&gt;1,N(O18)*(N18-1),0)</f>
        <v/>
      </c>
      <c r="S18">
        <f>IFERROR(L18*MAX(N18,1)/R18*Q18*IF(ISBLANK(K15),1,K15),0)</f>
        <v/>
      </c>
      <c r="AB18" s="7" t="inlineStr">
        <is>
          <t>^Grenade</t>
        </is>
      </c>
    </row>
    <row r="19">
      <c r="B19" s="7" t="inlineStr">
        <is>
          <t xml:space="preserve">  ↳ DepthCharge</t>
        </is>
      </c>
      <c r="C19" s="7" t="inlineStr">
        <is>
          <t>Armament@DC2</t>
        </is>
      </c>
      <c r="L19" s="6" t="n">
        <v>60000</v>
      </c>
      <c r="M19" s="6" t="n">
        <v>60</v>
      </c>
      <c r="N19" s="6" t="n">
        <v>1</v>
      </c>
      <c r="O19" s="6" t="n"/>
      <c r="P19" s="6" t="n">
        <v>6000</v>
      </c>
      <c r="Q19" s="6" t="n">
        <v>1</v>
      </c>
      <c r="R19">
        <f>M19+IF(N19&gt;1,N(O19)*(N19-1),0)</f>
        <v/>
      </c>
      <c r="S19">
        <f>IFERROR(L19*MAX(N19,1)/R19*Q19*IF(ISBLANK(K15),1,K15),0)</f>
        <v/>
      </c>
      <c r="AB19" s="7" t="inlineStr">
        <is>
          <t>^Grenade</t>
        </is>
      </c>
    </row>
    <row r="20">
      <c r="A20" t="inlineStr">
        <is>
          <t>shared</t>
        </is>
      </c>
      <c r="B20" t="inlineStr">
        <is>
          <t>ra1_allies_gunboat</t>
        </is>
      </c>
      <c r="C20" t="inlineStr">
        <is>
          <t>Gunboat</t>
        </is>
      </c>
      <c r="D20" s="6" t="inlineStr">
        <is>
          <t>ScoutShip</t>
        </is>
      </c>
      <c r="E20" s="6" t="n">
        <v>60000</v>
      </c>
      <c r="F20" s="6" t="n">
        <v>120</v>
      </c>
      <c r="G20" t="inlineStr">
        <is>
          <t>Medium</t>
        </is>
      </c>
      <c r="H20" s="6" t="n">
        <v>1</v>
      </c>
      <c r="I20" s="6" t="n">
        <v>1</v>
      </c>
      <c r="J20" s="6" t="n">
        <v>1</v>
      </c>
      <c r="K20" s="6" t="n"/>
      <c r="P20">
        <f>MAX(P21,P22)</f>
        <v/>
      </c>
      <c r="S20">
        <f>S21+S22</f>
        <v/>
      </c>
      <c r="T20">
        <f>(E20/100000+F20/100+(P20/1000)*J20/5+S20/200)*200*I20*H20</f>
        <v/>
      </c>
      <c r="U20">
        <f>((E20*F20/25000)+((P20/1000)*J20*S20/2.5))*I20*H20</f>
        <v/>
      </c>
      <c r="V20">
        <f>(E20*F20*(P20/1000)*J20*S20*I20*H20)/12500000</f>
        <v/>
      </c>
      <c r="W20">
        <f>(T20+U20+V20)/3</f>
        <v/>
      </c>
      <c r="X20" s="6" t="n">
        <v>1300</v>
      </c>
      <c r="Y20">
        <f>IFERROR(W20-X20,"")</f>
        <v/>
      </c>
      <c r="Z20">
        <f>IFERROR(ABS(Y20)/MAX(X20,1),"")</f>
        <v/>
      </c>
      <c r="AA20">
        <f>IFERROR((X20-(((E20/100000+F20/100+S20/200)*200*I20*H20)+((E20*F20/25000)*I20*H20))/3)/(((J20/5)*200*I20*H20)+((J20*S20/2.5)*I20*H20)+((E20*F20*J20*S20*I20*H20)/12500000))/3*1000,"")</f>
        <v/>
      </c>
    </row>
    <row r="21">
      <c r="B21" s="7" t="inlineStr">
        <is>
          <t xml:space="preserve">  ↳ 2Inch</t>
        </is>
      </c>
      <c r="C21" s="7" t="inlineStr">
        <is>
          <t>Armament@PRIMARY</t>
        </is>
      </c>
      <c r="L21" s="6" t="n">
        <v>30000</v>
      </c>
      <c r="M21" s="6" t="n">
        <v>30</v>
      </c>
      <c r="N21" s="6" t="n">
        <v>1</v>
      </c>
      <c r="O21" s="6" t="n"/>
      <c r="P21" s="6" t="n">
        <v>6000</v>
      </c>
      <c r="Q21" s="6" t="n">
        <v>1</v>
      </c>
      <c r="R21">
        <f>M21+IF(N21&gt;1,N(O21)*(N21-1),0)</f>
        <v/>
      </c>
      <c r="S21">
        <f>IFERROR(L21*MAX(N21,1)/R21*Q21*IF(ISBLANK(K20),1,K20),0)</f>
        <v/>
      </c>
      <c r="AB21" s="7" t="inlineStr">
        <is>
          <t>^TankDestroyerCannon</t>
        </is>
      </c>
    </row>
    <row r="22">
      <c r="B22" s="7" t="inlineStr">
        <is>
          <t xml:space="preserve">  ↳ DepthCharge</t>
        </is>
      </c>
      <c r="C22" s="7" t="inlineStr">
        <is>
          <t>Armament@SECONDARY</t>
        </is>
      </c>
      <c r="L22" s="6" t="n">
        <v>60000</v>
      </c>
      <c r="M22" s="6" t="n">
        <v>60</v>
      </c>
      <c r="N22" s="6" t="n">
        <v>1</v>
      </c>
      <c r="O22" s="6" t="n"/>
      <c r="P22" s="6" t="n">
        <v>6000</v>
      </c>
      <c r="Q22" s="6" t="n">
        <v>1</v>
      </c>
      <c r="R22">
        <f>M22+IF(N22&gt;1,N(O22)*(N22-1),0)</f>
        <v/>
      </c>
      <c r="S22">
        <f>IFERROR(L22*MAX(N22,1)/R22*Q22*IF(ISBLANK(K20),1,K20),0)</f>
        <v/>
      </c>
      <c r="AB22" s="7" t="inlineStr">
        <is>
          <t>^Grenade</t>
        </is>
      </c>
    </row>
    <row r="23">
      <c r="A23" t="inlineStr">
        <is>
          <t>shared</t>
        </is>
      </c>
      <c r="B23" t="inlineStr">
        <is>
          <t>ra1_soviets_submarine</t>
        </is>
      </c>
      <c r="C23" t="inlineStr">
        <is>
          <t>Soviet Submarine</t>
        </is>
      </c>
      <c r="D23" s="6" t="inlineStr">
        <is>
          <t>ScoutShip</t>
        </is>
      </c>
      <c r="E23" s="6" t="n">
        <v>100000</v>
      </c>
      <c r="F23" s="6" t="n">
        <v>75</v>
      </c>
      <c r="G23" t="inlineStr">
        <is>
          <t>Heavy</t>
        </is>
      </c>
      <c r="H23" s="6" t="n">
        <v>1</v>
      </c>
      <c r="I23" s="6" t="n">
        <v>1</v>
      </c>
      <c r="J23" s="6" t="n">
        <v>1</v>
      </c>
      <c r="K23" s="6" t="n"/>
      <c r="P23">
        <f>MAX(P24,P25)</f>
        <v/>
      </c>
      <c r="S23">
        <f>S24+S25</f>
        <v/>
      </c>
      <c r="T23">
        <f>(E23/100000+F23/100+(P23/1000)*J23/5+S23/200)*200*I23*H23</f>
        <v/>
      </c>
      <c r="U23">
        <f>((E23*F23/25000)+((P23/1000)*J23*S23/2.5))*I23*H23</f>
        <v/>
      </c>
      <c r="V23">
        <f>(E23*F23*(P23/1000)*J23*S23*I23*H23)/12500000</f>
        <v/>
      </c>
      <c r="W23">
        <f>(T23+U23+V23)/3</f>
        <v/>
      </c>
      <c r="X23" s="6" t="n">
        <v>1000</v>
      </c>
      <c r="Y23">
        <f>IFERROR(W23-X23,"")</f>
        <v/>
      </c>
      <c r="Z23">
        <f>IFERROR(ABS(Y23)/MAX(X23,1),"")</f>
        <v/>
      </c>
      <c r="AA23">
        <f>IFERROR((X23-(((E23/100000+F23/100+S23/200)*200*I23*H23)+((E23*F23/25000)*I23*H23))/3)/(((J23/5)*200*I23*H23)+((J23*S23/2.5)*I23*H23)+((E23*F23*J23*S23*I23*H23)/12500000))/3*1000,"")</f>
        <v/>
      </c>
    </row>
    <row r="24">
      <c r="B24" s="7" t="inlineStr">
        <is>
          <t xml:space="preserve">  ↳ TorpTube</t>
        </is>
      </c>
      <c r="C24" s="7" t="inlineStr">
        <is>
          <t>Armament@PRIMARY</t>
        </is>
      </c>
      <c r="L24" s="6" t="n">
        <v>16000</v>
      </c>
      <c r="M24" s="6" t="n">
        <v>100</v>
      </c>
      <c r="N24" s="6" t="n">
        <v>1</v>
      </c>
      <c r="O24" s="6" t="n"/>
      <c r="P24" s="6" t="n">
        <v>10000</v>
      </c>
      <c r="Q24" s="6" t="n">
        <v>1.125</v>
      </c>
      <c r="R24">
        <f>M24+IF(N24&gt;1,N(O24)*(N24-1),0)</f>
        <v/>
      </c>
      <c r="S24">
        <f>IFERROR(L24*MAX(N24,1)/R24*Q24*IF(ISBLANK(K23),1,K23),0)</f>
        <v/>
      </c>
      <c r="AB24" s="7" t="inlineStr">
        <is>
          <t>^Grenade, ^HeavyMissile</t>
        </is>
      </c>
    </row>
    <row r="25">
      <c r="B25" s="7" t="inlineStr">
        <is>
          <t xml:space="preserve">  ↳ TorpTubeThermobaric</t>
        </is>
      </c>
      <c r="C25" s="7" t="inlineStr">
        <is>
          <t>Armament@Upgrade</t>
        </is>
      </c>
      <c r="L25" s="6" t="n">
        <v>16000</v>
      </c>
      <c r="M25" s="6" t="n">
        <v>100</v>
      </c>
      <c r="N25" s="6" t="n">
        <v>1</v>
      </c>
      <c r="O25" s="6" t="n"/>
      <c r="P25" s="6" t="n">
        <v>10000</v>
      </c>
      <c r="Q25" s="6" t="n">
        <v>3.125</v>
      </c>
      <c r="R25">
        <f>M25+IF(N25&gt;1,N(O25)*(N25-1),0)</f>
        <v/>
      </c>
      <c r="S25">
        <f>IFERROR(L25*MAX(N25,1)/R25*Q25*IF(ISBLANK(K23),1,K23),0)</f>
        <v/>
      </c>
      <c r="AB25" s="7" t="inlineStr">
        <is>
          <t>^NuclearWarhead, ^HeavyMissile</t>
        </is>
      </c>
    </row>
    <row r="26">
      <c r="A26" t="inlineStr">
        <is>
          <t>tiberiansun</t>
        </is>
      </c>
      <c r="B26" t="inlineStr">
        <is>
          <t>forgotten_juggerboat</t>
        </is>
      </c>
      <c r="C26" t="inlineStr">
        <is>
          <t>Juggerboat</t>
        </is>
      </c>
      <c r="D26" s="6" t="inlineStr">
        <is>
          <t>ScoutShip</t>
        </is>
      </c>
      <c r="E26" s="6" t="n">
        <v>60000</v>
      </c>
      <c r="F26" s="6" t="n">
        <v>120</v>
      </c>
      <c r="G26" t="inlineStr">
        <is>
          <t>Medium</t>
        </is>
      </c>
      <c r="H26" s="6" t="n">
        <v>1</v>
      </c>
      <c r="I26" s="6" t="n">
        <v>1</v>
      </c>
      <c r="J26" s="6" t="n">
        <v>1</v>
      </c>
      <c r="K26" s="6" t="n"/>
      <c r="P26">
        <f>MAX(P27,P28,P29)</f>
        <v/>
      </c>
      <c r="S26">
        <f>S27+S28+S29</f>
        <v/>
      </c>
      <c r="T26">
        <f>(E26/100000+F26/100+(P26/1000)*J26/5+S26/200)*200*I26*H26</f>
        <v/>
      </c>
      <c r="U26">
        <f>((E26*F26/25000)+((P26/1000)*J26*S26/2.5))*I26*H26</f>
        <v/>
      </c>
      <c r="V26">
        <f>(E26*F26*(P26/1000)*J26*S26*I26*H26)/12500000</f>
        <v/>
      </c>
      <c r="W26">
        <f>(T26+U26+V26)/3</f>
        <v/>
      </c>
      <c r="X26" s="6" t="n">
        <v>1500</v>
      </c>
      <c r="Y26">
        <f>IFERROR(W26-X26,"")</f>
        <v/>
      </c>
      <c r="Z26">
        <f>IFERROR(ABS(Y26)/MAX(X26,1),"")</f>
        <v/>
      </c>
      <c r="AA26">
        <f>IFERROR((X26-(((E26/100000+F26/100+S26/200)*200*I26*H26)+((E26*F26/25000)*I26*H26))/3)/(((J26/5)*200*I26*H26)+((J26*S26/2.5)*I26*H26)+((E26*F26*J26*S26*I26*H26)/12500000))/3*1000,"")</f>
        <v/>
      </c>
    </row>
    <row r="27">
      <c r="B27" s="7" t="inlineStr">
        <is>
          <t xml:space="preserve">  ↳ TSJuggerFlakAA_boat</t>
        </is>
      </c>
      <c r="C27" s="7" t="inlineStr">
        <is>
          <t>Armament@AA</t>
        </is>
      </c>
      <c r="L27" s="6" t="n">
        <v>10000</v>
      </c>
      <c r="M27" s="6" t="n">
        <v>69</v>
      </c>
      <c r="N27" s="6" t="n">
        <v>2</v>
      </c>
      <c r="O27" s="6" t="n">
        <v>3</v>
      </c>
      <c r="P27" s="6" t="n">
        <v>11234</v>
      </c>
      <c r="Q27" s="6" t="n">
        <v>1</v>
      </c>
      <c r="R27">
        <f>M27+IF(N27&gt;1,N(O27)*(N27-1),0)</f>
        <v/>
      </c>
      <c r="S27">
        <f>IFERROR(L27*MAX(N27,1)/R27*Q27*IF(ISBLANK(K26),1,K26),0)</f>
        <v/>
      </c>
      <c r="AB27" s="7" t="inlineStr">
        <is>
          <t>^FlakWeapon</t>
        </is>
      </c>
    </row>
    <row r="28">
      <c r="B28" s="7" t="inlineStr">
        <is>
          <t xml:space="preserve">  ↳ TSJuggerboat90mm</t>
        </is>
      </c>
      <c r="C28" s="7" t="inlineStr">
        <is>
          <t>Armament@AG</t>
        </is>
      </c>
      <c r="L28" s="6" t="n">
        <v>20000</v>
      </c>
      <c r="M28" s="6" t="n">
        <v>69</v>
      </c>
      <c r="N28" s="6" t="n">
        <v>2</v>
      </c>
      <c r="O28" s="6" t="n">
        <v>3</v>
      </c>
      <c r="P28" s="6" t="n">
        <v>12834</v>
      </c>
      <c r="Q28" s="6" t="n">
        <v>1</v>
      </c>
      <c r="R28">
        <f>M28+IF(N28&gt;1,N(O28)*(N28-1),0)</f>
        <v/>
      </c>
      <c r="S28">
        <f>IFERROR(L28*MAX(N28,1)/R28*Q28*IF(ISBLANK(K26),1,K26),0)</f>
        <v/>
      </c>
      <c r="AB28" s="7" t="inlineStr">
        <is>
          <t>^ShrapnelWeapon</t>
        </is>
      </c>
    </row>
    <row r="29">
      <c r="B29" s="7" t="inlineStr">
        <is>
          <t xml:space="preserve">  ↳ DepthCharge</t>
        </is>
      </c>
      <c r="C29" s="7" t="inlineStr">
        <is>
          <t>Armament@SECONDARY</t>
        </is>
      </c>
      <c r="L29" s="6" t="n">
        <v>60000</v>
      </c>
      <c r="M29" s="6" t="n">
        <v>60</v>
      </c>
      <c r="N29" s="6" t="n">
        <v>1</v>
      </c>
      <c r="O29" s="6" t="n"/>
      <c r="P29" s="6" t="n">
        <v>6000</v>
      </c>
      <c r="Q29" s="6" t="n">
        <v>1</v>
      </c>
      <c r="R29">
        <f>M29+IF(N29&gt;1,N(O29)*(N29-1),0)</f>
        <v/>
      </c>
      <c r="S29">
        <f>IFERROR(L29*MAX(N29,1)/R29*Q29*IF(ISBLANK(K26),1,K26),0)</f>
        <v/>
      </c>
      <c r="AB29" s="7" t="inlineStr">
        <is>
          <t>^Grenade</t>
        </is>
      </c>
    </row>
    <row r="30">
      <c r="A30" t="inlineStr">
        <is>
          <t>tiberiansun</t>
        </is>
      </c>
      <c r="B30" t="inlineStr">
        <is>
          <t>forgotten_lcraft</t>
        </is>
      </c>
      <c r="C30" t="inlineStr">
        <is>
          <t>Warrior Ferry</t>
        </is>
      </c>
      <c r="D30" s="6" t="inlineStr">
        <is>
          <t>ScoutShip</t>
        </is>
      </c>
      <c r="E30" s="6" t="n">
        <v>100000</v>
      </c>
      <c r="F30" s="6" t="n">
        <v>60</v>
      </c>
      <c r="G30" t="inlineStr">
        <is>
          <t>Heavy</t>
        </is>
      </c>
      <c r="H30" s="6" t="n">
        <v>1</v>
      </c>
      <c r="I30" s="6" t="n">
        <v>1</v>
      </c>
      <c r="J30" s="6" t="n">
        <v>1</v>
      </c>
      <c r="K30" s="6" t="n"/>
      <c r="P30">
        <f>MAX(P31,P32)</f>
        <v/>
      </c>
      <c r="S30">
        <f>S31+S32</f>
        <v/>
      </c>
      <c r="T30">
        <f>(E30/100000+F30/100+(P30/1000)*J30/5+S30/200)*200*I30*H30</f>
        <v/>
      </c>
      <c r="U30">
        <f>((E30*F30/25000)+((P30/1000)*J30*S30/2.5))*I30*H30</f>
        <v/>
      </c>
      <c r="V30">
        <f>(E30*F30*(P30/1000)*J30*S30*I30*H30)/12500000</f>
        <v/>
      </c>
      <c r="W30">
        <f>(T30+U30+V30)/3</f>
        <v/>
      </c>
      <c r="X30" s="6" t="n">
        <v>1200</v>
      </c>
      <c r="Y30">
        <f>IFERROR(W30-X30,"")</f>
        <v/>
      </c>
      <c r="Z30">
        <f>IFERROR(ABS(Y30)/MAX(X30,1),"")</f>
        <v/>
      </c>
      <c r="AA30">
        <f>IFERROR((X30-(((E30/100000+F30/100+S30/200)*200*I30*H30)+((E30*F30/25000)*I30*H30))/3)/(((J30/5)*200*I30*H30)+((J30*S30/2.5)*I30*H30)+((E30*F30*J30*S30*I30*H30)/12500000))/3*1000,"")</f>
        <v/>
      </c>
    </row>
    <row r="31">
      <c r="B31" s="7" t="inlineStr">
        <is>
          <t xml:space="preserve">  ↳ TSVanMissile</t>
        </is>
      </c>
      <c r="C31" s="7" t="inlineStr">
        <is>
          <t>Armament@PRIMARY</t>
        </is>
      </c>
      <c r="L31" s="6" t="n">
        <v>24000</v>
      </c>
      <c r="M31" s="6" t="n">
        <v>32</v>
      </c>
      <c r="N31" s="6" t="n">
        <v>2</v>
      </c>
      <c r="O31" s="6" t="n">
        <v>8</v>
      </c>
      <c r="P31" s="6" t="n">
        <v>10460</v>
      </c>
      <c r="Q31" s="6" t="n">
        <v>1</v>
      </c>
      <c r="R31">
        <f>M31+IF(N31&gt;1,N(O31)*(N31-1),0)</f>
        <v/>
      </c>
      <c r="S31">
        <f>IFERROR(L31*MAX(N31,1)/R31*Q31*IF(ISBLANK(K30),1,K30),0)</f>
        <v/>
      </c>
      <c r="AB31" s="7" t="inlineStr">
        <is>
          <t>^ShrapnelWeapon</t>
        </is>
      </c>
    </row>
    <row r="32">
      <c r="B32" s="7" t="inlineStr">
        <is>
          <t xml:space="preserve">  ↳ TSChemVanMissile</t>
        </is>
      </c>
      <c r="C32" s="7" t="inlineStr">
        <is>
          <t>Armament@UPGRADE</t>
        </is>
      </c>
      <c r="L32" s="6" t="n">
        <v>24000</v>
      </c>
      <c r="M32" s="6" t="n">
        <v>32</v>
      </c>
      <c r="N32" s="6" t="n">
        <v>2</v>
      </c>
      <c r="O32" s="6" t="n">
        <v>8</v>
      </c>
      <c r="P32" s="6" t="n">
        <v>10460</v>
      </c>
      <c r="Q32" s="6" t="n">
        <v>1</v>
      </c>
      <c r="R32">
        <f>M32+IF(N32&gt;1,N(O32)*(N32-1),0)</f>
        <v/>
      </c>
      <c r="S32">
        <f>IFERROR(L32*MAX(N32,1)/R32*Q32*IF(ISBLANK(K30),1,K30),0)</f>
        <v/>
      </c>
      <c r="AB32" s="7" t="inlineStr">
        <is>
          <t>^MediumChemicalWeapon, ^ShrapnelWeapon</t>
        </is>
      </c>
    </row>
    <row r="33">
      <c r="A33" t="inlineStr">
        <is>
          <t>shared</t>
        </is>
      </c>
      <c r="B33" t="inlineStr">
        <is>
          <t>ra2dest</t>
        </is>
      </c>
      <c r="C33" t="inlineStr">
        <is>
          <t>actor_dest.name</t>
        </is>
      </c>
      <c r="D33" s="6" t="inlineStr">
        <is>
          <t>ScoutShip</t>
        </is>
      </c>
      <c r="E33" s="6" t="n">
        <v>160000</v>
      </c>
      <c r="F33" s="6" t="n">
        <v>70</v>
      </c>
      <c r="G33" t="inlineStr">
        <is>
          <t>Heavy</t>
        </is>
      </c>
      <c r="H33" s="6" t="n">
        <v>1</v>
      </c>
      <c r="I33" s="6" t="n">
        <v>1</v>
      </c>
      <c r="J33" s="6" t="n">
        <v>1</v>
      </c>
      <c r="K33" s="6" t="n"/>
      <c r="P33">
        <f>MAX(P34,P35,P36)</f>
        <v/>
      </c>
      <c r="S33">
        <f>S34+S35+S36</f>
        <v/>
      </c>
      <c r="T33">
        <f>(E33/100000+F33/100+(P33/1000)*J33/5+S33/200)*200*I33*H33</f>
        <v/>
      </c>
      <c r="U33">
        <f>((E33*F33/25000)+((P33/1000)*J33*S33/2.5))*I33*H33</f>
        <v/>
      </c>
      <c r="V33">
        <f>(E33*F33*(P33/1000)*J33*S33*I33*H33)/12500000</f>
        <v/>
      </c>
      <c r="W33">
        <f>(T33+U33+V33)/3</f>
        <v/>
      </c>
      <c r="X33" s="6" t="n">
        <v>1700</v>
      </c>
      <c r="Y33">
        <f>IFERROR(W33-X33,"")</f>
        <v/>
      </c>
      <c r="Z33">
        <f>IFERROR(ABS(Y33)/MAX(X33,1),"")</f>
        <v/>
      </c>
      <c r="AA33">
        <f>IFERROR((X33-(((E33/100000+F33/100+S33/200)*200*I33*H33)+((E33*F33/25000)*I33*H33))/3)/(((J33/5)*200*I33*H33)+((J33*S33/2.5)*I33*H33)+((E33*F33*J33*S33*I33*H33)/12500000))/3*1000,"")</f>
        <v/>
      </c>
    </row>
    <row r="34">
      <c r="B34" s="7" t="inlineStr">
        <is>
          <t xml:space="preserve">  ↳ RA2155mm</t>
        </is>
      </c>
      <c r="C34" s="7" t="inlineStr">
        <is>
          <t>Armament@PRIMARY</t>
        </is>
      </c>
      <c r="L34" s="6" t="n">
        <v>16000</v>
      </c>
      <c r="M34" s="6" t="n">
        <v>40</v>
      </c>
      <c r="N34" s="6" t="n">
        <v>1</v>
      </c>
      <c r="O34" s="6" t="n"/>
      <c r="P34" s="6" t="n">
        <v>8000</v>
      </c>
      <c r="Q34" s="6" t="n">
        <v>1.25</v>
      </c>
      <c r="R34">
        <f>M34+IF(N34&gt;1,N(O34)*(N34-1),0)</f>
        <v/>
      </c>
      <c r="S34">
        <f>IFERROR(L34*MAX(N34,1)/R34*Q34*IF(ISBLANK(K33),1,K33),0)</f>
        <v/>
      </c>
      <c r="AB34" s="7" t="inlineStr">
        <is>
          <t>^RA2HeavyCannon</t>
        </is>
      </c>
    </row>
    <row r="35">
      <c r="B35" s="7" t="inlineStr">
        <is>
          <t xml:space="preserve">  ↳ RA2155mm_elite</t>
        </is>
      </c>
      <c r="C35" s="7" t="inlineStr">
        <is>
          <t>Armament@ELITE</t>
        </is>
      </c>
      <c r="L35" s="6" t="n">
        <v>16000</v>
      </c>
      <c r="M35" s="6" t="n">
        <v>40</v>
      </c>
      <c r="N35" s="6" t="n">
        <v>2</v>
      </c>
      <c r="O35" s="6" t="n">
        <v>3</v>
      </c>
      <c r="P35" s="6" t="n">
        <v>9000</v>
      </c>
      <c r="Q35" s="6" t="n">
        <v>1.25</v>
      </c>
      <c r="R35">
        <f>M35+IF(N35&gt;1,N(O35)*(N35-1),0)</f>
        <v/>
      </c>
      <c r="S35">
        <f>IFERROR(L35*MAX(N35,1)/R35*Q35*IF(ISBLANK(K33),1,K33),0)</f>
        <v/>
      </c>
      <c r="AB35" s="7" t="inlineStr">
        <is>
          <t>^RA2HeavyCannon, ^RA2EliteEffects</t>
        </is>
      </c>
    </row>
    <row r="36">
      <c r="B36" s="7" t="inlineStr">
        <is>
          <t xml:space="preserve">  ↳ RA2OspreyTarget</t>
        </is>
      </c>
      <c r="C36" s="7" t="inlineStr">
        <is>
          <t>Armament@GenerateOsprey</t>
        </is>
      </c>
      <c r="L36" s="6" t="n"/>
      <c r="M36" s="6" t="n">
        <v>25</v>
      </c>
      <c r="N36" s="6" t="n">
        <v>1</v>
      </c>
      <c r="O36" s="6" t="n"/>
      <c r="P36" s="6" t="n">
        <v>12000</v>
      </c>
      <c r="Q36" s="6" t="n">
        <v>1</v>
      </c>
      <c r="R36">
        <f>M36+IF(N36&gt;1,N(O36)*(N36-1),0)</f>
        <v/>
      </c>
      <c r="S36">
        <f>IFERROR(L36*MAX(N36,1)/R36*Q36*IF(ISBLANK(K33),1,K33),0)</f>
        <v/>
      </c>
      <c r="AB36" s="7" t="inlineStr"/>
    </row>
    <row r="37">
      <c r="A37" t="inlineStr">
        <is>
          <t>shared</t>
        </is>
      </c>
      <c r="B37" t="inlineStr">
        <is>
          <t>ra2dlph</t>
        </is>
      </c>
      <c r="C37" t="inlineStr">
        <is>
          <t>actor_dlph.name</t>
        </is>
      </c>
      <c r="D37" s="6" t="inlineStr">
        <is>
          <t>ScoutShip</t>
        </is>
      </c>
      <c r="E37" s="6" t="n">
        <v>20000</v>
      </c>
      <c r="F37" s="6" t="n">
        <v>120</v>
      </c>
      <c r="G37" t="inlineStr">
        <is>
          <t>Light</t>
        </is>
      </c>
      <c r="H37" s="6" t="n">
        <v>1</v>
      </c>
      <c r="I37" s="6" t="n">
        <v>1</v>
      </c>
      <c r="J37" s="6" t="n">
        <v>1</v>
      </c>
      <c r="K37" s="6" t="n"/>
      <c r="P37">
        <f>MAX(P38,P39)</f>
        <v/>
      </c>
      <c r="S37">
        <f>S38+S39</f>
        <v/>
      </c>
      <c r="T37">
        <f>(E37/100000+F37/100+(P37/1000)*J37/5+S37/200)*200*I37*H37</f>
        <v/>
      </c>
      <c r="U37">
        <f>((E37*F37/25000)+((P37/1000)*J37*S37/2.5))*I37*H37</f>
        <v/>
      </c>
      <c r="V37">
        <f>(E37*F37*(P37/1000)*J37*S37*I37*H37)/12500000</f>
        <v/>
      </c>
      <c r="W37">
        <f>(T37+U37+V37)/3</f>
        <v/>
      </c>
      <c r="X37" s="6" t="n">
        <v>500</v>
      </c>
      <c r="Y37">
        <f>IFERROR(W37-X37,"")</f>
        <v/>
      </c>
      <c r="Z37">
        <f>IFERROR(ABS(Y37)/MAX(X37,1),"")</f>
        <v/>
      </c>
      <c r="AA37">
        <f>IFERROR((X37-(((E37/100000+F37/100+S37/200)*200*I37*H37)+((E37*F37/25000)*I37*H37))/3)/(((J37/5)*200*I37*H37)+((J37*S37/2.5)*I37*H37)+((E37*F37*J37*S37*I37*H37)/12500000))/3*1000,"")</f>
        <v/>
      </c>
    </row>
    <row r="38">
      <c r="B38" s="7" t="inlineStr">
        <is>
          <t xml:space="preserve">  ↳ SonicZap</t>
        </is>
      </c>
      <c r="C38" s="7" t="inlineStr">
        <is>
          <t>Armament@PRIMARY</t>
        </is>
      </c>
      <c r="L38" s="6" t="n">
        <v>2000</v>
      </c>
      <c r="M38" s="6" t="n">
        <v>60</v>
      </c>
      <c r="N38" s="6" t="n">
        <v>1</v>
      </c>
      <c r="O38" s="6" t="n"/>
      <c r="P38" s="6" t="n">
        <v>6000</v>
      </c>
      <c r="Q38" s="6" t="n">
        <v>1</v>
      </c>
      <c r="R38">
        <f>M38+IF(N38&gt;1,N(O38)*(N38-1),0)</f>
        <v/>
      </c>
      <c r="S38">
        <f>IFERROR(L38*MAX(N38,1)/R38*Q38*IF(ISBLANK(K37),1,K37),0)</f>
        <v/>
      </c>
      <c r="AB38" s="7" t="inlineStr">
        <is>
          <t>^MagicWeapon</t>
        </is>
      </c>
    </row>
    <row r="39">
      <c r="B39" s="7" t="inlineStr">
        <is>
          <t xml:space="preserve">  ↳ SonicZapFriendly</t>
        </is>
      </c>
      <c r="C39" s="7" t="inlineStr">
        <is>
          <t>Armament@SECONDARY</t>
        </is>
      </c>
      <c r="L39" s="6" t="n"/>
      <c r="M39" s="6" t="n">
        <v>60</v>
      </c>
      <c r="N39" s="6" t="n">
        <v>1</v>
      </c>
      <c r="O39" s="6" t="n"/>
      <c r="P39" s="6" t="n">
        <v>6000</v>
      </c>
      <c r="Q39" s="6" t="n">
        <v>1</v>
      </c>
      <c r="R39">
        <f>M39+IF(N39&gt;1,N(O39)*(N39-1),0)</f>
        <v/>
      </c>
      <c r="S39">
        <f>IFERROR(L39*MAX(N39,1)/R39*Q39*IF(ISBLANK(K37),1,K37),0)</f>
        <v/>
      </c>
      <c r="AB39" s="7" t="inlineStr"/>
    </row>
    <row r="40">
      <c r="A40" t="inlineStr">
        <is>
          <t>shared</t>
        </is>
      </c>
      <c r="B40" t="inlineStr">
        <is>
          <t>ra2sqd</t>
        </is>
      </c>
      <c r="C40" t="inlineStr">
        <is>
          <t>actor_sqd.name</t>
        </is>
      </c>
      <c r="D40" s="6" t="inlineStr">
        <is>
          <t>ScoutShip</t>
        </is>
      </c>
      <c r="E40" s="6" t="n">
        <v>30000</v>
      </c>
      <c r="F40" s="6" t="n">
        <v>120</v>
      </c>
      <c r="G40" t="inlineStr">
        <is>
          <t>Medium</t>
        </is>
      </c>
      <c r="H40" s="6" t="n">
        <v>1</v>
      </c>
      <c r="I40" s="6" t="n">
        <v>1</v>
      </c>
      <c r="J40" s="6" t="n">
        <v>1</v>
      </c>
      <c r="K40" s="6" t="n"/>
      <c r="P40">
        <f>MAX(P41,P42)</f>
        <v/>
      </c>
      <c r="S40">
        <f>S41+S42</f>
        <v/>
      </c>
      <c r="T40">
        <f>(E40/100000+F40/100+(P40/1000)*J40/5+S40/200)*200*I40*H40</f>
        <v/>
      </c>
      <c r="U40">
        <f>((E40*F40/25000)+((P40/1000)*J40*S40/2.5))*I40*H40</f>
        <v/>
      </c>
      <c r="V40">
        <f>(E40*F40*(P40/1000)*J40*S40*I40*H40)/12500000</f>
        <v/>
      </c>
      <c r="W40">
        <f>(T40+U40+V40)/3</f>
        <v/>
      </c>
      <c r="X40" s="6" t="n">
        <v>1000</v>
      </c>
      <c r="Y40">
        <f>IFERROR(W40-X40,"")</f>
        <v/>
      </c>
      <c r="Z40">
        <f>IFERROR(ABS(Y40)/MAX(X40,1),"")</f>
        <v/>
      </c>
      <c r="AA40">
        <f>IFERROR((X40-(((E40/100000+F40/100+S40/200)*200*I40*H40)+((E40*F40/25000)*I40*H40))/3)/(((J40/5)*200*I40*H40)+((J40*S40/2.5)*I40*H40)+((E40*F40*J40*S40*I40*H40)/12500000))/3*1000,"")</f>
        <v/>
      </c>
    </row>
    <row r="41">
      <c r="B41" s="7" t="inlineStr">
        <is>
          <t xml:space="preserve">  ↳ SquidPunch</t>
        </is>
      </c>
      <c r="C41" s="7" t="inlineStr">
        <is>
          <t>Armament@PRIMARY</t>
        </is>
      </c>
      <c r="L41" s="6" t="n">
        <v>10000</v>
      </c>
      <c r="M41" s="6" t="n">
        <v>32</v>
      </c>
      <c r="N41" s="6" t="n">
        <v>1</v>
      </c>
      <c r="O41" s="6" t="n"/>
      <c r="P41" s="6" t="n">
        <v>1880</v>
      </c>
      <c r="Q41" s="6" t="n">
        <v>1</v>
      </c>
      <c r="R41">
        <f>M41+IF(N41&gt;1,N(O41)*(N41-1),0)</f>
        <v/>
      </c>
      <c r="S41">
        <f>IFERROR(L41*MAX(N41,1)/R41*Q41*IF(ISBLANK(K40),1,K40),0)</f>
        <v/>
      </c>
      <c r="AB41" s="7" t="inlineStr"/>
    </row>
    <row r="42">
      <c r="B42" s="7" t="inlineStr">
        <is>
          <t xml:space="preserve">  ↳ SquidGrab</t>
        </is>
      </c>
      <c r="C42" s="7" t="inlineStr">
        <is>
          <t>Armament@SECONDARY</t>
        </is>
      </c>
      <c r="L42" s="6" t="n"/>
      <c r="M42" s="6" t="n">
        <v>32</v>
      </c>
      <c r="N42" s="6" t="n">
        <v>1</v>
      </c>
      <c r="O42" s="6" t="n"/>
      <c r="P42" s="6" t="n">
        <v>1880</v>
      </c>
      <c r="Q42" s="6" t="n">
        <v>1</v>
      </c>
      <c r="R42">
        <f>M42+IF(N42&gt;1,N(O42)*(N42-1),0)</f>
        <v/>
      </c>
      <c r="S42">
        <f>IFERROR(L42*MAX(N42,1)/R42*Q42*IF(ISBLANK(K40),1,K40),0)</f>
        <v/>
      </c>
      <c r="AB42" s="7" t="inlineStr"/>
    </row>
    <row r="43">
      <c r="A43" t="inlineStr">
        <is>
          <t>shared</t>
        </is>
      </c>
      <c r="B43" t="inlineStr">
        <is>
          <t>ra2sub</t>
        </is>
      </c>
      <c r="C43" t="inlineStr">
        <is>
          <t>actor_ra2sub.name</t>
        </is>
      </c>
      <c r="D43" s="6" t="inlineStr">
        <is>
          <t>ScoutShip</t>
        </is>
      </c>
      <c r="E43" s="6" t="n">
        <v>120000</v>
      </c>
      <c r="F43" s="6" t="n">
        <v>90</v>
      </c>
      <c r="G43" t="inlineStr">
        <is>
          <t>Heavy</t>
        </is>
      </c>
      <c r="H43" s="6" t="n">
        <v>1</v>
      </c>
      <c r="I43" s="6" t="n">
        <v>1</v>
      </c>
      <c r="J43" s="6" t="n">
        <v>1</v>
      </c>
      <c r="K43" s="6" t="n"/>
      <c r="P43">
        <f>MAX(P44,P45)</f>
        <v/>
      </c>
      <c r="S43">
        <f>S44+S45</f>
        <v/>
      </c>
      <c r="T43">
        <f>(E43/100000+F43/100+(P43/1000)*J43/5+S43/200)*200*I43*H43</f>
        <v/>
      </c>
      <c r="U43">
        <f>((E43*F43/25000)+((P43/1000)*J43*S43/2.5))*I43*H43</f>
        <v/>
      </c>
      <c r="V43">
        <f>(E43*F43*(P43/1000)*J43*S43*I43*H43)/12500000</f>
        <v/>
      </c>
      <c r="W43">
        <f>(T43+U43+V43)/3</f>
        <v/>
      </c>
      <c r="X43" s="6" t="n">
        <v>1500</v>
      </c>
      <c r="Y43">
        <f>IFERROR(W43-X43,"")</f>
        <v/>
      </c>
      <c r="Z43">
        <f>IFERROR(ABS(Y43)/MAX(X43,1),"")</f>
        <v/>
      </c>
      <c r="AA43">
        <f>IFERROR((X43-(((E43/100000+F43/100+S43/200)*200*I43*H43)+((E43*F43/25000)*I43*H43))/3)/(((J43/5)*200*I43*H43)+((J43*S43/2.5)*I43*H43)+((E43*F43*J43*S43*I43*H43)/12500000))/3*1000,"")</f>
        <v/>
      </c>
    </row>
    <row r="44">
      <c r="B44" s="7" t="inlineStr">
        <is>
          <t xml:space="preserve">  ↳ RA2TorpTube</t>
        </is>
      </c>
      <c r="C44" s="7" t="inlineStr">
        <is>
          <t>Armament@PRIMARY</t>
        </is>
      </c>
      <c r="L44" s="6" t="n">
        <v>18000</v>
      </c>
      <c r="M44" s="6" t="n">
        <v>90</v>
      </c>
      <c r="N44" s="6" t="n">
        <v>1</v>
      </c>
      <c r="O44" s="6" t="n"/>
      <c r="P44" s="6" t="n">
        <v>9000</v>
      </c>
      <c r="Q44" s="6" t="n">
        <v>1.125</v>
      </c>
      <c r="R44">
        <f>M44+IF(N44&gt;1,N(O44)*(N44-1),0)</f>
        <v/>
      </c>
      <c r="S44">
        <f>IFERROR(L44*MAX(N44,1)/R44*Q44*IF(ISBLANK(K43),1,K43),0)</f>
        <v/>
      </c>
      <c r="AB44" s="7" t="inlineStr">
        <is>
          <t>^RA2Grenade, ^RA2HeavyMissile</t>
        </is>
      </c>
    </row>
    <row r="45">
      <c r="B45" s="7" t="inlineStr">
        <is>
          <t xml:space="preserve">  ↳ RA2TorpTube_elite</t>
        </is>
      </c>
      <c r="C45" s="7" t="inlineStr">
        <is>
          <t>Armament@ELITE</t>
        </is>
      </c>
      <c r="L45" s="6" t="n">
        <v>18000</v>
      </c>
      <c r="M45" s="6" t="n">
        <v>90</v>
      </c>
      <c r="N45" s="6" t="n">
        <v>2</v>
      </c>
      <c r="O45" s="6" t="n">
        <v>3</v>
      </c>
      <c r="P45" s="6" t="n">
        <v>10000</v>
      </c>
      <c r="Q45" s="6" t="n">
        <v>1.125</v>
      </c>
      <c r="R45">
        <f>M45+IF(N45&gt;1,N(O45)*(N45-1),0)</f>
        <v/>
      </c>
      <c r="S45">
        <f>IFERROR(L45*MAX(N45,1)/R45*Q45*IF(ISBLANK(K43),1,K43),0)</f>
        <v/>
      </c>
      <c r="AB45" s="7" t="inlineStr">
        <is>
          <t>^RA2Grenade, ^RA2HeavyMissile</t>
        </is>
      </c>
    </row>
    <row r="46">
      <c r="A46" t="inlineStr">
        <is>
          <t>redalert2mod</t>
        </is>
      </c>
      <c r="B46" t="inlineStr">
        <is>
          <t>gunb.asian</t>
        </is>
      </c>
      <c r="C46" t="inlineStr">
        <is>
          <t>Asian Gun Boat</t>
        </is>
      </c>
      <c r="D46" s="6" t="inlineStr">
        <is>
          <t>ScoutShip</t>
        </is>
      </c>
      <c r="E46" s="6" t="n">
        <v>90000</v>
      </c>
      <c r="F46" s="6" t="n">
        <v>90</v>
      </c>
      <c r="G46" t="inlineStr">
        <is>
          <t>Medium</t>
        </is>
      </c>
      <c r="H46" s="6" t="n">
        <v>1</v>
      </c>
      <c r="I46" s="6" t="n">
        <v>1</v>
      </c>
      <c r="J46" s="6" t="n">
        <v>1</v>
      </c>
      <c r="K46" s="6" t="n"/>
      <c r="P46">
        <f>MAX(P47,P48,P49,P50,P51,P52)</f>
        <v/>
      </c>
      <c r="S46">
        <f>S47+S48+S49+S50+S51+S52</f>
        <v/>
      </c>
      <c r="T46">
        <f>(E46/100000+F46/100+(P46/1000)*J46/5+S46/200)*200*I46*H46</f>
        <v/>
      </c>
      <c r="U46">
        <f>((E46*F46/25000)+((P46/1000)*J46*S46/2.5))*I46*H46</f>
        <v/>
      </c>
      <c r="V46">
        <f>(E46*F46*(P46/1000)*J46*S46*I46*H46)/12500000</f>
        <v/>
      </c>
      <c r="W46">
        <f>(T46+U46+V46)/3</f>
        <v/>
      </c>
      <c r="X46" s="6" t="n">
        <v>1400</v>
      </c>
      <c r="Y46">
        <f>IFERROR(W46-X46,"")</f>
        <v/>
      </c>
      <c r="Z46">
        <f>IFERROR(ABS(Y46)/MAX(X46,1),"")</f>
        <v/>
      </c>
      <c r="AA46">
        <f>IFERROR((X46-(((E46/100000+F46/100+S46/200)*200*I46*H46)+((E46*F46/25000)*I46*H46))/3)/(((J46/5)*200*I46*H46)+((J46*S46/2.5)*I46*H46)+((E46*F46*J46*S46*I46*H46)/12500000))/3*1000,"")</f>
        <v/>
      </c>
    </row>
    <row r="47">
      <c r="B47" s="7" t="inlineStr">
        <is>
          <t xml:space="preserve">  ↳ AAGunBoatCannon</t>
        </is>
      </c>
      <c r="C47" s="7" t="inlineStr">
        <is>
          <t>Armament@PRIMARY</t>
        </is>
      </c>
      <c r="L47" s="6" t="n">
        <v>16000</v>
      </c>
      <c r="M47" s="6" t="n">
        <v>40</v>
      </c>
      <c r="N47" s="6" t="n">
        <v>1</v>
      </c>
      <c r="O47" s="6" t="n"/>
      <c r="P47" s="6" t="n">
        <v>9000</v>
      </c>
      <c r="Q47" s="6" t="n">
        <v>1.25</v>
      </c>
      <c r="R47">
        <f>M47+IF(N47&gt;1,N(O47)*(N47-1),0)</f>
        <v/>
      </c>
      <c r="S47">
        <f>IFERROR(L47*MAX(N47,1)/R47*Q47*IF(ISBLANK(K46),1,K46),0)</f>
        <v/>
      </c>
      <c r="AB47" s="7" t="inlineStr">
        <is>
          <t>^RA2HeavyCannon</t>
        </is>
      </c>
    </row>
    <row r="48">
      <c r="B48" s="7" t="inlineStr">
        <is>
          <t xml:space="preserve">  ↳ AAGunBoatCannon_elite</t>
        </is>
      </c>
      <c r="C48" s="7" t="inlineStr">
        <is>
          <t>Armament@ELITE</t>
        </is>
      </c>
      <c r="L48" s="6" t="n">
        <v>16000</v>
      </c>
      <c r="M48" s="6" t="n">
        <v>40</v>
      </c>
      <c r="N48" s="6" t="n">
        <v>2</v>
      </c>
      <c r="O48" s="6" t="n">
        <v>3</v>
      </c>
      <c r="P48" s="6" t="n">
        <v>10000</v>
      </c>
      <c r="Q48" s="6" t="n">
        <v>1.25</v>
      </c>
      <c r="R48">
        <f>M48+IF(N48&gt;1,N(O48)*(N48-1),0)</f>
        <v/>
      </c>
      <c r="S48">
        <f>IFERROR(L48*MAX(N48,1)/R48*Q48*IF(ISBLANK(K46),1,K46),0)</f>
        <v/>
      </c>
      <c r="AB48" s="7" t="inlineStr">
        <is>
          <t>^RA2HeavyCannon, ^RA2EliteEffects</t>
        </is>
      </c>
    </row>
    <row r="49">
      <c r="B49" s="7" t="inlineStr">
        <is>
          <t xml:space="preserve">  ↳ AAGunBoatFlak</t>
        </is>
      </c>
      <c r="C49" s="7" t="inlineStr">
        <is>
          <t>Armament@AA</t>
        </is>
      </c>
      <c r="L49" s="6" t="n">
        <v>2000</v>
      </c>
      <c r="M49" s="6" t="n">
        <v>18</v>
      </c>
      <c r="N49" s="6" t="n">
        <v>2</v>
      </c>
      <c r="O49" s="6" t="n">
        <v>3</v>
      </c>
      <c r="P49" s="6" t="n">
        <v>9000</v>
      </c>
      <c r="Q49" s="6" t="n">
        <v>0.9375</v>
      </c>
      <c r="R49">
        <f>M49+IF(N49&gt;1,N(O49)*(N49-1),0)</f>
        <v/>
      </c>
      <c r="S49">
        <f>IFERROR(L49*MAX(N49,1)/R49*Q49*IF(ISBLANK(K46),1,K46),0)</f>
        <v/>
      </c>
      <c r="AB49" s="7" t="inlineStr">
        <is>
          <t>^SmallArms, ^Grenade, ^Chaingun, ^RA2FlakWeapon</t>
        </is>
      </c>
    </row>
    <row r="50">
      <c r="B50" s="7" t="inlineStr">
        <is>
          <t xml:space="preserve">  ↳ AAGunBoatFlak_elite</t>
        </is>
      </c>
      <c r="C50" s="7" t="inlineStr">
        <is>
          <t>Armament@EliteAA</t>
        </is>
      </c>
      <c r="L50" s="6" t="n">
        <v>2000</v>
      </c>
      <c r="M50" s="6" t="n">
        <v>18</v>
      </c>
      <c r="N50" s="6" t="n">
        <v>4</v>
      </c>
      <c r="O50" s="6" t="n">
        <v>3</v>
      </c>
      <c r="P50" s="6" t="n">
        <v>10000</v>
      </c>
      <c r="Q50" s="6" t="n">
        <v>0.9375</v>
      </c>
      <c r="R50">
        <f>M50+IF(N50&gt;1,N(O50)*(N50-1),0)</f>
        <v/>
      </c>
      <c r="S50">
        <f>IFERROR(L50*MAX(N50,1)/R50*Q50*IF(ISBLANK(K46),1,K46),0)</f>
        <v/>
      </c>
      <c r="AB50" s="7" t="inlineStr">
        <is>
          <t>^SmallArms, ^Grenade, ^Chaingun, ^RA2FlakWeapon</t>
        </is>
      </c>
    </row>
    <row r="51">
      <c r="B51" s="7" t="inlineStr">
        <is>
          <t xml:space="preserve">  ↳ DepthCharge</t>
        </is>
      </c>
      <c r="C51" s="7" t="inlineStr">
        <is>
          <t>Armament@AntiSub</t>
        </is>
      </c>
      <c r="L51" s="6" t="n">
        <v>60000</v>
      </c>
      <c r="M51" s="6" t="n">
        <v>60</v>
      </c>
      <c r="N51" s="6" t="n">
        <v>1</v>
      </c>
      <c r="O51" s="6" t="n"/>
      <c r="P51" s="6" t="n">
        <v>6000</v>
      </c>
      <c r="Q51" s="6" t="n">
        <v>1</v>
      </c>
      <c r="R51">
        <f>M51+IF(N51&gt;1,N(O51)*(N51-1),0)</f>
        <v/>
      </c>
      <c r="S51">
        <f>IFERROR(L51*MAX(N51,1)/R51*Q51*IF(ISBLANK(K46),1,K46),0)</f>
        <v/>
      </c>
      <c r="AB51" s="7" t="inlineStr">
        <is>
          <t>^Grenade</t>
        </is>
      </c>
    </row>
    <row r="52">
      <c r="B52" s="7" t="inlineStr">
        <is>
          <t xml:space="preserve">  ↳ DepthCharge</t>
        </is>
      </c>
      <c r="C52" s="7" t="inlineStr">
        <is>
          <t>Armament@AntiSubElite</t>
        </is>
      </c>
      <c r="L52" s="6" t="n">
        <v>60000</v>
      </c>
      <c r="M52" s="6" t="n">
        <v>60</v>
      </c>
      <c r="N52" s="6" t="n">
        <v>1</v>
      </c>
      <c r="O52" s="6" t="n"/>
      <c r="P52" s="6" t="n">
        <v>6000</v>
      </c>
      <c r="Q52" s="6" t="n">
        <v>1</v>
      </c>
      <c r="R52">
        <f>M52+IF(N52&gt;1,N(O52)*(N52-1),0)</f>
        <v/>
      </c>
      <c r="S52">
        <f>IFERROR(L52*MAX(N52,1)/R52*Q52*IF(ISBLANK(K46),1,K46),0)</f>
        <v/>
      </c>
      <c r="AB52" s="7" t="inlineStr">
        <is>
          <t>^Grenade</t>
        </is>
      </c>
    </row>
    <row r="53">
      <c r="A53" t="inlineStr">
        <is>
          <t>redalert2mod</t>
        </is>
      </c>
      <c r="B53" t="inlineStr">
        <is>
          <t>ksub.asian</t>
        </is>
      </c>
      <c r="C53" t="inlineStr">
        <is>
          <t>Kamikaze Submarine</t>
        </is>
      </c>
      <c r="D53" s="6" t="inlineStr">
        <is>
          <t>ScoutShip</t>
        </is>
      </c>
      <c r="E53" s="6" t="n">
        <v>25000</v>
      </c>
      <c r="F53" s="6" t="n">
        <v>125</v>
      </c>
      <c r="G53" t="inlineStr">
        <is>
          <t>Medium</t>
        </is>
      </c>
      <c r="H53" s="6" t="n">
        <v>1</v>
      </c>
      <c r="I53" s="6" t="n">
        <v>1</v>
      </c>
      <c r="J53" s="6" t="n">
        <v>1</v>
      </c>
      <c r="K53" s="6" t="n"/>
      <c r="P53">
        <f>MAX(P54)</f>
        <v/>
      </c>
      <c r="S53">
        <f>S54</f>
        <v/>
      </c>
      <c r="T53">
        <f>(E53/100000+F53/100+(P53/1000)*J53/5+S53/200)*200*I53*H53</f>
        <v/>
      </c>
      <c r="U53">
        <f>((E53*F53/25000)+((P53/1000)*J53*S53/2.5))*I53*H53</f>
        <v/>
      </c>
      <c r="V53">
        <f>(E53*F53*(P53/1000)*J53*S53*I53*H53)/12500000</f>
        <v/>
      </c>
      <c r="W53">
        <f>(T53+U53+V53)/3</f>
        <v/>
      </c>
      <c r="X53" s="6" t="n">
        <v>500</v>
      </c>
      <c r="Y53">
        <f>IFERROR(W53-X53,"")</f>
        <v/>
      </c>
      <c r="Z53">
        <f>IFERROR(ABS(Y53)/MAX(X53,1),"")</f>
        <v/>
      </c>
      <c r="AA53">
        <f>IFERROR((X53-(((E53/100000+F53/100+S53/200)*200*I53*H53)+((E53*F53/25000)*I53*H53))/3)/(((J53/5)*200*I53*H53)+((J53*S53/2.5)*I53*H53)+((E53*F53*J53*S53*I53*H53)/12500000))/3*1000,"")</f>
        <v/>
      </c>
    </row>
    <row r="54">
      <c r="B54" s="7" t="inlineStr">
        <is>
          <t xml:space="preserve">  ↳ AsianDemoSubTargeting</t>
        </is>
      </c>
      <c r="C54" s="7" t="inlineStr">
        <is>
          <t>Armament@PRIMARY</t>
        </is>
      </c>
      <c r="L54" s="6" t="n"/>
      <c r="M54" s="6" t="n"/>
      <c r="N54" s="6" t="n">
        <v>1</v>
      </c>
      <c r="O54" s="6" t="n"/>
      <c r="P54" s="6" t="n">
        <v>1250</v>
      </c>
      <c r="Q54" s="6" t="n">
        <v>1</v>
      </c>
      <c r="R54">
        <f>M54+IF(N54&gt;1,N(O54)*(N54-1),0)</f>
        <v/>
      </c>
      <c r="S54">
        <f>IFERROR(L54*MAX(N54,1)/R54*Q54*IF(ISBLANK(K53),1,K53),0)</f>
        <v/>
      </c>
      <c r="AB54" s="7" t="inlineStr"/>
    </row>
    <row r="55">
      <c r="A55" t="inlineStr">
        <is>
          <t>redalert2mod</t>
        </is>
      </c>
      <c r="B55" t="inlineStr">
        <is>
          <t>lsub.asian</t>
        </is>
      </c>
      <c r="C55" t="inlineStr">
        <is>
          <t>Leviathan</t>
        </is>
      </c>
      <c r="D55" s="6" t="inlineStr">
        <is>
          <t>ScoutShip</t>
        </is>
      </c>
      <c r="E55" s="6" t="n">
        <v>240000</v>
      </c>
      <c r="F55" s="6" t="n">
        <v>60</v>
      </c>
      <c r="G55" t="inlineStr">
        <is>
          <t>Heavy</t>
        </is>
      </c>
      <c r="H55" s="6" t="n">
        <v>1</v>
      </c>
      <c r="I55" s="6" t="n">
        <v>1</v>
      </c>
      <c r="J55" s="6" t="n">
        <v>1</v>
      </c>
      <c r="K55" s="6" t="n"/>
      <c r="P55">
        <f>MAX(P56)</f>
        <v/>
      </c>
      <c r="S55">
        <f>S56</f>
        <v/>
      </c>
      <c r="T55">
        <f>(E55/100000+F55/100+(P55/1000)*J55/5+S55/200)*200*I55*H55</f>
        <v/>
      </c>
      <c r="U55">
        <f>((E55*F55/25000)+((P55/1000)*J55*S55/2.5))*I55*H55</f>
        <v/>
      </c>
      <c r="V55">
        <f>(E55*F55*(P55/1000)*J55*S55*I55*H55)/12500000</f>
        <v/>
      </c>
      <c r="W55">
        <f>(T55+U55+V55)/3</f>
        <v/>
      </c>
      <c r="X55" s="6" t="n">
        <v>2400</v>
      </c>
      <c r="Y55">
        <f>IFERROR(W55-X55,"")</f>
        <v/>
      </c>
      <c r="Z55">
        <f>IFERROR(ABS(Y55)/MAX(X55,1),"")</f>
        <v/>
      </c>
      <c r="AA55">
        <f>IFERROR((X55-(((E55/100000+F55/100+S55/200)*200*I55*H55)+((E55*F55/25000)*I55*H55))/3)/(((J55/5)*200*I55*H55)+((J55*S55/2.5)*I55*H55)+((E55*F55*J55*S55*I55*H55)/12500000))/3*1000,"")</f>
        <v/>
      </c>
    </row>
    <row r="56">
      <c r="B56" s="7" t="inlineStr">
        <is>
          <t xml:space="preserve">  ↳ AsianSmallTorpedo</t>
        </is>
      </c>
      <c r="C56" s="7" t="inlineStr">
        <is>
          <t>Armament@Torp</t>
        </is>
      </c>
      <c r="L56" s="6" t="n">
        <v>12000</v>
      </c>
      <c r="M56" s="6" t="n">
        <v>120</v>
      </c>
      <c r="N56" s="6" t="n">
        <v>2</v>
      </c>
      <c r="O56" s="6" t="n">
        <v>8</v>
      </c>
      <c r="P56" s="6" t="n">
        <v>12000</v>
      </c>
      <c r="Q56" s="6" t="n">
        <v>1.125</v>
      </c>
      <c r="R56">
        <f>M56+IF(N56&gt;1,N(O56)*(N56-1),0)</f>
        <v/>
      </c>
      <c r="S56">
        <f>IFERROR(L56*MAX(N56,1)/R56*Q56*IF(ISBLANK(K55),1,K55),0)</f>
        <v/>
      </c>
      <c r="AB56" s="7" t="inlineStr">
        <is>
          <t>^RA2Grenade, ^RA2HeavyMissile</t>
        </is>
      </c>
    </row>
    <row r="57">
      <c r="A57" t="inlineStr">
        <is>
          <t>redalert2mod</t>
        </is>
      </c>
      <c r="B57" t="inlineStr">
        <is>
          <t>panth.asian</t>
        </is>
      </c>
      <c r="C57" t="inlineStr">
        <is>
          <t>Enforcer Transport</t>
        </is>
      </c>
      <c r="D57" s="6" t="inlineStr">
        <is>
          <t>ScoutShip</t>
        </is>
      </c>
      <c r="E57" s="6" t="n">
        <v>100000</v>
      </c>
      <c r="F57" s="6" t="n">
        <v>60</v>
      </c>
      <c r="G57" t="inlineStr">
        <is>
          <t>Heavy</t>
        </is>
      </c>
      <c r="H57" s="6" t="n">
        <v>1</v>
      </c>
      <c r="I57" s="6" t="n">
        <v>1</v>
      </c>
      <c r="J57" s="6" t="n">
        <v>1</v>
      </c>
      <c r="K57" s="6" t="n"/>
      <c r="P57">
        <f>MAX(P58,P59)</f>
        <v/>
      </c>
      <c r="S57">
        <f>S58+S59</f>
        <v/>
      </c>
      <c r="T57">
        <f>(E57/100000+F57/100+(P57/1000)*J57/5+S57/200)*200*I57*H57</f>
        <v/>
      </c>
      <c r="U57">
        <f>((E57*F57/25000)+((P57/1000)*J57*S57/2.5))*I57*H57</f>
        <v/>
      </c>
      <c r="V57">
        <f>(E57*F57*(P57/1000)*J57*S57*I57*H57)/12500000</f>
        <v/>
      </c>
      <c r="W57">
        <f>(T57+U57+V57)/3</f>
        <v/>
      </c>
      <c r="X57" s="6" t="n">
        <v>1000</v>
      </c>
      <c r="Y57">
        <f>IFERROR(W57-X57,"")</f>
        <v/>
      </c>
      <c r="Z57">
        <f>IFERROR(ABS(Y57)/MAX(X57,1),"")</f>
        <v/>
      </c>
      <c r="AA57">
        <f>IFERROR((X57-(((E57/100000+F57/100+S57/200)*200*I57*H57)+((E57*F57/25000)*I57*H57))/3)/(((J57/5)*200*I57*H57)+((J57*S57/2.5)*I57*H57)+((E57*F57*J57*S57*I57*H57)/12500000))/3*1000,"")</f>
        <v/>
      </c>
    </row>
    <row r="58">
      <c r="B58" s="7" t="inlineStr">
        <is>
          <t xml:space="preserve">  ↳ RA2120mm</t>
        </is>
      </c>
      <c r="C58" s="7" t="inlineStr">
        <is>
          <t>Armament</t>
        </is>
      </c>
      <c r="L58" s="6" t="n">
        <v>10000</v>
      </c>
      <c r="M58" s="6" t="n">
        <v>54</v>
      </c>
      <c r="N58" s="6" t="n">
        <v>1</v>
      </c>
      <c r="O58" s="6" t="n"/>
      <c r="P58" s="6" t="n">
        <v>5374</v>
      </c>
      <c r="Q58" s="6" t="n">
        <v>1</v>
      </c>
      <c r="R58">
        <f>M58+IF(N58&gt;1,N(O58)*(N58-1),0)</f>
        <v/>
      </c>
      <c r="S58">
        <f>IFERROR(L58*MAX(N58,1)/R58*Q58*IF(ISBLANK(K57),1,K57),0)</f>
        <v/>
      </c>
      <c r="AB58" s="7" t="inlineStr">
        <is>
          <t>^RA2MediumCannon</t>
        </is>
      </c>
    </row>
    <row r="59">
      <c r="B59" s="7" t="inlineStr">
        <is>
          <t xml:space="preserve">  ↳ RA2120mm_elite</t>
        </is>
      </c>
      <c r="C59" s="7" t="inlineStr">
        <is>
          <t>Armament@elite</t>
        </is>
      </c>
      <c r="L59" s="6" t="n">
        <v>10000</v>
      </c>
      <c r="M59" s="6" t="n">
        <v>54</v>
      </c>
      <c r="N59" s="6" t="n">
        <v>2</v>
      </c>
      <c r="O59" s="6" t="n">
        <v>3</v>
      </c>
      <c r="P59" s="6" t="n">
        <v>6374</v>
      </c>
      <c r="Q59" s="6" t="n">
        <v>1</v>
      </c>
      <c r="R59">
        <f>M59+IF(N59&gt;1,N(O59)*(N59-1),0)</f>
        <v/>
      </c>
      <c r="S59">
        <f>IFERROR(L59*MAX(N59,1)/R59*Q59*IF(ISBLANK(K57),1,K57),0)</f>
        <v/>
      </c>
      <c r="AB59" s="7" t="inlineStr">
        <is>
          <t>^RA2MediumCannon, ^RA2EliteEffects</t>
        </is>
      </c>
    </row>
    <row r="60">
      <c r="A60" t="inlineStr">
        <is>
          <t>redalert2mod</t>
        </is>
      </c>
      <c r="B60" t="inlineStr">
        <is>
          <t>rammax.latin</t>
        </is>
      </c>
      <c r="C60" t="inlineStr">
        <is>
          <t>Rammax Drone</t>
        </is>
      </c>
      <c r="D60" s="6" t="inlineStr">
        <is>
          <t>ScoutShip</t>
        </is>
      </c>
      <c r="E60" s="6" t="n">
        <v>47500</v>
      </c>
      <c r="F60" s="6" t="n">
        <v>125</v>
      </c>
      <c r="G60" t="inlineStr">
        <is>
          <t>Medium</t>
        </is>
      </c>
      <c r="H60" s="6" t="n">
        <v>1</v>
      </c>
      <c r="I60" s="6" t="n">
        <v>1</v>
      </c>
      <c r="J60" s="6" t="n">
        <v>1</v>
      </c>
      <c r="K60" s="6" t="n"/>
      <c r="P60">
        <f>MAX(P61,P62)</f>
        <v/>
      </c>
      <c r="S60">
        <f>S61+S62</f>
        <v/>
      </c>
      <c r="T60">
        <f>(E60/100000+F60/100+(P60/1000)*J60/5+S60/200)*200*I60*H60</f>
        <v/>
      </c>
      <c r="U60">
        <f>((E60*F60/25000)+((P60/1000)*J60*S60/2.5))*I60*H60</f>
        <v/>
      </c>
      <c r="V60">
        <f>(E60*F60*(P60/1000)*J60*S60*I60*H60)/12500000</f>
        <v/>
      </c>
      <c r="W60">
        <f>(T60+U60+V60)/3</f>
        <v/>
      </c>
      <c r="X60" s="6" t="n">
        <v>800</v>
      </c>
      <c r="Y60">
        <f>IFERROR(W60-X60,"")</f>
        <v/>
      </c>
      <c r="Z60">
        <f>IFERROR(ABS(Y60)/MAX(X60,1),"")</f>
        <v/>
      </c>
      <c r="AA60">
        <f>IFERROR((X60-(((E60/100000+F60/100+S60/200)*200*I60*H60)+((E60*F60/25000)*I60*H60))/3)/(((J60/5)*200*I60*H60)+((J60*S60/2.5)*I60*H60)+((E60*F60*J60*S60*I60*H60)/12500000))/3*1000,"")</f>
        <v/>
      </c>
    </row>
    <row r="61">
      <c r="B61" s="7" t="inlineStr">
        <is>
          <t xml:space="preserve">  ↳ Rammax_Sabot</t>
        </is>
      </c>
      <c r="C61" s="7" t="inlineStr">
        <is>
          <t>Armament@PRIMARY</t>
        </is>
      </c>
      <c r="L61" s="6" t="n">
        <v>10000</v>
      </c>
      <c r="M61" s="6" t="n">
        <v>15</v>
      </c>
      <c r="N61" s="6" t="n">
        <v>1</v>
      </c>
      <c r="O61" s="6" t="n"/>
      <c r="P61" s="6" t="n">
        <v>3072</v>
      </c>
      <c r="Q61" s="6" t="n">
        <v>1</v>
      </c>
      <c r="R61">
        <f>M61+IF(N61&gt;1,N(O61)*(N61-1),0)</f>
        <v/>
      </c>
      <c r="S61">
        <f>IFERROR(L61*MAX(N61,1)/R61*Q61*IF(ISBLANK(K60),1,K60),0)</f>
        <v/>
      </c>
      <c r="AB61" s="7" t="inlineStr">
        <is>
          <t>^Chaingun, ^LaserWeapon, ^TeslaWeapon, ^TSLaserEffect</t>
        </is>
      </c>
    </row>
    <row r="62">
      <c r="B62" s="7" t="inlineStr">
        <is>
          <t xml:space="preserve">  ↳ Rammax_Sabot</t>
        </is>
      </c>
      <c r="C62" s="7" t="inlineStr">
        <is>
          <t>Armament@ELITE</t>
        </is>
      </c>
      <c r="L62" s="6" t="n">
        <v>10000</v>
      </c>
      <c r="M62" s="6" t="n">
        <v>15</v>
      </c>
      <c r="N62" s="6" t="n">
        <v>1</v>
      </c>
      <c r="O62" s="6" t="n"/>
      <c r="P62" s="6" t="n">
        <v>3072</v>
      </c>
      <c r="Q62" s="6" t="n">
        <v>1</v>
      </c>
      <c r="R62">
        <f>M62+IF(N62&gt;1,N(O62)*(N62-1),0)</f>
        <v/>
      </c>
      <c r="S62">
        <f>IFERROR(L62*MAX(N62,1)/R62*Q62*IF(ISBLANK(K60),1,K60),0)</f>
        <v/>
      </c>
      <c r="AB62" s="7" t="inlineStr">
        <is>
          <t>^Chaingun, ^LaserWeapon, ^TeslaWeapon, ^TSLaserEffect</t>
        </is>
      </c>
    </row>
    <row r="63">
      <c r="A63" t="inlineStr">
        <is>
          <t>redalert2mod</t>
        </is>
      </c>
      <c r="B63" t="inlineStr">
        <is>
          <t>sub.latin</t>
        </is>
      </c>
      <c r="C63" t="inlineStr">
        <is>
          <t>Akula</t>
        </is>
      </c>
      <c r="D63" s="6" t="inlineStr">
        <is>
          <t>ScoutShip</t>
        </is>
      </c>
      <c r="E63" s="6" t="n">
        <v>240000</v>
      </c>
      <c r="F63" s="6" t="n">
        <v>55</v>
      </c>
      <c r="G63" t="inlineStr">
        <is>
          <t>Heavy</t>
        </is>
      </c>
      <c r="H63" s="6" t="n">
        <v>1</v>
      </c>
      <c r="I63" s="6" t="n">
        <v>1</v>
      </c>
      <c r="J63" s="6" t="n">
        <v>1</v>
      </c>
      <c r="K63" s="6" t="n">
        <v>2</v>
      </c>
      <c r="P63">
        <f>MAX(P64)</f>
        <v/>
      </c>
      <c r="S63">
        <f>S64</f>
        <v/>
      </c>
      <c r="T63">
        <f>(E63/100000+F63/100+(P63/1000)*J63/5+S63/200)*200*I63*H63</f>
        <v/>
      </c>
      <c r="U63">
        <f>((E63*F63/25000)+((P63/1000)*J63*S63/2.5))*I63*H63</f>
        <v/>
      </c>
      <c r="V63">
        <f>(E63*F63*(P63/1000)*J63*S63*I63*H63)/12500000</f>
        <v/>
      </c>
      <c r="W63">
        <f>(T63+U63+V63)/3</f>
        <v/>
      </c>
      <c r="X63" s="6" t="n">
        <v>3600</v>
      </c>
      <c r="Y63">
        <f>IFERROR(W63-X63,"")</f>
        <v/>
      </c>
      <c r="Z63">
        <f>IFERROR(ABS(Y63)/MAX(X63,1),"")</f>
        <v/>
      </c>
      <c r="AA63">
        <f>IFERROR((X63-(((E63/100000+F63/100+S63/200)*200*I63*H63)+((E63*F63/25000)*I63*H63))/3)/(((J63/5)*200*I63*H63)+((J63*S63/2.5)*I63*H63)+((E63*F63*J63*S63*I63*H63)/12500000))/3*1000,"")</f>
        <v/>
      </c>
    </row>
    <row r="64">
      <c r="B64" s="7" t="inlineStr">
        <is>
          <t xml:space="preserve">  ↳ RA2AkulaRockets</t>
        </is>
      </c>
      <c r="C64" s="7" t="inlineStr">
        <is>
          <t>Armament@ARTILLERY</t>
        </is>
      </c>
      <c r="L64" s="6" t="n">
        <v>8000</v>
      </c>
      <c r="M64" s="6" t="n">
        <v>500</v>
      </c>
      <c r="N64" s="6" t="n">
        <v>8</v>
      </c>
      <c r="O64" s="6" t="n">
        <v>15</v>
      </c>
      <c r="P64" s="6" t="n">
        <v>24000</v>
      </c>
      <c r="Q64" s="6" t="n">
        <v>1.083333333333333</v>
      </c>
      <c r="R64">
        <f>M64+IF(N64&gt;1,N(O64)*(N64-1),0)</f>
        <v/>
      </c>
      <c r="S64">
        <f>IFERROR(L64*MAX(N64,1)/R64*Q64*IF(ISBLANK(K63),1,K63),0)</f>
        <v/>
      </c>
      <c r="AB64" s="7" t="inlineStr">
        <is>
          <t>^HeavyBomb, ^RA2Grenade, ^RA2MediumMissile, ^RA2RadShell</t>
        </is>
      </c>
    </row>
    <row r="65">
      <c r="A65" t="inlineStr">
        <is>
          <t>redalert2mod</t>
        </is>
      </c>
      <c r="B65" t="inlineStr">
        <is>
          <t>tuboat.nax</t>
        </is>
      </c>
      <c r="C65" t="inlineStr">
        <is>
          <t>Torpedo U boat</t>
        </is>
      </c>
      <c r="D65" s="6" t="inlineStr">
        <is>
          <t>ScoutShip</t>
        </is>
      </c>
      <c r="E65" s="6" t="n">
        <v>120000</v>
      </c>
      <c r="F65" s="6" t="n">
        <v>78</v>
      </c>
      <c r="G65" t="inlineStr">
        <is>
          <t>Heavy</t>
        </is>
      </c>
      <c r="H65" s="6" t="n">
        <v>1</v>
      </c>
      <c r="I65" s="6" t="n">
        <v>1</v>
      </c>
      <c r="J65" s="6" t="n">
        <v>1</v>
      </c>
      <c r="K65" s="6" t="n"/>
      <c r="P65">
        <f>MAX(P66)</f>
        <v/>
      </c>
      <c r="S65">
        <f>S66</f>
        <v/>
      </c>
      <c r="T65">
        <f>(E65/100000+F65/100+(P65/1000)*J65/5+S65/200)*200*I65*H65</f>
        <v/>
      </c>
      <c r="U65">
        <f>((E65*F65/25000)+((P65/1000)*J65*S65/2.5))*I65*H65</f>
        <v/>
      </c>
      <c r="V65">
        <f>(E65*F65*(P65/1000)*J65*S65*I65*H65)/12500000</f>
        <v/>
      </c>
      <c r="W65">
        <f>(T65+U65+V65)/3</f>
        <v/>
      </c>
      <c r="X65" s="6" t="n">
        <v>1200</v>
      </c>
      <c r="Y65">
        <f>IFERROR(W65-X65,"")</f>
        <v/>
      </c>
      <c r="Z65">
        <f>IFERROR(ABS(Y65)/MAX(X65,1),"")</f>
        <v/>
      </c>
      <c r="AA65">
        <f>IFERROR((X65-(((E65/100000+F65/100+S65/200)*200*I65*H65)+((E65*F65/25000)*I65*H65))/3)/(((J65/5)*200*I65*H65)+((J65*S65/2.5)*I65*H65)+((E65*F65*J65*S65*I65*H65)/12500000))/3*1000,"")</f>
        <v/>
      </c>
    </row>
    <row r="66">
      <c r="B66" s="7" t="inlineStr">
        <is>
          <t xml:space="preserve">  ↳ AsianSmallTorpedo</t>
        </is>
      </c>
      <c r="C66" s="7" t="inlineStr">
        <is>
          <t>Armament@Torp</t>
        </is>
      </c>
      <c r="L66" s="6" t="n">
        <v>12000</v>
      </c>
      <c r="M66" s="6" t="n">
        <v>120</v>
      </c>
      <c r="N66" s="6" t="n">
        <v>2</v>
      </c>
      <c r="O66" s="6" t="n">
        <v>8</v>
      </c>
      <c r="P66" s="6" t="n">
        <v>12000</v>
      </c>
      <c r="Q66" s="6" t="n">
        <v>1.125</v>
      </c>
      <c r="R66">
        <f>M66+IF(N66&gt;1,N(O66)*(N66-1),0)</f>
        <v/>
      </c>
      <c r="S66">
        <f>IFERROR(L66*MAX(N66,1)/R66*Q66*IF(ISBLANK(K65),1,K65),0)</f>
        <v/>
      </c>
      <c r="AB66" s="7" t="inlineStr">
        <is>
          <t>^RA2Grenade, ^RA2HeavyMissile</t>
        </is>
      </c>
    </row>
    <row r="67">
      <c r="A67" s="4" t="inlineStr">
        <is>
          <t>BattleShip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</row>
    <row r="68">
      <c r="A68" t="inlineStr">
        <is>
          <t>tiberiandawn</t>
        </is>
      </c>
      <c r="B68" t="inlineStr">
        <is>
          <t>CNCCA</t>
        </is>
      </c>
      <c r="C68" t="inlineStr">
        <is>
          <t>Railgun Battleship</t>
        </is>
      </c>
      <c r="D68" s="6" t="inlineStr">
        <is>
          <t>BattleShip</t>
        </is>
      </c>
      <c r="E68" s="6" t="n">
        <v>167500</v>
      </c>
      <c r="F68" s="6" t="n">
        <v>50</v>
      </c>
      <c r="G68" t="inlineStr">
        <is>
          <t>Superheavy</t>
        </is>
      </c>
      <c r="H68" s="6" t="n">
        <v>1</v>
      </c>
      <c r="I68" s="6" t="n">
        <v>1</v>
      </c>
      <c r="J68" s="6" t="n">
        <v>1</v>
      </c>
      <c r="K68" s="6" t="n"/>
      <c r="P68">
        <f>MAX(P69,P70)</f>
        <v/>
      </c>
      <c r="S68">
        <f>S69+S70</f>
        <v/>
      </c>
      <c r="T68">
        <f>(E68/100000+F68/100+(P68/1000)*J68/5+S68/200)*200*I68*H68</f>
        <v/>
      </c>
      <c r="U68">
        <f>((E68*F68/25000)+((P68/1000)*J68*S68/2.5))*I68*H68</f>
        <v/>
      </c>
      <c r="V68">
        <f>(E68*F68*(P68/1000)*J68*S68*I68*H68)/12500000</f>
        <v/>
      </c>
      <c r="W68">
        <f>(T68+U68+V68)/3</f>
        <v/>
      </c>
      <c r="X68" s="6" t="n">
        <v>2600</v>
      </c>
      <c r="Y68">
        <f>IFERROR(W68-X68,"")</f>
        <v/>
      </c>
      <c r="Z68">
        <f>IFERROR(ABS(Y68)/MAX(X68,1),"")</f>
        <v/>
      </c>
      <c r="AA68">
        <f>IFERROR((X68-(((E68/100000+F68/100+S68/200)*200*I68*H68)+((E68*F68/25000)*I68*H68))/3)/(((J68/5)*200*I68*H68)+((J68*S68/2.5)*I68*H68)+((E68*F68*J68*S68*I68*H68)/12500000))/3*1000,"")</f>
        <v/>
      </c>
    </row>
    <row r="69">
      <c r="B69" s="7" t="inlineStr">
        <is>
          <t xml:space="preserve">  ↳ GDIBattleshipRailgun</t>
        </is>
      </c>
      <c r="C69" s="7" t="inlineStr">
        <is>
          <t>Armament@PRIMARY</t>
        </is>
      </c>
      <c r="L69" s="6" t="n">
        <v>50000</v>
      </c>
      <c r="M69" s="6" t="n">
        <v>100</v>
      </c>
      <c r="N69" s="6" t="n">
        <v>1</v>
      </c>
      <c r="O69" s="6" t="n"/>
      <c r="P69" s="6" t="n">
        <v>10000</v>
      </c>
      <c r="Q69" s="6" t="n">
        <v>1.25</v>
      </c>
      <c r="R69">
        <f>M69+IF(N69&gt;1,N(O69)*(N69-1),0)</f>
        <v/>
      </c>
      <c r="S69">
        <f>IFERROR(L69*MAX(N69,1)/R69*Q69*IF(ISBLANK(K68),1,K68),0)</f>
        <v/>
      </c>
      <c r="AB69" s="7" t="inlineStr">
        <is>
          <t>^RailgunWeapon</t>
        </is>
      </c>
    </row>
    <row r="70">
      <c r="B70" s="7" t="inlineStr">
        <is>
          <t xml:space="preserve">  ↳ GDIBattleshipRailgun</t>
        </is>
      </c>
      <c r="C70" s="7" t="inlineStr">
        <is>
          <t>Armament@SECONDARY</t>
        </is>
      </c>
      <c r="L70" s="6" t="n">
        <v>50000</v>
      </c>
      <c r="M70" s="6" t="n">
        <v>100</v>
      </c>
      <c r="N70" s="6" t="n">
        <v>1</v>
      </c>
      <c r="O70" s="6" t="n"/>
      <c r="P70" s="6" t="n">
        <v>10000</v>
      </c>
      <c r="Q70" s="6" t="n">
        <v>1.25</v>
      </c>
      <c r="R70">
        <f>M70+IF(N70&gt;1,N(O70)*(N70-1),0)</f>
        <v/>
      </c>
      <c r="S70">
        <f>IFERROR(L70*MAX(N70,1)/R70*Q70*IF(ISBLANK(K68),1,K68),0)</f>
        <v/>
      </c>
      <c r="AB70" s="7" t="inlineStr">
        <is>
          <t>^RailgunWeapon</t>
        </is>
      </c>
    </row>
    <row r="71">
      <c r="A71" t="inlineStr">
        <is>
          <t>tiberiandawn</t>
        </is>
      </c>
      <c r="B71" t="inlineStr">
        <is>
          <t>nodlasercorvette</t>
        </is>
      </c>
      <c r="C71" t="inlineStr">
        <is>
          <t>Nod Laser Corvette</t>
        </is>
      </c>
      <c r="D71" s="6" t="inlineStr">
        <is>
          <t>BattleShip</t>
        </is>
      </c>
      <c r="E71" s="6" t="n">
        <v>150000</v>
      </c>
      <c r="F71" s="6" t="n">
        <v>60</v>
      </c>
      <c r="G71" t="inlineStr">
        <is>
          <t>Medium</t>
        </is>
      </c>
      <c r="H71" s="6" t="n">
        <v>1</v>
      </c>
      <c r="I71" s="6" t="n">
        <v>1</v>
      </c>
      <c r="J71" s="6" t="n">
        <v>1</v>
      </c>
      <c r="K71" s="6" t="n"/>
      <c r="P71">
        <f>MAX(P72,P73)</f>
        <v/>
      </c>
      <c r="S71">
        <f>S72+S73</f>
        <v/>
      </c>
      <c r="T71">
        <f>(E71/100000+F71/100+(P71/1000)*J71/5+S71/200)*200*I71*H71</f>
        <v/>
      </c>
      <c r="U71">
        <f>((E71*F71/25000)+((P71/1000)*J71*S71/2.5))*I71*H71</f>
        <v/>
      </c>
      <c r="V71">
        <f>(E71*F71*(P71/1000)*J71*S71*I71*H71)/12500000</f>
        <v/>
      </c>
      <c r="W71">
        <f>(T71+U71+V71)/3</f>
        <v/>
      </c>
      <c r="X71" s="6" t="n">
        <v>2300</v>
      </c>
      <c r="Y71">
        <f>IFERROR(W71-X71,"")</f>
        <v/>
      </c>
      <c r="Z71">
        <f>IFERROR(ABS(Y71)/MAX(X71,1),"")</f>
        <v/>
      </c>
      <c r="AA71">
        <f>IFERROR((X71-(((E71/100000+F71/100+S71/200)*200*I71*H71)+((E71*F71/25000)*I71*H71))/3)/(((J71/5)*200*I71*H71)+((J71*S71/2.5)*I71*H71)+((E71*F71*J71*S71*I71*H71)/12500000))/3*1000,"")</f>
        <v/>
      </c>
    </row>
    <row r="72">
      <c r="B72" s="7" t="inlineStr">
        <is>
          <t xml:space="preserve">  ↳ CorvetteLaserObelisk</t>
        </is>
      </c>
      <c r="C72" s="7" t="inlineStr">
        <is>
          <t>Armament@PRIMARY</t>
        </is>
      </c>
      <c r="L72" s="6" t="n">
        <v>120000</v>
      </c>
      <c r="M72" s="6" t="n">
        <v>90</v>
      </c>
      <c r="N72" s="6" t="n">
        <v>1</v>
      </c>
      <c r="O72" s="6" t="n"/>
      <c r="P72" s="6" t="n">
        <v>9550</v>
      </c>
      <c r="Q72" s="6" t="n">
        <v>1</v>
      </c>
      <c r="R72">
        <f>M72+IF(N72&gt;1,N(O72)*(N72-1),0)</f>
        <v/>
      </c>
      <c r="S72">
        <f>IFERROR(L72*MAX(N72,1)/R72*Q72*IF(ISBLANK(K71),1,K71),0)</f>
        <v/>
      </c>
      <c r="AB72" s="7" t="inlineStr">
        <is>
          <t>^LaserWeapon</t>
        </is>
      </c>
    </row>
    <row r="73">
      <c r="B73" s="7" t="inlineStr">
        <is>
          <t xml:space="preserve">  ↳ CorvetteDragon</t>
        </is>
      </c>
      <c r="C73" s="7" t="inlineStr">
        <is>
          <t>Armament@SECONDARY</t>
        </is>
      </c>
      <c r="L73" s="6" t="n">
        <v>10000</v>
      </c>
      <c r="M73" s="6" t="n">
        <v>35</v>
      </c>
      <c r="N73" s="6" t="n">
        <v>2</v>
      </c>
      <c r="O73" s="6" t="n">
        <v>7</v>
      </c>
      <c r="P73" s="6" t="n">
        <v>9550</v>
      </c>
      <c r="Q73" s="6" t="n">
        <v>1.25</v>
      </c>
      <c r="R73">
        <f>M73+IF(N73&gt;1,N(O73)*(N73-1),0)</f>
        <v/>
      </c>
      <c r="S73">
        <f>IFERROR(L73*MAX(N73,1)/R73*Q73*IF(ISBLANK(K71),1,K71),0)</f>
        <v/>
      </c>
      <c r="AB73" s="7" t="inlineStr">
        <is>
          <t>^HeavyMissile, ^ImpactGlow</t>
        </is>
      </c>
    </row>
    <row r="74">
      <c r="A74" t="inlineStr">
        <is>
          <t>shared</t>
        </is>
      </c>
      <c r="B74" t="inlineStr">
        <is>
          <t>japan_yamatobattleship</t>
        </is>
      </c>
      <c r="C74" t="inlineStr">
        <is>
          <t>Yamato Battleship</t>
        </is>
      </c>
      <c r="D74" s="6" t="inlineStr">
        <is>
          <t>BattleShip</t>
        </is>
      </c>
      <c r="E74" s="6" t="n">
        <v>250000</v>
      </c>
      <c r="F74" s="6" t="n">
        <v>35</v>
      </c>
      <c r="G74" t="inlineStr">
        <is>
          <t>Superheavy</t>
        </is>
      </c>
      <c r="H74" s="6" t="n">
        <v>1</v>
      </c>
      <c r="I74" s="6" t="n">
        <v>1</v>
      </c>
      <c r="J74" s="6" t="n">
        <v>1</v>
      </c>
      <c r="K74" s="6" t="n"/>
      <c r="P74">
        <f>MAX(P75,P76,P77)</f>
        <v/>
      </c>
      <c r="S74">
        <f>S75+S76+S77</f>
        <v/>
      </c>
      <c r="T74">
        <f>(E74/100000+F74/100+(P74/1000)*J74/5+S74/200)*200*I74*H74</f>
        <v/>
      </c>
      <c r="U74">
        <f>((E74*F74/25000)+((P74/1000)*J74*S74/2.5))*I74*H74</f>
        <v/>
      </c>
      <c r="V74">
        <f>(E74*F74*(P74/1000)*J74*S74*I74*H74)/12500000</f>
        <v/>
      </c>
      <c r="W74">
        <f>(T74+U74+V74)/3</f>
        <v/>
      </c>
      <c r="X74" s="6" t="n">
        <v>2200</v>
      </c>
      <c r="Y74">
        <f>IFERROR(W74-X74,"")</f>
        <v/>
      </c>
      <c r="Z74">
        <f>IFERROR(ABS(Y74)/MAX(X74,1),"")</f>
        <v/>
      </c>
      <c r="AA74">
        <f>IFERROR((X74-(((E74/100000+F74/100+S74/200)*200*I74*H74)+((E74*F74/25000)*I74*H74))/3)/(((J74/5)*200*I74*H74)+((J74*S74/2.5)*I74*H74)+((E74*F74*J74*S74*I74*H74)/12500000))/3*1000,"")</f>
        <v/>
      </c>
    </row>
    <row r="75">
      <c r="B75" s="7" t="inlineStr">
        <is>
          <t xml:space="preserve">  ↳ YamatoCannon</t>
        </is>
      </c>
      <c r="C75" s="7" t="inlineStr">
        <is>
          <t>Armament@PRIMARY</t>
        </is>
      </c>
      <c r="L75" s="6" t="n">
        <v>20000</v>
      </c>
      <c r="M75" s="6" t="n">
        <v>125</v>
      </c>
      <c r="N75" s="6" t="n">
        <v>2</v>
      </c>
      <c r="O75" s="6" t="n"/>
      <c r="P75" s="6" t="n">
        <v>12500</v>
      </c>
      <c r="Q75" s="6" t="n">
        <v>1.25</v>
      </c>
      <c r="R75">
        <f>M75+IF(N75&gt;1,N(O75)*(N75-1),0)</f>
        <v/>
      </c>
      <c r="S75">
        <f>IFERROR(L75*MAX(N75,1)/R75*Q75*IF(ISBLANK(K74),1,K74),0)</f>
        <v/>
      </c>
      <c r="AB75" s="7" t="inlineStr">
        <is>
          <t>^HeavyBomb, ^HeavyCannon</t>
        </is>
      </c>
    </row>
    <row r="76">
      <c r="B76" s="7" t="inlineStr">
        <is>
          <t xml:space="preserve">  ↳ YamatoCannon</t>
        </is>
      </c>
      <c r="C76" s="7" t="inlineStr">
        <is>
          <t>Armament@SECONDARY</t>
        </is>
      </c>
      <c r="L76" s="6" t="n">
        <v>20000</v>
      </c>
      <c r="M76" s="6" t="n">
        <v>125</v>
      </c>
      <c r="N76" s="6" t="n">
        <v>2</v>
      </c>
      <c r="O76" s="6" t="n"/>
      <c r="P76" s="6" t="n">
        <v>12500</v>
      </c>
      <c r="Q76" s="6" t="n">
        <v>1.25</v>
      </c>
      <c r="R76">
        <f>M76+IF(N76&gt;1,N(O76)*(N76-1),0)</f>
        <v/>
      </c>
      <c r="S76">
        <f>IFERROR(L76*MAX(N76,1)/R76*Q76*IF(ISBLANK(K74),1,K74),0)</f>
        <v/>
      </c>
      <c r="AB76" s="7" t="inlineStr">
        <is>
          <t>^HeavyBomb, ^HeavyCannon</t>
        </is>
      </c>
    </row>
    <row r="77">
      <c r="B77" s="7" t="inlineStr">
        <is>
          <t xml:space="preserve">  ↳ YamatoFlak</t>
        </is>
      </c>
      <c r="C77" s="7" t="inlineStr">
        <is>
          <t>Armament@AA</t>
        </is>
      </c>
      <c r="L77" s="6" t="n">
        <v>2000</v>
      </c>
      <c r="M77" s="6" t="n">
        <v>4</v>
      </c>
      <c r="N77" s="6" t="n">
        <v>1</v>
      </c>
      <c r="O77" s="6" t="n"/>
      <c r="P77" s="6" t="n">
        <v>12500</v>
      </c>
      <c r="Q77" s="6" t="n">
        <v>1</v>
      </c>
      <c r="R77">
        <f>M77+IF(N77&gt;1,N(O77)*(N77-1),0)</f>
        <v/>
      </c>
      <c r="S77">
        <f>IFERROR(L77*MAX(N77,1)/R77*Q77*IF(ISBLANK(K74),1,K74),0)</f>
        <v/>
      </c>
      <c r="AB77" s="7" t="inlineStr">
        <is>
          <t>^FlakWeapon</t>
        </is>
      </c>
    </row>
    <row r="78">
      <c r="A78" t="inlineStr">
        <is>
          <t>shared</t>
        </is>
      </c>
      <c r="B78" t="inlineStr">
        <is>
          <t>ra1_allies_destroyer</t>
        </is>
      </c>
      <c r="C78" t="inlineStr">
        <is>
          <t>Destroyer</t>
        </is>
      </c>
      <c r="D78" s="6" t="inlineStr">
        <is>
          <t>BattleShip</t>
        </is>
      </c>
      <c r="E78" s="6" t="n">
        <v>125000</v>
      </c>
      <c r="F78" s="6" t="n">
        <v>85</v>
      </c>
      <c r="G78" t="inlineStr">
        <is>
          <t>Heavy</t>
        </is>
      </c>
      <c r="H78" s="6" t="n">
        <v>1</v>
      </c>
      <c r="I78" s="6" t="n">
        <v>1</v>
      </c>
      <c r="J78" s="6" t="n">
        <v>1</v>
      </c>
      <c r="K78" s="6" t="n"/>
      <c r="P78">
        <f>MAX(P79,P80,P81,P82)</f>
        <v/>
      </c>
      <c r="S78">
        <f>S79+S80+S81+S82</f>
        <v/>
      </c>
      <c r="T78">
        <f>(E78/100000+F78/100+(P78/1000)*J78/5+S78/200)*200*I78*H78</f>
        <v/>
      </c>
      <c r="U78">
        <f>((E78*F78/25000)+((P78/1000)*J78*S78/2.5))*I78*H78</f>
        <v/>
      </c>
      <c r="V78">
        <f>(E78*F78*(P78/1000)*J78*S78*I78*H78)/12500000</f>
        <v/>
      </c>
      <c r="W78">
        <f>(T78+U78+V78)/3</f>
        <v/>
      </c>
      <c r="X78" s="6" t="n">
        <v>1600</v>
      </c>
      <c r="Y78">
        <f>IFERROR(W78-X78,"")</f>
        <v/>
      </c>
      <c r="Z78">
        <f>IFERROR(ABS(Y78)/MAX(X78,1),"")</f>
        <v/>
      </c>
      <c r="AA78">
        <f>IFERROR((X78-(((E78/100000+F78/100+S78/200)*200*I78*H78)+((E78*F78/25000)*I78*H78))/3)/(((J78/5)*200*I78*H78)+((J78*S78/2.5)*I78*H78)+((E78*F78*J78*S78*I78*H78)/12500000))/3*1000,"")</f>
        <v/>
      </c>
    </row>
    <row r="79">
      <c r="B79" s="7" t="inlineStr">
        <is>
          <t xml:space="preserve">  ↳ Stinger</t>
        </is>
      </c>
      <c r="C79" s="7" t="inlineStr">
        <is>
          <t>Armament</t>
        </is>
      </c>
      <c r="L79" s="6" t="n">
        <v>10000</v>
      </c>
      <c r="M79" s="6" t="n">
        <v>27</v>
      </c>
      <c r="N79" s="6" t="n">
        <v>2</v>
      </c>
      <c r="O79" s="6" t="n">
        <v>7</v>
      </c>
      <c r="P79" s="6" t="n">
        <v>8000</v>
      </c>
      <c r="Q79" s="6" t="n">
        <v>1.25</v>
      </c>
      <c r="R79">
        <f>M79+IF(N79&gt;1,N(O79)*(N79-1),0)</f>
        <v/>
      </c>
      <c r="S79">
        <f>IFERROR(L79*MAX(N79,1)/R79*Q79*IF(ISBLANK(K78),1,K78),0)</f>
        <v/>
      </c>
      <c r="AB79" s="7" t="inlineStr">
        <is>
          <t>^HeavyMissile, ^ImpactGlow</t>
        </is>
      </c>
    </row>
    <row r="80">
      <c r="B80" s="7" t="inlineStr">
        <is>
          <t xml:space="preserve">  ↳ StingerCryo</t>
        </is>
      </c>
      <c r="C80" s="7" t="inlineStr">
        <is>
          <t>Armament@Upgrade</t>
        </is>
      </c>
      <c r="L80" s="6" t="n">
        <v>10000</v>
      </c>
      <c r="M80" s="6" t="n">
        <v>27</v>
      </c>
      <c r="N80" s="6" t="n">
        <v>2</v>
      </c>
      <c r="O80" s="6" t="n">
        <v>7</v>
      </c>
      <c r="P80" s="6" t="n">
        <v>8000</v>
      </c>
      <c r="Q80" s="6" t="n">
        <v>1.25</v>
      </c>
      <c r="R80">
        <f>M80+IF(N80&gt;1,N(O80)*(N80-1),0)</f>
        <v/>
      </c>
      <c r="S80">
        <f>IFERROR(L80*MAX(N80,1)/R80*Q80*IF(ISBLANK(K78),1,K78),0)</f>
        <v/>
      </c>
      <c r="AB80" s="7" t="inlineStr">
        <is>
          <t>^HeavyMissile, ^ImpactGlow, ^CryoMissileProjectile</t>
        </is>
      </c>
    </row>
    <row r="81">
      <c r="B81" s="7" t="inlineStr">
        <is>
          <t xml:space="preserve">  ↳ DepthCharge</t>
        </is>
      </c>
      <c r="C81" s="7" t="inlineStr">
        <is>
          <t>Armament@DC1</t>
        </is>
      </c>
      <c r="L81" s="6" t="n">
        <v>60000</v>
      </c>
      <c r="M81" s="6" t="n">
        <v>60</v>
      </c>
      <c r="N81" s="6" t="n">
        <v>1</v>
      </c>
      <c r="O81" s="6" t="n"/>
      <c r="P81" s="6" t="n">
        <v>6000</v>
      </c>
      <c r="Q81" s="6" t="n">
        <v>1</v>
      </c>
      <c r="R81">
        <f>M81+IF(N81&gt;1,N(O81)*(N81-1),0)</f>
        <v/>
      </c>
      <c r="S81">
        <f>IFERROR(L81*MAX(N81,1)/R81*Q81*IF(ISBLANK(K78),1,K78),0)</f>
        <v/>
      </c>
      <c r="AB81" s="7" t="inlineStr">
        <is>
          <t>^Grenade</t>
        </is>
      </c>
    </row>
    <row r="82">
      <c r="B82" s="7" t="inlineStr">
        <is>
          <t xml:space="preserve">  ↳ DepthCharge</t>
        </is>
      </c>
      <c r="C82" s="7" t="inlineStr">
        <is>
          <t>Armament@DC2</t>
        </is>
      </c>
      <c r="L82" s="6" t="n">
        <v>60000</v>
      </c>
      <c r="M82" s="6" t="n">
        <v>60</v>
      </c>
      <c r="N82" s="6" t="n">
        <v>1</v>
      </c>
      <c r="O82" s="6" t="n"/>
      <c r="P82" s="6" t="n">
        <v>6000</v>
      </c>
      <c r="Q82" s="6" t="n">
        <v>1</v>
      </c>
      <c r="R82">
        <f>M82+IF(N82&gt;1,N(O82)*(N82-1),0)</f>
        <v/>
      </c>
      <c r="S82">
        <f>IFERROR(L82*MAX(N82,1)/R82*Q82*IF(ISBLANK(K78),1,K78),0)</f>
        <v/>
      </c>
      <c r="AB82" s="7" t="inlineStr">
        <is>
          <t>^Grenade</t>
        </is>
      </c>
    </row>
    <row r="83">
      <c r="A83" t="inlineStr">
        <is>
          <t>tiberiansun</t>
        </is>
      </c>
      <c r="B83" t="inlineStr">
        <is>
          <t>forgotten_cannonboat</t>
        </is>
      </c>
      <c r="C83" t="inlineStr">
        <is>
          <t>Cannon Tug</t>
        </is>
      </c>
      <c r="D83" s="6" t="inlineStr">
        <is>
          <t>BattleShip</t>
        </is>
      </c>
      <c r="E83" s="6" t="n">
        <v>125000</v>
      </c>
      <c r="F83" s="6" t="n">
        <v>85</v>
      </c>
      <c r="G83" t="inlineStr">
        <is>
          <t>Heavy</t>
        </is>
      </c>
      <c r="H83" s="6" t="n">
        <v>1</v>
      </c>
      <c r="I83" s="6" t="n">
        <v>1</v>
      </c>
      <c r="J83" s="6" t="n">
        <v>1</v>
      </c>
      <c r="K83" s="6" t="n"/>
      <c r="P83">
        <f>MAX(P84,P85,P86)</f>
        <v/>
      </c>
      <c r="S83">
        <f>S84+S85+S86</f>
        <v/>
      </c>
      <c r="T83">
        <f>(E83/100000+F83/100+(P83/1000)*J83/5+S83/200)*200*I83*H83</f>
        <v/>
      </c>
      <c r="U83">
        <f>((E83*F83/25000)+((P83/1000)*J83*S83/2.5))*I83*H83</f>
        <v/>
      </c>
      <c r="V83">
        <f>(E83*F83*(P83/1000)*J83*S83*I83*H83)/12500000</f>
        <v/>
      </c>
      <c r="W83">
        <f>(T83+U83+V83)/3</f>
        <v/>
      </c>
      <c r="X83" s="6" t="n">
        <v>1600</v>
      </c>
      <c r="Y83">
        <f>IFERROR(W83-X83,"")</f>
        <v/>
      </c>
      <c r="Z83">
        <f>IFERROR(ABS(Y83)/MAX(X83,1),"")</f>
        <v/>
      </c>
      <c r="AA83">
        <f>IFERROR((X83-(((E83/100000+F83/100+S83/200)*200*I83*H83)+((E83*F83/25000)*I83*H83))/3)/(((J83/5)*200*I83*H83)+((J83*S83/2.5)*I83*H83)+((E83*F83*J83*S83*I83*H83)/12500000))/3*1000,"")</f>
        <v/>
      </c>
    </row>
    <row r="84">
      <c r="B84" s="7" t="inlineStr">
        <is>
          <t xml:space="preserve">  ↳ TSBoatcannon</t>
        </is>
      </c>
      <c r="C84" s="7" t="inlineStr">
        <is>
          <t>Armament</t>
        </is>
      </c>
      <c r="L84" s="6" t="n">
        <v>16000</v>
      </c>
      <c r="M84" s="6" t="n">
        <v>80</v>
      </c>
      <c r="N84" s="6" t="n">
        <v>2</v>
      </c>
      <c r="O84" s="6" t="n">
        <v>3</v>
      </c>
      <c r="P84" s="6" t="n">
        <v>8000</v>
      </c>
      <c r="Q84" s="6" t="n">
        <v>1.125</v>
      </c>
      <c r="R84">
        <f>M84+IF(N84&gt;1,N(O84)*(N84-1),0)</f>
        <v/>
      </c>
      <c r="S84">
        <f>IFERROR(L84*MAX(N84,1)/R84*Q84*IF(ISBLANK(K83),1,K83),0)</f>
        <v/>
      </c>
      <c r="AB84" s="7" t="inlineStr">
        <is>
          <t>^ShrapnelWeapon, ^HeavyBomb</t>
        </is>
      </c>
    </row>
    <row r="85">
      <c r="B85" s="7" t="inlineStr">
        <is>
          <t xml:space="preserve">  ↳ DepthCharge</t>
        </is>
      </c>
      <c r="C85" s="7" t="inlineStr">
        <is>
          <t>Armament@DC1</t>
        </is>
      </c>
      <c r="L85" s="6" t="n">
        <v>60000</v>
      </c>
      <c r="M85" s="6" t="n">
        <v>60</v>
      </c>
      <c r="N85" s="6" t="n">
        <v>1</v>
      </c>
      <c r="O85" s="6" t="n"/>
      <c r="P85" s="6" t="n">
        <v>6000</v>
      </c>
      <c r="Q85" s="6" t="n">
        <v>1</v>
      </c>
      <c r="R85">
        <f>M85+IF(N85&gt;1,N(O85)*(N85-1),0)</f>
        <v/>
      </c>
      <c r="S85">
        <f>IFERROR(L85*MAX(N85,1)/R85*Q85*IF(ISBLANK(K83),1,K83),0)</f>
        <v/>
      </c>
      <c r="AB85" s="7" t="inlineStr">
        <is>
          <t>^Grenade</t>
        </is>
      </c>
    </row>
    <row r="86">
      <c r="B86" s="7" t="inlineStr">
        <is>
          <t xml:space="preserve">  ↳ DepthCharge</t>
        </is>
      </c>
      <c r="C86" s="7" t="inlineStr">
        <is>
          <t>Armament@DC2</t>
        </is>
      </c>
      <c r="L86" s="6" t="n">
        <v>60000</v>
      </c>
      <c r="M86" s="6" t="n">
        <v>60</v>
      </c>
      <c r="N86" s="6" t="n">
        <v>1</v>
      </c>
      <c r="O86" s="6" t="n"/>
      <c r="P86" s="6" t="n">
        <v>6000</v>
      </c>
      <c r="Q86" s="6" t="n">
        <v>1</v>
      </c>
      <c r="R86">
        <f>M86+IF(N86&gt;1,N(O86)*(N86-1),0)</f>
        <v/>
      </c>
      <c r="S86">
        <f>IFERROR(L86*MAX(N86,1)/R86*Q86*IF(ISBLANK(K83),1,K83),0)</f>
        <v/>
      </c>
      <c r="AB86" s="7" t="inlineStr">
        <is>
          <t>^Grenade</t>
        </is>
      </c>
    </row>
    <row r="87">
      <c r="A87" t="inlineStr">
        <is>
          <t>redalert2</t>
        </is>
      </c>
      <c r="B87" t="inlineStr">
        <is>
          <t>ra2_allies_aegiscruiser</t>
        </is>
      </c>
      <c r="C87" t="inlineStr">
        <is>
          <t>actor_aegis.name</t>
        </is>
      </c>
      <c r="D87" s="6" t="inlineStr">
        <is>
          <t>BattleShip</t>
        </is>
      </c>
      <c r="E87" s="6" t="n">
        <v>90000</v>
      </c>
      <c r="F87" s="6" t="n">
        <v>90</v>
      </c>
      <c r="G87" t="inlineStr">
        <is>
          <t>Medium</t>
        </is>
      </c>
      <c r="H87" s="6" t="n">
        <v>1</v>
      </c>
      <c r="I87" s="6" t="n">
        <v>1</v>
      </c>
      <c r="J87" s="6" t="n">
        <v>1</v>
      </c>
      <c r="K87" s="6" t="n"/>
      <c r="P87">
        <f>MAX(P88,P89)</f>
        <v/>
      </c>
      <c r="S87">
        <f>S88+S89</f>
        <v/>
      </c>
      <c r="T87">
        <f>(E87/100000+F87/100+(P87/1000)*J87/5+S87/200)*200*I87*H87</f>
        <v/>
      </c>
      <c r="U87">
        <f>((E87*F87/25000)+((P87/1000)*J87*S87/2.5))*I87*H87</f>
        <v/>
      </c>
      <c r="V87">
        <f>(E87*F87*(P87/1000)*J87*S87*I87*H87)/12500000</f>
        <v/>
      </c>
      <c r="W87">
        <f>(T87+U87+V87)/3</f>
        <v/>
      </c>
      <c r="X87" s="6" t="n">
        <v>1500</v>
      </c>
      <c r="Y87">
        <f>IFERROR(W87-X87,"")</f>
        <v/>
      </c>
      <c r="Z87">
        <f>IFERROR(ABS(Y87)/MAX(X87,1),"")</f>
        <v/>
      </c>
      <c r="AA87">
        <f>IFERROR((X87-(((E87/100000+F87/100+S87/200)*200*I87*H87)+((E87*F87/25000)*I87*H87))/3)/(((J87/5)*200*I87*H87)+((J87*S87/2.5)*I87*H87)+((E87*F87*J87*S87*I87*H87)/12500000))/3*1000,"")</f>
        <v/>
      </c>
    </row>
    <row r="88">
      <c r="B88" s="7" t="inlineStr">
        <is>
          <t xml:space="preserve">  ↳ RA2Medusa</t>
        </is>
      </c>
      <c r="C88" s="7" t="inlineStr">
        <is>
          <t>Armament@AA</t>
        </is>
      </c>
      <c r="L88" s="6" t="n">
        <v>30000</v>
      </c>
      <c r="M88" s="6" t="n">
        <v>100</v>
      </c>
      <c r="N88" s="6" t="n">
        <v>3</v>
      </c>
      <c r="O88" s="6" t="n">
        <v>13</v>
      </c>
      <c r="P88" s="6" t="n">
        <v>13500</v>
      </c>
      <c r="Q88" s="6" t="n">
        <v>1</v>
      </c>
      <c r="R88">
        <f>M88+IF(N88&gt;1,N(O88)*(N88-1),0)</f>
        <v/>
      </c>
      <c r="S88">
        <f>IFERROR(L88*MAX(N88,1)/R88*Q88*IF(ISBLANK(K87),1,K87),0)</f>
        <v/>
      </c>
      <c r="AB88" s="7" t="inlineStr">
        <is>
          <t>^RA2MediumMissile</t>
        </is>
      </c>
    </row>
    <row r="89">
      <c r="B89" s="7" t="inlineStr">
        <is>
          <t xml:space="preserve">  ↳ RA2MedusaAG</t>
        </is>
      </c>
      <c r="C89" s="7" t="inlineStr">
        <is>
          <t>Armament@AG</t>
        </is>
      </c>
      <c r="L89" s="6" t="n">
        <v>30000</v>
      </c>
      <c r="M89" s="6" t="n">
        <v>100</v>
      </c>
      <c r="N89" s="6" t="n">
        <v>3</v>
      </c>
      <c r="O89" s="6" t="n">
        <v>13</v>
      </c>
      <c r="P89" s="6" t="n">
        <v>9000</v>
      </c>
      <c r="Q89" s="6" t="n">
        <v>1</v>
      </c>
      <c r="R89">
        <f>M89+IF(N89&gt;1,N(O89)*(N89-1),0)</f>
        <v/>
      </c>
      <c r="S89">
        <f>IFERROR(L89*MAX(N89,1)/R89*Q89*IF(ISBLANK(K87),1,K87),0)</f>
        <v/>
      </c>
      <c r="AB89" s="7" t="inlineStr">
        <is>
          <t>^RA2MediumMissile</t>
        </is>
      </c>
    </row>
    <row r="90">
      <c r="A90" t="inlineStr">
        <is>
          <t>redalert2</t>
        </is>
      </c>
      <c r="B90" t="inlineStr">
        <is>
          <t>ra2_soviets_seascorpion</t>
        </is>
      </c>
      <c r="C90" t="inlineStr">
        <is>
          <t>actor_hyd.name</t>
        </is>
      </c>
      <c r="D90" s="6" t="inlineStr">
        <is>
          <t>BattleShip</t>
        </is>
      </c>
      <c r="E90" s="6" t="n">
        <v>25000</v>
      </c>
      <c r="F90" s="6" t="n">
        <v>120</v>
      </c>
      <c r="G90" t="inlineStr">
        <is>
          <t>Light</t>
        </is>
      </c>
      <c r="H90" s="6" t="n">
        <v>1</v>
      </c>
      <c r="I90" s="6" t="n">
        <v>1</v>
      </c>
      <c r="J90" s="6" t="n">
        <v>1</v>
      </c>
      <c r="K90" s="6" t="n"/>
      <c r="P90">
        <f>MAX(P91,P92)</f>
        <v/>
      </c>
      <c r="S90">
        <f>S91+S92</f>
        <v/>
      </c>
      <c r="T90">
        <f>(E90/100000+F90/100+(P90/1000)*J90/5+S90/200)*200*I90*H90</f>
        <v/>
      </c>
      <c r="U90">
        <f>((E90*F90/25000)+((P90/1000)*J90*S90/2.5))*I90*H90</f>
        <v/>
      </c>
      <c r="V90">
        <f>(E90*F90*(P90/1000)*J90*S90*I90*H90)/12500000</f>
        <v/>
      </c>
      <c r="W90">
        <f>(T90+U90+V90)/3</f>
        <v/>
      </c>
      <c r="X90" s="6" t="n">
        <v>600</v>
      </c>
      <c r="Y90">
        <f>IFERROR(W90-X90,"")</f>
        <v/>
      </c>
      <c r="Z90">
        <f>IFERROR(ABS(Y90)/MAX(X90,1),"")</f>
        <v/>
      </c>
      <c r="AA90">
        <f>IFERROR((X90-(((E90/100000+F90/100+S90/200)*200*I90*H90)+((E90*F90/25000)*I90*H90))/3)/(((J90/5)*200*I90*H90)+((J90*S90/2.5)*I90*H90)+((E90*F90*J90*S90*I90*H90)/12500000))/3*1000,"")</f>
        <v/>
      </c>
    </row>
    <row r="91">
      <c r="B91" s="7" t="inlineStr">
        <is>
          <t xml:space="preserve">  ↳ SeaScorpionAA</t>
        </is>
      </c>
      <c r="C91" s="7" t="inlineStr">
        <is>
          <t>Armament@AA</t>
        </is>
      </c>
      <c r="L91" s="6" t="n">
        <v>8000</v>
      </c>
      <c r="M91" s="6" t="n">
        <v>17</v>
      </c>
      <c r="N91" s="6" t="n">
        <v>1</v>
      </c>
      <c r="O91" s="6" t="n"/>
      <c r="P91" s="6" t="n">
        <v>13500</v>
      </c>
      <c r="Q91" s="6" t="n">
        <v>1</v>
      </c>
      <c r="R91">
        <f>M91+IF(N91&gt;1,N(O91)*(N91-1),0)</f>
        <v/>
      </c>
      <c r="S91">
        <f>IFERROR(L91*MAX(N91,1)/R91*Q91*IF(ISBLANK(K90),1,K90),0)</f>
        <v/>
      </c>
      <c r="AB91" s="7" t="inlineStr">
        <is>
          <t>^RA2FlakWeapon</t>
        </is>
      </c>
    </row>
    <row r="92">
      <c r="B92" s="7" t="inlineStr">
        <is>
          <t xml:space="preserve">  ↳ RA2FlakTrackGun</t>
        </is>
      </c>
      <c r="C92" s="7" t="inlineStr">
        <is>
          <t>Armament@AG</t>
        </is>
      </c>
      <c r="L92" s="6" t="n">
        <v>2000</v>
      </c>
      <c r="M92" s="6" t="n">
        <v>18</v>
      </c>
      <c r="N92" s="6" t="n">
        <v>1</v>
      </c>
      <c r="O92" s="6" t="n"/>
      <c r="P92" s="6" t="n">
        <v>5528</v>
      </c>
      <c r="Q92" s="6" t="n">
        <v>0.9375</v>
      </c>
      <c r="R92">
        <f>M92+IF(N92&gt;1,N(O92)*(N92-1),0)</f>
        <v/>
      </c>
      <c r="S92">
        <f>IFERROR(L92*MAX(N92,1)/R92*Q92*IF(ISBLANK(K90),1,K90),0)</f>
        <v/>
      </c>
      <c r="AB92" s="7" t="inlineStr">
        <is>
          <t>^SmallArms, ^Grenade, ^Chaingun, ^RA2FlakWeapon</t>
        </is>
      </c>
    </row>
    <row r="93">
      <c r="A93" t="inlineStr">
        <is>
          <t>redalert2mod</t>
        </is>
      </c>
      <c r="B93" t="inlineStr">
        <is>
          <t>quasfrig.asian</t>
        </is>
      </c>
      <c r="C93" t="inlineStr">
        <is>
          <t>Quasar Frigate</t>
        </is>
      </c>
      <c r="D93" s="6" t="inlineStr">
        <is>
          <t>BattleShip</t>
        </is>
      </c>
      <c r="E93" s="6" t="n">
        <v>137500</v>
      </c>
      <c r="F93" s="6" t="n">
        <v>75</v>
      </c>
      <c r="G93" t="inlineStr">
        <is>
          <t>Heavy</t>
        </is>
      </c>
      <c r="H93" s="6" t="n">
        <v>1</v>
      </c>
      <c r="I93" s="6" t="n">
        <v>1</v>
      </c>
      <c r="J93" s="6" t="n">
        <v>1</v>
      </c>
      <c r="K93" s="6" t="n"/>
      <c r="P93">
        <f>MAX(P94,P95,P96,P97)</f>
        <v/>
      </c>
      <c r="S93">
        <f>S94+S95+S96+S97</f>
        <v/>
      </c>
      <c r="T93">
        <f>(E93/100000+F93/100+(P93/1000)*J93/5+S93/200)*200*I93*H93</f>
        <v/>
      </c>
      <c r="U93">
        <f>((E93*F93/25000)+((P93/1000)*J93*S93/2.5))*I93*H93</f>
        <v/>
      </c>
      <c r="V93">
        <f>(E93*F93*(P93/1000)*J93*S93*I93*H93)/12500000</f>
        <v/>
      </c>
      <c r="W93">
        <f>(T93+U93+V93)/3</f>
        <v/>
      </c>
      <c r="X93" s="6" t="n">
        <v>2000</v>
      </c>
      <c r="Y93">
        <f>IFERROR(W93-X93,"")</f>
        <v/>
      </c>
      <c r="Z93">
        <f>IFERROR(ABS(Y93)/MAX(X93,1),"")</f>
        <v/>
      </c>
      <c r="AA93">
        <f>IFERROR((X93-(((E93/100000+F93/100+S93/200)*200*I93*H93)+((E93*F93/25000)*I93*H93))/3)/(((J93/5)*200*I93*H93)+((J93*S93/2.5)*I93*H93)+((E93*F93*J93*S93*I93*H93)/12500000))/3*1000,"")</f>
        <v/>
      </c>
    </row>
    <row r="94">
      <c r="B94" s="7" t="inlineStr">
        <is>
          <t xml:space="preserve">  ↳ AsianQuasarBoatAG</t>
        </is>
      </c>
      <c r="C94" s="7" t="inlineStr">
        <is>
          <t>Armament@AG</t>
        </is>
      </c>
      <c r="L94" s="6" t="n">
        <v>2000</v>
      </c>
      <c r="M94" s="6" t="n">
        <v>22</v>
      </c>
      <c r="N94" s="6" t="n">
        <v>3</v>
      </c>
      <c r="O94" s="6" t="n">
        <v>3</v>
      </c>
      <c r="P94" s="6" t="n">
        <v>7168</v>
      </c>
      <c r="Q94" s="6" t="n">
        <v>1</v>
      </c>
      <c r="R94">
        <f>M94+IF(N94&gt;1,N(O94)*(N94-1),0)</f>
        <v/>
      </c>
      <c r="S94">
        <f>IFERROR(L94*MAX(N94,1)/R94*Q94*IF(ISBLANK(K93),1,K93),0)</f>
        <v/>
      </c>
      <c r="AB94" s="7" t="inlineStr">
        <is>
          <t>^MediumMissile, ^FlakWeapon, ^TeslaWeapon, ^MagicWeapon</t>
        </is>
      </c>
    </row>
    <row r="95">
      <c r="B95" s="7" t="inlineStr">
        <is>
          <t xml:space="preserve">  ↳ AsianQuasarBoatAGEMP</t>
        </is>
      </c>
      <c r="C95" s="7" t="inlineStr">
        <is>
          <t>Armament@UpgradeAG</t>
        </is>
      </c>
      <c r="L95" s="6" t="n">
        <v>2000</v>
      </c>
      <c r="M95" s="6" t="n">
        <v>22</v>
      </c>
      <c r="N95" s="6" t="n">
        <v>3</v>
      </c>
      <c r="O95" s="6" t="n">
        <v>3</v>
      </c>
      <c r="P95" s="6" t="n">
        <v>7168</v>
      </c>
      <c r="Q95" s="6" t="n">
        <v>1</v>
      </c>
      <c r="R95">
        <f>M95+IF(N95&gt;1,N(O95)*(N95-1),0)</f>
        <v/>
      </c>
      <c r="S95">
        <f>IFERROR(L95*MAX(N95,1)/R95*Q95*IF(ISBLANK(K93),1,K93),0)</f>
        <v/>
      </c>
      <c r="AB95" s="7" t="inlineStr">
        <is>
          <t>^MediumMissile, ^FlakWeapon, ^TeslaWeapon, ^MagicWeapon</t>
        </is>
      </c>
    </row>
    <row r="96">
      <c r="B96" s="7" t="inlineStr">
        <is>
          <t xml:space="preserve">  ↳ AsianQuasarBoatAA</t>
        </is>
      </c>
      <c r="C96" s="7" t="inlineStr">
        <is>
          <t>Armament@AA</t>
        </is>
      </c>
      <c r="L96" s="6" t="n">
        <v>2000</v>
      </c>
      <c r="M96" s="6" t="n">
        <v>22</v>
      </c>
      <c r="N96" s="6" t="n">
        <v>3</v>
      </c>
      <c r="O96" s="6" t="n">
        <v>3</v>
      </c>
      <c r="P96" s="6" t="n">
        <v>7168</v>
      </c>
      <c r="Q96" s="6" t="n">
        <v>1</v>
      </c>
      <c r="R96">
        <f>M96+IF(N96&gt;1,N(O96)*(N96-1),0)</f>
        <v/>
      </c>
      <c r="S96">
        <f>IFERROR(L96*MAX(N96,1)/R96*Q96*IF(ISBLANK(K93),1,K93),0)</f>
        <v/>
      </c>
      <c r="AB96" s="7" t="inlineStr">
        <is>
          <t>^MediumMissile, ^FlakWeapon, ^TeslaWeapon, ^MagicWeapon</t>
        </is>
      </c>
    </row>
    <row r="97">
      <c r="B97" s="7" t="inlineStr">
        <is>
          <t xml:space="preserve">  ↳ AsianQuasarBoatAAEMP</t>
        </is>
      </c>
      <c r="C97" s="7" t="inlineStr">
        <is>
          <t>Armament@UpgradeAA</t>
        </is>
      </c>
      <c r="L97" s="6" t="n">
        <v>2000</v>
      </c>
      <c r="M97" s="6" t="n">
        <v>22</v>
      </c>
      <c r="N97" s="6" t="n">
        <v>3</v>
      </c>
      <c r="O97" s="6" t="n">
        <v>3</v>
      </c>
      <c r="P97" s="6" t="n">
        <v>7168</v>
      </c>
      <c r="Q97" s="6" t="n">
        <v>1</v>
      </c>
      <c r="R97">
        <f>M97+IF(N97&gt;1,N(O97)*(N97-1),0)</f>
        <v/>
      </c>
      <c r="S97">
        <f>IFERROR(L97*MAX(N97,1)/R97*Q97*IF(ISBLANK(K93),1,K93),0)</f>
        <v/>
      </c>
      <c r="AB97" s="7" t="inlineStr">
        <is>
          <t>^MediumMissile, ^FlakWeapon, ^TeslaWeapon, ^MagicWeapon</t>
        </is>
      </c>
    </row>
    <row r="98">
      <c r="A98" t="inlineStr">
        <is>
          <t>redalert2mod</t>
        </is>
      </c>
      <c r="B98" t="inlineStr">
        <is>
          <t>triton.latin</t>
        </is>
      </c>
      <c r="C98" t="inlineStr">
        <is>
          <t>Triton Speedboat</t>
        </is>
      </c>
      <c r="D98" s="6" t="inlineStr">
        <is>
          <t>BattleShip</t>
        </is>
      </c>
      <c r="E98" s="6" t="n">
        <v>37500</v>
      </c>
      <c r="F98" s="6" t="n">
        <v>125</v>
      </c>
      <c r="G98" t="inlineStr">
        <is>
          <t>Light</t>
        </is>
      </c>
      <c r="H98" s="6" t="n">
        <v>1</v>
      </c>
      <c r="I98" s="6" t="n">
        <v>1</v>
      </c>
      <c r="J98" s="6" t="n">
        <v>1</v>
      </c>
      <c r="K98" s="6" t="n"/>
      <c r="P98">
        <f>MAX(P99,P100)</f>
        <v/>
      </c>
      <c r="S98">
        <f>S99+S100</f>
        <v/>
      </c>
      <c r="T98">
        <f>(E98/100000+F98/100+(P98/1000)*J98/5+S98/200)*200*I98*H98</f>
        <v/>
      </c>
      <c r="U98">
        <f>((E98*F98/25000)+((P98/1000)*J98*S98/2.5))*I98*H98</f>
        <v/>
      </c>
      <c r="V98">
        <f>(E98*F98*(P98/1000)*J98*S98*I98*H98)/12500000</f>
        <v/>
      </c>
      <c r="W98">
        <f>(T98+U98+V98)/3</f>
        <v/>
      </c>
      <c r="X98" s="6" t="n">
        <v>700</v>
      </c>
      <c r="Y98">
        <f>IFERROR(W98-X98,"")</f>
        <v/>
      </c>
      <c r="Z98">
        <f>IFERROR(ABS(Y98)/MAX(X98,1),"")</f>
        <v/>
      </c>
      <c r="AA98">
        <f>IFERROR((X98-(((E98/100000+F98/100+S98/200)*200*I98*H98)+((E98*F98/25000)*I98*H98))/3)/(((J98/5)*200*I98*H98)+((J98*S98/2.5)*I98*H98)+((E98*F98*J98*S98*I98*H98)/12500000))/3*1000,"")</f>
        <v/>
      </c>
    </row>
    <row r="99">
      <c r="B99" s="7" t="inlineStr">
        <is>
          <t xml:space="preserve">  ↳ LatinSentryMG</t>
        </is>
      </c>
      <c r="C99" s="7" t="inlineStr">
        <is>
          <t>Armament@PRIMARY</t>
        </is>
      </c>
      <c r="L99" s="6" t="n">
        <v>2000</v>
      </c>
      <c r="M99" s="6" t="n">
        <v>30</v>
      </c>
      <c r="N99" s="6" t="n">
        <v>3</v>
      </c>
      <c r="O99" s="6" t="n">
        <v>3</v>
      </c>
      <c r="P99" s="6" t="n">
        <v>6666</v>
      </c>
      <c r="Q99" s="6" t="n">
        <v>1</v>
      </c>
      <c r="R99">
        <f>M99+IF(N99&gt;1,N(O99)*(N99-1),0)</f>
        <v/>
      </c>
      <c r="S99">
        <f>IFERROR(L99*MAX(N99,1)/R99*Q99*IF(ISBLANK(K98),1,K98),0)</f>
        <v/>
      </c>
      <c r="AB99" s="7" t="inlineStr">
        <is>
          <t>^HeavyCannon, ^RA2SmallArms, ^RA2Chaingun</t>
        </is>
      </c>
    </row>
    <row r="100">
      <c r="B100" s="7" t="inlineStr">
        <is>
          <t xml:space="preserve">  ↳ LatinSentryMGE</t>
        </is>
      </c>
      <c r="C100" s="7" t="inlineStr">
        <is>
          <t>Armament@ELITE</t>
        </is>
      </c>
      <c r="L100" s="6" t="n">
        <v>2000</v>
      </c>
      <c r="M100" s="6" t="n">
        <v>30</v>
      </c>
      <c r="N100" s="6" t="n">
        <v>3</v>
      </c>
      <c r="O100" s="6" t="n">
        <v>3</v>
      </c>
      <c r="P100" s="6" t="n">
        <v>7777</v>
      </c>
      <c r="Q100" s="6" t="n">
        <v>1</v>
      </c>
      <c r="R100">
        <f>M100+IF(N100&gt;1,N(O100)*(N100-1),0)</f>
        <v/>
      </c>
      <c r="S100">
        <f>IFERROR(L100*MAX(N100,1)/R100*Q100*IF(ISBLANK(K98),1,K98),0)</f>
        <v/>
      </c>
      <c r="AB100" s="7" t="inlineStr">
        <is>
          <t>^HeavyCannon, ^RA2SmallArms, ^RA2Chaingun</t>
        </is>
      </c>
    </row>
    <row r="101">
      <c r="A101" s="4" t="inlineStr">
        <is>
          <t>ArtilleryShip</t>
        </is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</row>
    <row r="102">
      <c r="A102" t="inlineStr">
        <is>
          <t>tiberiandawn</t>
        </is>
      </c>
      <c r="B102" t="inlineStr">
        <is>
          <t>gdicarrier</t>
        </is>
      </c>
      <c r="C102" t="inlineStr">
        <is>
          <t>GDI Super Carrier</t>
        </is>
      </c>
      <c r="D102" s="6" t="inlineStr">
        <is>
          <t>ArtilleryShip</t>
        </is>
      </c>
      <c r="E102" s="6" t="n">
        <v>300000</v>
      </c>
      <c r="F102" s="6" t="n">
        <v>50</v>
      </c>
      <c r="G102" t="inlineStr">
        <is>
          <t>Superheavy</t>
        </is>
      </c>
      <c r="H102" s="6" t="n">
        <v>1</v>
      </c>
      <c r="I102" s="6" t="n">
        <v>1</v>
      </c>
      <c r="J102" s="6" t="n">
        <v>1</v>
      </c>
      <c r="K102" s="6" t="n"/>
      <c r="P102">
        <f>MAX(P103)</f>
        <v/>
      </c>
      <c r="S102">
        <f>S103</f>
        <v/>
      </c>
      <c r="T102">
        <f>(E102/100000+F102/100+(P102/1000)*J102/5+S102/200)*200*I102*H102</f>
        <v/>
      </c>
      <c r="U102">
        <f>((E102*F102/25000)+((P102/1000)*J102*S102/2.5))*I102*H102</f>
        <v/>
      </c>
      <c r="V102">
        <f>(E102*F102*(P102/1000)*J102*S102*I102*H102)/12500000</f>
        <v/>
      </c>
      <c r="W102">
        <f>(T102+U102+V102)/3</f>
        <v/>
      </c>
      <c r="X102" s="6" t="n">
        <v>4000</v>
      </c>
      <c r="Y102">
        <f>IFERROR(W102-X102,"")</f>
        <v/>
      </c>
      <c r="Z102">
        <f>IFERROR(ABS(Y102)/MAX(X102,1),"")</f>
        <v/>
      </c>
      <c r="AA102">
        <f>IFERROR((X102-(((E102/100000+F102/100+S102/200)*200*I102*H102)+((E102*F102/25000)*I102*H102))/3)/(((J102/5)*200*I102*H102)+((J102*S102/2.5)*I102*H102)+((E102*F102*J102*S102*I102*H102)/12500000))/3*1000,"")</f>
        <v/>
      </c>
    </row>
    <row r="103">
      <c r="B103" s="7" t="inlineStr">
        <is>
          <t xml:space="preserve">  ↳ JapanCarrierTarget</t>
        </is>
      </c>
      <c r="C103" s="7" t="inlineStr">
        <is>
          <t>Armament@PRIMARY</t>
        </is>
      </c>
      <c r="L103" s="6" t="n"/>
      <c r="M103" s="6" t="n">
        <v>25</v>
      </c>
      <c r="N103" s="6" t="n">
        <v>1</v>
      </c>
      <c r="O103" s="6" t="n"/>
      <c r="P103" s="6" t="n">
        <v>20000</v>
      </c>
      <c r="Q103" s="6" t="n">
        <v>1</v>
      </c>
      <c r="R103">
        <f>M103+IF(N103&gt;1,N(O103)*(N103-1),0)</f>
        <v/>
      </c>
      <c r="S103">
        <f>IFERROR(L103*MAX(N103,1)/R103*Q103*IF(ISBLANK(K102),1,K102),0)</f>
        <v/>
      </c>
      <c r="AB103" s="7" t="inlineStr"/>
    </row>
    <row r="104">
      <c r="A104" t="inlineStr">
        <is>
          <t>tiberiandawn</t>
        </is>
      </c>
      <c r="B104" t="inlineStr">
        <is>
          <t>ssmsub</t>
        </is>
      </c>
      <c r="C104" t="inlineStr">
        <is>
          <t>Ballistic Missile Submarine</t>
        </is>
      </c>
      <c r="D104" s="6" t="inlineStr">
        <is>
          <t>ArtilleryShip</t>
        </is>
      </c>
      <c r="E104" s="6" t="n">
        <v>200000</v>
      </c>
      <c r="F104" s="6" t="n">
        <v>60</v>
      </c>
      <c r="G104" t="inlineStr">
        <is>
          <t>Medium</t>
        </is>
      </c>
      <c r="H104" s="6" t="n">
        <v>1</v>
      </c>
      <c r="I104" s="6" t="n">
        <v>1</v>
      </c>
      <c r="J104" s="6" t="n">
        <v>1</v>
      </c>
      <c r="K104" s="6" t="n">
        <v>2</v>
      </c>
      <c r="P104">
        <f>MAX(P105)</f>
        <v/>
      </c>
      <c r="S104">
        <f>S105</f>
        <v/>
      </c>
      <c r="T104">
        <f>(E104/100000+F104/100+(P104/1000)*J104/5+S104/200)*200*I104*H104</f>
        <v/>
      </c>
      <c r="U104">
        <f>((E104*F104/25000)+((P104/1000)*J104*S104/2.5))*I104*H104</f>
        <v/>
      </c>
      <c r="V104">
        <f>(E104*F104*(P104/1000)*J104*S104*I104*H104)/12500000</f>
        <v/>
      </c>
      <c r="W104">
        <f>(T104+U104+V104)/3</f>
        <v/>
      </c>
      <c r="X104" s="6" t="n">
        <v>2800</v>
      </c>
      <c r="Y104">
        <f>IFERROR(W104-X104,"")</f>
        <v/>
      </c>
      <c r="Z104">
        <f>IFERROR(ABS(Y104)/MAX(X104,1),"")</f>
        <v/>
      </c>
      <c r="AA104">
        <f>IFERROR((X104-(((E104/100000+F104/100+S104/200)*200*I104*H104)+((E104*F104/25000)*I104*H104))/3)/(((J104/5)*200*I104*H104)+((J104*S104/2.5)*I104*H104)+((E104*F104*J104*S104*I104*H104)/12500000))/3*1000,"")</f>
        <v/>
      </c>
    </row>
    <row r="105">
      <c r="B105" s="7" t="inlineStr">
        <is>
          <t xml:space="preserve">  ↳ HonestJohn</t>
        </is>
      </c>
      <c r="C105" s="7" t="inlineStr">
        <is>
          <t>Armament</t>
        </is>
      </c>
      <c r="L105" s="6" t="n">
        <v>10000</v>
      </c>
      <c r="M105" s="6" t="n">
        <v>225</v>
      </c>
      <c r="N105" s="6" t="n">
        <v>2</v>
      </c>
      <c r="O105" s="6" t="n">
        <v>25</v>
      </c>
      <c r="P105" s="6" t="n">
        <v>8940</v>
      </c>
      <c r="Q105" s="6" t="n">
        <v>1.05</v>
      </c>
      <c r="R105">
        <f>M105+IF(N105&gt;1,N(O105)*(N105-1),0)</f>
        <v/>
      </c>
      <c r="S105">
        <f>IFERROR(L105*MAX(N105,1)/R105*Q105*IF(ISBLANK(K104),1,K104),0)</f>
        <v/>
      </c>
      <c r="AB105" s="7" t="inlineStr">
        <is>
          <t>^LightFlameWeapon, ^MediumFlameWeapon, ^HeavyFlameWeapon, ^MediumMissile, ^HeavyMissile</t>
        </is>
      </c>
    </row>
    <row r="106">
      <c r="A106" t="inlineStr">
        <is>
          <t>shared</t>
        </is>
      </c>
      <c r="B106" t="inlineStr">
        <is>
          <t>japan_japanesecarrier</t>
        </is>
      </c>
      <c r="C106" t="inlineStr">
        <is>
          <t>actor_japan_japanesecarrier.name</t>
        </is>
      </c>
      <c r="D106" s="6" t="inlineStr">
        <is>
          <t>ArtilleryShip</t>
        </is>
      </c>
      <c r="E106" s="6" t="n">
        <v>225000</v>
      </c>
      <c r="F106" s="6" t="n">
        <v>45</v>
      </c>
      <c r="G106" t="inlineStr">
        <is>
          <t>Superheavy</t>
        </is>
      </c>
      <c r="H106" s="6" t="n">
        <v>1</v>
      </c>
      <c r="I106" s="6" t="n">
        <v>1</v>
      </c>
      <c r="J106" s="6" t="n">
        <v>1</v>
      </c>
      <c r="K106" s="6" t="n"/>
      <c r="P106">
        <f>MAX(P107)</f>
        <v/>
      </c>
      <c r="S106">
        <f>S107</f>
        <v/>
      </c>
      <c r="T106">
        <f>(E106/100000+F106/100+(P106/1000)*J106/5+S106/200)*200*I106*H106</f>
        <v/>
      </c>
      <c r="U106">
        <f>((E106*F106/25000)+((P106/1000)*J106*S106/2.5))*I106*H106</f>
        <v/>
      </c>
      <c r="V106">
        <f>(E106*F106*(P106/1000)*J106*S106*I106*H106)/12500000</f>
        <v/>
      </c>
      <c r="W106">
        <f>(T106+U106+V106)/3</f>
        <v/>
      </c>
      <c r="X106" s="6" t="n">
        <v>3000</v>
      </c>
      <c r="Y106">
        <f>IFERROR(W106-X106,"")</f>
        <v/>
      </c>
      <c r="Z106">
        <f>IFERROR(ABS(Y106)/MAX(X106,1),"")</f>
        <v/>
      </c>
      <c r="AA106">
        <f>IFERROR((X106-(((E106/100000+F106/100+S106/200)*200*I106*H106)+((E106*F106/25000)*I106*H106))/3)/(((J106/5)*200*I106*H106)+((J106*S106/2.5)*I106*H106)+((E106*F106*J106*S106*I106*H106)/12500000))/3*1000,"")</f>
        <v/>
      </c>
    </row>
    <row r="107">
      <c r="B107" s="7" t="inlineStr">
        <is>
          <t xml:space="preserve">  ↳ JapanCarrierTarget</t>
        </is>
      </c>
      <c r="C107" s="7" t="inlineStr">
        <is>
          <t>Armament@PRIMARY</t>
        </is>
      </c>
      <c r="L107" s="6" t="n"/>
      <c r="M107" s="6" t="n">
        <v>25</v>
      </c>
      <c r="N107" s="6" t="n">
        <v>1</v>
      </c>
      <c r="O107" s="6" t="n"/>
      <c r="P107" s="6" t="n">
        <v>20000</v>
      </c>
      <c r="Q107" s="6" t="n">
        <v>1</v>
      </c>
      <c r="R107">
        <f>M107+IF(N107&gt;1,N(O107)*(N107-1),0)</f>
        <v/>
      </c>
      <c r="S107">
        <f>IFERROR(L107*MAX(N107,1)/R107*Q107*IF(ISBLANK(K106),1,K106),0)</f>
        <v/>
      </c>
      <c r="AB107" s="7" t="inlineStr"/>
    </row>
    <row r="108">
      <c r="A108" t="inlineStr">
        <is>
          <t>shared</t>
        </is>
      </c>
      <c r="B108" t="inlineStr">
        <is>
          <t>ra1_allies_cruiser</t>
        </is>
      </c>
      <c r="C108" t="inlineStr">
        <is>
          <t>Cruiser</t>
        </is>
      </c>
      <c r="D108" s="6" t="inlineStr">
        <is>
          <t>ArtilleryShip</t>
        </is>
      </c>
      <c r="E108" s="6" t="n">
        <v>225000</v>
      </c>
      <c r="F108" s="6" t="n">
        <v>40</v>
      </c>
      <c r="G108" t="inlineStr">
        <is>
          <t>Superheavy</t>
        </is>
      </c>
      <c r="H108" s="6" t="n">
        <v>1</v>
      </c>
      <c r="I108" s="6" t="n">
        <v>1</v>
      </c>
      <c r="J108" s="6" t="n">
        <v>1</v>
      </c>
      <c r="K108" s="6" t="n"/>
      <c r="P108">
        <f>MAX(P109,P110)</f>
        <v/>
      </c>
      <c r="S108">
        <f>S109+S110</f>
        <v/>
      </c>
      <c r="T108">
        <f>(E108/100000+F108/100+(P108/1000)*J108/5+S108/200)*200*I108*H108</f>
        <v/>
      </c>
      <c r="U108">
        <f>((E108*F108/25000)+((P108/1000)*J108*S108/2.5))*I108*H108</f>
        <v/>
      </c>
      <c r="V108">
        <f>(E108*F108*(P108/1000)*J108*S108*I108*H108)/12500000</f>
        <v/>
      </c>
      <c r="W108">
        <f>(T108+U108+V108)/3</f>
        <v/>
      </c>
      <c r="X108" s="6" t="n">
        <v>3000</v>
      </c>
      <c r="Y108">
        <f>IFERROR(W108-X108,"")</f>
        <v/>
      </c>
      <c r="Z108">
        <f>IFERROR(ABS(Y108)/MAX(X108,1),"")</f>
        <v/>
      </c>
      <c r="AA108">
        <f>IFERROR((X108-(((E108/100000+F108/100+S108/200)*200*I108*H108)+((E108*F108/25000)*I108*H108))/3)/(((J108/5)*200*I108*H108)+((J108*S108/2.5)*I108*H108)+((E108*F108*J108*S108*I108*H108)/12500000))/3*1000,"")</f>
        <v/>
      </c>
    </row>
    <row r="109">
      <c r="B109" s="7" t="inlineStr">
        <is>
          <t xml:space="preserve">  ↳ 8Inch</t>
        </is>
      </c>
      <c r="C109" s="7" t="inlineStr">
        <is>
          <t>Armament@PRIMARY</t>
        </is>
      </c>
      <c r="L109" s="6" t="n">
        <v>40000</v>
      </c>
      <c r="M109" s="6" t="n">
        <v>250</v>
      </c>
      <c r="N109" s="6" t="n">
        <v>2</v>
      </c>
      <c r="O109" s="6" t="n"/>
      <c r="P109" s="6" t="n">
        <v>15000</v>
      </c>
      <c r="Q109" s="6" t="n">
        <v>1.125</v>
      </c>
      <c r="R109">
        <f>M109+IF(N109&gt;1,N(O109)*(N109-1),0)</f>
        <v/>
      </c>
      <c r="S109">
        <f>IFERROR(L109*MAX(N109,1)/R109*Q109*IF(ISBLANK(K108),1,K108),0)</f>
        <v/>
      </c>
      <c r="AB109" s="7" t="inlineStr">
        <is>
          <t>^HeavyBomb, ^Grenade</t>
        </is>
      </c>
    </row>
    <row r="110">
      <c r="B110" s="7" t="inlineStr">
        <is>
          <t xml:space="preserve">  ↳ 8Inch</t>
        </is>
      </c>
      <c r="C110" s="7" t="inlineStr">
        <is>
          <t>Armament@SECONDARY</t>
        </is>
      </c>
      <c r="L110" s="6" t="n">
        <v>40000</v>
      </c>
      <c r="M110" s="6" t="n">
        <v>250</v>
      </c>
      <c r="N110" s="6" t="n">
        <v>2</v>
      </c>
      <c r="O110" s="6" t="n"/>
      <c r="P110" s="6" t="n">
        <v>15000</v>
      </c>
      <c r="Q110" s="6" t="n">
        <v>1.125</v>
      </c>
      <c r="R110">
        <f>M110+IF(N110&gt;1,N(O110)*(N110-1),0)</f>
        <v/>
      </c>
      <c r="S110">
        <f>IFERROR(L110*MAX(N110,1)/R110*Q110*IF(ISBLANK(K108),1,K108),0)</f>
        <v/>
      </c>
      <c r="AB110" s="7" t="inlineStr">
        <is>
          <t>^HeavyBomb, ^Grenade</t>
        </is>
      </c>
    </row>
    <row r="111">
      <c r="A111" t="inlineStr">
        <is>
          <t>shared</t>
        </is>
      </c>
      <c r="B111" t="inlineStr">
        <is>
          <t>ra1_soviets_missilesubmarine</t>
        </is>
      </c>
      <c r="C111" t="inlineStr">
        <is>
          <t>Missile Submarine</t>
        </is>
      </c>
      <c r="D111" s="6" t="inlineStr">
        <is>
          <t>ArtilleryShip</t>
        </is>
      </c>
      <c r="E111" s="6" t="n">
        <v>70000</v>
      </c>
      <c r="F111" s="6" t="n">
        <v>60</v>
      </c>
      <c r="G111" t="inlineStr">
        <is>
          <t>Medium</t>
        </is>
      </c>
      <c r="H111" s="6" t="n">
        <v>1</v>
      </c>
      <c r="I111" s="6" t="n">
        <v>1</v>
      </c>
      <c r="J111" s="6" t="n">
        <v>1</v>
      </c>
      <c r="K111" s="6" t="n">
        <v>2</v>
      </c>
      <c r="P111">
        <f>MAX(P112)</f>
        <v/>
      </c>
      <c r="S111">
        <f>S112</f>
        <v/>
      </c>
      <c r="T111">
        <f>(E111/100000+F111/100+(P111/1000)*J111/5+S111/200)*200*I111*H111</f>
        <v/>
      </c>
      <c r="U111">
        <f>((E111*F111/25000)+((P111/1000)*J111*S111/2.5))*I111*H111</f>
        <v/>
      </c>
      <c r="V111">
        <f>(E111*F111*(P111/1000)*J111*S111*I111*H111)/12500000</f>
        <v/>
      </c>
      <c r="W111">
        <f>(T111+U111+V111)/3</f>
        <v/>
      </c>
      <c r="X111" s="6" t="n">
        <v>3000</v>
      </c>
      <c r="Y111">
        <f>IFERROR(W111-X111,"")</f>
        <v/>
      </c>
      <c r="Z111">
        <f>IFERROR(ABS(Y111)/MAX(X111,1),"")</f>
        <v/>
      </c>
      <c r="AA111">
        <f>IFERROR((X111-(((E111/100000+F111/100+S111/200)*200*I111*H111)+((E111*F111/25000)*I111*H111))/3)/(((J111/5)*200*I111*H111)+((J111*S111/2.5)*I111*H111)+((E111*F111*J111*S111*I111*H111)/12500000))/3*1000,"")</f>
        <v/>
      </c>
    </row>
    <row r="112">
      <c r="B112" s="7" t="inlineStr">
        <is>
          <t xml:space="preserve">  ↳ 227mm</t>
        </is>
      </c>
      <c r="C112" s="7" t="inlineStr">
        <is>
          <t>Armament@PRIMARY</t>
        </is>
      </c>
      <c r="L112" s="6" t="n">
        <v>2000</v>
      </c>
      <c r="M112" s="6" t="n">
        <v>111</v>
      </c>
      <c r="N112" s="6" t="n">
        <v>6</v>
      </c>
      <c r="O112" s="6" t="n">
        <v>5</v>
      </c>
      <c r="P112" s="6" t="n">
        <v>9920</v>
      </c>
      <c r="Q112" s="6" t="n">
        <v>1.0625</v>
      </c>
      <c r="R112">
        <f>M112+IF(N112&gt;1,N(O112)*(N112-1),0)</f>
        <v/>
      </c>
      <c r="S112">
        <f>IFERROR(L112*MAX(N112,1)/R112*Q112*IF(ISBLANK(K111),1,K111),0)</f>
        <v/>
      </c>
      <c r="AB112" s="7" t="inlineStr">
        <is>
          <t>^FlakWeapon, ^Grenade, ^HeavyMissile, ^MediumMissile</t>
        </is>
      </c>
    </row>
    <row r="113">
      <c r="A113" t="inlineStr">
        <is>
          <t>shared</t>
        </is>
      </c>
      <c r="B113" t="inlineStr">
        <is>
          <t>ra2carrier</t>
        </is>
      </c>
      <c r="C113" t="inlineStr">
        <is>
          <t>actor_ra2carrier.name</t>
        </is>
      </c>
      <c r="D113" s="6" t="inlineStr">
        <is>
          <t>ArtilleryShip</t>
        </is>
      </c>
      <c r="E113" s="6" t="n">
        <v>250000</v>
      </c>
      <c r="F113" s="6" t="n">
        <v>40</v>
      </c>
      <c r="G113" t="inlineStr">
        <is>
          <t>Superheavy</t>
        </is>
      </c>
      <c r="H113" s="6" t="n">
        <v>1</v>
      </c>
      <c r="I113" s="6" t="n">
        <v>1</v>
      </c>
      <c r="J113" s="6" t="n">
        <v>1</v>
      </c>
      <c r="K113" s="6" t="n"/>
      <c r="P113">
        <f>MAX(P114)</f>
        <v/>
      </c>
      <c r="S113">
        <f>S114</f>
        <v/>
      </c>
      <c r="T113">
        <f>(E113/100000+F113/100+(P113/1000)*J113/5+S113/200)*200*I113*H113</f>
        <v/>
      </c>
      <c r="U113">
        <f>((E113*F113/25000)+((P113/1000)*J113*S113/2.5))*I113*H113</f>
        <v/>
      </c>
      <c r="V113">
        <f>(E113*F113*(P113/1000)*J113*S113*I113*H113)/12500000</f>
        <v/>
      </c>
      <c r="W113">
        <f>(T113+U113+V113)/3</f>
        <v/>
      </c>
      <c r="X113" s="6" t="n">
        <v>2500</v>
      </c>
      <c r="Y113">
        <f>IFERROR(W113-X113,"")</f>
        <v/>
      </c>
      <c r="Z113">
        <f>IFERROR(ABS(Y113)/MAX(X113,1),"")</f>
        <v/>
      </c>
      <c r="AA113">
        <f>IFERROR((X113-(((E113/100000+F113/100+S113/200)*200*I113*H113)+((E113*F113/25000)*I113*H113))/3)/(((J113/5)*200*I113*H113)+((J113*S113/2.5)*I113*H113)+((E113*F113*J113*S113*I113*H113)/12500000))/3*1000,"")</f>
        <v/>
      </c>
    </row>
    <row r="114">
      <c r="B114" s="7" t="inlineStr">
        <is>
          <t xml:space="preserve">  ↳ RA2CarrierTarget</t>
        </is>
      </c>
      <c r="C114" s="7" t="inlineStr">
        <is>
          <t>Armament@PRIMARY</t>
        </is>
      </c>
      <c r="L114" s="6" t="n"/>
      <c r="M114" s="6" t="n">
        <v>50</v>
      </c>
      <c r="N114" s="6" t="n">
        <v>1</v>
      </c>
      <c r="O114" s="6" t="n"/>
      <c r="P114" s="6" t="n">
        <v>17500</v>
      </c>
      <c r="Q114" s="6" t="n">
        <v>1</v>
      </c>
      <c r="R114">
        <f>M114+IF(N114&gt;1,N(O114)*(N114-1),0)</f>
        <v/>
      </c>
      <c r="S114">
        <f>IFERROR(L114*MAX(N114,1)/R114*Q114*IF(ISBLANK(K113),1,K113),0)</f>
        <v/>
      </c>
      <c r="AB114" s="7" t="inlineStr"/>
    </row>
    <row r="115">
      <c r="A115" t="inlineStr">
        <is>
          <t>shared</t>
        </is>
      </c>
      <c r="B115" t="inlineStr">
        <is>
          <t>ra2dred</t>
        </is>
      </c>
      <c r="C115" t="inlineStr">
        <is>
          <t>actor_dred.name</t>
        </is>
      </c>
      <c r="D115" s="6" t="inlineStr">
        <is>
          <t>ArtilleryShip</t>
        </is>
      </c>
      <c r="E115" s="6" t="n">
        <v>250000</v>
      </c>
      <c r="F115" s="6" t="n">
        <v>50</v>
      </c>
      <c r="G115" t="inlineStr">
        <is>
          <t>Superheavy</t>
        </is>
      </c>
      <c r="H115" s="6" t="n">
        <v>1</v>
      </c>
      <c r="I115" s="6" t="n">
        <v>1</v>
      </c>
      <c r="J115" s="6" t="n">
        <v>1</v>
      </c>
      <c r="K115" s="6" t="n">
        <v>1.25</v>
      </c>
      <c r="P115">
        <f>MAX(P116)</f>
        <v/>
      </c>
      <c r="S115">
        <f>S116</f>
        <v/>
      </c>
      <c r="T115">
        <f>(E115/100000+F115/100+(P115/1000)*J115/5+S115/200)*200*I115*H115</f>
        <v/>
      </c>
      <c r="U115">
        <f>((E115*F115/25000)+((P115/1000)*J115*S115/2.5))*I115*H115</f>
        <v/>
      </c>
      <c r="V115">
        <f>(E115*F115*(P115/1000)*J115*S115*I115*H115)/12500000</f>
        <v/>
      </c>
      <c r="W115">
        <f>(T115+U115+V115)/3</f>
        <v/>
      </c>
      <c r="X115" s="6" t="n">
        <v>4000</v>
      </c>
      <c r="Y115">
        <f>IFERROR(W115-X115,"")</f>
        <v/>
      </c>
      <c r="Z115">
        <f>IFERROR(ABS(Y115)/MAX(X115,1),"")</f>
        <v/>
      </c>
      <c r="AA115">
        <f>IFERROR((X115-(((E115/100000+F115/100+S115/200)*200*I115*H115)+((E115*F115/25000)*I115*H115))/3)/(((J115/5)*200*I115*H115)+((J115*S115/2.5)*I115*H115)+((E115*F115*J115*S115*I115*H115)/12500000))/3*1000,"")</f>
        <v/>
      </c>
    </row>
    <row r="116">
      <c r="B116" s="7" t="inlineStr">
        <is>
          <t xml:space="preserve">  ↳ DreadnoughtLaunch</t>
        </is>
      </c>
      <c r="C116" s="7" t="inlineStr">
        <is>
          <t>Armament@AG</t>
        </is>
      </c>
      <c r="L116" s="6" t="n"/>
      <c r="M116" s="6" t="n">
        <v>75</v>
      </c>
      <c r="N116" s="6" t="n">
        <v>2</v>
      </c>
      <c r="O116" s="6" t="n">
        <v>10</v>
      </c>
      <c r="P116" s="6" t="n">
        <v>25000</v>
      </c>
      <c r="Q116" s="6" t="n">
        <v>1</v>
      </c>
      <c r="R116">
        <f>M116+IF(N116&gt;1,N(O116)*(N116-1),0)</f>
        <v/>
      </c>
      <c r="S116">
        <f>IFERROR(L116*MAX(N116,1)/R116*Q116*IF(ISBLANK(K115),1,K115),0)</f>
        <v/>
      </c>
      <c r="AB116" s="7" t="inlineStr">
        <is>
          <t>V3Launch</t>
        </is>
      </c>
    </row>
    <row r="117">
      <c r="A117" t="inlineStr">
        <is>
          <t>redalert2</t>
        </is>
      </c>
      <c r="B117" t="inlineStr">
        <is>
          <t>yuri_boomersubmarine</t>
        </is>
      </c>
      <c r="C117" t="inlineStr">
        <is>
          <t>actor_bsub.name</t>
        </is>
      </c>
      <c r="D117" s="6" t="inlineStr">
        <is>
          <t>ArtilleryShip</t>
        </is>
      </c>
      <c r="E117" s="6" t="n">
        <v>100000</v>
      </c>
      <c r="F117" s="6" t="n">
        <v>50</v>
      </c>
      <c r="G117" t="inlineStr">
        <is>
          <t>Medium</t>
        </is>
      </c>
      <c r="H117" s="6" t="n">
        <v>1</v>
      </c>
      <c r="I117" s="6" t="n">
        <v>1</v>
      </c>
      <c r="J117" s="6" t="n">
        <v>1</v>
      </c>
      <c r="K117" s="6" t="n">
        <v>1.25</v>
      </c>
      <c r="P117">
        <f>MAX(P118,P119)</f>
        <v/>
      </c>
      <c r="S117">
        <f>S118+S119</f>
        <v/>
      </c>
      <c r="T117">
        <f>(E117/100000+F117/100+(P117/1000)*J117/5+S117/200)*200*I117*H117</f>
        <v/>
      </c>
      <c r="U117">
        <f>((E117*F117/25000)+((P117/1000)*J117*S117/2.5))*I117*H117</f>
        <v/>
      </c>
      <c r="V117">
        <f>(E117*F117*(P117/1000)*J117*S117*I117*H117)/12500000</f>
        <v/>
      </c>
      <c r="W117">
        <f>(T117+U117+V117)/3</f>
        <v/>
      </c>
      <c r="X117" s="6" t="n">
        <v>3350</v>
      </c>
      <c r="Y117">
        <f>IFERROR(W117-X117,"")</f>
        <v/>
      </c>
      <c r="Z117">
        <f>IFERROR(ABS(Y117)/MAX(X117,1),"")</f>
        <v/>
      </c>
      <c r="AA117">
        <f>IFERROR((X117-(((E117/100000+F117/100+S117/200)*200*I117*H117)+((E117*F117/25000)*I117*H117))/3)/(((J117/5)*200*I117*H117)+((J117*S117/2.5)*I117*H117)+((E117*F117*J117*S117*I117*H117)/12500000))/3*1000,"")</f>
        <v/>
      </c>
    </row>
    <row r="118">
      <c r="B118" s="7" t="inlineStr">
        <is>
          <t xml:space="preserve">  ↳ YRBoomerTorpedo</t>
        </is>
      </c>
      <c r="C118" s="7" t="inlineStr">
        <is>
          <t>Armament@PRIMARY</t>
        </is>
      </c>
      <c r="L118" s="6" t="n">
        <v>20000</v>
      </c>
      <c r="M118" s="6" t="n">
        <v>176</v>
      </c>
      <c r="N118" s="6" t="n">
        <v>4</v>
      </c>
      <c r="O118" s="6" t="n">
        <v>8</v>
      </c>
      <c r="P118" s="6" t="n">
        <v>15000</v>
      </c>
      <c r="Q118" s="6" t="n">
        <v>1.125</v>
      </c>
      <c r="R118">
        <f>M118+IF(N118&gt;1,N(O118)*(N118-1),0)</f>
        <v/>
      </c>
      <c r="S118">
        <f>IFERROR(L118*MAX(N118,1)/R118*Q118*IF(ISBLANK(K117),1,K117),0)</f>
        <v/>
      </c>
      <c r="AB118" s="7" t="inlineStr">
        <is>
          <t>^RA2Grenade, ^RA2HeavyMissile</t>
        </is>
      </c>
    </row>
    <row r="119">
      <c r="B119" s="7" t="inlineStr">
        <is>
          <t xml:space="preserve">  ↳ BoomerLaunch</t>
        </is>
      </c>
      <c r="C119" s="7" t="inlineStr">
        <is>
          <t>Armament@LAUNCH</t>
        </is>
      </c>
      <c r="L119" s="6" t="n"/>
      <c r="M119" s="6" t="n">
        <v>50</v>
      </c>
      <c r="N119" s="6" t="n">
        <v>2</v>
      </c>
      <c r="O119" s="6" t="n">
        <v>8</v>
      </c>
      <c r="P119" s="6" t="n">
        <v>15000</v>
      </c>
      <c r="Q119" s="6" t="n">
        <v>1</v>
      </c>
      <c r="R119">
        <f>M119+IF(N119&gt;1,N(O119)*(N119-1),0)</f>
        <v/>
      </c>
      <c r="S119">
        <f>IFERROR(L119*MAX(N119,1)/R119*Q119*IF(ISBLANK(K117),1,K117),0)</f>
        <v/>
      </c>
      <c r="AB119" s="7" t="inlineStr">
        <is>
          <t>V3Launch</t>
        </is>
      </c>
    </row>
    <row r="120">
      <c r="A120" t="inlineStr">
        <is>
          <t>redalert2mod</t>
        </is>
      </c>
      <c r="B120" t="inlineStr">
        <is>
          <t>karrier.asian</t>
        </is>
      </c>
      <c r="C120" t="inlineStr">
        <is>
          <t>Kamikaze Carrier</t>
        </is>
      </c>
      <c r="D120" s="6" t="inlineStr">
        <is>
          <t>ArtilleryShip</t>
        </is>
      </c>
      <c r="E120" s="6" t="n">
        <v>175000</v>
      </c>
      <c r="F120" s="6" t="n">
        <v>55</v>
      </c>
      <c r="G120" t="inlineStr">
        <is>
          <t>Heavy</t>
        </is>
      </c>
      <c r="H120" s="6" t="n">
        <v>1</v>
      </c>
      <c r="I120" s="6" t="n">
        <v>1</v>
      </c>
      <c r="J120" s="6" t="n">
        <v>1</v>
      </c>
      <c r="K120" s="6" t="n"/>
      <c r="P120">
        <f>MAX(P121)</f>
        <v/>
      </c>
      <c r="S120">
        <f>S121</f>
        <v/>
      </c>
      <c r="T120">
        <f>(E120/100000+F120/100+(P120/1000)*J120/5+S120/200)*200*I120*H120</f>
        <v/>
      </c>
      <c r="U120">
        <f>((E120*F120/25000)+((P120/1000)*J120*S120/2.5))*I120*H120</f>
        <v/>
      </c>
      <c r="V120">
        <f>(E120*F120*(P120/1000)*J120*S120*I120*H120)/12500000</f>
        <v/>
      </c>
      <c r="W120">
        <f>(T120+U120+V120)/3</f>
        <v/>
      </c>
      <c r="X120" s="6" t="n">
        <v>1750</v>
      </c>
      <c r="Y120">
        <f>IFERROR(W120-X120,"")</f>
        <v/>
      </c>
      <c r="Z120">
        <f>IFERROR(ABS(Y120)/MAX(X120,1),"")</f>
        <v/>
      </c>
      <c r="AA120">
        <f>IFERROR((X120-(((E120/100000+F120/100+S120/200)*200*I120*H120)+((E120*F120/25000)*I120*H120))/3)/(((J120/5)*200*I120*H120)+((J120*S120/2.5)*I120*H120)+((E120*F120*J120*S120*I120*H120)/12500000))/3*1000,"")</f>
        <v/>
      </c>
    </row>
    <row r="121">
      <c r="B121" s="7" t="inlineStr">
        <is>
          <t xml:space="preserve">  ↳ KamikazeCarrierTarget</t>
        </is>
      </c>
      <c r="C121" s="7" t="inlineStr">
        <is>
          <t>Armament@PRIMARY</t>
        </is>
      </c>
      <c r="L121" s="6" t="n"/>
      <c r="M121" s="6" t="n">
        <v>25</v>
      </c>
      <c r="N121" s="6" t="n">
        <v>1</v>
      </c>
      <c r="O121" s="6" t="n"/>
      <c r="P121" s="6" t="n">
        <v>17500</v>
      </c>
      <c r="Q121" s="6" t="n">
        <v>1</v>
      </c>
      <c r="R121">
        <f>M121+IF(N121&gt;1,N(O121)*(N121-1),0)</f>
        <v/>
      </c>
      <c r="S121">
        <f>IFERROR(L121*MAX(N121,1)/R121*Q121*IF(ISBLANK(K120),1,K120),0)</f>
        <v/>
      </c>
      <c r="AB121" s="7" t="inlineStr"/>
    </row>
    <row r="122">
      <c r="A122" t="inlineStr">
        <is>
          <t>redalert2mod</t>
        </is>
      </c>
      <c r="B122" t="inlineStr">
        <is>
          <t>tsun.asian</t>
        </is>
      </c>
      <c r="C122" t="inlineStr">
        <is>
          <t>Tsunami Carrier</t>
        </is>
      </c>
      <c r="D122" s="6" t="inlineStr">
        <is>
          <t>ArtilleryShip</t>
        </is>
      </c>
      <c r="E122" s="6" t="n">
        <v>275000</v>
      </c>
      <c r="F122" s="6" t="n">
        <v>65</v>
      </c>
      <c r="G122" t="inlineStr">
        <is>
          <t>Superheavy</t>
        </is>
      </c>
      <c r="H122" s="6" t="n">
        <v>1</v>
      </c>
      <c r="I122" s="6" t="n">
        <v>1</v>
      </c>
      <c r="J122" s="6" t="n">
        <v>1</v>
      </c>
      <c r="K122" s="6" t="n"/>
      <c r="P122">
        <f>MAX(P123)</f>
        <v/>
      </c>
      <c r="S122">
        <f>S123</f>
        <v/>
      </c>
      <c r="T122">
        <f>(E122/100000+F122/100+(P122/1000)*J122/5+S122/200)*200*I122*H122</f>
        <v/>
      </c>
      <c r="U122">
        <f>((E122*F122/25000)+((P122/1000)*J122*S122/2.5))*I122*H122</f>
        <v/>
      </c>
      <c r="V122">
        <f>(E122*F122*(P122/1000)*J122*S122*I122*H122)/12500000</f>
        <v/>
      </c>
      <c r="W122">
        <f>(T122+U122+V122)/3</f>
        <v/>
      </c>
      <c r="X122" s="6" t="n">
        <v>4500</v>
      </c>
      <c r="Y122">
        <f>IFERROR(W122-X122,"")</f>
        <v/>
      </c>
      <c r="Z122">
        <f>IFERROR(ABS(Y122)/MAX(X122,1),"")</f>
        <v/>
      </c>
      <c r="AA122">
        <f>IFERROR((X122-(((E122/100000+F122/100+S122/200)*200*I122*H122)+((E122*F122/25000)*I122*H122))/3)/(((J122/5)*200*I122*H122)+((J122*S122/2.5)*I122*H122)+((E122*F122*J122*S122*I122*H122)/12500000))/3*1000,"")</f>
        <v/>
      </c>
    </row>
    <row r="123">
      <c r="B123" s="7" t="inlineStr">
        <is>
          <t xml:space="preserve">  ↳ JapanCarrierTarget</t>
        </is>
      </c>
      <c r="C123" s="7" t="inlineStr">
        <is>
          <t>Armament@PRIMARY</t>
        </is>
      </c>
      <c r="L123" s="6" t="n"/>
      <c r="M123" s="6" t="n">
        <v>25</v>
      </c>
      <c r="N123" s="6" t="n">
        <v>1</v>
      </c>
      <c r="O123" s="6" t="n"/>
      <c r="P123" s="6" t="n">
        <v>20000</v>
      </c>
      <c r="Q123" s="6" t="n">
        <v>1</v>
      </c>
      <c r="R123">
        <f>M123+IF(N123&gt;1,N(O123)*(N123-1),0)</f>
        <v/>
      </c>
      <c r="S123">
        <f>IFERROR(L123*MAX(N123,1)/R123*Q123*IF(ISBLANK(K122),1,K122),0)</f>
        <v/>
      </c>
      <c r="AB123" s="7" t="inlineStr"/>
    </row>
    <row r="124">
      <c r="A124" t="inlineStr">
        <is>
          <t>redalert2mod</t>
        </is>
      </c>
      <c r="B124" t="inlineStr">
        <is>
          <t>muboat.nax</t>
        </is>
      </c>
      <c r="C124" t="inlineStr">
        <is>
          <t>Heavy Missile U boat</t>
        </is>
      </c>
      <c r="D124" s="6" t="inlineStr">
        <is>
          <t>ArtilleryShip</t>
        </is>
      </c>
      <c r="E124" s="6" t="n">
        <v>200000</v>
      </c>
      <c r="F124" s="6" t="n">
        <v>60</v>
      </c>
      <c r="G124" t="inlineStr">
        <is>
          <t>Medium</t>
        </is>
      </c>
      <c r="H124" s="6" t="n">
        <v>1</v>
      </c>
      <c r="I124" s="6" t="n">
        <v>1</v>
      </c>
      <c r="J124" s="6" t="n">
        <v>1</v>
      </c>
      <c r="K124" s="6" t="n">
        <v>2</v>
      </c>
      <c r="P124">
        <f>MAX(P125)</f>
        <v/>
      </c>
      <c r="S124">
        <f>S125</f>
        <v/>
      </c>
      <c r="T124">
        <f>(E124/100000+F124/100+(P124/1000)*J124/5+S124/200)*200*I124*H124</f>
        <v/>
      </c>
      <c r="U124">
        <f>((E124*F124/25000)+((P124/1000)*J124*S124/2.5))*I124*H124</f>
        <v/>
      </c>
      <c r="V124">
        <f>(E124*F124*(P124/1000)*J124*S124*I124*H124)/12500000</f>
        <v/>
      </c>
      <c r="W124">
        <f>(T124+U124+V124)/3</f>
        <v/>
      </c>
      <c r="X124" s="6" t="n">
        <v>2400</v>
      </c>
      <c r="Y124">
        <f>IFERROR(W124-X124,"")</f>
        <v/>
      </c>
      <c r="Z124">
        <f>IFERROR(ABS(Y124)/MAX(X124,1),"")</f>
        <v/>
      </c>
      <c r="AA124">
        <f>IFERROR((X124-(((E124/100000+F124/100+S124/200)*200*I124*H124)+((E124*F124/25000)*I124*H124))/3)/(((J124/5)*200*I124*H124)+((J124*S124/2.5)*I124*H124)+((E124*F124*J124*S124*I124*H124)/12500000))/3*1000,"")</f>
        <v/>
      </c>
    </row>
    <row r="125">
      <c r="B125" s="7" t="inlineStr">
        <is>
          <t xml:space="preserve">  ↳ NaxiMissileUboat</t>
        </is>
      </c>
      <c r="C125" s="7" t="inlineStr">
        <is>
          <t>Armament</t>
        </is>
      </c>
      <c r="L125" s="6" t="n">
        <v>16000</v>
      </c>
      <c r="M125" s="6" t="n">
        <v>125</v>
      </c>
      <c r="N125" s="6" t="n">
        <v>2</v>
      </c>
      <c r="O125" s="6" t="n">
        <v>6</v>
      </c>
      <c r="P125" s="6" t="n">
        <v>15000</v>
      </c>
      <c r="Q125" s="6" t="n">
        <v>1.083333333333333</v>
      </c>
      <c r="R125">
        <f>M125+IF(N125&gt;1,N(O125)*(N125-1),0)</f>
        <v/>
      </c>
      <c r="S125">
        <f>IFERROR(L125*MAX(N125,1)/R125*Q125*IF(ISBLANK(K124),1,K124),0)</f>
        <v/>
      </c>
      <c r="AB125" s="7" t="inlineStr">
        <is>
          <t>^Grenade, ^HeavyBomb, ^RA2MediumMissile</t>
        </is>
      </c>
    </row>
    <row r="126">
      <c r="A126" t="inlineStr">
        <is>
          <t>redalert2mod</t>
        </is>
      </c>
      <c r="B126" t="inlineStr">
        <is>
          <t>nax_bitsmark</t>
        </is>
      </c>
      <c r="C126" t="inlineStr">
        <is>
          <t>Bitsmark Cruiser</t>
        </is>
      </c>
      <c r="D126" s="6" t="inlineStr">
        <is>
          <t>ArtilleryShip</t>
        </is>
      </c>
      <c r="E126" s="6" t="n">
        <v>335000</v>
      </c>
      <c r="F126" s="6" t="n">
        <v>40</v>
      </c>
      <c r="G126" t="inlineStr">
        <is>
          <t>Superheavy</t>
        </is>
      </c>
      <c r="H126" s="6" t="n">
        <v>1</v>
      </c>
      <c r="I126" s="6" t="n">
        <v>1</v>
      </c>
      <c r="J126" s="6" t="n">
        <v>1</v>
      </c>
      <c r="K126" s="6" t="n"/>
      <c r="P126">
        <f>MAX(P127,P128,P129,P130)</f>
        <v/>
      </c>
      <c r="S126">
        <f>S127+S128+S129+S130</f>
        <v/>
      </c>
      <c r="T126">
        <f>(E126/100000+F126/100+(P126/1000)*J126/5+S126/200)*200*I126*H126</f>
        <v/>
      </c>
      <c r="U126">
        <f>((E126*F126/25000)+((P126/1000)*J126*S126/2.5))*I126*H126</f>
        <v/>
      </c>
      <c r="V126">
        <f>(E126*F126*(P126/1000)*J126*S126*I126*H126)/12500000</f>
        <v/>
      </c>
      <c r="W126">
        <f>(T126+U126+V126)/3</f>
        <v/>
      </c>
      <c r="X126" s="6" t="n">
        <v>4000</v>
      </c>
      <c r="Y126">
        <f>IFERROR(W126-X126,"")</f>
        <v/>
      </c>
      <c r="Z126">
        <f>IFERROR(ABS(Y126)/MAX(X126,1),"")</f>
        <v/>
      </c>
      <c r="AA126">
        <f>IFERROR((X126-(((E126/100000+F126/100+S126/200)*200*I126*H126)+((E126*F126/25000)*I126*H126))/3)/(((J126/5)*200*I126*H126)+((J126*S126/2.5)*I126*H126)+((E126*F126*J126*S126*I126*H126)/12500000))/3*1000,"")</f>
        <v/>
      </c>
    </row>
    <row r="127">
      <c r="B127" s="7" t="inlineStr">
        <is>
          <t xml:space="preserve">  ↳ 8Inch</t>
        </is>
      </c>
      <c r="C127" s="7" t="inlineStr">
        <is>
          <t>Armament@PRIMARY</t>
        </is>
      </c>
      <c r="L127" s="6" t="n">
        <v>40000</v>
      </c>
      <c r="M127" s="6" t="n">
        <v>250</v>
      </c>
      <c r="N127" s="6" t="n">
        <v>2</v>
      </c>
      <c r="O127" s="6" t="n"/>
      <c r="P127" s="6" t="n">
        <v>15000</v>
      </c>
      <c r="Q127" s="6" t="n">
        <v>1.125</v>
      </c>
      <c r="R127">
        <f>M127+IF(N127&gt;1,N(O127)*(N127-1),0)</f>
        <v/>
      </c>
      <c r="S127">
        <f>IFERROR(L127*MAX(N127,1)/R127*Q127*IF(ISBLANK(K126),1,K126),0)</f>
        <v/>
      </c>
      <c r="AB127" s="7" t="inlineStr">
        <is>
          <t>^HeavyBomb, ^Grenade</t>
        </is>
      </c>
    </row>
    <row r="128">
      <c r="B128" s="7" t="inlineStr">
        <is>
          <t xml:space="preserve">  ↳ 8Inch</t>
        </is>
      </c>
      <c r="C128" s="7" t="inlineStr">
        <is>
          <t>Armament@SECONDARY</t>
        </is>
      </c>
      <c r="L128" s="6" t="n">
        <v>40000</v>
      </c>
      <c r="M128" s="6" t="n">
        <v>250</v>
      </c>
      <c r="N128" s="6" t="n">
        <v>2</v>
      </c>
      <c r="O128" s="6" t="n"/>
      <c r="P128" s="6" t="n">
        <v>15000</v>
      </c>
      <c r="Q128" s="6" t="n">
        <v>1.125</v>
      </c>
      <c r="R128">
        <f>M128+IF(N128&gt;1,N(O128)*(N128-1),0)</f>
        <v/>
      </c>
      <c r="S128">
        <f>IFERROR(L128*MAX(N128,1)/R128*Q128*IF(ISBLANK(K126),1,K126),0)</f>
        <v/>
      </c>
      <c r="AB128" s="7" t="inlineStr">
        <is>
          <t>^HeavyBomb, ^Grenade</t>
        </is>
      </c>
    </row>
    <row r="129">
      <c r="B129" s="7" t="inlineStr">
        <is>
          <t xml:space="preserve">  ↳ 8Inch</t>
        </is>
      </c>
      <c r="C129" s="7" t="inlineStr">
        <is>
          <t>Armament@TERCERA</t>
        </is>
      </c>
      <c r="L129" s="6" t="n">
        <v>40000</v>
      </c>
      <c r="M129" s="6" t="n">
        <v>250</v>
      </c>
      <c r="N129" s="6" t="n">
        <v>2</v>
      </c>
      <c r="O129" s="6" t="n"/>
      <c r="P129" s="6" t="n">
        <v>15000</v>
      </c>
      <c r="Q129" s="6" t="n">
        <v>1.125</v>
      </c>
      <c r="R129">
        <f>M129+IF(N129&gt;1,N(O129)*(N129-1),0)</f>
        <v/>
      </c>
      <c r="S129">
        <f>IFERROR(L129*MAX(N129,1)/R129*Q129*IF(ISBLANK(K126),1,K126),0)</f>
        <v/>
      </c>
      <c r="AB129" s="7" t="inlineStr">
        <is>
          <t>^HeavyBomb, ^Grenade</t>
        </is>
      </c>
    </row>
    <row r="130">
      <c r="B130" s="7" t="inlineStr">
        <is>
          <t xml:space="preserve">  ↳ 8Inch</t>
        </is>
      </c>
      <c r="C130" s="7" t="inlineStr">
        <is>
          <t>Armament@CUARTA</t>
        </is>
      </c>
      <c r="L130" s="6" t="n">
        <v>40000</v>
      </c>
      <c r="M130" s="6" t="n">
        <v>250</v>
      </c>
      <c r="N130" s="6" t="n">
        <v>2</v>
      </c>
      <c r="O130" s="6" t="n"/>
      <c r="P130" s="6" t="n">
        <v>15000</v>
      </c>
      <c r="Q130" s="6" t="n">
        <v>1.125</v>
      </c>
      <c r="R130">
        <f>M130+IF(N130&gt;1,N(O130)*(N130-1),0)</f>
        <v/>
      </c>
      <c r="S130">
        <f>IFERROR(L130*MAX(N130,1)/R130*Q130*IF(ISBLANK(K126),1,K126),0)</f>
        <v/>
      </c>
      <c r="AB130" s="7" t="inlineStr">
        <is>
          <t>^HeavyBomb, ^Grenade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Z2:Z131">
    <cfRule type="colorScale" priority="1">
      <colorScale>
        <cfvo type="num" val="0"/>
        <cfvo type="num" val="0.25"/>
        <cfvo type="num" val="0.6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2026-07-21T22:30:11Z</dcterms:created>
  <dcterms:modified xsi:type="dcterms:W3CDTF">2026-07-21T22:30:11Z</dcterms:modified>
</cp:coreProperties>
</file>