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pons" sheetId="1" state="visible" r:id="rId1"/>
    <sheet name="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40" customWidth="1" min="3" max="3"/>
    <col width="24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1">
      <c r="A1" s="1" t="inlineStr">
        <is>
          <t>Weapon</t>
        </is>
      </c>
      <c r="B1" s="1" t="inlineStr">
        <is>
          <t>Factions</t>
        </is>
      </c>
      <c r="C1" s="1" t="inlineStr">
        <is>
          <t>Used by</t>
        </is>
      </c>
      <c r="D1" s="1" t="inlineStr">
        <is>
          <t>Warhead</t>
        </is>
      </c>
      <c r="E1" s="1" t="inlineStr">
        <is>
          <t>Old Damage</t>
        </is>
      </c>
      <c r="F1" s="1" t="inlineStr">
        <is>
          <t>n Warheads</t>
        </is>
      </c>
      <c r="G1" s="1" t="inlineStr">
        <is>
          <t>Old Sum</t>
        </is>
      </c>
      <c r="H1" s="1" t="inlineStr">
        <is>
          <t>New Even Value</t>
        </is>
      </c>
      <c r="I1" s="1" t="inlineStr">
        <is>
          <t>New Sum</t>
        </is>
      </c>
    </row>
    <row r="2">
      <c r="A2" t="inlineStr">
        <is>
          <t>MutFlamerChem</t>
        </is>
      </c>
      <c r="B2" t="inlineStr">
        <is>
          <t>forgotten</t>
        </is>
      </c>
      <c r="C2" t="inlineStr">
        <is>
          <t>forgotten_closhtank</t>
        </is>
      </c>
      <c r="D2" t="inlineStr">
        <is>
          <t>MediumFlameWeapon</t>
        </is>
      </c>
      <c r="E2" t="n">
        <v>28000</v>
      </c>
      <c r="F2" t="n">
        <v>2</v>
      </c>
      <c r="G2" t="n">
        <v>42000</v>
      </c>
      <c r="H2" t="n">
        <v>21000</v>
      </c>
      <c r="I2">
        <f>F2*H2</f>
        <v/>
      </c>
    </row>
    <row r="3">
      <c r="D3" t="inlineStr">
        <is>
          <t>MediumChemicalWeapon</t>
        </is>
      </c>
      <c r="E3" t="n">
        <v>14000</v>
      </c>
    </row>
    <row r="5">
      <c r="A5" t="inlineStr">
        <is>
          <t>MutHFlamerChem</t>
        </is>
      </c>
      <c r="B5" t="inlineStr">
        <is>
          <t>forgotten</t>
        </is>
      </c>
      <c r="C5" t="inlineStr">
        <is>
          <t>forgotten_flametank</t>
        </is>
      </c>
      <c r="D5" t="inlineStr">
        <is>
          <t>MediumFlameWeapon</t>
        </is>
      </c>
      <c r="E5" t="n">
        <v>20000</v>
      </c>
      <c r="F5" t="n">
        <v>4</v>
      </c>
      <c r="G5" t="n">
        <v>60000</v>
      </c>
      <c r="H5" t="n">
        <v>15000</v>
      </c>
      <c r="I5">
        <f>F5*H5</f>
        <v/>
      </c>
    </row>
    <row r="6">
      <c r="D6" t="inlineStr">
        <is>
          <t>HeavyFlameWeapon</t>
        </is>
      </c>
      <c r="E6" t="n">
        <v>20000</v>
      </c>
    </row>
    <row r="7">
      <c r="D7" t="inlineStr">
        <is>
          <t>MediumChemicalWeapon</t>
        </is>
      </c>
      <c r="E7" t="n">
        <v>10000</v>
      </c>
    </row>
    <row r="8">
      <c r="D8" t="inlineStr">
        <is>
          <t>HeavyChemicalWeapon</t>
        </is>
      </c>
      <c r="E8" t="n">
        <v>10000</v>
      </c>
    </row>
    <row r="10">
      <c r="A10" t="inlineStr">
        <is>
          <t>TS70mmChem</t>
        </is>
      </c>
      <c r="B10" t="inlineStr">
        <is>
          <t>forgotten</t>
        </is>
      </c>
      <c r="C10" t="inlineStr">
        <is>
          <t>forgotten_rattytank</t>
        </is>
      </c>
      <c r="D10" t="inlineStr">
        <is>
          <t>LightChemicalWeapon</t>
        </is>
      </c>
      <c r="E10" t="n">
        <v>2000</v>
      </c>
      <c r="F10" t="n">
        <v>2</v>
      </c>
      <c r="G10" t="n">
        <v>6000</v>
      </c>
      <c r="H10" t="n">
        <v>3000</v>
      </c>
      <c r="I10">
        <f>F10*H10</f>
        <v/>
      </c>
    </row>
    <row r="11">
      <c r="D11" t="inlineStr">
        <is>
          <t>MediumCannon</t>
        </is>
      </c>
      <c r="E11" t="n">
        <v>4000</v>
      </c>
    </row>
    <row r="13">
      <c r="A13" t="inlineStr">
        <is>
          <t>TSAAPCCannon</t>
        </is>
      </c>
      <c r="B13" t="inlineStr">
        <is>
          <t>tsgdi</t>
        </is>
      </c>
      <c r="C13" t="inlineStr">
        <is>
          <t>ts_gdi_amphibiousapc</t>
        </is>
      </c>
      <c r="D13" t="inlineStr">
        <is>
          <t>Chaingun</t>
        </is>
      </c>
      <c r="E13" t="n">
        <v>2000</v>
      </c>
      <c r="F13" t="n">
        <v>2</v>
      </c>
      <c r="G13" t="n">
        <v>3000</v>
      </c>
      <c r="H13" t="n">
        <v>1500</v>
      </c>
      <c r="I13">
        <f>F13*H13</f>
        <v/>
      </c>
    </row>
    <row r="14">
      <c r="D14" t="inlineStr">
        <is>
          <t>FlakWeapon</t>
        </is>
      </c>
      <c r="E14" t="n">
        <v>1000</v>
      </c>
    </row>
    <row r="16">
      <c r="A16" t="inlineStr">
        <is>
          <t>TSAssaultCannonTalSonic</t>
        </is>
      </c>
      <c r="B16" t="inlineStr">
        <is>
          <t>tsgdi</t>
        </is>
      </c>
      <c r="C16" t="inlineStr">
        <is>
          <t>ts_gdi_wolverinemkii</t>
        </is>
      </c>
      <c r="D16" t="inlineStr">
        <is>
          <t>Chaingun</t>
        </is>
      </c>
      <c r="E16" t="n">
        <v>8000</v>
      </c>
      <c r="F16" t="n">
        <v>3</v>
      </c>
      <c r="G16" t="n">
        <v>16000</v>
      </c>
      <c r="H16" t="n">
        <v>5500</v>
      </c>
      <c r="I16">
        <f>F16*H16</f>
        <v/>
      </c>
    </row>
    <row r="17">
      <c r="D17" t="inlineStr">
        <is>
          <t>TeslaWeapon</t>
        </is>
      </c>
      <c r="E17" t="n">
        <v>4000</v>
      </c>
    </row>
    <row r="18">
      <c r="D18" t="inlineStr">
        <is>
          <t>MagicWeapon</t>
        </is>
      </c>
      <c r="E18" t="n">
        <v>4000</v>
      </c>
    </row>
    <row r="20">
      <c r="A20" t="inlineStr">
        <is>
          <t>TSChemApacheMissile</t>
        </is>
      </c>
      <c r="B20" t="inlineStr">
        <is>
          <t>forgotten</t>
        </is>
      </c>
      <c r="C20" t="inlineStr">
        <is>
          <t>forgotten_apache</t>
        </is>
      </c>
      <c r="D20" t="inlineStr">
        <is>
          <t>MediumChemicalWeapon</t>
        </is>
      </c>
      <c r="E20" t="n">
        <v>12000</v>
      </c>
      <c r="F20" t="n">
        <v>6</v>
      </c>
      <c r="G20" t="n">
        <v>32000</v>
      </c>
      <c r="H20" t="n">
        <v>5500</v>
      </c>
      <c r="I20">
        <f>F20*H20</f>
        <v/>
      </c>
    </row>
    <row r="21">
      <c r="D21" t="inlineStr">
        <is>
          <t>HeavyCannon</t>
        </is>
      </c>
      <c r="E21" t="n">
        <v>4000</v>
      </c>
    </row>
    <row r="22">
      <c r="D22" t="inlineStr">
        <is>
          <t>TankDestroyerCannon</t>
        </is>
      </c>
      <c r="E22" t="n">
        <v>4000</v>
      </c>
    </row>
    <row r="23">
      <c r="D23" t="inlineStr">
        <is>
          <t>Grenade</t>
        </is>
      </c>
      <c r="E23" t="n">
        <v>4000</v>
      </c>
    </row>
    <row r="24">
      <c r="D24" t="inlineStr">
        <is>
          <t>HeavyMissile</t>
        </is>
      </c>
      <c r="E24" t="n">
        <v>4000</v>
      </c>
    </row>
    <row r="25">
      <c r="D25" t="inlineStr">
        <is>
          <t>MediumMissile</t>
        </is>
      </c>
      <c r="E25" t="n">
        <v>4000</v>
      </c>
    </row>
    <row r="27">
      <c r="A27" t="inlineStr">
        <is>
          <t>TSChemBazooka</t>
        </is>
      </c>
      <c r="B27" t="inlineStr">
        <is>
          <t>forgotten</t>
        </is>
      </c>
      <c r="C27" t="inlineStr">
        <is>
          <t>forgotten_rocketinfantry</t>
        </is>
      </c>
      <c r="D27" t="inlineStr">
        <is>
          <t>LightChemicalWeapon</t>
        </is>
      </c>
      <c r="E27" t="n">
        <v>6000</v>
      </c>
      <c r="F27" t="n">
        <v>2</v>
      </c>
      <c r="G27" t="n">
        <v>30000</v>
      </c>
      <c r="H27" t="n">
        <v>15000</v>
      </c>
      <c r="I27">
        <f>F27*H27</f>
        <v/>
      </c>
    </row>
    <row r="28">
      <c r="D28" t="inlineStr">
        <is>
          <t>LightMissile</t>
        </is>
      </c>
      <c r="E28" t="n">
        <v>24000</v>
      </c>
    </row>
    <row r="30">
      <c r="A30" t="inlineStr">
        <is>
          <t>TSChemCobraMissile</t>
        </is>
      </c>
      <c r="B30" t="inlineStr">
        <is>
          <t>forgotten</t>
        </is>
      </c>
      <c r="C30" t="inlineStr">
        <is>
          <t>forgotten_cobracopter</t>
        </is>
      </c>
      <c r="D30" t="inlineStr">
        <is>
          <t>MediumChemicalWeapon</t>
        </is>
      </c>
      <c r="E30" t="n">
        <v>12000</v>
      </c>
      <c r="F30" t="n">
        <v>6</v>
      </c>
      <c r="G30" t="n">
        <v>32000</v>
      </c>
      <c r="H30" t="n">
        <v>5500</v>
      </c>
      <c r="I30">
        <f>F30*H30</f>
        <v/>
      </c>
    </row>
    <row r="31">
      <c r="D31" t="inlineStr">
        <is>
          <t>HeavyCannon</t>
        </is>
      </c>
      <c r="E31" t="n">
        <v>4000</v>
      </c>
    </row>
    <row r="32">
      <c r="D32" t="inlineStr">
        <is>
          <t>TankDestroyerCannon</t>
        </is>
      </c>
      <c r="E32" t="n">
        <v>4000</v>
      </c>
    </row>
    <row r="33">
      <c r="D33" t="inlineStr">
        <is>
          <t>Grenade</t>
        </is>
      </c>
      <c r="E33" t="n">
        <v>4000</v>
      </c>
    </row>
    <row r="34">
      <c r="D34" t="inlineStr">
        <is>
          <t>HeavyMissile</t>
        </is>
      </c>
      <c r="E34" t="n">
        <v>4000</v>
      </c>
    </row>
    <row r="35">
      <c r="D35" t="inlineStr">
        <is>
          <t>MediumMissile</t>
        </is>
      </c>
      <c r="E35" t="n">
        <v>4000</v>
      </c>
    </row>
    <row r="37">
      <c r="A37" t="inlineStr">
        <is>
          <t>TSChemGhostGun</t>
        </is>
      </c>
      <c r="B37" t="inlineStr">
        <is>
          <t>forgotten</t>
        </is>
      </c>
      <c r="C37" t="inlineStr">
        <is>
          <t>forgotten_ghoststalker</t>
        </is>
      </c>
      <c r="D37" t="inlineStr">
        <is>
          <t>LightChemicalWeapon</t>
        </is>
      </c>
      <c r="E37" t="n">
        <v>20000</v>
      </c>
      <c r="F37" t="n">
        <v>2</v>
      </c>
      <c r="G37" t="n">
        <v>30000</v>
      </c>
      <c r="H37" t="n">
        <v>15000</v>
      </c>
      <c r="I37">
        <f>F37*H37</f>
        <v/>
      </c>
    </row>
    <row r="38">
      <c r="D38" t="inlineStr">
        <is>
          <t>MediumChemicalWeapon</t>
        </is>
      </c>
      <c r="E38" t="n">
        <v>10000</v>
      </c>
    </row>
    <row r="40">
      <c r="A40" t="inlineStr">
        <is>
          <t>TSChemRuinerMissile</t>
        </is>
      </c>
      <c r="B40" t="inlineStr">
        <is>
          <t>forgotten</t>
        </is>
      </c>
      <c r="C40" t="inlineStr">
        <is>
          <t>forgotten_ruiner</t>
        </is>
      </c>
      <c r="D40" t="inlineStr">
        <is>
          <t>LightChemicalWeapon</t>
        </is>
      </c>
      <c r="E40" t="n">
        <v>10000</v>
      </c>
      <c r="F40" t="n">
        <v>4</v>
      </c>
      <c r="G40" t="n">
        <v>54000</v>
      </c>
      <c r="H40" t="n">
        <v>13500</v>
      </c>
      <c r="I40">
        <f>F40*H40</f>
        <v/>
      </c>
    </row>
    <row r="41">
      <c r="D41" t="inlineStr">
        <is>
          <t>MediumChemicalWeapon</t>
        </is>
      </c>
      <c r="E41" t="n">
        <v>8000</v>
      </c>
    </row>
    <row r="42">
      <c r="D42" t="inlineStr">
        <is>
          <t>Grenade</t>
        </is>
      </c>
      <c r="E42" t="n">
        <v>18000</v>
      </c>
    </row>
    <row r="43">
      <c r="D43" t="inlineStr">
        <is>
          <t>MediumMissile</t>
        </is>
      </c>
      <c r="E43" t="n">
        <v>18000</v>
      </c>
    </row>
    <row r="45">
      <c r="A45" t="inlineStr">
        <is>
          <t>TSCropBombChem</t>
        </is>
      </c>
      <c r="B45" t="inlineStr">
        <is>
          <t>forgotten</t>
        </is>
      </c>
      <c r="C45" t="inlineStr">
        <is>
          <t>forgotten_cropplane</t>
        </is>
      </c>
      <c r="D45" t="inlineStr">
        <is>
          <t>HeavyBomb</t>
        </is>
      </c>
      <c r="E45" t="n">
        <v>120000</v>
      </c>
      <c r="F45" t="n">
        <v>2</v>
      </c>
      <c r="G45" t="n">
        <v>180000</v>
      </c>
      <c r="H45" t="n">
        <v>90000</v>
      </c>
      <c r="I45">
        <f>F45*H45</f>
        <v/>
      </c>
    </row>
    <row r="46">
      <c r="D46" t="inlineStr">
        <is>
          <t>HeavyChemicalWeapon</t>
        </is>
      </c>
      <c r="E46" t="n">
        <v>60000</v>
      </c>
    </row>
    <row r="48">
      <c r="A48" t="inlineStr">
        <is>
          <t>TSDevoutChaingunsUpgraded</t>
        </is>
      </c>
      <c r="B48" t="inlineStr">
        <is>
          <t>cabal</t>
        </is>
      </c>
      <c r="C48" t="inlineStr">
        <is>
          <t>cabal_devout</t>
        </is>
      </c>
      <c r="D48" t="inlineStr">
        <is>
          <t>SmallArms</t>
        </is>
      </c>
      <c r="E48" t="n">
        <v>2000</v>
      </c>
      <c r="F48" t="n">
        <v>2</v>
      </c>
      <c r="G48" t="n">
        <v>3200</v>
      </c>
      <c r="H48" t="n">
        <v>1500</v>
      </c>
      <c r="I48">
        <f>F48*H48</f>
        <v/>
      </c>
    </row>
    <row r="49">
      <c r="D49" t="inlineStr">
        <is>
          <t>LaserWeapon</t>
        </is>
      </c>
      <c r="E49" t="n">
        <v>1200</v>
      </c>
    </row>
    <row r="51">
      <c r="A51" t="inlineStr">
        <is>
          <t>TSGrenadeSonic</t>
        </is>
      </c>
      <c r="B51" t="inlineStr">
        <is>
          <t>tsgdi</t>
        </is>
      </c>
      <c r="C51" t="inlineStr">
        <is>
          <t>ts_gdi_discthrower</t>
        </is>
      </c>
      <c r="D51" t="inlineStr">
        <is>
          <t>MediumCannon</t>
        </is>
      </c>
      <c r="E51" t="n">
        <v>12000</v>
      </c>
      <c r="F51" t="n">
        <v>3</v>
      </c>
      <c r="G51" t="n">
        <v>24000</v>
      </c>
      <c r="H51" t="n">
        <v>8000</v>
      </c>
      <c r="I51">
        <f>F51*H51</f>
        <v/>
      </c>
    </row>
    <row r="52">
      <c r="D52" t="inlineStr">
        <is>
          <t>TeslaWeapon</t>
        </is>
      </c>
      <c r="E52" t="n">
        <v>6000</v>
      </c>
    </row>
    <row r="53">
      <c r="D53" t="inlineStr">
        <is>
          <t>MagicWeapon</t>
        </is>
      </c>
      <c r="E53" t="n">
        <v>6000</v>
      </c>
    </row>
    <row r="55">
      <c r="A55" t="inlineStr">
        <is>
          <t>TSHighVelocity2Chem</t>
        </is>
      </c>
      <c r="B55" t="inlineStr">
        <is>
          <t>forgotten</t>
        </is>
      </c>
      <c r="C55" t="inlineStr">
        <is>
          <t>forgotten_warriortank</t>
        </is>
      </c>
      <c r="D55" t="inlineStr">
        <is>
          <t>LightChemicalWeapon</t>
        </is>
      </c>
      <c r="E55" t="n">
        <v>20000</v>
      </c>
      <c r="F55" t="n">
        <v>2</v>
      </c>
      <c r="G55" t="n">
        <v>60000</v>
      </c>
      <c r="H55" t="n">
        <v>30000</v>
      </c>
      <c r="I55">
        <f>F55*H55</f>
        <v/>
      </c>
    </row>
    <row r="56">
      <c r="D56" t="inlineStr">
        <is>
          <t>TankDestroyerCannon</t>
        </is>
      </c>
      <c r="E56" t="n">
        <v>40000</v>
      </c>
    </row>
    <row r="58">
      <c r="A58" t="inlineStr">
        <is>
          <t>TSHighVelocityChem</t>
        </is>
      </c>
      <c r="B58" t="inlineStr">
        <is>
          <t>forgotten</t>
        </is>
      </c>
      <c r="C58" t="inlineStr">
        <is>
          <t>forgotten_tankkiller</t>
        </is>
      </c>
      <c r="D58" t="inlineStr">
        <is>
          <t>LightChemicalWeapon</t>
        </is>
      </c>
      <c r="E58" t="n">
        <v>15000</v>
      </c>
      <c r="F58" t="n">
        <v>2</v>
      </c>
      <c r="G58" t="n">
        <v>45000</v>
      </c>
      <c r="H58" t="n">
        <v>22500</v>
      </c>
      <c r="I58">
        <f>F58*H58</f>
        <v/>
      </c>
    </row>
    <row r="59">
      <c r="D59" t="inlineStr">
        <is>
          <t>TankDestroyerCannon</t>
        </is>
      </c>
      <c r="E59" t="n">
        <v>30000</v>
      </c>
    </row>
    <row r="61">
      <c r="A61" t="inlineStr">
        <is>
          <t>TSLocustBombChem</t>
        </is>
      </c>
      <c r="B61" t="inlineStr">
        <is>
          <t>forgotten</t>
        </is>
      </c>
      <c r="C61" t="inlineStr">
        <is>
          <t>forgotten_locustbomber</t>
        </is>
      </c>
      <c r="D61" t="inlineStr">
        <is>
          <t>HeavyBomb</t>
        </is>
      </c>
      <c r="E61" t="n">
        <v>180000</v>
      </c>
      <c r="F61" t="n">
        <v>2</v>
      </c>
      <c r="G61" t="n">
        <v>270000</v>
      </c>
      <c r="H61" t="n">
        <v>135000</v>
      </c>
      <c r="I61">
        <f>F61*H61</f>
        <v/>
      </c>
    </row>
    <row r="62">
      <c r="D62" t="inlineStr">
        <is>
          <t>HeavyChemicalWeapon</t>
        </is>
      </c>
      <c r="E62" t="n">
        <v>90000</v>
      </c>
    </row>
    <row r="64">
      <c r="A64" t="inlineStr">
        <is>
          <t>TSMutApcCannon</t>
        </is>
      </c>
      <c r="B64" t="inlineStr">
        <is>
          <t>forgotten</t>
        </is>
      </c>
      <c r="C64" t="inlineStr">
        <is>
          <t>forgotten_apctruck</t>
        </is>
      </c>
      <c r="D64" t="inlineStr">
        <is>
          <t>Chaingun</t>
        </is>
      </c>
      <c r="E64" t="n">
        <v>2000</v>
      </c>
      <c r="F64" t="n">
        <v>2</v>
      </c>
      <c r="G64" t="n">
        <v>3000</v>
      </c>
      <c r="H64" t="n">
        <v>1500</v>
      </c>
      <c r="I64">
        <f>F64*H64</f>
        <v/>
      </c>
    </row>
    <row r="65">
      <c r="D65" t="inlineStr">
        <is>
          <t>FlakWeapon</t>
        </is>
      </c>
      <c r="E65" t="n">
        <v>1000</v>
      </c>
    </row>
    <row r="67">
      <c r="A67" t="inlineStr">
        <is>
          <t>TSScoopDualChem</t>
        </is>
      </c>
      <c r="B67" t="inlineStr">
        <is>
          <t>forgotten</t>
        </is>
      </c>
      <c r="C67" t="inlineStr">
        <is>
          <t>forgotten_scoopertank</t>
        </is>
      </c>
      <c r="D67" t="inlineStr">
        <is>
          <t>MediumChemicalWeapon</t>
        </is>
      </c>
      <c r="E67" t="n">
        <v>10000</v>
      </c>
      <c r="F67" t="n">
        <v>2</v>
      </c>
      <c r="G67" t="n">
        <v>30000</v>
      </c>
      <c r="H67" t="n">
        <v>15000</v>
      </c>
      <c r="I67">
        <f>F67*H67</f>
        <v/>
      </c>
    </row>
    <row r="68">
      <c r="D68" t="inlineStr">
        <is>
          <t>MediumCannon</t>
        </is>
      </c>
      <c r="E68" t="n">
        <v>20000</v>
      </c>
    </row>
    <row r="70">
      <c r="A70" t="inlineStr">
        <is>
          <t>TSTibBazooka</t>
        </is>
      </c>
      <c r="B70" t="inlineStr">
        <is>
          <t>tsnod</t>
        </is>
      </c>
      <c r="C70" t="inlineStr">
        <is>
          <t>ts_nod_rocketinfantry</t>
        </is>
      </c>
      <c r="D70" t="inlineStr">
        <is>
          <t>LightChemicalWeapon</t>
        </is>
      </c>
      <c r="E70" t="n">
        <v>6000</v>
      </c>
      <c r="F70" t="n">
        <v>2</v>
      </c>
      <c r="G70" t="n">
        <v>30000</v>
      </c>
      <c r="H70" t="n">
        <v>15000</v>
      </c>
      <c r="I70">
        <f>F70*H70</f>
        <v/>
      </c>
    </row>
    <row r="71">
      <c r="D71" t="inlineStr">
        <is>
          <t>LightMissile</t>
        </is>
      </c>
      <c r="E71" t="n">
        <v>24000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30" customWidth="1" min="3" max="3"/>
  </cols>
  <sheetData>
    <row r="1">
      <c r="A1" s="1" t="inlineStr">
        <is>
          <t>Game</t>
        </is>
      </c>
      <c r="B1" s="1" t="inlineStr">
        <is>
          <t>Unit</t>
        </is>
      </c>
      <c r="C1" s="1" t="inlineStr">
        <is>
          <t>Actor</t>
        </is>
      </c>
      <c r="D1" s="1" t="inlineStr">
        <is>
          <t>HP</t>
        </is>
      </c>
      <c r="E1" s="1" t="inlineStr">
        <is>
          <t>Speed</t>
        </is>
      </c>
      <c r="F1" s="1" t="inlineStr">
        <is>
          <t>Range</t>
        </is>
      </c>
      <c r="G1" s="1" t="inlineStr">
        <is>
          <t>Damage</t>
        </is>
      </c>
      <c r="H1" s="1" t="inlineStr">
        <is>
          <t>Weapon Class</t>
        </is>
      </c>
      <c r="I1" s="1" t="inlineStr">
        <is>
          <t>Reload Delay</t>
        </is>
      </c>
      <c r="J1" s="1" t="inlineStr">
        <is>
          <t>DPS</t>
        </is>
      </c>
      <c r="K1" s="1" t="inlineStr">
        <is>
          <t>Special</t>
        </is>
      </c>
      <c r="L1" s="1" t="inlineStr">
        <is>
          <t>Unit Class</t>
        </is>
      </c>
      <c r="M1" s="1" t="inlineStr">
        <is>
          <t>Tech Tier</t>
        </is>
      </c>
      <c r="N1" s="1" t="inlineStr"/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Cost</t>
        </is>
      </c>
    </row>
    <row r="2">
      <c r="A2" t="inlineStr">
        <is>
          <t>TS</t>
        </is>
      </c>
      <c r="B2" t="inlineStr">
        <is>
          <t>Devout</t>
        </is>
      </c>
      <c r="C2" t="inlineStr">
        <is>
          <t>cabal_devout</t>
        </is>
      </c>
      <c r="D2" t="n">
        <v>60000</v>
      </c>
      <c r="E2" t="n">
        <v>56</v>
      </c>
      <c r="F2" t="n">
        <v>4.512</v>
      </c>
      <c r="G2" t="n">
        <v>12000</v>
      </c>
      <c r="H2" t="n">
        <v>0.75</v>
      </c>
      <c r="I2" t="n">
        <v>65</v>
      </c>
      <c r="J2">
        <f>G2/I2*H2</f>
        <v/>
      </c>
      <c r="K2" t="n">
        <v>1</v>
      </c>
      <c r="L2" t="n">
        <v>1</v>
      </c>
      <c r="M2" t="n">
        <v>1</v>
      </c>
      <c r="N2" t="inlineStr"/>
      <c r="O2">
        <f>(D2/100000+E2/100+F2*K2/5+J2/200)*200*L2*M2</f>
        <v/>
      </c>
      <c r="P2">
        <f>((D2*E2/25000)+(F2*K2*J2/2.5))*L2*M2</f>
        <v/>
      </c>
      <c r="Q2">
        <f>(D2*E2*F2*K2*J2*L2*M2)/12500000</f>
        <v/>
      </c>
      <c r="R2">
        <f>(O2+P2+Q2)/3</f>
        <v/>
      </c>
      <c r="S2" t="n">
        <v>750</v>
      </c>
    </row>
    <row r="3">
      <c r="A3" t="inlineStr">
        <is>
          <t>TS</t>
        </is>
      </c>
      <c r="B3" t="inlineStr">
        <is>
          <t>actor_forgotten_apache.name</t>
        </is>
      </c>
      <c r="C3" t="inlineStr">
        <is>
          <t>forgotten_apache</t>
        </is>
      </c>
      <c r="D3" t="n">
        <v>30000</v>
      </c>
      <c r="E3" t="n">
        <v>160</v>
      </c>
      <c r="F3" t="n">
        <v>4.688</v>
      </c>
      <c r="G3" t="n">
        <v>20000</v>
      </c>
      <c r="H3" t="n">
        <v>1.05</v>
      </c>
      <c r="I3" t="n">
        <v>15</v>
      </c>
      <c r="J3">
        <f>G3/I3*H3</f>
        <v/>
      </c>
      <c r="K3" t="n">
        <v>1</v>
      </c>
      <c r="L3" t="n">
        <v>1</v>
      </c>
      <c r="M3" t="n">
        <v>1</v>
      </c>
      <c r="N3" t="inlineStr"/>
      <c r="O3">
        <f>(D3/100000+E3/100+F3*K3/5+J3/200)*200*L3*M3</f>
        <v/>
      </c>
      <c r="P3">
        <f>((D3*E3/25000)+(F3*K3*J3/2.5))*L3*M3</f>
        <v/>
      </c>
      <c r="Q3">
        <f>(D3*E3*F3*K3*J3*L3*M3)/12500000</f>
        <v/>
      </c>
      <c r="R3">
        <f>(O3+P3+Q3)/3</f>
        <v/>
      </c>
      <c r="S3" t="n">
        <v>1500</v>
      </c>
    </row>
    <row r="4">
      <c r="A4" t="inlineStr">
        <is>
          <t>TS</t>
        </is>
      </c>
      <c r="B4" t="inlineStr">
        <is>
          <t>actor_forgotten_apctruck.name</t>
        </is>
      </c>
      <c r="C4" t="inlineStr">
        <is>
          <t>forgotten_apctruck</t>
        </is>
      </c>
      <c r="D4" t="n">
        <v>80000</v>
      </c>
      <c r="E4" t="n">
        <v>80</v>
      </c>
      <c r="F4" t="n">
        <v>6.147</v>
      </c>
      <c r="G4" t="n">
        <v>3000</v>
      </c>
      <c r="H4" t="n">
        <v>1</v>
      </c>
      <c r="I4" t="n">
        <v>12</v>
      </c>
      <c r="J4">
        <f>G4/I4*H4</f>
        <v/>
      </c>
      <c r="K4" t="n">
        <v>1</v>
      </c>
      <c r="L4" t="n">
        <v>1</v>
      </c>
      <c r="M4" t="n">
        <v>1</v>
      </c>
      <c r="N4" t="inlineStr"/>
      <c r="O4">
        <f>(D4/100000+E4/100+F4*K4/5+J4/200)*200*L4*M4</f>
        <v/>
      </c>
      <c r="P4">
        <f>((D4*E4/25000)+(F4*K4*J4/2.5))*L4*M4</f>
        <v/>
      </c>
      <c r="Q4">
        <f>(D4*E4*F4*K4*J4*L4*M4)/12500000</f>
        <v/>
      </c>
      <c r="R4">
        <f>(O4+P4+Q4)/3</f>
        <v/>
      </c>
      <c r="S4" t="n">
        <v>1260</v>
      </c>
    </row>
    <row r="5">
      <c r="A5" t="inlineStr">
        <is>
          <t>TS</t>
        </is>
      </c>
      <c r="B5" t="inlineStr">
        <is>
          <t>actor_forgotten_closhtank.name</t>
        </is>
      </c>
      <c r="C5" t="inlineStr">
        <is>
          <t>forgotten_closhtank</t>
        </is>
      </c>
      <c r="D5" t="n">
        <v>120000</v>
      </c>
      <c r="E5" t="n">
        <v>80</v>
      </c>
      <c r="F5" t="n">
        <v>2.386</v>
      </c>
      <c r="G5" t="n">
        <v>28000</v>
      </c>
      <c r="H5" t="n">
        <v>1</v>
      </c>
      <c r="I5" t="n">
        <v>50</v>
      </c>
      <c r="J5">
        <f>G5/I5*H5</f>
        <v/>
      </c>
      <c r="K5" t="n">
        <v>1</v>
      </c>
      <c r="L5" t="n">
        <v>1</v>
      </c>
      <c r="M5" t="n">
        <v>1</v>
      </c>
      <c r="N5" t="inlineStr"/>
      <c r="O5">
        <f>(D5/100000+E5/100+F5*K5/5+J5/200)*200*L5*M5</f>
        <v/>
      </c>
      <c r="P5">
        <f>((D5*E5/25000)+(F5*K5*J5/2.5))*L5*M5</f>
        <v/>
      </c>
      <c r="Q5">
        <f>(D5*E5*F5*K5*J5*L5*M5)/12500000</f>
        <v/>
      </c>
      <c r="R5">
        <f>(O5+P5+Q5)/3</f>
        <v/>
      </c>
      <c r="S5" t="n">
        <v>1000</v>
      </c>
    </row>
    <row r="6">
      <c r="A6" t="inlineStr">
        <is>
          <t>TS</t>
        </is>
      </c>
      <c r="B6" t="inlineStr">
        <is>
          <t>actor_forgotten_cobracopter.name</t>
        </is>
      </c>
      <c r="C6" t="inlineStr">
        <is>
          <t>forgotten_cobracopter</t>
        </is>
      </c>
      <c r="D6" t="n">
        <v>32500</v>
      </c>
      <c r="E6" t="n">
        <v>165</v>
      </c>
      <c r="F6" t="n">
        <v>5.052</v>
      </c>
      <c r="G6" t="n">
        <v>20000</v>
      </c>
      <c r="H6" t="n">
        <v>1.05</v>
      </c>
      <c r="I6" t="n">
        <v>12</v>
      </c>
      <c r="J6">
        <f>G6/I6*H6</f>
        <v/>
      </c>
      <c r="K6" t="n">
        <v>1</v>
      </c>
      <c r="L6" t="n">
        <v>1</v>
      </c>
      <c r="M6" t="n">
        <v>1</v>
      </c>
      <c r="N6" t="inlineStr"/>
      <c r="O6">
        <f>(D6/100000+E6/100+F6*K6/5+J6/200)*200*L6*M6</f>
        <v/>
      </c>
      <c r="P6">
        <f>((D6*E6/25000)+(F6*K6*J6/2.5))*L6*M6</f>
        <v/>
      </c>
      <c r="Q6">
        <f>(D6*E6*F6*K6*J6*L6*M6)/12500000</f>
        <v/>
      </c>
      <c r="R6">
        <f>(O6+P6+Q6)/3</f>
        <v/>
      </c>
      <c r="S6" t="n">
        <v>2000</v>
      </c>
    </row>
    <row r="7">
      <c r="A7" t="inlineStr">
        <is>
          <t>TS</t>
        </is>
      </c>
      <c r="B7" t="inlineStr">
        <is>
          <t>actor_forgotten_cropplane.name</t>
        </is>
      </c>
      <c r="C7" t="inlineStr">
        <is>
          <t>forgotten_cropplane</t>
        </is>
      </c>
      <c r="D7" t="n">
        <v>75000</v>
      </c>
      <c r="E7" t="n">
        <v>160</v>
      </c>
      <c r="F7" t="n">
        <v>1.25</v>
      </c>
      <c r="G7" t="n">
        <v>120000</v>
      </c>
      <c r="H7" t="n">
        <v>1.25</v>
      </c>
      <c r="I7" t="n">
        <v>50</v>
      </c>
      <c r="J7">
        <f>G7/I7*H7</f>
        <v/>
      </c>
      <c r="K7" t="n">
        <v>1</v>
      </c>
      <c r="L7" t="n">
        <v>1</v>
      </c>
      <c r="M7" t="n">
        <v>1</v>
      </c>
      <c r="N7" t="inlineStr"/>
      <c r="O7">
        <f>(D7/100000+E7/100+F7*K7/5+J7/200)*200*L7*M7</f>
        <v/>
      </c>
      <c r="P7">
        <f>((D7*E7/25000)+(F7*K7*J7/2.5))*L7*M7</f>
        <v/>
      </c>
      <c r="Q7">
        <f>(D7*E7*F7*K7*J7*L7*M7)/12500000</f>
        <v/>
      </c>
      <c r="R7">
        <f>(O7+P7+Q7)/3</f>
        <v/>
      </c>
      <c r="S7" t="n">
        <v>1500</v>
      </c>
    </row>
    <row r="8">
      <c r="A8" t="inlineStr">
        <is>
          <t>TS</t>
        </is>
      </c>
      <c r="B8" t="inlineStr">
        <is>
          <t>actor_forgotten_flametank.name</t>
        </is>
      </c>
      <c r="C8" t="inlineStr">
        <is>
          <t>forgotten_flametank</t>
        </is>
      </c>
      <c r="D8" t="n">
        <v>200000</v>
      </c>
      <c r="E8" t="n">
        <v>80</v>
      </c>
      <c r="F8" t="n">
        <v>2.425</v>
      </c>
      <c r="G8" t="n">
        <v>40000</v>
      </c>
      <c r="H8" t="n">
        <v>1.125</v>
      </c>
      <c r="I8" t="n">
        <v>65</v>
      </c>
      <c r="J8">
        <f>G8/I8*H8</f>
        <v/>
      </c>
      <c r="K8" t="n">
        <v>1</v>
      </c>
      <c r="L8" t="n">
        <v>1</v>
      </c>
      <c r="M8" t="n">
        <v>1</v>
      </c>
      <c r="N8" t="inlineStr"/>
      <c r="O8">
        <f>(D8/100000+E8/100+F8*K8/5+J8/200)*200*L8*M8</f>
        <v/>
      </c>
      <c r="P8">
        <f>((D8*E8/25000)+(F8*K8*J8/2.5))*L8*M8</f>
        <v/>
      </c>
      <c r="Q8">
        <f>(D8*E8*F8*K8*J8*L8*M8)/12500000</f>
        <v/>
      </c>
      <c r="R8">
        <f>(O8+P8+Q8)/3</f>
        <v/>
      </c>
      <c r="S8" t="n">
        <v>1300</v>
      </c>
    </row>
    <row r="9">
      <c r="A9" t="inlineStr">
        <is>
          <t>TS</t>
        </is>
      </c>
      <c r="B9" t="inlineStr">
        <is>
          <t>actor_forgotten_ghoststalker.name</t>
        </is>
      </c>
      <c r="C9" t="inlineStr">
        <is>
          <t>forgotten_ghoststalker</t>
        </is>
      </c>
      <c r="D9" t="n">
        <v>100000</v>
      </c>
      <c r="E9" t="n">
        <v>62</v>
      </c>
      <c r="F9" t="n">
        <v>9.557</v>
      </c>
      <c r="G9" t="n">
        <v>20000</v>
      </c>
      <c r="H9" t="n">
        <v>0.75</v>
      </c>
      <c r="I9" t="n">
        <v>25</v>
      </c>
      <c r="J9">
        <f>G9/I9*H9</f>
        <v/>
      </c>
      <c r="K9" t="n">
        <v>1</v>
      </c>
      <c r="L9" t="n">
        <v>1</v>
      </c>
      <c r="M9" t="n">
        <v>1</v>
      </c>
      <c r="N9" t="inlineStr"/>
      <c r="O9">
        <f>(D9/100000+E9/100+F9*K9/5+J9/200)*200*L9*M9</f>
        <v/>
      </c>
      <c r="P9">
        <f>((D9*E9/25000)+(F9*K9*J9/2.5))*L9*M9</f>
        <v/>
      </c>
      <c r="Q9">
        <f>(D9*E9*F9*K9*J9*L9*M9)/12500000</f>
        <v/>
      </c>
      <c r="R9">
        <f>(O9+P9+Q9)/3</f>
        <v/>
      </c>
      <c r="S9" t="n">
        <v>4000</v>
      </c>
    </row>
    <row r="10">
      <c r="A10" t="inlineStr">
        <is>
          <t>TS</t>
        </is>
      </c>
      <c r="B10" t="inlineStr">
        <is>
          <t>actor_forgotten_locustbomber.name</t>
        </is>
      </c>
      <c r="C10" t="inlineStr">
        <is>
          <t>forgotten_locustbomber</t>
        </is>
      </c>
      <c r="D10" t="n">
        <v>115000</v>
      </c>
      <c r="E10" t="n">
        <v>180</v>
      </c>
      <c r="F10" t="n">
        <v>1.25</v>
      </c>
      <c r="G10" t="n">
        <v>900000</v>
      </c>
      <c r="H10" t="n">
        <v>1.25</v>
      </c>
      <c r="I10" t="n">
        <v>50</v>
      </c>
      <c r="J10">
        <f>G10/I10*H10</f>
        <v/>
      </c>
      <c r="K10" t="n">
        <v>1</v>
      </c>
      <c r="L10" t="n">
        <v>1</v>
      </c>
      <c r="M10" t="n">
        <v>1</v>
      </c>
      <c r="N10" t="inlineStr"/>
      <c r="O10">
        <f>(D10/100000+E10/100+F10*K10/5+J10/200)*200*L10*M10</f>
        <v/>
      </c>
      <c r="P10">
        <f>((D10*E10/25000)+(F10*K10*J10/2.5))*L10*M10</f>
        <v/>
      </c>
      <c r="Q10">
        <f>(D10*E10*F10*K10*J10*L10*M10)/12500000</f>
        <v/>
      </c>
      <c r="R10">
        <f>(O10+P10+Q10)/3</f>
        <v/>
      </c>
      <c r="S10" t="n">
        <v>3000</v>
      </c>
    </row>
    <row r="11">
      <c r="A11" t="inlineStr">
        <is>
          <t>TS</t>
        </is>
      </c>
      <c r="B11" t="inlineStr">
        <is>
          <t>actor_forgotten_mutantmortarman.name</t>
        </is>
      </c>
      <c r="C11" t="inlineStr">
        <is>
          <t>forgotten_mutantmortarman</t>
        </is>
      </c>
      <c r="D11" t="n">
        <v>30000</v>
      </c>
      <c r="E11" t="n">
        <v>50</v>
      </c>
      <c r="F11" t="n">
        <v>10.83</v>
      </c>
      <c r="G11" t="n">
        <v>16000</v>
      </c>
      <c r="H11" t="n">
        <v>1.25</v>
      </c>
      <c r="I11" t="n">
        <v>88</v>
      </c>
      <c r="J11">
        <f>G11/I11*H11</f>
        <v/>
      </c>
      <c r="K11" t="n">
        <v>1</v>
      </c>
      <c r="L11" t="n">
        <v>1</v>
      </c>
      <c r="M11" t="n">
        <v>1</v>
      </c>
      <c r="N11" t="inlineStr"/>
      <c r="O11">
        <f>(D11/100000+E11/100+F11*K11/5+J11/200)*200*L11*M11</f>
        <v/>
      </c>
      <c r="P11">
        <f>((D11*E11/25000)+(F11*K11*J11/2.5))*L11*M11</f>
        <v/>
      </c>
      <c r="Q11">
        <f>(D11*E11*F11*K11*J11*L11*M11)/12500000</f>
        <v/>
      </c>
      <c r="R11">
        <f>(O11+P11+Q11)/3</f>
        <v/>
      </c>
      <c r="S11" t="n">
        <v>500</v>
      </c>
    </row>
    <row r="12">
      <c r="A12" t="inlineStr">
        <is>
          <t>TS</t>
        </is>
      </c>
      <c r="B12" t="inlineStr">
        <is>
          <t>actor_forgotten_rattytank.name</t>
        </is>
      </c>
      <c r="C12" t="inlineStr">
        <is>
          <t>forgotten_rattytank</t>
        </is>
      </c>
      <c r="D12" t="n">
        <v>70000</v>
      </c>
      <c r="E12" t="n">
        <v>90</v>
      </c>
      <c r="F12" t="n">
        <v>5.566</v>
      </c>
      <c r="G12" t="n">
        <v>4000</v>
      </c>
      <c r="H12" t="n">
        <v>1</v>
      </c>
      <c r="I12" t="n">
        <v>24</v>
      </c>
      <c r="J12">
        <f>G12/I12*H12</f>
        <v/>
      </c>
      <c r="K12" t="n">
        <v>1</v>
      </c>
      <c r="L12" t="n">
        <v>1</v>
      </c>
      <c r="M12" t="n">
        <v>1</v>
      </c>
      <c r="N12" t="inlineStr"/>
      <c r="O12">
        <f>(D12/100000+E12/100+F12*K12/5+J12/200)*200*L12*M12</f>
        <v/>
      </c>
      <c r="P12">
        <f>((D12*E12/25000)+(F12*K12*J12/2.5))*L12*M12</f>
        <v/>
      </c>
      <c r="Q12">
        <f>(D12*E12*F12*K12*J12*L12*M12)/12500000</f>
        <v/>
      </c>
      <c r="R12">
        <f>(O12+P12+Q12)/3</f>
        <v/>
      </c>
      <c r="S12" t="n">
        <v>600</v>
      </c>
    </row>
    <row r="13">
      <c r="A13" t="inlineStr">
        <is>
          <t>TS</t>
        </is>
      </c>
      <c r="B13" t="inlineStr">
        <is>
          <t>actor_forgotten_rocketinfantry.name</t>
        </is>
      </c>
      <c r="C13" t="inlineStr">
        <is>
          <t>forgotten_rocketinfantry</t>
        </is>
      </c>
      <c r="D13" t="n">
        <v>12000</v>
      </c>
      <c r="E13" t="n">
        <v>50</v>
      </c>
      <c r="F13" t="n">
        <v>6.694</v>
      </c>
      <c r="G13" t="n">
        <v>24000</v>
      </c>
      <c r="H13" t="n">
        <v>0.75</v>
      </c>
      <c r="I13" t="n">
        <v>52</v>
      </c>
      <c r="J13">
        <f>G13/I13*H13</f>
        <v/>
      </c>
      <c r="K13" t="n">
        <v>1</v>
      </c>
      <c r="L13" t="n">
        <v>1</v>
      </c>
      <c r="M13" t="n">
        <v>1</v>
      </c>
      <c r="N13" t="inlineStr"/>
      <c r="O13">
        <f>(D13/100000+E13/100+F13*K13/5+J13/200)*200*L13*M13</f>
        <v/>
      </c>
      <c r="P13">
        <f>((D13*E13/25000)+(F13*K13*J13/2.5))*L13*M13</f>
        <v/>
      </c>
      <c r="Q13">
        <f>(D13*E13*F13*K13*J13*L13*M13)/12500000</f>
        <v/>
      </c>
      <c r="R13">
        <f>(O13+P13+Q13)/3</f>
        <v/>
      </c>
      <c r="S13" t="n">
        <v>300</v>
      </c>
    </row>
    <row r="14">
      <c r="A14" t="inlineStr">
        <is>
          <t>TS</t>
        </is>
      </c>
      <c r="B14" t="inlineStr">
        <is>
          <t>actor_forgotten_ruiner.name</t>
        </is>
      </c>
      <c r="C14" t="inlineStr">
        <is>
          <t>forgotten_ruiner</t>
        </is>
      </c>
      <c r="D14" t="n">
        <v>35000</v>
      </c>
      <c r="E14" t="n">
        <v>150</v>
      </c>
      <c r="F14" t="n">
        <v>5.919</v>
      </c>
      <c r="G14" t="n">
        <v>36000</v>
      </c>
      <c r="H14" t="n">
        <v>1</v>
      </c>
      <c r="I14" t="n">
        <v>50</v>
      </c>
      <c r="J14">
        <f>G14/I14*H14</f>
        <v/>
      </c>
      <c r="K14" t="n">
        <v>1</v>
      </c>
      <c r="L14" t="n">
        <v>1</v>
      </c>
      <c r="M14" t="n">
        <v>1</v>
      </c>
      <c r="N14" t="inlineStr"/>
      <c r="O14">
        <f>(D14/100000+E14/100+F14*K14/5+J14/200)*200*L14*M14</f>
        <v/>
      </c>
      <c r="P14">
        <f>((D14*E14/25000)+(F14*K14*J14/2.5))*L14*M14</f>
        <v/>
      </c>
      <c r="Q14">
        <f>(D14*E14*F14*K14*J14*L14*M14)/12500000</f>
        <v/>
      </c>
      <c r="R14">
        <f>(O14+P14+Q14)/3</f>
        <v/>
      </c>
      <c r="S14" t="n">
        <v>500</v>
      </c>
    </row>
    <row r="15">
      <c r="A15" t="inlineStr">
        <is>
          <t>TS</t>
        </is>
      </c>
      <c r="B15" t="inlineStr">
        <is>
          <t>actor_forgotten_scoopertank.name</t>
        </is>
      </c>
      <c r="C15" t="inlineStr">
        <is>
          <t>forgotten_scoopertank</t>
        </is>
      </c>
      <c r="D15" t="n">
        <v>250000</v>
      </c>
      <c r="E15" t="n">
        <v>65</v>
      </c>
      <c r="F15" t="n">
        <v>6.224</v>
      </c>
      <c r="G15" t="n">
        <v>40000</v>
      </c>
      <c r="H15" t="n">
        <v>1</v>
      </c>
      <c r="I15" t="n">
        <v>62</v>
      </c>
      <c r="J15">
        <f>G15/I15*H15</f>
        <v/>
      </c>
      <c r="K15" t="n">
        <v>1</v>
      </c>
      <c r="L15" t="n">
        <v>1</v>
      </c>
      <c r="M15" t="n">
        <v>1</v>
      </c>
      <c r="N15" t="inlineStr"/>
      <c r="O15">
        <f>(D15/100000+E15/100+F15*K15/5+J15/200)*200*L15*M15</f>
        <v/>
      </c>
      <c r="P15">
        <f>((D15*E15/25000)+(F15*K15*J15/2.5))*L15*M15</f>
        <v/>
      </c>
      <c r="Q15">
        <f>(D15*E15*F15*K15*J15*L15*M15)/12500000</f>
        <v/>
      </c>
      <c r="R15">
        <f>(O15+P15+Q15)/3</f>
        <v/>
      </c>
      <c r="S15" t="n">
        <v>2250</v>
      </c>
    </row>
    <row r="16">
      <c r="A16" t="inlineStr">
        <is>
          <t>TS</t>
        </is>
      </c>
      <c r="B16" t="inlineStr">
        <is>
          <t>actor_forgotten_tankkiller.name</t>
        </is>
      </c>
      <c r="C16" t="inlineStr">
        <is>
          <t>forgotten_tankkiller</t>
        </is>
      </c>
      <c r="D16" t="n">
        <v>85000</v>
      </c>
      <c r="E16" t="n">
        <v>65</v>
      </c>
      <c r="F16" t="n">
        <v>7.701</v>
      </c>
      <c r="G16" t="n">
        <v>30000</v>
      </c>
      <c r="H16" t="n">
        <v>0.75</v>
      </c>
      <c r="I16" t="n">
        <v>90</v>
      </c>
      <c r="J16">
        <f>G16/I16*H16</f>
        <v/>
      </c>
      <c r="K16" t="n">
        <v>1</v>
      </c>
      <c r="L16" t="n">
        <v>1</v>
      </c>
      <c r="M16" t="n">
        <v>1</v>
      </c>
      <c r="N16" t="inlineStr"/>
      <c r="O16">
        <f>(D16/100000+E16/100+F16*K16/5+J16/200)*200*L16*M16</f>
        <v/>
      </c>
      <c r="P16">
        <f>((D16*E16/25000)+(F16*K16*J16/2.5))*L16*M16</f>
        <v/>
      </c>
      <c r="Q16">
        <f>(D16*E16*F16*K16*J16*L16*M16)/12500000</f>
        <v/>
      </c>
      <c r="R16">
        <f>(O16+P16+Q16)/3</f>
        <v/>
      </c>
      <c r="S16" t="n">
        <v>900</v>
      </c>
    </row>
    <row r="17">
      <c r="A17" t="inlineStr">
        <is>
          <t>TS</t>
        </is>
      </c>
      <c r="B17" t="inlineStr">
        <is>
          <t>actor_forgotten_warriortank.name</t>
        </is>
      </c>
      <c r="C17" t="inlineStr">
        <is>
          <t>forgotten_warriortank</t>
        </is>
      </c>
      <c r="D17" t="n">
        <v>100000</v>
      </c>
      <c r="E17" t="n">
        <v>75</v>
      </c>
      <c r="F17" t="n">
        <v>8.207000000000001</v>
      </c>
      <c r="G17" t="n">
        <v>40000</v>
      </c>
      <c r="H17" t="n">
        <v>0.75</v>
      </c>
      <c r="I17" t="n">
        <v>55</v>
      </c>
      <c r="J17">
        <f>G17/I17*H17</f>
        <v/>
      </c>
      <c r="K17" t="n">
        <v>1</v>
      </c>
      <c r="L17" t="n">
        <v>1</v>
      </c>
      <c r="M17" t="n">
        <v>1</v>
      </c>
      <c r="N17" t="inlineStr"/>
      <c r="O17">
        <f>(D17/100000+E17/100+F17*K17/5+J17/200)*200*L17*M17</f>
        <v/>
      </c>
      <c r="P17">
        <f>((D17*E17/25000)+(F17*K17*J17/2.5))*L17*M17</f>
        <v/>
      </c>
      <c r="Q17">
        <f>(D17*E17*F17*K17*J17*L17*M17)/12500000</f>
        <v/>
      </c>
      <c r="R17">
        <f>(O17+P17+Q17)/3</f>
        <v/>
      </c>
      <c r="S17" t="n">
        <v>2000</v>
      </c>
    </row>
    <row r="18">
      <c r="A18" t="inlineStr">
        <is>
          <t>TS</t>
        </is>
      </c>
      <c r="B18" t="inlineStr">
        <is>
          <t>Amphibious APC</t>
        </is>
      </c>
      <c r="C18" t="inlineStr">
        <is>
          <t>ts_gdi_amphibiousapc</t>
        </is>
      </c>
      <c r="D18" t="n">
        <v>80000</v>
      </c>
      <c r="E18" t="n">
        <v>100</v>
      </c>
      <c r="F18" t="n">
        <v>6.263</v>
      </c>
      <c r="G18" t="n">
        <v>3000</v>
      </c>
      <c r="H18" t="n">
        <v>1</v>
      </c>
      <c r="I18" t="n">
        <v>10</v>
      </c>
      <c r="J18">
        <f>G18/I18*H18</f>
        <v/>
      </c>
      <c r="K18" t="n">
        <v>1</v>
      </c>
      <c r="L18" t="n">
        <v>1</v>
      </c>
      <c r="M18" t="n">
        <v>1</v>
      </c>
      <c r="N18" t="inlineStr"/>
      <c r="O18">
        <f>(D18/100000+E18/100+F18*K18/5+J18/200)*200*L18*M18</f>
        <v/>
      </c>
      <c r="P18">
        <f>((D18*E18/25000)+(F18*K18*J18/2.5))*L18*M18</f>
        <v/>
      </c>
      <c r="Q18">
        <f>(D18*E18*F18*K18*J18*L18*M18)/12500000</f>
        <v/>
      </c>
      <c r="R18">
        <f>(O18+P18+Q18)/3</f>
        <v/>
      </c>
      <c r="S18" t="n">
        <v>1640</v>
      </c>
    </row>
    <row r="19">
      <c r="A19" t="inlineStr">
        <is>
          <t>TS</t>
        </is>
      </c>
      <c r="B19" t="inlineStr">
        <is>
          <t>Disc Thrower</t>
        </is>
      </c>
      <c r="C19" t="inlineStr">
        <is>
          <t>ts_gdi_discthrower</t>
        </is>
      </c>
      <c r="D19" t="n">
        <v>12000</v>
      </c>
      <c r="E19" t="n">
        <v>60</v>
      </c>
      <c r="F19" t="n">
        <v>6.151</v>
      </c>
      <c r="G19" t="n">
        <v>12000</v>
      </c>
      <c r="H19" t="n">
        <v>1</v>
      </c>
      <c r="I19" t="n">
        <v>50</v>
      </c>
      <c r="J19">
        <f>G19/I19*H19</f>
        <v/>
      </c>
      <c r="K19" t="n">
        <v>1</v>
      </c>
      <c r="L19" t="n">
        <v>1</v>
      </c>
      <c r="M19" t="n">
        <v>1</v>
      </c>
      <c r="N19" t="inlineStr"/>
      <c r="O19">
        <f>(D19/100000+E19/100+F19*K19/5+J19/200)*200*L19*M19</f>
        <v/>
      </c>
      <c r="P19">
        <f>((D19*E19/25000)+(F19*K19*J19/2.5))*L19*M19</f>
        <v/>
      </c>
      <c r="Q19">
        <f>(D19*E19*F19*K19*J19*L19*M19)/12500000</f>
        <v/>
      </c>
      <c r="R19">
        <f>(O19+P19+Q19)/3</f>
        <v/>
      </c>
      <c r="S19" t="n">
        <v>300</v>
      </c>
    </row>
    <row r="20">
      <c r="A20" t="inlineStr">
        <is>
          <t>TS</t>
        </is>
      </c>
      <c r="B20" t="inlineStr">
        <is>
          <t>Wolverine MK II</t>
        </is>
      </c>
      <c r="C20" t="inlineStr">
        <is>
          <t>ts_gdi_wolverinemkii</t>
        </is>
      </c>
      <c r="D20" t="n">
        <v>50000</v>
      </c>
      <c r="E20" t="n">
        <v>80</v>
      </c>
      <c r="F20" t="n">
        <v>6.52</v>
      </c>
      <c r="G20" t="n">
        <v>16000</v>
      </c>
      <c r="H20" t="n">
        <v>1</v>
      </c>
      <c r="I20" t="n">
        <v>42</v>
      </c>
      <c r="J20">
        <f>G20/I20*H20</f>
        <v/>
      </c>
      <c r="K20" t="n">
        <v>1</v>
      </c>
      <c r="L20" t="n">
        <v>1</v>
      </c>
      <c r="M20" t="n">
        <v>1</v>
      </c>
      <c r="N20" t="inlineStr"/>
      <c r="O20">
        <f>(D20/100000+E20/100+F20*K20/5+J20/200)*200*L20*M20</f>
        <v/>
      </c>
      <c r="P20">
        <f>((D20*E20/25000)+(F20*K20*J20/2.5))*L20*M20</f>
        <v/>
      </c>
      <c r="Q20">
        <f>(D20*E20*F20*K20*J20*L20*M20)/12500000</f>
        <v/>
      </c>
      <c r="R20">
        <f>(O20+P20+Q20)/3</f>
        <v/>
      </c>
      <c r="S20" t="n">
        <v>950</v>
      </c>
    </row>
    <row r="21">
      <c r="A21" t="inlineStr">
        <is>
          <t>TS</t>
        </is>
      </c>
      <c r="B21" t="inlineStr">
        <is>
          <t>Rocket Infantry</t>
        </is>
      </c>
      <c r="C21" t="inlineStr">
        <is>
          <t>ts_nod_rocketinfantry</t>
        </is>
      </c>
      <c r="D21" t="n">
        <v>12000</v>
      </c>
      <c r="E21" t="n">
        <v>50</v>
      </c>
      <c r="F21" t="n">
        <v>6.694</v>
      </c>
      <c r="G21" t="n">
        <v>24000</v>
      </c>
      <c r="H21" t="n">
        <v>0.75</v>
      </c>
      <c r="I21" t="n">
        <v>52</v>
      </c>
      <c r="J21">
        <f>G21/I21*H21</f>
        <v/>
      </c>
      <c r="K21" t="n">
        <v>1</v>
      </c>
      <c r="L21" t="n">
        <v>1</v>
      </c>
      <c r="M21" t="n">
        <v>1</v>
      </c>
      <c r="N21" t="inlineStr"/>
      <c r="O21">
        <f>(D21/100000+E21/100+F21*K21/5+J21/200)*200*L21*M21</f>
        <v/>
      </c>
      <c r="P21">
        <f>((D21*E21/25000)+(F21*K21*J21/2.5))*L21*M21</f>
        <v/>
      </c>
      <c r="Q21">
        <f>(D21*E21*F21*K21*J21*L21*M21)/12500000</f>
        <v/>
      </c>
      <c r="R21">
        <f>(O21+P21+Q21)/3</f>
        <v/>
      </c>
      <c r="S21" t="n">
        <v>300</v>
      </c>
    </row>
    <row r="22">
      <c r="A22" t="inlineStr">
        <is>
          <t>TS</t>
        </is>
      </c>
      <c r="B22" t="inlineStr">
        <is>
          <t>actor_ts_nod_shadowteam.name</t>
        </is>
      </c>
      <c r="C22" t="inlineStr">
        <is>
          <t>ts_nod_shadowteam</t>
        </is>
      </c>
      <c r="D22" t="n">
        <v>30000</v>
      </c>
      <c r="E22" t="n">
        <v>60</v>
      </c>
      <c r="F22" t="n">
        <v>8</v>
      </c>
      <c r="G22" t="n">
        <v>14000</v>
      </c>
      <c r="H22" t="n">
        <v>1</v>
      </c>
      <c r="I22" t="n">
        <v>15</v>
      </c>
      <c r="J22">
        <f>G22/I22*H22</f>
        <v/>
      </c>
      <c r="K22" t="n">
        <v>1</v>
      </c>
      <c r="L22" t="n">
        <v>1</v>
      </c>
      <c r="M22" t="n">
        <v>1</v>
      </c>
      <c r="N22" t="inlineStr"/>
      <c r="O22">
        <f>(D22/100000+E22/100+F22*K22/5+J22/200)*200*L22*M22</f>
        <v/>
      </c>
      <c r="P22">
        <f>((D22*E22/25000)+(F22*K22*J22/2.5))*L22*M22</f>
        <v/>
      </c>
      <c r="Q22">
        <f>(D22*E22*F22*K22*J22*L22*M22)/12500000</f>
        <v/>
      </c>
      <c r="R22">
        <f>(O22+P22+Q22)/3</f>
        <v/>
      </c>
      <c r="S22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2026-07-10T23:12:44Z</dcterms:created>
  <dcterms:modified xsi:type="dcterms:W3CDTF">2026-07-10T23:12:44Z</dcterms:modified>
</cp:coreProperties>
</file>