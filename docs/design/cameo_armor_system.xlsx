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3" autoFilterDateGrouping="1"/>
  </bookViews>
  <sheets>
    <sheet name="Armor Types" sheetId="1" state="visible" r:id="rId1"/>
    <sheet name="Weapon Types" sheetId="2" state="visible" r:id="rId2"/>
    <sheet name="Infantry" sheetId="3" state="visible" r:id="rId3"/>
    <sheet name="Tanks" sheetId="4" state="visible" r:id="rId4"/>
    <sheet name="Vehicles" sheetId="5" state="visible" r:id="rId5"/>
    <sheet name="Aircraft" sheetId="6" state="visible" r:id="rId6"/>
    <sheet name="Defenses" sheetId="7" state="visible" r:id="rId7"/>
    <sheet name="CABAL" sheetId="8" state="visible" r:id="rId8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onsolas"/>
      <family val="3"/>
      <color rgb="FFCCCCCC"/>
      <sz val="11"/>
    </font>
    <font>
      <name val="Consolas"/>
      <family val="3"/>
      <color rgb="FF569CD6"/>
      <sz val="11"/>
    </font>
    <font>
      <name val="Consolas"/>
      <family val="3"/>
      <color rgb="FFB5CEA8"/>
      <sz val="11"/>
    </font>
    <font>
      <name val="Calibri"/>
      <family val="2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1" xfId="0"/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2" fontId="6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26"/>
  <sheetViews>
    <sheetView workbookViewId="0">
      <selection activeCell="F26" sqref="F26"/>
    </sheetView>
  </sheetViews>
  <sheetFormatPr baseColWidth="10" defaultRowHeight="15"/>
  <sheetData>
    <row r="3">
      <c r="B3" s="3" t="inlineStr">
        <is>
          <t>Infantry</t>
        </is>
      </c>
      <c r="C3" t="inlineStr">
        <is>
          <t>None</t>
        </is>
      </c>
      <c r="D3" t="inlineStr">
        <is>
          <t>Flak</t>
        </is>
      </c>
      <c r="E3" t="inlineStr">
        <is>
          <t>Plate</t>
        </is>
      </c>
      <c r="F3" t="inlineStr">
        <is>
          <t>Hero</t>
        </is>
      </c>
    </row>
    <row r="4">
      <c r="B4" s="3" t="inlineStr">
        <is>
          <t>Vehicles</t>
        </is>
      </c>
      <c r="C4" t="inlineStr">
        <is>
          <t>Scout</t>
        </is>
      </c>
      <c r="D4" t="inlineStr">
        <is>
          <t>Light</t>
        </is>
      </c>
      <c r="E4" t="inlineStr">
        <is>
          <t>Medium</t>
        </is>
      </c>
      <c r="F4" t="inlineStr">
        <is>
          <t>Heavy</t>
        </is>
      </c>
      <c r="G4" t="inlineStr">
        <is>
          <t>Superheavy</t>
        </is>
      </c>
    </row>
    <row r="5">
      <c r="B5" s="3" t="inlineStr">
        <is>
          <t>Aircraft</t>
        </is>
      </c>
      <c r="C5" t="inlineStr">
        <is>
          <t>Fighter</t>
        </is>
      </c>
      <c r="D5" t="inlineStr">
        <is>
          <t>Bomber</t>
        </is>
      </c>
      <c r="E5" t="inlineStr">
        <is>
          <t>Helicopter</t>
        </is>
      </c>
      <c r="F5" t="inlineStr">
        <is>
          <t>Spaceship</t>
        </is>
      </c>
    </row>
    <row r="6">
      <c r="B6" s="3" t="inlineStr">
        <is>
          <t>Buildings</t>
        </is>
      </c>
      <c r="C6" t="inlineStr">
        <is>
          <t>Wood</t>
        </is>
      </c>
      <c r="D6" t="inlineStr">
        <is>
          <t>Concrete</t>
        </is>
      </c>
      <c r="E6" t="inlineStr">
        <is>
          <t>Steel</t>
        </is>
      </c>
    </row>
    <row r="11">
      <c r="B11" s="2" t="inlineStr">
        <is>
          <t xml:space="preserve">            None: 100</t>
        </is>
      </c>
      <c r="E11" t="inlineStr">
        <is>
          <t>scout</t>
        </is>
      </c>
      <c r="F11" t="inlineStr">
        <is>
          <t>superheavy</t>
        </is>
      </c>
    </row>
    <row r="12">
      <c r="B12" s="2" t="inlineStr">
        <is>
          <t xml:space="preserve">            Flak: 96</t>
        </is>
      </c>
      <c r="E12" t="inlineStr">
        <is>
          <t>none</t>
        </is>
      </c>
      <c r="F12" t="inlineStr">
        <is>
          <t>spaceship</t>
        </is>
      </c>
    </row>
    <row r="13">
      <c r="B13" s="2" t="inlineStr">
        <is>
          <t xml:space="preserve">            Plate: 92</t>
        </is>
      </c>
      <c r="E13" t="inlineStr">
        <is>
          <t>fighter</t>
        </is>
      </c>
      <c r="F13" t="inlineStr">
        <is>
          <t>steel</t>
        </is>
      </c>
    </row>
    <row r="14">
      <c r="B14" s="2" t="inlineStr">
        <is>
          <t xml:space="preserve">            Heroic: 88</t>
        </is>
      </c>
      <c r="E14" t="inlineStr">
        <is>
          <t>wood</t>
        </is>
      </c>
      <c r="F14" t="inlineStr">
        <is>
          <t>plate</t>
        </is>
      </c>
    </row>
    <row r="15">
      <c r="B15" s="2" t="inlineStr">
        <is>
          <t xml:space="preserve">            Superheavy: 84</t>
        </is>
      </c>
      <c r="E15" t="inlineStr">
        <is>
          <t>light</t>
        </is>
      </c>
      <c r="F15" t="inlineStr">
        <is>
          <t>heavy</t>
        </is>
      </c>
    </row>
    <row r="16">
      <c r="B16" s="2" t="inlineStr">
        <is>
          <t xml:space="preserve">            Heavy: 80</t>
        </is>
      </c>
      <c r="E16" t="inlineStr">
        <is>
          <t>flak</t>
        </is>
      </c>
      <c r="F16" t="inlineStr">
        <is>
          <t>helicopter</t>
        </is>
      </c>
    </row>
    <row r="17">
      <c r="B17" s="2" t="inlineStr">
        <is>
          <t xml:space="preserve">            Medium: 76</t>
        </is>
      </c>
      <c r="E17" t="inlineStr">
        <is>
          <t>bomber</t>
        </is>
      </c>
      <c r="F17" t="inlineStr">
        <is>
          <t>concrete</t>
        </is>
      </c>
    </row>
    <row r="18">
      <c r="B18" s="2" t="inlineStr">
        <is>
          <t xml:space="preserve">            Light: 72</t>
        </is>
      </c>
      <c r="E18" t="inlineStr">
        <is>
          <t>concrete</t>
        </is>
      </c>
      <c r="F18" t="inlineStr">
        <is>
          <t>flak</t>
        </is>
      </c>
    </row>
    <row r="19">
      <c r="B19" s="2" t="inlineStr">
        <is>
          <t xml:space="preserve">            Scout: 68</t>
        </is>
      </c>
      <c r="E19" t="inlineStr">
        <is>
          <t>medium</t>
        </is>
      </c>
      <c r="F19" t="inlineStr">
        <is>
          <t>medium</t>
        </is>
      </c>
    </row>
    <row r="20">
      <c r="B20" s="2" t="inlineStr">
        <is>
          <t xml:space="preserve">            Steel: 64</t>
        </is>
      </c>
      <c r="E20" t="inlineStr">
        <is>
          <t>plate</t>
        </is>
      </c>
      <c r="F20" t="inlineStr">
        <is>
          <t>bomber</t>
        </is>
      </c>
    </row>
    <row r="21">
      <c r="B21" s="2" t="inlineStr">
        <is>
          <t xml:space="preserve">            Concrete: 60</t>
        </is>
      </c>
      <c r="E21" t="inlineStr">
        <is>
          <t>helicopter</t>
        </is>
      </c>
      <c r="F21" t="inlineStr">
        <is>
          <t>wood</t>
        </is>
      </c>
    </row>
    <row r="22">
      <c r="B22" s="2" t="inlineStr">
        <is>
          <t xml:space="preserve">            Wood: 56</t>
        </is>
      </c>
      <c r="E22" t="inlineStr">
        <is>
          <t>steel</t>
        </is>
      </c>
      <c r="F22" t="inlineStr">
        <is>
          <t>none</t>
        </is>
      </c>
    </row>
    <row r="23">
      <c r="B23" s="2" t="inlineStr">
        <is>
          <t xml:space="preserve">            Fighter: 52</t>
        </is>
      </c>
      <c r="E23" t="inlineStr">
        <is>
          <t>heavy</t>
        </is>
      </c>
      <c r="F23" t="inlineStr">
        <is>
          <t>light</t>
        </is>
      </c>
    </row>
    <row r="24">
      <c r="B24" s="2" t="inlineStr">
        <is>
          <t xml:space="preserve">            Bomber: 48</t>
        </is>
      </c>
      <c r="E24" t="inlineStr">
        <is>
          <t>heroic</t>
        </is>
      </c>
      <c r="F24" t="inlineStr">
        <is>
          <t>fighter</t>
        </is>
      </c>
    </row>
    <row r="25">
      <c r="B25" s="2" t="inlineStr">
        <is>
          <t xml:space="preserve">            Helicopter: 44</t>
        </is>
      </c>
      <c r="E25" t="inlineStr">
        <is>
          <t>spaceship</t>
        </is>
      </c>
      <c r="F25" t="inlineStr">
        <is>
          <t>heroic</t>
        </is>
      </c>
    </row>
    <row r="26">
      <c r="B26" s="2" t="inlineStr">
        <is>
          <t xml:space="preserve">            Spaceship: 40</t>
        </is>
      </c>
      <c r="E26" t="inlineStr">
        <is>
          <t>superheavy</t>
        </is>
      </c>
      <c r="F26" t="inlineStr">
        <is>
          <t>scout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35"/>
  <sheetViews>
    <sheetView workbookViewId="0">
      <selection activeCell="H35" sqref="H35"/>
    </sheetView>
  </sheetViews>
  <sheetFormatPr baseColWidth="10" defaultRowHeight="15"/>
  <cols>
    <col width="14.28515625" bestFit="1" customWidth="1" min="2" max="2"/>
    <col width="21.7109375" bestFit="1" customWidth="1" min="7" max="7"/>
    <col width="10.42578125" bestFit="1" customWidth="1" min="9" max="9"/>
    <col width="8.5703125" bestFit="1" customWidth="1" min="10" max="12"/>
    <col width="13.28515625" bestFit="1" customWidth="1" min="14" max="14"/>
  </cols>
  <sheetData>
    <row r="1">
      <c r="I1" t="inlineStr">
        <is>
          <t>SmallArms</t>
        </is>
      </c>
      <c r="J1" t="inlineStr">
        <is>
          <t>Light</t>
        </is>
      </c>
      <c r="K1" t="inlineStr">
        <is>
          <t>Medium</t>
        </is>
      </c>
      <c r="L1" t="inlineStr">
        <is>
          <t>Heavy</t>
        </is>
      </c>
      <c r="M1" t="inlineStr">
        <is>
          <t>Superheavy</t>
        </is>
      </c>
      <c r="N1" t="inlineStr">
        <is>
          <t>Superweapon</t>
        </is>
      </c>
    </row>
    <row r="2">
      <c r="C2" t="inlineStr">
        <is>
          <t>Infantry</t>
        </is>
      </c>
      <c r="D2" t="inlineStr">
        <is>
          <t>Vehicle</t>
        </is>
      </c>
      <c r="E2" t="inlineStr">
        <is>
          <t>Aircraft</t>
        </is>
      </c>
      <c r="F2" t="inlineStr">
        <is>
          <t>Building</t>
        </is>
      </c>
      <c r="I2" t="inlineStr">
        <is>
          <t>Scaling 6</t>
        </is>
      </c>
      <c r="J2" t="inlineStr">
        <is>
          <t>Scaling 5</t>
        </is>
      </c>
      <c r="K2" t="inlineStr">
        <is>
          <t>Scaling 4</t>
        </is>
      </c>
      <c r="L2" t="inlineStr">
        <is>
          <t>Scaling 3</t>
        </is>
      </c>
      <c r="M2" t="inlineStr">
        <is>
          <t>Scaling 2</t>
        </is>
      </c>
      <c r="N2" t="inlineStr">
        <is>
          <t>Scaling 1</t>
        </is>
      </c>
    </row>
    <row r="3">
      <c r="B3" t="inlineStr">
        <is>
          <t>Small Arms</t>
        </is>
      </c>
      <c r="C3" s="1" t="n">
        <v>4</v>
      </c>
      <c r="D3" t="n">
        <v>3</v>
      </c>
      <c r="E3" s="1" t="n">
        <v>1</v>
      </c>
      <c r="F3" t="n">
        <v>2</v>
      </c>
      <c r="G3" t="inlineStr">
        <is>
          <t>light</t>
        </is>
      </c>
      <c r="H3" t="n">
        <v>1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</row>
    <row r="4">
      <c r="B4" t="inlineStr">
        <is>
          <t>Chaingun</t>
        </is>
      </c>
      <c r="C4" t="n">
        <v>3</v>
      </c>
      <c r="D4" t="n">
        <v>2</v>
      </c>
      <c r="E4" t="n">
        <v>2</v>
      </c>
      <c r="F4" t="n">
        <v>1</v>
      </c>
      <c r="G4" t="inlineStr">
        <is>
          <t>medium</t>
        </is>
      </c>
      <c r="H4" t="n">
        <v>2</v>
      </c>
      <c r="I4" t="n">
        <v>94</v>
      </c>
      <c r="J4" t="n">
        <v>95</v>
      </c>
      <c r="K4" t="n">
        <v>96</v>
      </c>
      <c r="L4" t="n">
        <v>97</v>
      </c>
      <c r="M4" t="n">
        <v>98</v>
      </c>
      <c r="N4" t="n">
        <v>99</v>
      </c>
    </row>
    <row r="5">
      <c r="B5" t="inlineStr">
        <is>
          <t>Flak</t>
        </is>
      </c>
      <c r="C5" t="n">
        <v>3</v>
      </c>
      <c r="D5" t="n">
        <v>2</v>
      </c>
      <c r="E5" t="n">
        <v>4</v>
      </c>
      <c r="F5" t="n">
        <v>1</v>
      </c>
      <c r="G5" t="inlineStr">
        <is>
          <t>medium</t>
        </is>
      </c>
      <c r="H5" t="n">
        <v>3</v>
      </c>
      <c r="I5" t="n">
        <v>88</v>
      </c>
      <c r="J5" t="n">
        <v>90</v>
      </c>
      <c r="K5" t="n">
        <v>92</v>
      </c>
      <c r="L5" t="n">
        <v>94</v>
      </c>
      <c r="M5" t="n">
        <v>96</v>
      </c>
      <c r="N5" t="n">
        <v>98</v>
      </c>
    </row>
    <row r="6">
      <c r="B6" t="inlineStr">
        <is>
          <t>Tank Destroyer</t>
        </is>
      </c>
      <c r="C6" t="n">
        <v>2</v>
      </c>
      <c r="D6" t="n">
        <v>4</v>
      </c>
      <c r="E6" t="n">
        <v>1</v>
      </c>
      <c r="F6" t="n">
        <v>3</v>
      </c>
      <c r="G6" t="inlineStr">
        <is>
          <t>light</t>
        </is>
      </c>
      <c r="H6" t="n">
        <v>4</v>
      </c>
      <c r="I6" t="n">
        <v>82</v>
      </c>
      <c r="J6" t="n">
        <v>85</v>
      </c>
      <c r="K6" t="n">
        <v>88</v>
      </c>
      <c r="L6" t="n">
        <v>91</v>
      </c>
      <c r="M6" t="n">
        <v>94</v>
      </c>
      <c r="N6" t="n">
        <v>97</v>
      </c>
    </row>
    <row r="7">
      <c r="B7" t="inlineStr">
        <is>
          <t>Cannon</t>
        </is>
      </c>
      <c r="C7" t="n">
        <v>2</v>
      </c>
      <c r="D7" t="n">
        <v>3</v>
      </c>
      <c r="E7" t="n">
        <v>1</v>
      </c>
      <c r="F7" t="n">
        <v>3</v>
      </c>
      <c r="G7" t="inlineStr">
        <is>
          <t>medium + heavy</t>
        </is>
      </c>
      <c r="H7" t="n">
        <v>5</v>
      </c>
      <c r="I7" t="n">
        <v>76</v>
      </c>
      <c r="J7" t="n">
        <v>80</v>
      </c>
      <c r="K7" t="n">
        <v>84</v>
      </c>
      <c r="L7" t="n">
        <v>88</v>
      </c>
      <c r="M7" t="n">
        <v>92</v>
      </c>
      <c r="N7" t="n">
        <v>96</v>
      </c>
    </row>
    <row r="8">
      <c r="B8" t="inlineStr">
        <is>
          <t>Missile</t>
        </is>
      </c>
      <c r="C8" t="n">
        <v>1</v>
      </c>
      <c r="D8" t="n">
        <v>3</v>
      </c>
      <c r="E8" t="n">
        <v>3</v>
      </c>
      <c r="F8" t="n">
        <v>2</v>
      </c>
      <c r="G8" t="inlineStr">
        <is>
          <t>medium + heavy</t>
        </is>
      </c>
      <c r="H8" t="n">
        <v>6</v>
      </c>
      <c r="I8" t="n">
        <v>70</v>
      </c>
      <c r="J8" t="n">
        <v>75</v>
      </c>
      <c r="K8" t="n">
        <v>80</v>
      </c>
      <c r="L8" t="n">
        <v>85</v>
      </c>
      <c r="M8" t="n">
        <v>90</v>
      </c>
      <c r="N8" t="n">
        <v>95</v>
      </c>
    </row>
    <row r="9">
      <c r="B9" t="inlineStr">
        <is>
          <t>Grenade</t>
        </is>
      </c>
      <c r="C9" t="n">
        <v>3</v>
      </c>
      <c r="D9" t="n">
        <v>2</v>
      </c>
      <c r="E9" t="n">
        <v>1</v>
      </c>
      <c r="F9" t="n">
        <v>3</v>
      </c>
      <c r="G9" t="inlineStr">
        <is>
          <t>medium</t>
        </is>
      </c>
      <c r="H9" t="n">
        <v>7</v>
      </c>
      <c r="I9" t="n">
        <v>64</v>
      </c>
      <c r="J9" t="n">
        <v>70</v>
      </c>
      <c r="K9" t="n">
        <v>76</v>
      </c>
      <c r="L9" t="n">
        <v>82</v>
      </c>
      <c r="M9" t="n">
        <v>88</v>
      </c>
      <c r="N9" t="n">
        <v>94</v>
      </c>
    </row>
    <row r="10">
      <c r="B10" t="inlineStr">
        <is>
          <t>Tesla</t>
        </is>
      </c>
      <c r="C10" t="n">
        <v>4</v>
      </c>
      <c r="D10" t="n">
        <v>3</v>
      </c>
      <c r="E10" t="n">
        <v>1</v>
      </c>
      <c r="F10" t="n">
        <v>2</v>
      </c>
      <c r="G10" t="inlineStr">
        <is>
          <t>heavy</t>
        </is>
      </c>
      <c r="H10" t="n">
        <v>8</v>
      </c>
      <c r="I10" t="n">
        <v>58</v>
      </c>
      <c r="J10" t="n">
        <v>65</v>
      </c>
      <c r="K10" t="n">
        <v>72</v>
      </c>
      <c r="L10" t="n">
        <v>79</v>
      </c>
      <c r="M10" t="n">
        <v>86</v>
      </c>
      <c r="N10" t="n">
        <v>93</v>
      </c>
    </row>
    <row r="11">
      <c r="B11" t="inlineStr">
        <is>
          <t>Laser</t>
        </is>
      </c>
      <c r="C11" t="n">
        <v>2</v>
      </c>
      <c r="D11" t="n">
        <v>2</v>
      </c>
      <c r="E11" t="n">
        <v>2</v>
      </c>
      <c r="F11" t="n">
        <v>1</v>
      </c>
      <c r="G11" t="inlineStr">
        <is>
          <t>heavy</t>
        </is>
      </c>
      <c r="H11" t="n">
        <v>9</v>
      </c>
      <c r="I11" t="n">
        <v>52</v>
      </c>
      <c r="J11" t="n">
        <v>60</v>
      </c>
      <c r="K11" t="n">
        <v>68</v>
      </c>
      <c r="L11" t="n">
        <v>76</v>
      </c>
      <c r="M11" t="n">
        <v>84</v>
      </c>
      <c r="N11" t="n">
        <v>92</v>
      </c>
    </row>
    <row r="12">
      <c r="B12" t="inlineStr">
        <is>
          <t>Railgun</t>
        </is>
      </c>
      <c r="C12" t="n">
        <v>3</v>
      </c>
      <c r="D12" t="n">
        <v>4</v>
      </c>
      <c r="E12" t="n">
        <v>1</v>
      </c>
      <c r="F12" t="n">
        <v>2</v>
      </c>
      <c r="G12" t="inlineStr">
        <is>
          <t>heavy</t>
        </is>
      </c>
      <c r="H12" t="n">
        <v>10</v>
      </c>
      <c r="I12" t="n">
        <v>46</v>
      </c>
      <c r="J12" t="n">
        <v>55</v>
      </c>
      <c r="K12" t="n">
        <v>64</v>
      </c>
      <c r="L12" t="n">
        <v>73</v>
      </c>
      <c r="M12" t="n">
        <v>82</v>
      </c>
      <c r="N12" t="n">
        <v>91</v>
      </c>
    </row>
    <row r="13">
      <c r="B13" t="inlineStr">
        <is>
          <t>Fire</t>
        </is>
      </c>
      <c r="C13" t="n">
        <v>4</v>
      </c>
      <c r="D13" t="n">
        <v>2</v>
      </c>
      <c r="E13" t="n">
        <v>1</v>
      </c>
      <c r="F13" t="n">
        <v>3</v>
      </c>
      <c r="G13" t="inlineStr">
        <is>
          <t>light + medium + heavy</t>
        </is>
      </c>
      <c r="H13" t="n">
        <v>11</v>
      </c>
      <c r="I13" t="n">
        <v>40</v>
      </c>
      <c r="J13" t="n">
        <v>50</v>
      </c>
      <c r="K13" t="n">
        <v>60</v>
      </c>
      <c r="L13" t="n">
        <v>70</v>
      </c>
      <c r="M13" t="n">
        <v>80</v>
      </c>
      <c r="N13" t="n">
        <v>90</v>
      </c>
    </row>
    <row r="14">
      <c r="B14" t="inlineStr">
        <is>
          <t>Chemical</t>
        </is>
      </c>
      <c r="C14" t="n">
        <v>3</v>
      </c>
      <c r="D14" t="n">
        <v>3</v>
      </c>
      <c r="E14" t="n">
        <v>1</v>
      </c>
      <c r="F14" t="n">
        <v>2</v>
      </c>
      <c r="G14" t="inlineStr">
        <is>
          <t>light + medium + heavy</t>
        </is>
      </c>
      <c r="H14" t="n">
        <v>12</v>
      </c>
      <c r="I14" t="n">
        <v>34</v>
      </c>
      <c r="J14" t="n">
        <v>45</v>
      </c>
      <c r="K14" t="n">
        <v>56</v>
      </c>
      <c r="L14" t="n">
        <v>67</v>
      </c>
      <c r="M14" t="n">
        <v>78</v>
      </c>
      <c r="N14" t="n">
        <v>89</v>
      </c>
    </row>
    <row r="15">
      <c r="B15" t="inlineStr">
        <is>
          <t>Sword</t>
        </is>
      </c>
      <c r="C15" t="n">
        <v>4</v>
      </c>
      <c r="D15" t="n">
        <v>3</v>
      </c>
      <c r="E15" t="n">
        <v>1</v>
      </c>
      <c r="F15" t="n">
        <v>2</v>
      </c>
      <c r="G15" t="inlineStr">
        <is>
          <t>medium</t>
        </is>
      </c>
      <c r="H15" t="n">
        <v>13</v>
      </c>
      <c r="I15" t="n">
        <v>28</v>
      </c>
      <c r="J15" t="n">
        <v>40</v>
      </c>
      <c r="K15" t="n">
        <v>52</v>
      </c>
      <c r="L15" t="n">
        <v>64</v>
      </c>
      <c r="M15" t="n">
        <v>76</v>
      </c>
      <c r="N15" t="n">
        <v>88</v>
      </c>
    </row>
    <row r="16">
      <c r="B16" t="inlineStr">
        <is>
          <t>Arrow</t>
        </is>
      </c>
      <c r="C16" t="n">
        <v>3</v>
      </c>
      <c r="D16" t="n">
        <v>2</v>
      </c>
      <c r="E16" t="n">
        <v>3</v>
      </c>
      <c r="F16" t="n">
        <v>1</v>
      </c>
      <c r="G16" t="inlineStr">
        <is>
          <t>light</t>
        </is>
      </c>
      <c r="H16" t="n">
        <v>14</v>
      </c>
      <c r="I16" t="n">
        <v>22</v>
      </c>
      <c r="J16" t="n">
        <v>35</v>
      </c>
      <c r="K16" t="n">
        <v>48</v>
      </c>
      <c r="L16" t="n">
        <v>61</v>
      </c>
      <c r="M16" t="n">
        <v>74</v>
      </c>
      <c r="N16" t="n">
        <v>87</v>
      </c>
    </row>
    <row r="17">
      <c r="B17" t="inlineStr">
        <is>
          <t>Magic</t>
        </is>
      </c>
      <c r="C17" t="n">
        <v>3</v>
      </c>
      <c r="D17" t="n">
        <v>3</v>
      </c>
      <c r="E17" t="n">
        <v>2</v>
      </c>
      <c r="F17" t="n">
        <v>1</v>
      </c>
      <c r="G17" t="inlineStr">
        <is>
          <t>heavy</t>
        </is>
      </c>
      <c r="H17" t="n">
        <v>15</v>
      </c>
      <c r="I17" t="n">
        <v>16</v>
      </c>
      <c r="J17" t="n">
        <v>30</v>
      </c>
      <c r="K17" t="n">
        <v>44</v>
      </c>
      <c r="L17" t="n">
        <v>58</v>
      </c>
      <c r="M17" t="n">
        <v>72</v>
      </c>
      <c r="N17" t="n">
        <v>86</v>
      </c>
    </row>
    <row r="18">
      <c r="H18" t="n">
        <v>16</v>
      </c>
      <c r="I18" t="n">
        <v>10</v>
      </c>
      <c r="J18" t="n">
        <v>25</v>
      </c>
      <c r="K18" t="n">
        <v>40</v>
      </c>
      <c r="L18" t="n">
        <v>55</v>
      </c>
      <c r="M18" t="n">
        <v>70</v>
      </c>
      <c r="N18" t="n">
        <v>85</v>
      </c>
    </row>
    <row r="20">
      <c r="H20" t="n">
        <v>1</v>
      </c>
      <c r="I20" t="n">
        <v>15</v>
      </c>
      <c r="J20" t="n">
        <v>20</v>
      </c>
      <c r="K20" t="n">
        <v>25</v>
      </c>
      <c r="L20" t="n">
        <v>30</v>
      </c>
      <c r="M20" t="n">
        <v>35</v>
      </c>
      <c r="N20" t="n">
        <v>40</v>
      </c>
    </row>
    <row r="21">
      <c r="H21" t="n">
        <v>2</v>
      </c>
      <c r="I21" t="n">
        <v>14</v>
      </c>
      <c r="J21" t="n">
        <v>19</v>
      </c>
      <c r="K21" t="n">
        <v>24</v>
      </c>
      <c r="L21" t="n">
        <v>29</v>
      </c>
      <c r="M21" t="n">
        <v>34</v>
      </c>
      <c r="N21" t="n">
        <v>39</v>
      </c>
    </row>
    <row r="22">
      <c r="H22" t="n">
        <v>3</v>
      </c>
      <c r="I22" t="n">
        <v>13</v>
      </c>
      <c r="J22" t="n">
        <v>18</v>
      </c>
      <c r="K22" t="n">
        <v>23</v>
      </c>
      <c r="L22" t="n">
        <v>28</v>
      </c>
      <c r="M22" t="n">
        <v>33</v>
      </c>
      <c r="N22" t="n">
        <v>38</v>
      </c>
    </row>
    <row r="23">
      <c r="H23" t="n">
        <v>4</v>
      </c>
      <c r="I23" t="n">
        <v>12</v>
      </c>
      <c r="J23" t="n">
        <v>17</v>
      </c>
      <c r="K23" t="n">
        <v>22</v>
      </c>
      <c r="L23" t="n">
        <v>27</v>
      </c>
      <c r="M23" t="n">
        <v>32</v>
      </c>
      <c r="N23" t="n">
        <v>37</v>
      </c>
    </row>
    <row r="24">
      <c r="H24" t="n">
        <v>5</v>
      </c>
      <c r="I24" t="n">
        <v>11</v>
      </c>
      <c r="J24" t="n">
        <v>16</v>
      </c>
      <c r="K24" t="n">
        <v>21</v>
      </c>
      <c r="L24" t="n">
        <v>26</v>
      </c>
      <c r="M24" t="n">
        <v>31</v>
      </c>
      <c r="N24" t="n">
        <v>36</v>
      </c>
    </row>
    <row r="25">
      <c r="H25" t="n">
        <v>6</v>
      </c>
      <c r="I25" t="n">
        <v>11</v>
      </c>
      <c r="J25" t="n">
        <v>15</v>
      </c>
      <c r="K25" t="n">
        <v>20</v>
      </c>
      <c r="L25" t="n">
        <v>25</v>
      </c>
      <c r="M25" t="n">
        <v>30</v>
      </c>
      <c r="N25" t="n">
        <v>35</v>
      </c>
    </row>
    <row r="26">
      <c r="H26" t="n">
        <v>7</v>
      </c>
      <c r="I26" t="n">
        <v>10</v>
      </c>
      <c r="J26" t="n">
        <v>14</v>
      </c>
      <c r="K26" t="n">
        <v>19</v>
      </c>
      <c r="L26" t="n">
        <v>24</v>
      </c>
      <c r="M26" t="n">
        <v>29</v>
      </c>
      <c r="N26" t="n">
        <v>34</v>
      </c>
    </row>
    <row r="27">
      <c r="H27" t="n">
        <v>8</v>
      </c>
      <c r="I27" t="n">
        <v>9</v>
      </c>
      <c r="J27" t="n">
        <v>13</v>
      </c>
      <c r="K27" t="n">
        <v>18</v>
      </c>
      <c r="L27" t="n">
        <v>23</v>
      </c>
      <c r="M27" t="n">
        <v>28</v>
      </c>
      <c r="N27" t="n">
        <v>33</v>
      </c>
    </row>
    <row r="28">
      <c r="H28" t="n">
        <v>9</v>
      </c>
      <c r="I28" t="n">
        <v>8</v>
      </c>
      <c r="J28" t="n">
        <v>12</v>
      </c>
      <c r="K28" t="n">
        <v>17</v>
      </c>
      <c r="L28" t="n">
        <v>22</v>
      </c>
      <c r="M28" t="n">
        <v>27</v>
      </c>
      <c r="N28" t="n">
        <v>32</v>
      </c>
    </row>
    <row r="29">
      <c r="H29" t="n">
        <v>10</v>
      </c>
      <c r="I29" t="n">
        <v>7</v>
      </c>
      <c r="J29" t="n">
        <v>11</v>
      </c>
      <c r="K29" t="n">
        <v>16</v>
      </c>
      <c r="L29" t="n">
        <v>21</v>
      </c>
      <c r="M29" t="n">
        <v>26</v>
      </c>
      <c r="N29" t="n">
        <v>31</v>
      </c>
    </row>
    <row r="30">
      <c r="B30" t="inlineStr">
        <is>
          <t>Superweapon</t>
        </is>
      </c>
      <c r="C30" t="n">
        <v>1</v>
      </c>
      <c r="D30" t="n">
        <v>1</v>
      </c>
      <c r="E30" t="n">
        <v>1</v>
      </c>
      <c r="F30" t="n">
        <v>1</v>
      </c>
      <c r="G30" t="inlineStr">
        <is>
          <t>super</t>
        </is>
      </c>
      <c r="H30" t="n">
        <v>11</v>
      </c>
      <c r="I30" t="n">
        <v>6</v>
      </c>
      <c r="J30" t="n">
        <v>10</v>
      </c>
      <c r="K30" t="n">
        <v>15</v>
      </c>
      <c r="L30" t="n">
        <v>20</v>
      </c>
      <c r="M30" t="n">
        <v>25</v>
      </c>
      <c r="N30" t="n">
        <v>30</v>
      </c>
    </row>
    <row r="31">
      <c r="H31" t="n">
        <v>12</v>
      </c>
      <c r="I31" t="n">
        <v>5</v>
      </c>
      <c r="J31" t="n">
        <v>9</v>
      </c>
      <c r="K31" t="n">
        <v>14</v>
      </c>
      <c r="L31" t="n">
        <v>19</v>
      </c>
      <c r="M31" t="n">
        <v>24</v>
      </c>
      <c r="N31" t="n">
        <v>29</v>
      </c>
    </row>
    <row r="32">
      <c r="H32" t="n">
        <v>13</v>
      </c>
      <c r="I32" t="n">
        <v>4</v>
      </c>
      <c r="J32" t="n">
        <v>8</v>
      </c>
      <c r="K32" t="n">
        <v>13</v>
      </c>
      <c r="L32" t="n">
        <v>18</v>
      </c>
      <c r="M32" t="n">
        <v>23</v>
      </c>
      <c r="N32" t="n">
        <v>28</v>
      </c>
    </row>
    <row r="33">
      <c r="H33" t="n">
        <v>14</v>
      </c>
      <c r="I33" t="n">
        <v>3</v>
      </c>
      <c r="J33" t="n">
        <v>7</v>
      </c>
      <c r="K33" t="n">
        <v>12</v>
      </c>
      <c r="L33" t="n">
        <v>17</v>
      </c>
      <c r="M33" t="n">
        <v>22</v>
      </c>
      <c r="N33" t="n">
        <v>27</v>
      </c>
    </row>
    <row r="34">
      <c r="H34" t="n">
        <v>15</v>
      </c>
      <c r="I34" t="n">
        <v>2</v>
      </c>
      <c r="J34" t="n">
        <v>6</v>
      </c>
      <c r="K34" t="n">
        <v>11</v>
      </c>
      <c r="L34" t="n">
        <v>16</v>
      </c>
      <c r="M34" t="n">
        <v>21</v>
      </c>
      <c r="N34" t="n">
        <v>26</v>
      </c>
    </row>
    <row r="35">
      <c r="H35" t="n">
        <v>16</v>
      </c>
      <c r="I35" t="n">
        <v>2</v>
      </c>
      <c r="J35" t="n">
        <v>5</v>
      </c>
      <c r="K35" t="n">
        <v>10</v>
      </c>
      <c r="L35" t="n">
        <v>15</v>
      </c>
      <c r="M35" t="n">
        <v>20</v>
      </c>
      <c r="N35" t="n">
        <v>25</v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196"/>
  <sheetViews>
    <sheetView topLeftCell="A148" workbookViewId="0">
      <selection activeCell="L196" sqref="L196"/>
    </sheetView>
  </sheetViews>
  <sheetFormatPr baseColWidth="10" defaultRowHeight="15"/>
  <cols>
    <col width="12.28515625" bestFit="1" customWidth="1" min="1" max="1"/>
    <col width="25.28515625" bestFit="1" customWidth="1" min="2" max="2"/>
  </cols>
  <sheetData>
    <row r="2">
      <c r="B2" t="inlineStr">
        <is>
          <t>Scout Infantry</t>
        </is>
      </c>
      <c r="D2" t="inlineStr">
        <is>
          <t>HP</t>
        </is>
      </c>
      <c r="E2" t="inlineStr">
        <is>
          <t>Speed</t>
        </is>
      </c>
      <c r="F2" t="inlineStr">
        <is>
          <t>Range</t>
        </is>
      </c>
      <c r="G2" t="inlineStr">
        <is>
          <t>Damage</t>
        </is>
      </c>
      <c r="H2" t="inlineStr">
        <is>
          <t>Weapon Class</t>
        </is>
      </c>
      <c r="I2" t="inlineStr">
        <is>
          <t>Reload Delay</t>
        </is>
      </c>
      <c r="J2" s="6" t="inlineStr">
        <is>
          <t>DPS</t>
        </is>
      </c>
      <c r="K2" t="inlineStr">
        <is>
          <t>Special</t>
        </is>
      </c>
      <c r="L2" t="inlineStr">
        <is>
          <t>Unit Class</t>
        </is>
      </c>
      <c r="M2" t="inlineStr">
        <is>
          <t>Tech Tier</t>
        </is>
      </c>
      <c r="O2" s="6" t="n"/>
      <c r="P2" s="6" t="n"/>
      <c r="Q2" s="6" t="n"/>
      <c r="R2" s="6" t="n"/>
      <c r="S2" t="inlineStr">
        <is>
          <t>Cost</t>
        </is>
      </c>
    </row>
    <row r="3">
      <c r="J3" s="6" t="n"/>
      <c r="O3" s="6" t="n"/>
      <c r="P3" s="6" t="n"/>
      <c r="Q3" s="6" t="n"/>
      <c r="R3" s="6" t="n"/>
    </row>
    <row r="4">
      <c r="A4" t="inlineStr">
        <is>
          <t>TD</t>
        </is>
      </c>
      <c r="B4" t="inlineStr">
        <is>
          <t>Minigunner</t>
        </is>
      </c>
      <c r="D4" t="n">
        <v>16000</v>
      </c>
      <c r="E4" t="n">
        <v>60</v>
      </c>
      <c r="F4" s="7">
        <f>(S4*37500000/(L4*M4*D4*E4*K4*J4)-((500/(K4*J4))+(2500000000/(D4*E4*K4*J4)*(D4/100000+E4/100+J4/200))))/(1+5000000/(D4*E4)+(500000000/(D4*E4*J4)))</f>
        <v/>
      </c>
      <c r="G4" t="n">
        <v>2000</v>
      </c>
      <c r="H4" t="n">
        <v>0.75</v>
      </c>
      <c r="I4" t="n">
        <v>17</v>
      </c>
      <c r="J4" s="6">
        <f>G4/I4*H4</f>
        <v/>
      </c>
      <c r="K4" t="n">
        <v>1</v>
      </c>
      <c r="L4" t="n">
        <v>0.5</v>
      </c>
      <c r="M4" t="n">
        <v>1</v>
      </c>
      <c r="O4" s="6">
        <f>(D4/100000+E4/100+F4*K4/5+J4/200)*200*L4*M4</f>
        <v/>
      </c>
      <c r="P4" s="6">
        <f>((D4*E4/25000)+(F4*K4*J4/2.5))*L4*M4</f>
        <v/>
      </c>
      <c r="Q4" s="6">
        <f>(D4*E4*F4*K4*J4*L4*M4)/12500000</f>
        <v/>
      </c>
      <c r="R4" s="6">
        <f>(O4+P4+Q4)/3</f>
        <v/>
      </c>
      <c r="S4" t="n">
        <v>100</v>
      </c>
    </row>
    <row r="5">
      <c r="B5" t="inlineStr">
        <is>
          <t>Minigunner (AP Bullets)</t>
        </is>
      </c>
      <c r="D5" t="n">
        <v>16000</v>
      </c>
      <c r="E5" t="n">
        <v>60</v>
      </c>
      <c r="F5" s="7">
        <f>(S5*37500000/(L5*M5*D5*E5*K5*J5)-((500/(K5*J5))+(2500000000/(D5*E5*K5*J5)*(D5/100000+E5/100+J5/200))))/(1+5000000/(D5*E5)+(500000000/(D5*E5*J5)))</f>
        <v/>
      </c>
      <c r="G5" t="n">
        <v>4000</v>
      </c>
      <c r="H5" t="n">
        <v>1</v>
      </c>
      <c r="I5" t="n">
        <v>15</v>
      </c>
      <c r="J5" s="6">
        <f>G5/I5*H5</f>
        <v/>
      </c>
      <c r="K5" t="n">
        <v>1</v>
      </c>
      <c r="L5" t="n">
        <v>0.5</v>
      </c>
      <c r="M5" t="n">
        <v>1</v>
      </c>
      <c r="O5" s="6">
        <f>(D5/100000+E5/100+F5*K5/5+J5/200)*200*L5*M5</f>
        <v/>
      </c>
      <c r="P5" s="6">
        <f>((D5*E5/25000)+(F5*K5*J5/2.5))*L5*M5</f>
        <v/>
      </c>
      <c r="Q5" s="6">
        <f>(D5*E5*F5*K5*J5*L5*M5)/12500000</f>
        <v/>
      </c>
      <c r="R5" s="6">
        <f>(O5+P5+Q5)/3</f>
        <v/>
      </c>
      <c r="S5" t="n">
        <v>200</v>
      </c>
    </row>
    <row r="6">
      <c r="B6" t="inlineStr">
        <is>
          <t>Minigunner (Laser)</t>
        </is>
      </c>
      <c r="D6" t="n">
        <v>16000</v>
      </c>
      <c r="E6" t="n">
        <v>60</v>
      </c>
      <c r="F6" s="7">
        <f>(S6*37500000/(L6*M6*D6*E6*K6*J6)-((500/(K6*J6))+(2500000000/(D6*E6*K6*J6)*(D6/100000+E6/100+J6/200))))/(1+5000000/(D6*E6)+(500000000/(D6*E6*J6)))</f>
        <v/>
      </c>
      <c r="G6" t="n">
        <v>6000</v>
      </c>
      <c r="H6" t="n">
        <v>1</v>
      </c>
      <c r="I6" t="n">
        <v>25</v>
      </c>
      <c r="J6" s="6">
        <f>G6/I6*H6</f>
        <v/>
      </c>
      <c r="K6" t="n">
        <v>1</v>
      </c>
      <c r="L6" t="n">
        <v>0.5</v>
      </c>
      <c r="M6" t="n">
        <v>1</v>
      </c>
      <c r="O6" s="6">
        <f>(D6/100000+E6/100+F6*K6/5+J6/200)*200*L6*M6</f>
        <v/>
      </c>
      <c r="P6" s="6">
        <f>((D6*E6/25000)+(F6*K6*J6/2.5))*L6*M6</f>
        <v/>
      </c>
      <c r="Q6" s="6">
        <f>(D6*E6*F6*K6*J6*L6*M6)/12500000</f>
        <v/>
      </c>
      <c r="R6" s="6">
        <f>(O6+P6+Q6)/3</f>
        <v/>
      </c>
      <c r="S6" t="n">
        <v>200</v>
      </c>
    </row>
    <row r="7">
      <c r="A7" t="inlineStr">
        <is>
          <t>RA1</t>
        </is>
      </c>
      <c r="B7" t="inlineStr">
        <is>
          <t>Rifle Infantry</t>
        </is>
      </c>
      <c r="D7" t="n">
        <v>14000</v>
      </c>
      <c r="E7" t="n">
        <v>58</v>
      </c>
      <c r="F7" s="7">
        <f>(S7*37500000/(L7*M7*D7*E7*K7*J7)-((500/(K7*J7))+(2500000000/(D7*E7*K7*J7)*(D7/100000+E7/100+J7/200))))/(1+5000000/(D7*E7)+(500000000/(D7*E7*J7)))</f>
        <v/>
      </c>
      <c r="G7" t="n">
        <v>2000</v>
      </c>
      <c r="H7" t="n">
        <v>0.75</v>
      </c>
      <c r="I7" t="n">
        <v>20</v>
      </c>
      <c r="J7" s="6">
        <f>G7/I7*H7</f>
        <v/>
      </c>
      <c r="K7" t="n">
        <v>1</v>
      </c>
      <c r="L7" t="n">
        <v>0.5</v>
      </c>
      <c r="M7" t="n">
        <v>1</v>
      </c>
      <c r="O7" s="6">
        <f>(D7/100000+E7/100+F7*K7/5+J7/200)*200*L7*M7</f>
        <v/>
      </c>
      <c r="P7" s="6">
        <f>((D7*E7/25000)+(F7*K7*J7/2.5))*L7*M7</f>
        <v/>
      </c>
      <c r="Q7" s="6">
        <f>(D7*E7*F7*K7*J7*L7*M7)/12500000</f>
        <v/>
      </c>
      <c r="R7" s="6">
        <f>(O7+P7+Q7)/3</f>
        <v/>
      </c>
      <c r="S7" t="n">
        <v>100</v>
      </c>
    </row>
    <row r="8">
      <c r="B8" t="inlineStr">
        <is>
          <t>Imperial Scoutsman</t>
        </is>
      </c>
      <c r="D8" t="n">
        <v>11000</v>
      </c>
      <c r="E8" t="n">
        <v>55</v>
      </c>
      <c r="F8" s="7">
        <f>(S8*37500000/(L8*M8*D8*E8*K8*J8)-((500/(K8*J8))+(2500000000/(D8*E8*K8*J8)*(D8/100000+E8/100+J8/200))))/(1+5000000/(D8*E8)+(500000000/(D8*E8*J8)))</f>
        <v/>
      </c>
      <c r="G8" t="n">
        <v>4000</v>
      </c>
      <c r="H8" t="n">
        <v>0.875</v>
      </c>
      <c r="I8" t="n">
        <v>55</v>
      </c>
      <c r="J8" s="6">
        <f>G8/I8*H8</f>
        <v/>
      </c>
      <c r="K8" t="n">
        <v>1</v>
      </c>
      <c r="L8" t="n">
        <v>0.5</v>
      </c>
      <c r="M8" t="n">
        <v>1</v>
      </c>
      <c r="O8" s="6">
        <f>(D8/100000+E8/100+F8*K8/5+J8/200)*200*L8*M8</f>
        <v/>
      </c>
      <c r="P8" s="6">
        <f>((D8*E8/25000)+(F8*K8*J8/2.5))*L8*M8</f>
        <v/>
      </c>
      <c r="Q8" s="6">
        <f>(D8*E8*F8*K8*J8*L8*M8)/12500000</f>
        <v/>
      </c>
      <c r="R8" s="6">
        <f>(O8+P8+Q8)/3</f>
        <v/>
      </c>
      <c r="S8" t="n">
        <v>100</v>
      </c>
    </row>
    <row r="9">
      <c r="B9" t="inlineStr">
        <is>
          <t>AK-47 Conscript</t>
        </is>
      </c>
      <c r="D9" t="n">
        <v>22000</v>
      </c>
      <c r="E9" t="n">
        <v>71</v>
      </c>
      <c r="F9" s="7">
        <f>(S9*37500000/(L9*M9*D9*E9*K9*J9)-((500/(K9*J9))+(2500000000/(D9*E9*K9*J9)*(D9/100000+E9/100+J9/200))))/(1+5000000/(D9*E9)+(500000000/(D9*E9*J9)))</f>
        <v/>
      </c>
      <c r="G9" t="n">
        <v>4000</v>
      </c>
      <c r="H9" t="n">
        <v>0.875</v>
      </c>
      <c r="I9" t="n">
        <v>15</v>
      </c>
      <c r="J9" s="6">
        <f>G9/I9*H9</f>
        <v/>
      </c>
      <c r="K9" t="n">
        <v>1</v>
      </c>
      <c r="L9" t="n">
        <v>0.5</v>
      </c>
      <c r="M9" t="n">
        <v>1</v>
      </c>
      <c r="O9" s="6">
        <f>(D9/100000+E9/100+F9*K9/5+J9/200)*200*L9*M9</f>
        <v/>
      </c>
      <c r="P9" s="6">
        <f>((D9*E9/25000)+(F9*K9*J9/2.5))*L9*M9</f>
        <v/>
      </c>
      <c r="Q9" s="6">
        <f>(D9*E9*F9*K9*J9*L9*M9)/12500000</f>
        <v/>
      </c>
      <c r="R9" s="6">
        <f>(O9+P9+Q9)/3</f>
        <v/>
      </c>
      <c r="S9" t="n">
        <v>200</v>
      </c>
    </row>
    <row r="10">
      <c r="A10" t="inlineStr">
        <is>
          <t>D2K</t>
        </is>
      </c>
      <c r="B10" t="inlineStr">
        <is>
          <t>Dune Light  Infantry</t>
        </is>
      </c>
      <c r="D10" t="n">
        <v>18000</v>
      </c>
      <c r="E10" t="n">
        <v>52</v>
      </c>
      <c r="F10" s="7">
        <f>(S10*37500000/(L10*M10*D10*E10*K10*J10)-((500/(K10*J10))+(2500000000/(D10*E10*K10*J10)*(D10/100000+E10/100+J10/200))))/(1+5000000/(D10*E10)+(500000000/(D10*E10*J10)))</f>
        <v/>
      </c>
      <c r="G10" t="n">
        <v>4000</v>
      </c>
      <c r="H10" t="n">
        <v>0.875</v>
      </c>
      <c r="I10" t="n">
        <v>20</v>
      </c>
      <c r="J10" s="6">
        <f>G10/I10*H10</f>
        <v/>
      </c>
      <c r="K10" t="n">
        <v>1</v>
      </c>
      <c r="L10" t="n">
        <v>0.5</v>
      </c>
      <c r="M10" t="n">
        <v>1</v>
      </c>
      <c r="O10" s="6">
        <f>(D10/100000+E10/100+F10*K10/5+J10/200)*200*L10*M10</f>
        <v/>
      </c>
      <c r="P10" s="6">
        <f>((D10*E10/25000)+(F10*K10*J10/2.5))*L10*M10</f>
        <v/>
      </c>
      <c r="Q10" s="6">
        <f>(D10*E10*F10*K10*J10*L10*M10)/12500000</f>
        <v/>
      </c>
      <c r="R10" s="6">
        <f>(O10+P10+Q10)/3</f>
        <v/>
      </c>
      <c r="S10" t="n">
        <v>150</v>
      </c>
    </row>
    <row r="11">
      <c r="A11" t="inlineStr">
        <is>
          <t>Naxi</t>
        </is>
      </c>
      <c r="B11" t="inlineStr">
        <is>
          <t>Naxi Rifle Soldier</t>
        </is>
      </c>
      <c r="D11" t="n">
        <v>15000</v>
      </c>
      <c r="E11" t="n">
        <v>50</v>
      </c>
      <c r="F11" s="7">
        <f>(S11*37500000/(L11*M11*D11*E11*K11*J11)-((500/(K11*J11))+(2500000000/(D11*E11*K11*J11)*(D11/100000+E11/100+J11/200))))/(1+5000000/(D11*E11)+(500000000/(D11*E11*J11)))</f>
        <v/>
      </c>
      <c r="G11" t="n">
        <v>6000</v>
      </c>
      <c r="H11" t="n">
        <v>0.75</v>
      </c>
      <c r="I11" t="n">
        <v>75</v>
      </c>
      <c r="J11" s="6">
        <f>G11/I11*H11</f>
        <v/>
      </c>
      <c r="K11" t="n">
        <v>1</v>
      </c>
      <c r="L11" t="n">
        <v>0.5</v>
      </c>
      <c r="M11" t="n">
        <v>1</v>
      </c>
      <c r="O11" s="6">
        <f>(D11/100000+E11/100+F11*K11/5+J11/200)*200*L11*M11</f>
        <v/>
      </c>
      <c r="P11" s="6">
        <f>((D11*E11/25000)+(F11*K11*J11/2.5))*L11*M11</f>
        <v/>
      </c>
      <c r="Q11" s="6">
        <f>(D11*E11*F11*K11*J11*L11*M11)/12500000</f>
        <v/>
      </c>
      <c r="R11" s="6">
        <f>(O11+P11+Q11)/3</f>
        <v/>
      </c>
      <c r="S11" t="n">
        <v>100</v>
      </c>
    </row>
    <row r="12">
      <c r="B12" t="inlineStr">
        <is>
          <t>Naxi Rifle Recruit</t>
        </is>
      </c>
      <c r="D12" t="n">
        <v>10000</v>
      </c>
      <c r="E12" t="n">
        <v>45</v>
      </c>
      <c r="F12" s="7">
        <f>(S12*37500000/(L12*M12*D12*E12*K12*J12)-((500/(K12*J12))+(2500000000/(D12*E12*K12*J12)*(D12/100000+E12/100+J12/200))))/(1+5000000/(D12*E12)+(500000000/(D12*E12*J12)))</f>
        <v/>
      </c>
      <c r="G12" t="n">
        <v>4000</v>
      </c>
      <c r="H12" t="n">
        <v>0.75</v>
      </c>
      <c r="I12" t="n">
        <v>100</v>
      </c>
      <c r="J12" s="6">
        <f>G12/I12*H12</f>
        <v/>
      </c>
      <c r="K12" t="n">
        <v>1</v>
      </c>
      <c r="L12" t="n">
        <v>0.5</v>
      </c>
      <c r="M12" t="n">
        <v>1</v>
      </c>
      <c r="O12" s="6">
        <f>(D12/100000+E12/100+F12*K12/5+J12/200)*200*L12*M12</f>
        <v/>
      </c>
      <c r="P12" s="6">
        <f>((D12*E12/25000)+(F12*K12*J12/2.5))*L12*M12</f>
        <v/>
      </c>
      <c r="Q12" s="6">
        <f>(D12*E12*F12*K12*J12*L12*M12)/12500000</f>
        <v/>
      </c>
      <c r="R12" s="6">
        <f>(O12+P12+Q12)/3</f>
        <v/>
      </c>
      <c r="S12" t="n">
        <v>75</v>
      </c>
    </row>
    <row r="13">
      <c r="B13" t="inlineStr">
        <is>
          <t>Naxi Alien</t>
        </is>
      </c>
      <c r="D13" t="n">
        <v>15000</v>
      </c>
      <c r="E13" t="n">
        <v>40</v>
      </c>
      <c r="F13" s="7">
        <f>(S13*37500000/(L13*M13*D13*E13*K13*J13)-((500/(K13*J13))+(2500000000/(D13*E13*K13*J13)*(D13/100000+E13/100+J13/200))))/(1+5000000/(D13*E13)+(500000000/(D13*E13*J13)))</f>
        <v/>
      </c>
      <c r="G13" t="n">
        <v>8000</v>
      </c>
      <c r="H13" t="n">
        <v>1.125</v>
      </c>
      <c r="I13" t="n">
        <v>53</v>
      </c>
      <c r="J13" s="6">
        <f>G13/I13*H13</f>
        <v/>
      </c>
      <c r="K13" t="n">
        <v>1</v>
      </c>
      <c r="L13" t="n">
        <v>0.5</v>
      </c>
      <c r="M13" t="n">
        <v>1</v>
      </c>
      <c r="O13" s="6">
        <f>(D13/100000+E13/100+F13*K13/5+J13/200)*200*L13*M13</f>
        <v/>
      </c>
      <c r="P13" s="6">
        <f>((D13*E13/25000)+(F13*K13*J13/2.5))*L13*M13</f>
        <v/>
      </c>
      <c r="Q13" s="6">
        <f>(D13*E13*F13*K13*J13*L13*M13)/12500000</f>
        <v/>
      </c>
      <c r="R13" s="6">
        <f>(O13+P13+Q13)/3</f>
        <v/>
      </c>
      <c r="S13" t="n">
        <v>150</v>
      </c>
    </row>
    <row r="14">
      <c r="B14" t="inlineStr">
        <is>
          <t>Lunar Soldier</t>
        </is>
      </c>
      <c r="D14" t="n">
        <v>12000</v>
      </c>
      <c r="E14" t="n">
        <v>60</v>
      </c>
      <c r="F14" s="7">
        <f>(S14*37500000/(L14*M14*D14*E14*K14*J14)-((500/(K14*J14))+(2500000000/(D14*E14*K14*J14)*(D14/100000+E14/100+J14/200))))/(1+5000000/(D14*E14)+(500000000/(D14*E14*J14)))</f>
        <v/>
      </c>
      <c r="G14" t="n">
        <v>8000</v>
      </c>
      <c r="H14" t="n">
        <v>1</v>
      </c>
      <c r="I14" t="n">
        <v>60</v>
      </c>
      <c r="J14" s="6">
        <f>G14/I14*H14</f>
        <v/>
      </c>
      <c r="K14" t="n">
        <v>1</v>
      </c>
      <c r="L14" t="n">
        <v>0.5</v>
      </c>
      <c r="M14" t="n">
        <v>1</v>
      </c>
      <c r="O14" s="6">
        <f>(D14/100000+E14/100+F14*K14/5+J14/200)*200*L14*M14</f>
        <v/>
      </c>
      <c r="P14" s="6">
        <f>((D14*E14/25000)+(F14*K14*J14/2.5))*L14*M14</f>
        <v/>
      </c>
      <c r="Q14" s="6">
        <f>(D14*E14*F14*K14*J14*L14*M14)/12500000</f>
        <v/>
      </c>
      <c r="R14" s="6">
        <f>(O14+P14+Q14)/3</f>
        <v/>
      </c>
      <c r="S14" t="n">
        <v>120</v>
      </c>
    </row>
    <row r="15">
      <c r="A15" t="inlineStr">
        <is>
          <t>StarCraft</t>
        </is>
      </c>
      <c r="B15" t="inlineStr">
        <is>
          <t>Spithid</t>
        </is>
      </c>
      <c r="D15" t="n">
        <v>40000</v>
      </c>
      <c r="E15" t="n">
        <v>110</v>
      </c>
      <c r="F15" s="7">
        <f>(S15*37500000/(L15*M15*D15*E15*K15*J15)-((500/(K15*J15))+(2500000000/(D15*E15*K15*J15)*(D15/100000+E15/100+J15/200))))/(1+5000000/(D15*E15)+(500000000/(D15*E15*J15)))</f>
        <v/>
      </c>
      <c r="G15" t="n">
        <v>6000</v>
      </c>
      <c r="H15" t="n">
        <v>0.75</v>
      </c>
      <c r="I15" t="n">
        <v>15</v>
      </c>
      <c r="J15" s="6">
        <f>G15/I15*H15</f>
        <v/>
      </c>
      <c r="K15" t="n">
        <v>1</v>
      </c>
      <c r="L15" t="n">
        <v>0.5</v>
      </c>
      <c r="M15" t="n">
        <v>1</v>
      </c>
      <c r="O15" s="6">
        <f>(D15/100000+E15/100+F15*K15/5+J15/200)*200*L15*M15</f>
        <v/>
      </c>
      <c r="P15" s="6">
        <f>((D15*E15/25000)+(F15*K15*J15/2.5))*L15*M15</f>
        <v/>
      </c>
      <c r="Q15" s="6">
        <f>(D15*E15*F15*K15*J15*L15*M15)/12500000</f>
        <v/>
      </c>
      <c r="R15" s="6">
        <f>(O15+P15+Q15)/3</f>
        <v/>
      </c>
      <c r="S15" t="n">
        <v>300</v>
      </c>
    </row>
    <row r="16">
      <c r="B16" t="inlineStr">
        <is>
          <t>Reaper (Pistols)</t>
        </is>
      </c>
      <c r="D16" t="n">
        <v>60000</v>
      </c>
      <c r="E16" t="n">
        <v>120</v>
      </c>
      <c r="F16" s="7">
        <f>(S16*37500000/(L16*M16*D16*E16*K16*J16)-((500/(K16*J16))+(2500000000/(D16*E16*K16*J16)*(D16/100000+E16/100+J16/200))))/(1+5000000/(D16*E16)+(500000000/(D16*E16*J16)))</f>
        <v/>
      </c>
      <c r="G16" t="n">
        <v>8000</v>
      </c>
      <c r="H16" t="n">
        <v>0.75</v>
      </c>
      <c r="I16" t="n">
        <v>22</v>
      </c>
      <c r="J16" s="6">
        <f>G16/I16*H16</f>
        <v/>
      </c>
      <c r="K16" t="n">
        <v>2</v>
      </c>
      <c r="L16" t="n">
        <v>0.5</v>
      </c>
      <c r="M16" t="n">
        <v>1</v>
      </c>
      <c r="O16" s="6">
        <f>(D16/100000+E16/100+F16*K16/5+J16/200)*200*L16*M16</f>
        <v/>
      </c>
      <c r="P16" s="6">
        <f>((D16*E16/25000)+(F16*K16*J16/2.5))*L16*M16</f>
        <v/>
      </c>
      <c r="Q16" s="6">
        <f>(D16*E16*F16*K16*J16*L16*M16)/12500000</f>
        <v/>
      </c>
      <c r="R16" s="6">
        <f>(O16+P16+Q16)/3</f>
        <v/>
      </c>
      <c r="S16" t="n">
        <v>600</v>
      </c>
    </row>
    <row r="17">
      <c r="B17" t="inlineStr">
        <is>
          <t>Reaper (Grenade)</t>
        </is>
      </c>
      <c r="D17" t="n">
        <v>60000</v>
      </c>
      <c r="E17" t="n">
        <v>120</v>
      </c>
      <c r="F17" s="7">
        <f>(S17*37500000/(L17*M17*D17*E17*K17*J17)-((500/(K17*J17))+(2500000000/(D17*E17*K17*J17)*(D17/100000+E17/100+J17/200))))/(1+5000000/(D17*E17)+(500000000/(D17*E17*J17)))</f>
        <v/>
      </c>
      <c r="G17" t="n">
        <v>12000</v>
      </c>
      <c r="H17" t="n">
        <v>1</v>
      </c>
      <c r="I17" t="n">
        <v>45</v>
      </c>
      <c r="J17" s="6">
        <f>G17/I17*H17</f>
        <v/>
      </c>
      <c r="K17" t="n">
        <v>2</v>
      </c>
      <c r="L17" t="n">
        <v>0.5</v>
      </c>
      <c r="M17" t="n">
        <v>1</v>
      </c>
      <c r="O17" s="6">
        <f>(D17/100000+E17/100+F17*K17/5+J17/200)*200*L17*M17</f>
        <v/>
      </c>
      <c r="P17" s="6">
        <f>((D17*E17/25000)+(F17*K17*J17/2.5))*L17*M17</f>
        <v/>
      </c>
      <c r="Q17" s="6">
        <f>(D17*E17*F17*K17*J17*L17*M17)/12500000</f>
        <v/>
      </c>
      <c r="R17" s="6">
        <f>(O17+P17+Q17)/3</f>
        <v/>
      </c>
      <c r="S17" t="n">
        <v>600</v>
      </c>
    </row>
    <row r="18">
      <c r="A18" t="inlineStr">
        <is>
          <t>RA2</t>
        </is>
      </c>
      <c r="B18" t="inlineStr">
        <is>
          <t>G.I.</t>
        </is>
      </c>
      <c r="D18" t="n">
        <v>25000</v>
      </c>
      <c r="E18" t="n">
        <v>50</v>
      </c>
      <c r="F18" s="7">
        <f>(S18*37500000/(L18*M18*D18*E18*K18*J18)-((500/(K18*J18))+(2500000000/(D18*E18*K18*J18)*(D18/100000+E18/100+J18/200))))/(1+5000000/(D18*E18)+(500000000/(D18*E18*J18)))</f>
        <v/>
      </c>
      <c r="G18" t="n">
        <v>6000</v>
      </c>
      <c r="H18" t="n">
        <v>0.75</v>
      </c>
      <c r="I18" t="n">
        <v>19</v>
      </c>
      <c r="J18" s="6">
        <f>G18/I18*H18</f>
        <v/>
      </c>
      <c r="K18" t="n">
        <v>1.25</v>
      </c>
      <c r="L18" t="n">
        <v>0.5</v>
      </c>
      <c r="M18" t="n">
        <v>1</v>
      </c>
      <c r="O18" s="6">
        <f>(D18/100000+E18/100+F18*K18/5+J18/200)*200*L18*M18</f>
        <v/>
      </c>
      <c r="P18" s="6">
        <f>((D18*E18/25000)+(F18*K18*J18/2.5))*L18*M18</f>
        <v/>
      </c>
      <c r="Q18" s="6">
        <f>(D18*E18*F18*K18*J18*L18*M18)/12500000</f>
        <v/>
      </c>
      <c r="R18" s="6">
        <f>(O18+P18+Q18)/3</f>
        <v/>
      </c>
      <c r="S18" t="n">
        <v>200</v>
      </c>
    </row>
    <row r="19">
      <c r="B19" t="inlineStr">
        <is>
          <t>G.I. (deployed)</t>
        </is>
      </c>
      <c r="D19" t="n">
        <v>25000</v>
      </c>
      <c r="E19" t="n">
        <v>50</v>
      </c>
      <c r="F19" s="7">
        <f>(S19*37500000/(L19*M19*D19*E19*K19*J19)-((500/(K19*J19))+(2500000000/(D19*E19*K19*J19)*(D19/100000+E19/100+J19/200))))/(1+5000000/(D19*E19)+(500000000/(D19*E19*J19)))</f>
        <v/>
      </c>
      <c r="G19" t="n">
        <v>6000</v>
      </c>
      <c r="H19" t="n">
        <v>1</v>
      </c>
      <c r="I19" t="n">
        <v>25</v>
      </c>
      <c r="J19" s="6">
        <f>G19/I19*H19</f>
        <v/>
      </c>
      <c r="K19" t="n">
        <v>1</v>
      </c>
      <c r="L19" t="n">
        <v>0.5</v>
      </c>
      <c r="M19" t="n">
        <v>1</v>
      </c>
      <c r="O19" s="6">
        <f>(D19/100000+E19/100+F19*K19/5+J19/200)*200*L19*M19</f>
        <v/>
      </c>
      <c r="P19" s="6">
        <f>((D19*E19/25000)+(F19*K19*J19/2.5))*L19*M19</f>
        <v/>
      </c>
      <c r="Q19" s="6">
        <f>(D19*E19*F19*K19*J19*L19*M19)/12500000</f>
        <v/>
      </c>
      <c r="R19" s="6">
        <f>(O19+P19+Q19)/3</f>
        <v/>
      </c>
      <c r="S19" t="n">
        <v>200</v>
      </c>
    </row>
    <row r="20">
      <c r="B20" t="inlineStr">
        <is>
          <t>Conscript</t>
        </is>
      </c>
      <c r="D20" t="n">
        <v>13000</v>
      </c>
      <c r="E20" t="n">
        <v>57</v>
      </c>
      <c r="F20" s="7">
        <f>(S20*37500000/(L20*M20*D20*E20*K20*J20)-((500/(K20*J20))+(2500000000/(D20*E20*K20*J20)*(D20/100000+E20/100+J20/200))))/(1+5000000/(D20*E20)+(500000000/(D20*E20*J20)))</f>
        <v/>
      </c>
      <c r="G20" t="n">
        <v>2000</v>
      </c>
      <c r="H20" t="n">
        <v>0.75</v>
      </c>
      <c r="I20" t="n">
        <v>18</v>
      </c>
      <c r="J20" s="6">
        <f>G20/I20*H20</f>
        <v/>
      </c>
      <c r="K20" t="n">
        <v>1</v>
      </c>
      <c r="L20" t="n">
        <v>0.5</v>
      </c>
      <c r="M20" t="n">
        <v>1</v>
      </c>
      <c r="O20" s="6">
        <f>(D20/100000+E20/100+F20*K20/5+J20/200)*200*L20*M20</f>
        <v/>
      </c>
      <c r="P20" s="6">
        <f>((D20*E20/25000)+(F20*K20*J20/2.5))*L20*M20</f>
        <v/>
      </c>
      <c r="Q20" s="6">
        <f>(D20*E20*F20*K20*J20*L20*M20)/12500000</f>
        <v/>
      </c>
      <c r="R20" s="6">
        <f>(O20+P20+Q20)/3</f>
        <v/>
      </c>
      <c r="S20" t="n">
        <v>100</v>
      </c>
    </row>
    <row r="21">
      <c r="B21" t="inlineStr">
        <is>
          <t>Yuri Initiate</t>
        </is>
      </c>
      <c r="D21" t="n">
        <v>24000</v>
      </c>
      <c r="E21" t="n">
        <v>66</v>
      </c>
      <c r="F21" s="7">
        <f>(S21*37500000/(L21*M21*D21*E21*K21*J21)-((500/(K21*J21))+(2500000000/(D21*E21*K21*J21)*(D21/100000+E21/100+J21/200))))/(1+5000000/(D21*E21)+(500000000/(D21*E21*J21)))</f>
        <v/>
      </c>
      <c r="G21" t="n">
        <v>4000</v>
      </c>
      <c r="H21" t="n">
        <v>0.875</v>
      </c>
      <c r="I21" t="n">
        <v>15</v>
      </c>
      <c r="J21" s="6">
        <f>G21/I21*H21</f>
        <v/>
      </c>
      <c r="K21" t="n">
        <v>1</v>
      </c>
      <c r="L21" t="n">
        <v>0.5</v>
      </c>
      <c r="M21" t="n">
        <v>1</v>
      </c>
      <c r="O21" s="6">
        <f>(D21/100000+E21/100+F21*K21/5+J21/200)*200*L21*M21</f>
        <v/>
      </c>
      <c r="P21" s="6">
        <f>((D21*E21/25000)+(F21*K21*J21/2.5))*L21*M21</f>
        <v/>
      </c>
      <c r="Q21" s="6">
        <f>(D21*E21*F21*K21*J21*L21*M21)/12500000</f>
        <v/>
      </c>
      <c r="R21" s="6">
        <f>(O21+P21+Q21)/3</f>
        <v/>
      </c>
      <c r="S21" t="n">
        <v>200</v>
      </c>
    </row>
    <row r="22">
      <c r="A22" t="inlineStr">
        <is>
          <t>RA2 Modded</t>
        </is>
      </c>
      <c r="B22" s="4" t="inlineStr">
        <is>
          <t>Asian Militia</t>
        </is>
      </c>
      <c r="C22" s="4" t="n"/>
      <c r="D22" s="4" t="n">
        <v>12000</v>
      </c>
      <c r="E22" s="4" t="n">
        <v>52</v>
      </c>
      <c r="F22" s="7">
        <f>(S22*37500000/(L22*M22*D22*E22*K22*J22)-((500/(K22*J22))+(2500000000/(D22*E22*K22*J22)*(D22/100000+E22/100+J22/200))))/(1+5000000/(D22*E22)+(500000000/(D22*E22*J22)))</f>
        <v/>
      </c>
      <c r="G22" s="4" t="n">
        <v>6000</v>
      </c>
      <c r="H22" s="4" t="n">
        <v>0.75</v>
      </c>
      <c r="I22" s="4" t="n">
        <v>52</v>
      </c>
      <c r="J22" s="6">
        <f>G22/I22*H22</f>
        <v/>
      </c>
      <c r="K22" s="4" t="n">
        <v>1</v>
      </c>
      <c r="L22" t="n">
        <v>0.5</v>
      </c>
      <c r="M22" s="4" t="n">
        <v>1</v>
      </c>
      <c r="N22" s="4" t="n"/>
      <c r="O22" s="10" t="n">
        <v>604.13</v>
      </c>
      <c r="P22" s="10" t="n">
        <v>292.13</v>
      </c>
      <c r="Q22" s="10" t="n">
        <v>32.91</v>
      </c>
      <c r="R22" s="10" t="n">
        <v>309.72</v>
      </c>
      <c r="S22" s="4" t="n">
        <v>100</v>
      </c>
    </row>
    <row r="23">
      <c r="B23" s="4" t="inlineStr">
        <is>
          <t>Asian Militia (Grenade)</t>
        </is>
      </c>
      <c r="C23" s="4" t="n"/>
      <c r="D23" s="4" t="n">
        <v>12000</v>
      </c>
      <c r="E23" s="4" t="n">
        <v>52</v>
      </c>
      <c r="F23" s="7">
        <f>(S23*37500000/(L23*M23*D23*E23*K23*J23)-((500/(K23*J23))+(2500000000/(D23*E23*K23*J23)*(D23/100000+E23/100+J23/200))))/(1+5000000/(D23*E23)+(500000000/(D23*E23*J23)))</f>
        <v/>
      </c>
      <c r="G23" s="4" t="n">
        <v>8000</v>
      </c>
      <c r="H23" s="4" t="n">
        <v>1</v>
      </c>
      <c r="I23" s="4" t="n">
        <v>92</v>
      </c>
      <c r="J23" s="6">
        <f>G23/I23*H23</f>
        <v/>
      </c>
      <c r="K23" s="4" t="n">
        <v>1</v>
      </c>
      <c r="L23" t="n">
        <v>0.5</v>
      </c>
      <c r="M23" s="4" t="n">
        <v>1</v>
      </c>
      <c r="N23" s="4" t="n"/>
      <c r="O23" s="10" t="n">
        <v>623.5</v>
      </c>
      <c r="P23" s="10" t="n">
        <v>327</v>
      </c>
      <c r="Q23" s="10" t="n">
        <v>37.44</v>
      </c>
      <c r="R23" s="10" t="n">
        <v>329.31</v>
      </c>
      <c r="S23" s="4" t="n">
        <v>100</v>
      </c>
    </row>
    <row r="24">
      <c r="B24" t="inlineStr">
        <is>
          <t>Syndicate Militia (AK47)</t>
        </is>
      </c>
      <c r="D24" t="n">
        <v>13000</v>
      </c>
      <c r="E24" t="n">
        <v>52</v>
      </c>
      <c r="F24" s="7">
        <f>(S24*37500000/(L24*M24*D24*E24*K24*J24)-((500/(K24*J24))+(2500000000/(D24*E24*K24*J24)*(D24/100000+E24/100+J24/200))))/(1+5000000/(D24*E24)+(500000000/(D24*E24*J24)))</f>
        <v/>
      </c>
      <c r="G24" t="n">
        <v>6000</v>
      </c>
      <c r="H24" t="n">
        <v>0.75</v>
      </c>
      <c r="I24" t="n">
        <v>30</v>
      </c>
      <c r="J24" s="6">
        <f>G24/I24*H24</f>
        <v/>
      </c>
      <c r="K24" t="n">
        <v>1</v>
      </c>
      <c r="L24" t="n">
        <v>0.5</v>
      </c>
      <c r="M24" t="n">
        <v>1</v>
      </c>
      <c r="O24" s="6">
        <f>(D24/100000+E24/100+F24*K24/5+J24/200)*200*L24*M24</f>
        <v/>
      </c>
      <c r="P24" s="6">
        <f>((D24*E24/25000)+(F24*K24*J24/2.5))*L24*M24</f>
        <v/>
      </c>
      <c r="Q24" s="6">
        <f>(D24*E24*F24*K24*J24*L24*M24)/12500000</f>
        <v/>
      </c>
      <c r="R24" s="6">
        <f>(O24+P24+Q24)/3</f>
        <v/>
      </c>
      <c r="S24" t="n">
        <v>130</v>
      </c>
    </row>
    <row r="25">
      <c r="B25" t="inlineStr">
        <is>
          <t>Syndicate Militia (Molotov)</t>
        </is>
      </c>
      <c r="D25" t="n">
        <v>13000</v>
      </c>
      <c r="E25" t="n">
        <v>52</v>
      </c>
      <c r="F25" s="7">
        <f>(S25*37500000/(L25*M25*D25*E25*K25*J25)-((500/(K25*J25))+(2500000000/(D25*E25*K25*J25)*(D25/100000+E25/100+J25/200))))/(1+5000000/(D25*E25)+(500000000/(D25*E25*J25)))</f>
        <v/>
      </c>
      <c r="G25" t="n">
        <v>16000</v>
      </c>
      <c r="H25" t="n">
        <v>0.875</v>
      </c>
      <c r="I25" t="n">
        <v>93</v>
      </c>
      <c r="J25" s="6">
        <f>G25/I25*H25</f>
        <v/>
      </c>
      <c r="K25" t="n">
        <v>1</v>
      </c>
      <c r="L25" t="n">
        <v>0.5</v>
      </c>
      <c r="M25" t="n">
        <v>1</v>
      </c>
      <c r="O25" s="6">
        <f>(D25/100000+E25/100+F25*K25/5+J25/200)*200*L25*M25</f>
        <v/>
      </c>
      <c r="P25" s="6">
        <f>((D25*E25/25000)+(F25*K25*J25/2.5))*L25*M25</f>
        <v/>
      </c>
      <c r="Q25" s="6">
        <f>(D25*E25*F25*K25*J25*L25*M25)/12500000</f>
        <v/>
      </c>
      <c r="R25" s="6">
        <f>(O25+P25+Q25)/3</f>
        <v/>
      </c>
      <c r="S25" t="n">
        <v>130</v>
      </c>
    </row>
    <row r="29">
      <c r="B29" t="inlineStr">
        <is>
          <t>Grenadier Infantry</t>
        </is>
      </c>
      <c r="D29" t="inlineStr">
        <is>
          <t>HP</t>
        </is>
      </c>
      <c r="E29" t="inlineStr">
        <is>
          <t>Speed</t>
        </is>
      </c>
      <c r="F29" t="inlineStr">
        <is>
          <t>Range</t>
        </is>
      </c>
      <c r="G29" t="inlineStr">
        <is>
          <t>Damage</t>
        </is>
      </c>
      <c r="H29" t="inlineStr">
        <is>
          <t>Weapon Class</t>
        </is>
      </c>
      <c r="I29" t="inlineStr">
        <is>
          <t>Reload Delay</t>
        </is>
      </c>
      <c r="J29" s="6" t="inlineStr">
        <is>
          <t>DPS</t>
        </is>
      </c>
      <c r="K29" t="inlineStr">
        <is>
          <t>Special</t>
        </is>
      </c>
      <c r="L29" t="inlineStr">
        <is>
          <t>Unit Class</t>
        </is>
      </c>
      <c r="M29" t="inlineStr">
        <is>
          <t>Tech Tier</t>
        </is>
      </c>
      <c r="O29" s="6" t="n"/>
      <c r="P29" s="6" t="n"/>
      <c r="Q29" s="6" t="n"/>
      <c r="R29" s="6" t="n"/>
      <c r="S29" t="inlineStr">
        <is>
          <t>Cost</t>
        </is>
      </c>
    </row>
    <row r="30">
      <c r="J30" s="6" t="n"/>
      <c r="O30" s="6" t="n"/>
      <c r="P30" s="6" t="n"/>
      <c r="Q30" s="6" t="n"/>
      <c r="R30" s="6" t="n"/>
    </row>
    <row r="31">
      <c r="A31" t="inlineStr">
        <is>
          <t>TD</t>
        </is>
      </c>
      <c r="B31" t="inlineStr">
        <is>
          <t>GDI Grenadier</t>
        </is>
      </c>
      <c r="D31" t="n">
        <v>8000</v>
      </c>
      <c r="E31" t="n">
        <v>75</v>
      </c>
      <c r="F31" s="7">
        <f>(S31*37500000/(L31*M31*D31*E31*K31*J31)-((500/(K31*J31))+(2500000000/(D31*E31*K31*J31)*(D31/100000+E31/100+J31/200))))/(1+5000000/(D31*E31)+(500000000/(D31*E31*J31)))</f>
        <v/>
      </c>
      <c r="G31" t="n">
        <v>16000</v>
      </c>
      <c r="H31" t="n">
        <v>0.75</v>
      </c>
      <c r="I31" t="n">
        <v>42</v>
      </c>
      <c r="J31" s="6">
        <f>G31/I31*H31</f>
        <v/>
      </c>
      <c r="K31" t="n">
        <v>1</v>
      </c>
      <c r="L31" t="n">
        <v>0.4</v>
      </c>
      <c r="M31" t="n">
        <v>1</v>
      </c>
      <c r="O31" s="6">
        <f>(D31/100000+E31/100+F31*K31/5+J31/200)*200*L31*M31</f>
        <v/>
      </c>
      <c r="P31" s="6">
        <f>((D31*E31/25000)+(F31*K31*J31/2.5))*L31*M31</f>
        <v/>
      </c>
      <c r="Q31" s="6">
        <f>(D31*E31*F31*K31*J31*L31*M31)/12500000</f>
        <v/>
      </c>
      <c r="R31" s="6">
        <f>(O31+P31+Q31)/3</f>
        <v/>
      </c>
      <c r="S31" t="n">
        <v>200</v>
      </c>
    </row>
    <row r="32">
      <c r="B32" t="inlineStr">
        <is>
          <t>EMP Grenadier</t>
        </is>
      </c>
      <c r="D32" t="n">
        <v>32000</v>
      </c>
      <c r="E32" t="n">
        <v>60</v>
      </c>
      <c r="F32" s="7">
        <f>(S32*37500000/(L32*M32*D32*E32*K32*J32)-((500/(K32*J32))+(2500000000/(D32*E32*K32*J32)*(D32/100000+E32/100+J32/200))))/(1+5000000/(D32*E32)+(500000000/(D32*E32*J32)))</f>
        <v/>
      </c>
      <c r="G32" t="n">
        <v>64000</v>
      </c>
      <c r="H32" t="n">
        <v>1.125</v>
      </c>
      <c r="I32" t="n">
        <v>111</v>
      </c>
      <c r="J32" s="6">
        <f>G32/I32*H32</f>
        <v/>
      </c>
      <c r="K32" t="n">
        <v>1.25</v>
      </c>
      <c r="L32" t="n">
        <v>0.4</v>
      </c>
      <c r="M32" t="n">
        <v>1</v>
      </c>
      <c r="O32" s="6">
        <f>(D32/100000+E32/100+F32*K32/5+J32/200)*200*L32*M32</f>
        <v/>
      </c>
      <c r="P32" s="6">
        <f>((D32*E32/25000)+(F32*K32*J32/2.5))*L32*M32</f>
        <v/>
      </c>
      <c r="Q32" s="6">
        <f>(D32*E32*F32*K32*J32*L32*M32)/12500000</f>
        <v/>
      </c>
      <c r="R32" s="6">
        <f>(O32+P32+Q32)/3</f>
        <v/>
      </c>
      <c r="S32" t="n">
        <v>500</v>
      </c>
    </row>
    <row r="33">
      <c r="A33" t="inlineStr">
        <is>
          <t>RA1</t>
        </is>
      </c>
      <c r="B33" t="inlineStr">
        <is>
          <t>Soviet Grenadier</t>
        </is>
      </c>
      <c r="D33" t="n">
        <v>8000</v>
      </c>
      <c r="E33" t="n">
        <v>75</v>
      </c>
      <c r="F33" s="7">
        <f>(S33*37500000/(L33*M33*D33*E33*K33*J33)-((500/(K33*J33))+(2500000000/(D33*E33*K33*J33)*(D33/100000+E33/100+J33/200))))/(1+5000000/(D33*E33)+(500000000/(D33*E33*J33)))</f>
        <v/>
      </c>
      <c r="G33" t="n">
        <v>16000</v>
      </c>
      <c r="H33" t="n">
        <v>0.75</v>
      </c>
      <c r="I33" t="n">
        <v>40</v>
      </c>
      <c r="J33" s="6">
        <f>G33/I33*H33</f>
        <v/>
      </c>
      <c r="K33" t="n">
        <v>1</v>
      </c>
      <c r="L33" t="n">
        <v>0.4</v>
      </c>
      <c r="M33" t="n">
        <v>1</v>
      </c>
      <c r="O33" s="6">
        <f>(D33/100000+E33/100+F33*K33/5+J33/200)*200*L33*M33</f>
        <v/>
      </c>
      <c r="P33" s="6">
        <f>((D33*E33/25000)+(F33*K33*J33/2.5))*L33*M33</f>
        <v/>
      </c>
      <c r="Q33" s="6">
        <f>(D33*E33*F33*K33*J33*L33*M33)/12500000</f>
        <v/>
      </c>
      <c r="R33" s="6">
        <f>(O33+P33+Q33)/3</f>
        <v/>
      </c>
      <c r="S33" t="n">
        <v>200</v>
      </c>
    </row>
    <row r="34">
      <c r="B34" t="inlineStr">
        <is>
          <t>Soviet Flamethrower</t>
        </is>
      </c>
      <c r="D34" t="n">
        <v>16000</v>
      </c>
      <c r="E34" t="n">
        <v>56</v>
      </c>
      <c r="F34" s="7">
        <f>(S34*37500000/(L34*M34*D34*E34*K34*J34)-((500/(K34*J34))+(2500000000/(D34*E34*K34*J34)*(D34/100000+E34/100+J34/200))))/(1+5000000/(D34*E34)+(500000000/(D34*E34*J34)))</f>
        <v/>
      </c>
      <c r="G34" t="n">
        <v>8000</v>
      </c>
      <c r="H34" t="n">
        <v>1</v>
      </c>
      <c r="I34" t="n">
        <v>24</v>
      </c>
      <c r="J34" s="6">
        <f>G34/I34*H34</f>
        <v/>
      </c>
      <c r="K34" t="n">
        <v>1</v>
      </c>
      <c r="L34" t="n">
        <v>0.4</v>
      </c>
      <c r="M34" t="n">
        <v>1</v>
      </c>
      <c r="O34" s="6">
        <f>(D34/100000+E34/100+F34*K34/5+J34/200)*200*L34*M34</f>
        <v/>
      </c>
      <c r="P34" s="6">
        <f>((D34*E34/25000)+(F34*K34*J34/2.5))*L34*M34</f>
        <v/>
      </c>
      <c r="Q34" s="6">
        <f>(D34*E34*F34*K34*J34*L34*M34)/12500000</f>
        <v/>
      </c>
      <c r="R34" s="6">
        <f>(O34+P34+Q34)/3</f>
        <v/>
      </c>
      <c r="S34" t="n">
        <v>200</v>
      </c>
    </row>
    <row r="35">
      <c r="B35" t="inlineStr">
        <is>
          <t>Japanese Flamethrower</t>
        </is>
      </c>
      <c r="D35" t="n">
        <v>15000</v>
      </c>
      <c r="E35" t="n">
        <v>50</v>
      </c>
      <c r="F35" s="7">
        <f>(S35*37500000/(L35*M35*D35*E35*K35*J35)-((500/(K35*J35))+(2500000000/(D35*E35*K35*J35)*(D35/100000+E35/100+J35/200))))/(1+5000000/(D35*E35)+(500000000/(D35*E35*J35)))</f>
        <v/>
      </c>
      <c r="G35" t="n">
        <v>30000</v>
      </c>
      <c r="H35" t="n">
        <v>0.75</v>
      </c>
      <c r="I35" t="n">
        <v>50</v>
      </c>
      <c r="J35" s="6">
        <f>G35/I35*H35</f>
        <v/>
      </c>
      <c r="K35" t="n">
        <v>1</v>
      </c>
      <c r="L35" t="n">
        <v>0.4</v>
      </c>
      <c r="M35" t="n">
        <v>1</v>
      </c>
      <c r="O35" s="6">
        <f>(D35/100000+E35/100+F35*K35/5+J35/200)*200*L35*M35</f>
        <v/>
      </c>
      <c r="P35" s="6">
        <f>((D35*E35/25000)+(F35*K35*J35/2.5))*L35*M35</f>
        <v/>
      </c>
      <c r="Q35" s="6">
        <f>(D35*E35*F35*K35*J35*L35*M35)/12500000</f>
        <v/>
      </c>
      <c r="R35" s="6">
        <f>(O35+P35+Q35)/3</f>
        <v/>
      </c>
      <c r="S35" t="n">
        <v>200</v>
      </c>
    </row>
    <row r="36">
      <c r="B36" t="inlineStr">
        <is>
          <t>Molotov Conscript</t>
        </is>
      </c>
      <c r="D36" t="n">
        <v>11000</v>
      </c>
      <c r="E36" t="n">
        <v>67</v>
      </c>
      <c r="F36" s="7">
        <f>(S36*37500000/(L36*M36*D36*E36*K36*J36)-((500/(K36*J36))+(2500000000/(D36*E36*K36*J36)*(D36/100000+E36/100+J36/200))))/(1+5000000/(D36*E36)+(500000000/(D36*E36*J36)))</f>
        <v/>
      </c>
      <c r="G36" t="n">
        <v>16000</v>
      </c>
      <c r="H36" t="n">
        <v>0.75</v>
      </c>
      <c r="I36" t="n">
        <v>50</v>
      </c>
      <c r="J36" s="6">
        <f>G36/I36*H36</f>
        <v/>
      </c>
      <c r="K36" t="n">
        <v>1.25</v>
      </c>
      <c r="L36" t="n">
        <v>0.4</v>
      </c>
      <c r="M36" t="n">
        <v>1</v>
      </c>
      <c r="O36" s="6">
        <f>(D36/100000+E36/100+F36*K36/5+J36/200)*200*L36*M36</f>
        <v/>
      </c>
      <c r="P36" s="6">
        <f>((D36*E36/25000)+(F36*K36*J36/2.5))*L36*M36</f>
        <v/>
      </c>
      <c r="Q36" s="6">
        <f>(D36*E36*F36*K36*J36*L36*M36)/12500000</f>
        <v/>
      </c>
      <c r="R36" s="6">
        <f>(O36+P36+Q36)/3</f>
        <v/>
      </c>
      <c r="S36" t="n">
        <v>200</v>
      </c>
    </row>
    <row r="37">
      <c r="A37" t="inlineStr">
        <is>
          <t>RA2 Modded</t>
        </is>
      </c>
      <c r="B37" t="inlineStr">
        <is>
          <t>Grenade Monkey</t>
        </is>
      </c>
      <c r="D37" t="n">
        <v>30000</v>
      </c>
      <c r="E37" t="n">
        <v>80</v>
      </c>
      <c r="F37" s="7">
        <f>(S37*37500000/(L37*M37*D37*E37*K37*J37)-((500/(K37*J37))+(2500000000/(D37*E37*K37*J37)*(D37/100000+E37/100+J37/200))))/(1+5000000/(D37*E37)+(500000000/(D37*E37*J37)))</f>
        <v/>
      </c>
      <c r="G37" t="n">
        <v>30000</v>
      </c>
      <c r="H37" t="n">
        <v>1</v>
      </c>
      <c r="I37" t="n">
        <v>60</v>
      </c>
      <c r="J37" s="6">
        <f>G37/I37*H37</f>
        <v/>
      </c>
      <c r="K37" t="n">
        <v>1</v>
      </c>
      <c r="L37" t="n">
        <v>0.4</v>
      </c>
      <c r="M37" t="n">
        <v>1</v>
      </c>
      <c r="O37" s="6">
        <f>(D37/100000+E37/100+F37*K37/5+J37/200)*200*L37*M37</f>
        <v/>
      </c>
      <c r="P37" s="6">
        <f>((D37*E37/25000)+(F37*K37*J37/2.5))*L37*M37</f>
        <v/>
      </c>
      <c r="Q37" s="6">
        <f>(D37*E37*F37*K37*J37*L37*M37)/12500000</f>
        <v/>
      </c>
      <c r="R37" s="6">
        <f>(O37+P37+Q37)/3</f>
        <v/>
      </c>
      <c r="S37" t="n">
        <v>400</v>
      </c>
    </row>
    <row r="38">
      <c r="B38" t="inlineStr">
        <is>
          <t>Hover Board Grenadier</t>
        </is>
      </c>
      <c r="D38" t="n">
        <v>22000</v>
      </c>
      <c r="E38" t="n">
        <v>130</v>
      </c>
      <c r="F38" s="7">
        <f>(S38*37500000/(L38*M38*D38*E38*K38*J38)-((500/(K38*J38))+(2500000000/(D38*E38*K38*J38)*(D38/100000+E38/100+J38/200))))/(1+5000000/(D38*E38)+(500000000/(D38*E38*J38)))</f>
        <v/>
      </c>
      <c r="G38" t="n">
        <v>44000</v>
      </c>
      <c r="H38" s="4" t="n">
        <v>1</v>
      </c>
      <c r="I38" s="4" t="n">
        <v>50</v>
      </c>
      <c r="J38" s="6">
        <f>G38/I38*H38</f>
        <v/>
      </c>
      <c r="K38" s="4" t="n">
        <v>1</v>
      </c>
      <c r="L38" t="n">
        <v>0.4</v>
      </c>
      <c r="M38" t="n">
        <v>1</v>
      </c>
      <c r="N38" s="4" t="n"/>
      <c r="O38" s="6">
        <f>(D38/100000+E38/100+F38*K38/5+J38/200)*200*L38*M38</f>
        <v/>
      </c>
      <c r="P38" s="6">
        <f>((D38*E38/25000)+(F38*K38*J38/2.5))*L38*M38</f>
        <v/>
      </c>
      <c r="Q38" s="6">
        <f>(D38*E38*F38*K38*J38*L38*M38)/12500000</f>
        <v/>
      </c>
      <c r="R38" s="6">
        <f>(O38+P38+Q38)/3</f>
        <v/>
      </c>
      <c r="S38" s="4" t="n">
        <v>650</v>
      </c>
    </row>
    <row r="41">
      <c r="B41" t="inlineStr">
        <is>
          <t>Mortar Infantry</t>
        </is>
      </c>
      <c r="D41" t="inlineStr">
        <is>
          <t>HP</t>
        </is>
      </c>
      <c r="E41" t="inlineStr">
        <is>
          <t>Speed</t>
        </is>
      </c>
      <c r="F41" t="inlineStr">
        <is>
          <t>Range</t>
        </is>
      </c>
      <c r="G41" t="inlineStr">
        <is>
          <t>Damage</t>
        </is>
      </c>
      <c r="H41" t="inlineStr">
        <is>
          <t>Weapon Class</t>
        </is>
      </c>
      <c r="I41" t="inlineStr">
        <is>
          <t>Reload Delay</t>
        </is>
      </c>
      <c r="J41" s="6" t="inlineStr">
        <is>
          <t>DPS</t>
        </is>
      </c>
      <c r="K41" t="inlineStr">
        <is>
          <t>Special</t>
        </is>
      </c>
      <c r="L41" t="inlineStr">
        <is>
          <t>Unit Class</t>
        </is>
      </c>
      <c r="M41" t="inlineStr">
        <is>
          <t>Tech Tier</t>
        </is>
      </c>
      <c r="O41" s="6" t="n"/>
      <c r="P41" s="6" t="n"/>
      <c r="Q41" s="6" t="n"/>
      <c r="R41" s="6" t="n"/>
      <c r="S41" t="inlineStr">
        <is>
          <t>Cost</t>
        </is>
      </c>
    </row>
    <row r="42">
      <c r="J42" s="6" t="n"/>
      <c r="O42" s="6" t="n"/>
      <c r="P42" s="6" t="n"/>
      <c r="Q42" s="6" t="n"/>
      <c r="R42" s="6" t="n"/>
    </row>
    <row r="43">
      <c r="A43" t="inlineStr">
        <is>
          <t>RA1</t>
        </is>
      </c>
      <c r="B43" t="inlineStr">
        <is>
          <t>Soviet Mortar Soldier</t>
        </is>
      </c>
      <c r="D43" t="n">
        <v>16000</v>
      </c>
      <c r="E43" t="n">
        <v>48</v>
      </c>
      <c r="F43" s="7">
        <f>(S43*37500000/(L43*M43*D43*E43*K43*J43)-((500/(K43*J43))+(2500000000/(D43*E43*K43*J43)*(D43/100000+E43/100+J43/200))))/(1+5000000/(D43*E43)+(500000000/(D43*E43*J43)))</f>
        <v/>
      </c>
      <c r="G43" t="n">
        <v>32000</v>
      </c>
      <c r="H43" t="n">
        <v>0.875</v>
      </c>
      <c r="I43" t="n">
        <v>88</v>
      </c>
      <c r="J43" s="6">
        <f>G43/I43*H43</f>
        <v/>
      </c>
      <c r="K43" t="n">
        <v>1</v>
      </c>
      <c r="L43" t="n">
        <v>0.6</v>
      </c>
      <c r="M43" t="n">
        <v>1</v>
      </c>
      <c r="O43" s="6">
        <f>(D43/100000+E43/100+F43*K43/5+J43/200)*200*L43*M43</f>
        <v/>
      </c>
      <c r="P43" s="6">
        <f>((D43*E43/25000)+(F43*K43*J43/2.5))*L43*M43</f>
        <v/>
      </c>
      <c r="Q43" s="6">
        <f>(D43*E43*F43*K43*J43*L43*M43)/12500000</f>
        <v/>
      </c>
      <c r="R43" s="6">
        <f>(O43+P43+Q43)/3</f>
        <v/>
      </c>
      <c r="S43" t="n">
        <v>500</v>
      </c>
    </row>
    <row r="44">
      <c r="A44" t="inlineStr">
        <is>
          <t>RA2 Modded</t>
        </is>
      </c>
      <c r="B44" t="inlineStr">
        <is>
          <t>Mortar Bike</t>
        </is>
      </c>
      <c r="D44" t="n">
        <v>28000</v>
      </c>
      <c r="E44" t="n">
        <v>140</v>
      </c>
      <c r="F44" s="7">
        <f>(S44*37500000/(L44*M44*D44*E44*K44*J44)-((500/(K44*J44))+(2500000000/(D44*E44*K44*J44)*(D44/100000+E44/100+J44/200))))/(1+5000000/(D44*E44)+(500000000/(D44*E44*J44)))</f>
        <v/>
      </c>
      <c r="G44" t="n">
        <v>18000</v>
      </c>
      <c r="H44" t="n">
        <v>1</v>
      </c>
      <c r="I44" t="n">
        <v>67</v>
      </c>
      <c r="J44" s="6">
        <f>G44/I44*H44</f>
        <v/>
      </c>
      <c r="K44" t="n">
        <v>1</v>
      </c>
      <c r="L44" t="n">
        <v>0.6</v>
      </c>
      <c r="M44" t="n">
        <v>1</v>
      </c>
      <c r="O44" s="6">
        <f>(D44/100000+E44/100+F44*K44/5+J44/200)*200*L44*M44</f>
        <v/>
      </c>
      <c r="P44" s="6">
        <f>((D44*E44/25000)+(F44*K44*J44/2.5))*L44*M44</f>
        <v/>
      </c>
      <c r="Q44" s="6">
        <f>(D44*E44*F44*K44*J44*L44*M44)/12500000</f>
        <v/>
      </c>
      <c r="R44" s="6">
        <f>(O44+P44+Q44)/3</f>
        <v/>
      </c>
      <c r="S44" t="n">
        <v>500</v>
      </c>
    </row>
    <row r="45">
      <c r="A45" t="inlineStr">
        <is>
          <t>D2K</t>
        </is>
      </c>
      <c r="B45" t="inlineStr">
        <is>
          <t>Ordos Mortar Trooper</t>
        </is>
      </c>
      <c r="D45" t="n">
        <v>20000</v>
      </c>
      <c r="E45" t="n">
        <v>40</v>
      </c>
      <c r="F45" s="7">
        <f>(S45*37500000/(L45*M45*D45*E45*K45*J45)-((500/(K45*J45))+(2500000000/(D45*E45*K45*J45)*(D45/100000+E45/100+J45/200))))/(1+5000000/(D45*E45)+(500000000/(D45*E45*J45)))</f>
        <v/>
      </c>
      <c r="G45" t="n">
        <v>40000</v>
      </c>
      <c r="H45" t="n">
        <v>0.875</v>
      </c>
      <c r="I45" t="n">
        <v>80</v>
      </c>
      <c r="J45" s="6">
        <f>G45/I45*H45</f>
        <v/>
      </c>
      <c r="K45" t="n">
        <v>1</v>
      </c>
      <c r="L45" t="n">
        <v>0.6</v>
      </c>
      <c r="M45" t="n">
        <v>1</v>
      </c>
      <c r="O45" s="6">
        <f>(D45/100000+E45/100+F45*K45/5+J45/200)*200*L45*M45</f>
        <v/>
      </c>
      <c r="P45" s="6">
        <f>((D45*E45/25000)+(F45*K45*J45/2.5))*L45*M45</f>
        <v/>
      </c>
      <c r="Q45" s="6">
        <f>(D45*E45*F45*K45*J45*L45*M45)/12500000</f>
        <v/>
      </c>
      <c r="R45" s="6">
        <f>(O45+P45+Q45)/3</f>
        <v/>
      </c>
      <c r="S45" t="n">
        <v>600</v>
      </c>
    </row>
    <row r="46">
      <c r="A46" t="inlineStr">
        <is>
          <t>WarCraft</t>
        </is>
      </c>
      <c r="B46" t="inlineStr">
        <is>
          <t>Mortar Team</t>
        </is>
      </c>
      <c r="D46" t="n">
        <v>40000</v>
      </c>
      <c r="E46" t="n">
        <v>80</v>
      </c>
      <c r="F46" s="7">
        <f>(S46*37500000/(L46*M46*D46*E46*K46*J46)-((500/(K46*J46))+(2500000000/(D46*E46*K46*J46)*(D46/100000+E46/100+J46/200))))/(1+5000000/(D46*E46)+(500000000/(D46*E46*J46)))</f>
        <v/>
      </c>
      <c r="G46" t="n">
        <v>80000</v>
      </c>
      <c r="H46" t="n">
        <v>1</v>
      </c>
      <c r="I46" t="n">
        <v>225</v>
      </c>
      <c r="J46" s="6">
        <f>G46/I46*H46</f>
        <v/>
      </c>
      <c r="K46" t="n">
        <v>1</v>
      </c>
      <c r="L46" t="n">
        <v>0.6</v>
      </c>
      <c r="M46" t="n">
        <v>1</v>
      </c>
      <c r="O46" s="6">
        <f>(D46/100000+E46/100+F46*K46/5+J46/200)*200*L46*M46</f>
        <v/>
      </c>
      <c r="P46" s="6">
        <f>((D46*E46/25000)+(F46*K46*J46/2.5))*L46*M46</f>
        <v/>
      </c>
      <c r="Q46" s="6">
        <f>(D46*E46*F46*K46*J46*L46*M46)/12500000</f>
        <v/>
      </c>
      <c r="R46" s="6">
        <f>(O46+P46+Q46)/3</f>
        <v/>
      </c>
      <c r="S46" t="n">
        <v>800</v>
      </c>
    </row>
    <row r="48">
      <c r="B48" t="inlineStr">
        <is>
          <t>Anti Tank Anti Air</t>
        </is>
      </c>
      <c r="D48" t="inlineStr">
        <is>
          <t>HP</t>
        </is>
      </c>
      <c r="E48" t="inlineStr">
        <is>
          <t>Speed</t>
        </is>
      </c>
      <c r="F48" t="inlineStr">
        <is>
          <t>Range</t>
        </is>
      </c>
      <c r="G48" t="inlineStr">
        <is>
          <t>Damage</t>
        </is>
      </c>
      <c r="H48" t="inlineStr">
        <is>
          <t>Weapon Class</t>
        </is>
      </c>
      <c r="I48" t="inlineStr">
        <is>
          <t>Reload Delay</t>
        </is>
      </c>
      <c r="J48" s="6" t="inlineStr">
        <is>
          <t>DPS</t>
        </is>
      </c>
      <c r="K48" t="inlineStr">
        <is>
          <t>Special</t>
        </is>
      </c>
      <c r="L48" t="inlineStr">
        <is>
          <t>Unit Class</t>
        </is>
      </c>
      <c r="M48" t="inlineStr">
        <is>
          <t>Tech Tier</t>
        </is>
      </c>
      <c r="O48" s="6" t="n"/>
      <c r="P48" s="6" t="n"/>
      <c r="Q48" s="6" t="n"/>
      <c r="R48" s="6" t="n"/>
      <c r="S48" t="inlineStr">
        <is>
          <t>Cost</t>
        </is>
      </c>
    </row>
    <row r="50">
      <c r="A50" t="inlineStr">
        <is>
          <t>TD</t>
        </is>
      </c>
      <c r="B50" t="inlineStr">
        <is>
          <t>Rocket Soldier TD</t>
        </is>
      </c>
      <c r="D50" t="n">
        <v>9000</v>
      </c>
      <c r="E50" t="n">
        <v>50</v>
      </c>
      <c r="F50" s="7">
        <f>(S50*37500000/(L50*M50*D50*E50*K50*J50)-((500/(K50*J50))+(2500000000/(D50*E50*K50*J50)*(D50/100000+E50/100+J50/200))))/(1+5000000/(D50*E50)+(500000000/(D50*E50*J50)))</f>
        <v/>
      </c>
      <c r="G50" t="n">
        <v>18000</v>
      </c>
      <c r="H50" t="n">
        <v>0.75</v>
      </c>
      <c r="I50" t="n">
        <v>63</v>
      </c>
      <c r="J50" s="6">
        <f>G50/I50*H50</f>
        <v/>
      </c>
      <c r="K50" t="n">
        <v>1</v>
      </c>
      <c r="L50" t="n">
        <v>0.5</v>
      </c>
      <c r="M50" t="n">
        <v>1</v>
      </c>
      <c r="O50" s="6">
        <f>(D50/100000+E50/100+F50*K50/5+J50/200)*200*L50*M50</f>
        <v/>
      </c>
      <c r="P50" s="6">
        <f>((D50*E50/25000)+(F50*K50*J50/2.5))*L50*M50</f>
        <v/>
      </c>
      <c r="Q50" s="6">
        <f>(D50*E50*F50*K50*J50*L50*M50)/12500000</f>
        <v/>
      </c>
      <c r="R50" s="6">
        <f>(O50+P50+Q50)/3</f>
        <v/>
      </c>
      <c r="S50" t="n">
        <v>200</v>
      </c>
    </row>
    <row r="51">
      <c r="B51" t="inlineStr">
        <is>
          <t>Chemical Rocket Soldier</t>
        </is>
      </c>
      <c r="D51" t="n">
        <v>18000</v>
      </c>
      <c r="E51" t="n">
        <v>60</v>
      </c>
      <c r="F51" s="7">
        <f>(S51*37500000/(L51*M51*D51*E51*K51*J51)-((500/(K51*J51))+(2500000000/(D51*E51*K51*J51)*(D51/100000+E51/100+J51/200))))/(1+5000000/(D51*E51)+(500000000/(D51*E51*J51)))</f>
        <v/>
      </c>
      <c r="G51" t="n">
        <v>36000</v>
      </c>
      <c r="H51" t="n">
        <v>0.75</v>
      </c>
      <c r="I51" t="n">
        <v>54</v>
      </c>
      <c r="J51" s="6">
        <f>G51/I51*H51</f>
        <v/>
      </c>
      <c r="K51" t="n">
        <v>1</v>
      </c>
      <c r="L51" t="n">
        <v>0.5</v>
      </c>
      <c r="M51" t="n">
        <v>1</v>
      </c>
      <c r="O51" s="6">
        <f>(D51/100000+E51/100+F51*K51/5+J51/200)*200*L51*M51</f>
        <v/>
      </c>
      <c r="P51" s="6">
        <f>((D51*E51/25000)+(F51*K51*J51/2.5))*L51*M51</f>
        <v/>
      </c>
      <c r="Q51" s="6">
        <f>(D51*E51*F51*K51*J51*L51*M51)/12500000</f>
        <v/>
      </c>
      <c r="R51" s="6">
        <f>(O51+P51+Q51)/3</f>
        <v/>
      </c>
      <c r="S51" t="n">
        <v>400</v>
      </c>
    </row>
    <row r="52">
      <c r="B52" t="inlineStr">
        <is>
          <t>Sonic Missile Soldier</t>
        </is>
      </c>
      <c r="D52" t="n">
        <v>25000</v>
      </c>
      <c r="E52" t="n">
        <v>50</v>
      </c>
      <c r="F52" s="7">
        <f>(S52*37500000/(L52*M52*D52*E52*K52*J52)-((500/(K52*J52))+(2500000000/(D52*E52*K52*J52)*(D52/100000+E52/100+J52/200))))/(1+5000000/(D52*E52)+(500000000/(D52*E52*J52)))</f>
        <v/>
      </c>
      <c r="G52" t="n">
        <v>50000</v>
      </c>
      <c r="H52" t="n">
        <v>1</v>
      </c>
      <c r="I52" t="n">
        <v>125</v>
      </c>
      <c r="J52" s="6">
        <f>G52/I52*H52</f>
        <v/>
      </c>
      <c r="K52" t="n">
        <v>1</v>
      </c>
      <c r="L52" t="n">
        <v>0.5</v>
      </c>
      <c r="M52" t="n">
        <v>1</v>
      </c>
      <c r="O52" s="6">
        <f>(D52/100000+E52/100+F52*K52/5+J52/200)*200*L52*M52</f>
        <v/>
      </c>
      <c r="P52" s="6">
        <f>((D52*E52/25000)+(F52*K52*J52/2.5))*L52*M52</f>
        <v/>
      </c>
      <c r="Q52" s="6">
        <f>(D52*E52*F52*K52*J52*L52*M52)/12500000</f>
        <v/>
      </c>
      <c r="R52" s="6">
        <f>(O52+P52+Q52)/3</f>
        <v/>
      </c>
      <c r="S52" t="n">
        <v>400</v>
      </c>
    </row>
    <row r="53">
      <c r="A53" t="inlineStr">
        <is>
          <t>RA1</t>
        </is>
      </c>
      <c r="B53" t="inlineStr">
        <is>
          <t>Rocket Soldier RA</t>
        </is>
      </c>
      <c r="D53" t="n">
        <v>10000</v>
      </c>
      <c r="E53" t="n">
        <v>55</v>
      </c>
      <c r="F53" s="7">
        <f>(S53*37500000/(L53*M53*D53*E53*K53*J53)-((500/(K53*J53))+(2500000000/(D53*E53*K53*J53)*(D53/100000+E53/100+J53/200))))/(1+5000000/(D53*E53)+(500000000/(D53*E53*J53)))</f>
        <v/>
      </c>
      <c r="G53" t="n">
        <v>20000</v>
      </c>
      <c r="H53" t="n">
        <v>0.875</v>
      </c>
      <c r="I53" t="n">
        <v>50</v>
      </c>
      <c r="J53" s="6">
        <f>G53/I53*H53</f>
        <v/>
      </c>
      <c r="K53" t="n">
        <v>1</v>
      </c>
      <c r="L53" t="n">
        <v>0.5</v>
      </c>
      <c r="M53" t="n">
        <v>1</v>
      </c>
      <c r="O53" s="6">
        <f>(D53/100000+E53/100+F53*K53/5+J53/200)*200*L53*M53</f>
        <v/>
      </c>
      <c r="P53" s="6">
        <f>((D53*E53/25000)+(F53*K53*J53/2.5))*L53*M53</f>
        <v/>
      </c>
      <c r="Q53" s="6">
        <f>(D53*E53*F53*K53*J53*L53*M53)/12500000</f>
        <v/>
      </c>
      <c r="R53" s="6">
        <f>(O53+P53+Q53)/3</f>
        <v/>
      </c>
      <c r="S53" t="n">
        <v>300</v>
      </c>
    </row>
    <row r="54">
      <c r="B54" t="inlineStr">
        <is>
          <t>Dragunov</t>
        </is>
      </c>
      <c r="D54" t="n">
        <v>20000</v>
      </c>
      <c r="E54" t="n">
        <v>40</v>
      </c>
      <c r="F54" s="7">
        <f>(S54*37500000/(L54*M54*D54*E54*K54*J54)-((500/(K54*J54))+(2500000000/(D54*E54*K54*J54)*(D54/100000+E54/100+J54/200))))/(1+5000000/(D54*E54)+(500000000/(D54*E54*J54)))</f>
        <v/>
      </c>
      <c r="G54" t="n">
        <v>40000</v>
      </c>
      <c r="H54" t="n">
        <v>1</v>
      </c>
      <c r="I54" t="n">
        <v>85</v>
      </c>
      <c r="J54" s="6">
        <f>G54/I54*H54</f>
        <v/>
      </c>
      <c r="K54" t="n">
        <v>1</v>
      </c>
      <c r="L54" t="n">
        <v>0.5</v>
      </c>
      <c r="M54" t="n">
        <v>1</v>
      </c>
      <c r="O54" s="6">
        <f>(D54/100000+E54/100+F54*K54/5+J54/200)*200*L54*M54</f>
        <v/>
      </c>
      <c r="P54" s="6">
        <f>((D54*E54/25000)+(F54*K54*J54/2.5))*L54*M54</f>
        <v/>
      </c>
      <c r="Q54" s="6">
        <f>(D54*E54*F54*K54*J54*L54*M54)/12500000</f>
        <v/>
      </c>
      <c r="R54" s="6">
        <f>(O54+P54+Q54)/3</f>
        <v/>
      </c>
      <c r="S54" t="n">
        <v>400</v>
      </c>
    </row>
    <row r="55">
      <c r="B55" t="inlineStr">
        <is>
          <t>Fire Rocket Soldier</t>
        </is>
      </c>
      <c r="D55" t="n">
        <v>16000</v>
      </c>
      <c r="E55" t="n">
        <v>48</v>
      </c>
      <c r="F55" s="7">
        <f>(S55*37500000/(L55*M55*D55*E55*K55*J55)-((500/(K55*J55))+(2500000000/(D55*E55*K55*J55)*(D55/100000+E55/100+J55/200))))/(1+5000000/(D55*E55)+(500000000/(D55*E55*J55)))</f>
        <v/>
      </c>
      <c r="G55" t="n">
        <v>32000</v>
      </c>
      <c r="H55" t="n">
        <v>0.875</v>
      </c>
      <c r="I55" t="n">
        <v>53</v>
      </c>
      <c r="J55" s="6">
        <f>G55/I55*H55</f>
        <v/>
      </c>
      <c r="K55" t="n">
        <v>1</v>
      </c>
      <c r="L55" t="n">
        <v>0.5</v>
      </c>
      <c r="M55" t="n">
        <v>1</v>
      </c>
      <c r="O55" s="6">
        <f>(D55/100000+E55/100+F55*K55/5+J55/200)*200*L55*M55</f>
        <v/>
      </c>
      <c r="P55" s="6">
        <f>((D55*E55/25000)+(F55*K55*J55/2.5))*L55*M55</f>
        <v/>
      </c>
      <c r="Q55" s="6">
        <f>(D55*E55*F55*K55*J55*L55*M55)/12500000</f>
        <v/>
      </c>
      <c r="R55" s="6">
        <f>(O55+P55+Q55)/3</f>
        <v/>
      </c>
      <c r="S55" t="n">
        <v>400</v>
      </c>
    </row>
    <row r="56">
      <c r="A56" t="inlineStr">
        <is>
          <t>D2K</t>
        </is>
      </c>
      <c r="B56" t="inlineStr">
        <is>
          <t>Dune Rocket Trooper</t>
        </is>
      </c>
      <c r="D56" t="n">
        <v>12000</v>
      </c>
      <c r="E56" t="n">
        <v>48</v>
      </c>
      <c r="F56" s="7">
        <f>(S56*37500000/(L56*M56*D56*E56*K56*J56)-((500/(K56*J56))+(2500000000/(D56*E56*K56*J56)*(D56/100000+E56/100+J56/200))))/(1+5000000/(D56*E56)+(500000000/(D56*E56*J56)))</f>
        <v/>
      </c>
      <c r="G56" t="n">
        <v>24000</v>
      </c>
      <c r="H56" t="n">
        <v>1</v>
      </c>
      <c r="I56" t="n">
        <v>64</v>
      </c>
      <c r="J56" s="6">
        <f>G56/I56*H56</f>
        <v/>
      </c>
      <c r="K56" t="n">
        <v>1</v>
      </c>
      <c r="L56" t="n">
        <v>0.5</v>
      </c>
      <c r="M56" t="n">
        <v>1</v>
      </c>
      <c r="O56" s="6">
        <f>(D56/100000+E56/100+F56*K56/5+J56/200)*200*L56*M56</f>
        <v/>
      </c>
      <c r="P56" s="6">
        <f>((D56*E56/25000)+(F56*K56*J56/2.5))*L56*M56</f>
        <v/>
      </c>
      <c r="Q56" s="6">
        <f>(D56*E56*F56*K56*J56*L56*M56)/12500000</f>
        <v/>
      </c>
      <c r="R56" s="6">
        <f>(O56+P56+Q56)/3</f>
        <v/>
      </c>
      <c r="S56" t="n">
        <v>300</v>
      </c>
    </row>
    <row r="57">
      <c r="B57" t="inlineStr">
        <is>
          <t>Twin Rocket Trooper</t>
        </is>
      </c>
      <c r="D57" t="n">
        <v>24000</v>
      </c>
      <c r="E57" t="n">
        <v>48</v>
      </c>
      <c r="F57" s="7">
        <f>(S57*37500000/(L57*M57*D57*E57*K57*J57)-((500/(K57*J57))+(2500000000/(D57*E57*K57*J57)*(D57/100000+E57/100+J57/200))))/(1+5000000/(D57*E57)+(500000000/(D57*E57*J57)))</f>
        <v/>
      </c>
      <c r="G57" t="n">
        <v>48000</v>
      </c>
      <c r="H57" t="n">
        <v>1</v>
      </c>
      <c r="I57" t="n">
        <v>64</v>
      </c>
      <c r="J57" s="6">
        <f>G57/I57*H57</f>
        <v/>
      </c>
      <c r="K57" t="n">
        <v>1</v>
      </c>
      <c r="L57" t="n">
        <v>0.5</v>
      </c>
      <c r="M57" t="n">
        <v>1</v>
      </c>
      <c r="O57" s="6">
        <f>(D57/100000+E57/100+F57*K57/5+J57/200)*200*L57*M57</f>
        <v/>
      </c>
      <c r="P57" s="6">
        <f>((D57*E57/25000)+(F57*K57*J57/2.5))*L57*M57</f>
        <v/>
      </c>
      <c r="Q57" s="6">
        <f>(D57*E57*F57*K57*J57*L57*M57)/12500000</f>
        <v/>
      </c>
      <c r="R57" s="6">
        <f>(O57+P57+Q57)/3</f>
        <v/>
      </c>
      <c r="S57" t="n">
        <v>600</v>
      </c>
    </row>
    <row r="58">
      <c r="B58" t="inlineStr">
        <is>
          <t>AA Trooper (AG)</t>
        </is>
      </c>
      <c r="D58" t="n">
        <v>15000</v>
      </c>
      <c r="E58" t="n">
        <v>45</v>
      </c>
      <c r="F58" s="7">
        <f>(S58*37500000/(L58*M58*D58*E58*K58*J58)-((500/(K58*J58))+(2500000000/(D58*E58*K58*J58)*(D58/100000+E58/100+J58/200))))/(1+5000000/(D58*E58)+(500000000/(D58*E58*J58)))</f>
        <v/>
      </c>
      <c r="G58" t="n">
        <v>30000</v>
      </c>
      <c r="H58" t="n">
        <v>1</v>
      </c>
      <c r="I58" t="n">
        <v>50</v>
      </c>
      <c r="J58" s="6">
        <f>G58/I58*H58</f>
        <v/>
      </c>
      <c r="K58" t="n">
        <v>1</v>
      </c>
      <c r="L58" t="n">
        <v>0.5</v>
      </c>
      <c r="M58" t="n">
        <v>1</v>
      </c>
      <c r="O58" s="6">
        <f>(D58/100000+E58/100+F58*K58/5+J58/200)*200*L58*M58</f>
        <v/>
      </c>
      <c r="P58" s="6">
        <f>((D58*E58/25000)+(F58*K58*J58/2.5))*L58*M58</f>
        <v/>
      </c>
      <c r="Q58" s="6">
        <f>(D58*E58*F58*K58*J58*L58*M58)/12500000</f>
        <v/>
      </c>
      <c r="R58" s="6">
        <f>(O58+P58+Q58)/3</f>
        <v/>
      </c>
      <c r="S58" t="n">
        <v>450</v>
      </c>
    </row>
    <row r="59">
      <c r="B59" t="inlineStr">
        <is>
          <t>AA Trooper (AA)</t>
        </is>
      </c>
      <c r="D59" t="n">
        <v>15000</v>
      </c>
      <c r="E59" t="n">
        <v>45</v>
      </c>
      <c r="F59" s="7">
        <f>(S59*37500000/(L59*M59*D59*E59*K59*J59)-((500/(K59*J59))+(2500000000/(D59*E59*K59*J59)*(D59/100000+E59/100+J59/200))))/(1+5000000/(D59*E59)+(500000000/(D59*E59*J59)))</f>
        <v/>
      </c>
      <c r="G59" t="n">
        <v>30000</v>
      </c>
      <c r="H59" t="n">
        <v>1</v>
      </c>
      <c r="I59" t="n">
        <v>75</v>
      </c>
      <c r="J59" s="6">
        <f>G59/I59*H59</f>
        <v/>
      </c>
      <c r="K59" t="n">
        <v>1</v>
      </c>
      <c r="L59" t="n">
        <v>0.5</v>
      </c>
      <c r="M59" t="n">
        <v>1</v>
      </c>
      <c r="O59" s="6">
        <f>(D59/100000+E59/100+F59*K59/5+J59/200)*200*L59*M59</f>
        <v/>
      </c>
      <c r="P59" s="6">
        <f>((D59*E59/25000)+(F59*K59*J59/2.5))*L59*M59</f>
        <v/>
      </c>
      <c r="Q59" s="6">
        <f>(D59*E59*F59*K59*J59*L59*M59)/12500000</f>
        <v/>
      </c>
      <c r="R59" s="6">
        <f>(O59+P59+Q59)/3</f>
        <v/>
      </c>
      <c r="S59" t="n">
        <v>450</v>
      </c>
    </row>
    <row r="60">
      <c r="A60" t="inlineStr">
        <is>
          <t>Naxi</t>
        </is>
      </c>
      <c r="B60" t="inlineStr">
        <is>
          <t>Portable Flak</t>
        </is>
      </c>
      <c r="D60" t="n">
        <v>12000</v>
      </c>
      <c r="E60" t="n">
        <v>55</v>
      </c>
      <c r="F60" s="7">
        <f>(S60*37500000/(L60*M60*D60*E60*K60*J60)-((500/(K60*J60))+(2500000000/(D60*E60*K60*J60)*(D60/100000+E60/100+J60/200))))/(1+5000000/(D60*E60)+(500000000/(D60*E60*J60)))</f>
        <v/>
      </c>
      <c r="G60" t="n">
        <v>24000</v>
      </c>
      <c r="H60" t="n">
        <v>1</v>
      </c>
      <c r="I60" t="n">
        <v>64</v>
      </c>
      <c r="J60" s="6">
        <f>G60/I60*H60</f>
        <v/>
      </c>
      <c r="K60" t="n">
        <v>1</v>
      </c>
      <c r="L60" t="n">
        <v>0.5</v>
      </c>
      <c r="M60" t="n">
        <v>1</v>
      </c>
      <c r="O60" s="6">
        <f>(D60/100000+E60/100+F60*K60/5+J60/200)*200*L60*M60</f>
        <v/>
      </c>
      <c r="P60" s="6">
        <f>((D60*E60/25000)+(F60*K60*J60/2.5))*L60*M60</f>
        <v/>
      </c>
      <c r="Q60" s="6">
        <f>(D60*E60*F60*K60*J60*L60*M60)/12500000</f>
        <v/>
      </c>
      <c r="R60" s="6">
        <f>(O60+P60+Q60)/3</f>
        <v/>
      </c>
      <c r="S60" t="n">
        <v>400</v>
      </c>
    </row>
    <row r="61">
      <c r="B61" t="inlineStr">
        <is>
          <t>Lunar Rocket</t>
        </is>
      </c>
      <c r="D61" t="n">
        <v>18000</v>
      </c>
      <c r="E61" t="n">
        <v>60</v>
      </c>
      <c r="F61" s="7">
        <f>(S61*37500000/(L61*M61*D61*E61*K61*J61)-((500/(K61*J61))+(2500000000/(D61*E61*K61*J61)*(D61/100000+E61/100+J61/200))))/(1+5000000/(D61*E61)+(500000000/(D61*E61*J61)))</f>
        <v/>
      </c>
      <c r="G61" t="n">
        <v>12000</v>
      </c>
      <c r="H61" t="n">
        <v>1</v>
      </c>
      <c r="I61" t="n">
        <v>50</v>
      </c>
      <c r="J61" s="6">
        <f>G61/I61*H61</f>
        <v/>
      </c>
      <c r="K61" t="n">
        <v>1.75</v>
      </c>
      <c r="L61" t="n">
        <v>0.5</v>
      </c>
      <c r="M61" t="n">
        <v>1</v>
      </c>
      <c r="O61" s="6">
        <f>(D61/100000+E61/100+F61*K61/5+J61/200)*200*L61*M61</f>
        <v/>
      </c>
      <c r="P61" s="6">
        <f>((D61*E61/25000)+(F61*K61*J61/2.5))*L61*M61</f>
        <v/>
      </c>
      <c r="Q61" s="6">
        <f>(D61*E61*F61*K61*J61*L61*M61)/12500000</f>
        <v/>
      </c>
      <c r="R61" s="6">
        <f>(O61+P61+Q61)/3</f>
        <v/>
      </c>
      <c r="S61" t="n">
        <v>350</v>
      </c>
    </row>
    <row r="62">
      <c r="A62" t="inlineStr">
        <is>
          <t>StarCraft</t>
        </is>
      </c>
      <c r="B62" t="inlineStr">
        <is>
          <t>Terran Marine</t>
        </is>
      </c>
      <c r="D62" t="n">
        <v>40000</v>
      </c>
      <c r="E62" t="n">
        <v>60</v>
      </c>
      <c r="F62" s="7">
        <f>(S62*37500000/(L62*M62*D62*E62*K62*J62)-((500/(K62*J62))+(2500000000/(D62*E62*K62*J62)*(D62/100000+E62/100+J62/200))))/(1+5000000/(D62*E62)+(500000000/(D62*E62*J62)))</f>
        <v/>
      </c>
      <c r="G62" t="n">
        <v>6000</v>
      </c>
      <c r="H62" t="n">
        <v>1</v>
      </c>
      <c r="I62" t="n">
        <v>30</v>
      </c>
      <c r="J62" s="6">
        <f>G62/I62*H62</f>
        <v/>
      </c>
      <c r="K62" t="n">
        <v>1</v>
      </c>
      <c r="L62" t="n">
        <v>0.5</v>
      </c>
      <c r="M62" t="n">
        <v>1</v>
      </c>
      <c r="O62" s="6">
        <f>(D62/100000+E62/100+F62*K62/5+J62/200)*200*L62*M62</f>
        <v/>
      </c>
      <c r="P62" s="6">
        <f>((D62*E62/25000)+(F62*K62*J62/2.5))*L62*M62</f>
        <v/>
      </c>
      <c r="Q62" s="6">
        <f>(D62*E62*F62*K62*J62*L62*M62)/12500000</f>
        <v/>
      </c>
      <c r="R62" s="6">
        <f>(O62+P62+Q62)/3</f>
        <v/>
      </c>
      <c r="S62" t="n">
        <v>200</v>
      </c>
    </row>
    <row r="63">
      <c r="B63" t="inlineStr">
        <is>
          <t>Madcap</t>
        </is>
      </c>
      <c r="D63" t="n">
        <v>60000</v>
      </c>
      <c r="E63" t="n">
        <v>60</v>
      </c>
      <c r="F63" s="7">
        <f>(S63*37500000/(L63*M63*D63*E63*K63*J63)-((500/(K63*J63))+(2500000000/(D63*E63*K63*J63)*(D63/100000+E63/100+J63/200))))/(1+5000000/(D63*E63)+(500000000/(D63*E63*J63)))</f>
        <v/>
      </c>
      <c r="G63" t="n">
        <v>6000</v>
      </c>
      <c r="H63" t="n">
        <v>1</v>
      </c>
      <c r="I63" t="n">
        <v>25</v>
      </c>
      <c r="J63" s="6">
        <f>G63/I63*H63</f>
        <v/>
      </c>
      <c r="K63" t="n">
        <v>1.25</v>
      </c>
      <c r="L63" t="n">
        <v>0.5</v>
      </c>
      <c r="M63" t="n">
        <v>1</v>
      </c>
      <c r="O63" s="6">
        <f>(D63/100000+E63/100+F63*K63/5+J63/200)*200*L63*M63</f>
        <v/>
      </c>
      <c r="P63" s="6">
        <f>((D63*E63/25000)+(F63*K63*J63/2.5))*L63*M63</f>
        <v/>
      </c>
      <c r="Q63" s="6">
        <f>(D63*E63*F63*K63*J63*L63*M63)/12500000</f>
        <v/>
      </c>
      <c r="R63" s="6">
        <f>(O63+P63+Q63)/3</f>
        <v/>
      </c>
      <c r="S63" t="n">
        <v>300</v>
      </c>
    </row>
    <row r="64">
      <c r="B64" t="inlineStr">
        <is>
          <t>Hydralisk</t>
        </is>
      </c>
      <c r="D64" t="n">
        <v>80000</v>
      </c>
      <c r="E64" t="n">
        <v>75</v>
      </c>
      <c r="F64" s="7">
        <f>(S64*37500000/(L64*M64*D64*E64*K64*J64)-((500/(K64*J64))+(2500000000/(D64*E64*K64*J64)*(D64/100000+E64/100+J64/200))))/(1+5000000/(D64*E64)+(500000000/(D64*E64*J64)))</f>
        <v/>
      </c>
      <c r="G64" t="n">
        <v>8000</v>
      </c>
      <c r="H64" t="n">
        <v>0.75</v>
      </c>
      <c r="I64" t="n">
        <v>15</v>
      </c>
      <c r="J64" s="6">
        <f>G64/I64*H64</f>
        <v/>
      </c>
      <c r="K64" t="n">
        <v>1</v>
      </c>
      <c r="L64" t="n">
        <v>0.5</v>
      </c>
      <c r="M64" t="n">
        <v>1</v>
      </c>
      <c r="O64" s="6">
        <f>(D64/100000+E64/100+F64*K64/5+J64/200)*200*L64*M64</f>
        <v/>
      </c>
      <c r="P64" s="6">
        <f>((D64*E64/25000)+(F64*K64*J64/2.5))*L64*M64</f>
        <v/>
      </c>
      <c r="Q64" s="6">
        <f>(D64*E64*F64*K64*J64*L64*M64)/12500000</f>
        <v/>
      </c>
      <c r="R64" s="6">
        <f>(O64+P64+Q64)/3</f>
        <v/>
      </c>
      <c r="S64" t="n">
        <v>500</v>
      </c>
    </row>
    <row r="65">
      <c r="B65" t="inlineStr">
        <is>
          <t>High Templar</t>
        </is>
      </c>
      <c r="D65" t="n">
        <v>35000</v>
      </c>
      <c r="E65" t="n">
        <v>70</v>
      </c>
      <c r="F65" s="7">
        <f>(S65*37500000/(L65*M65*D65*E65*K65*J65)-((500/(K65*J65))+(2500000000/(D65*E65*K65*J65)*(D65/100000+E65/100+J65/200))))/(1+5000000/(D65*E65)+(500000000/(D65*E65*J65)))</f>
        <v/>
      </c>
      <c r="G65" t="n">
        <v>8000</v>
      </c>
      <c r="H65" t="n">
        <v>1</v>
      </c>
      <c r="I65" t="n">
        <v>8</v>
      </c>
      <c r="J65" s="6">
        <f>G65/I65*H65</f>
        <v/>
      </c>
      <c r="K65" t="n">
        <v>1.25</v>
      </c>
      <c r="L65" t="n">
        <v>0.5</v>
      </c>
      <c r="M65" t="n">
        <v>0.75</v>
      </c>
      <c r="O65" s="6">
        <f>(D65/100000+E65/100+F65*K65/5+J65/200)*200*L65*M65</f>
        <v/>
      </c>
      <c r="P65" s="6">
        <f>((D65*E65/25000)+(F65*K65*J65/2.5))*L65*M65</f>
        <v/>
      </c>
      <c r="Q65" s="6">
        <f>(D65*E65*F65*K65*J65*L65*M65)/12500000</f>
        <v/>
      </c>
      <c r="R65" s="6">
        <f>(O65+P65+Q65)/3</f>
        <v/>
      </c>
      <c r="S65" t="n">
        <v>800</v>
      </c>
    </row>
    <row r="66">
      <c r="A66" t="inlineStr">
        <is>
          <t>RA2</t>
        </is>
      </c>
      <c r="B66" t="inlineStr">
        <is>
          <t>Guardian G.I. (MG)</t>
        </is>
      </c>
      <c r="D66" t="n">
        <v>45000</v>
      </c>
      <c r="E66" t="n">
        <v>45</v>
      </c>
      <c r="F66" s="7">
        <f>(S66*37500000/(L66*M66*D66*E66*K66*J66)-((500/(K66*J66))+(2500000000/(D66*E66*K66*J66)*(D66/100000+E66/100+J66/200))))/(1+5000000/(D66*E66)+(500000000/(D66*E66*J66)))</f>
        <v/>
      </c>
      <c r="G66" t="n">
        <v>12000</v>
      </c>
      <c r="H66" t="n">
        <v>0.875</v>
      </c>
      <c r="I66" t="n">
        <v>24</v>
      </c>
      <c r="J66" s="6">
        <f>G66/I66*H66</f>
        <v/>
      </c>
      <c r="K66" t="n">
        <v>1.25</v>
      </c>
      <c r="L66" t="n">
        <v>0.5</v>
      </c>
      <c r="M66" t="n">
        <v>1</v>
      </c>
      <c r="O66" s="6">
        <f>(D66/100000+E66/100+F66*K66/5+J66/200)*200*L66*M66</f>
        <v/>
      </c>
      <c r="P66" s="6">
        <f>((D66*E66/25000)+(F66*K66*J66/2.5))*L66*M66</f>
        <v/>
      </c>
      <c r="Q66" s="6">
        <f>(D66*E66*F66*K66*J66*L66*M66)/12500000</f>
        <v/>
      </c>
      <c r="R66" s="6">
        <f>(O66+P66+Q66)/3</f>
        <v/>
      </c>
      <c r="S66" t="n">
        <v>400</v>
      </c>
    </row>
    <row r="67">
      <c r="B67" t="inlineStr">
        <is>
          <t>Guardian G.I. (Rocket)</t>
        </is>
      </c>
      <c r="D67" t="n">
        <v>45000</v>
      </c>
      <c r="E67" t="n">
        <v>45</v>
      </c>
      <c r="F67" s="7">
        <f>(S67*37500000/(L67*M67*D67*E67*K67*J67)-((500/(K67*J67))+(2500000000/(D67*E67*K67*J67)*(D67/100000+E67/100+J67/200))))/(1+5000000/(D67*E67)+(500000000/(D67*E67*J67)))</f>
        <v/>
      </c>
      <c r="G67" t="n">
        <v>24000</v>
      </c>
      <c r="H67" t="n">
        <v>0.75</v>
      </c>
      <c r="I67" t="n">
        <v>45</v>
      </c>
      <c r="J67" s="6">
        <f>G67/I67*H67</f>
        <v/>
      </c>
      <c r="K67" t="n">
        <v>1</v>
      </c>
      <c r="L67" t="n">
        <v>0.5</v>
      </c>
      <c r="M67" t="n">
        <v>1</v>
      </c>
      <c r="O67" s="6">
        <f>(D67/100000+E67/100+F67*K67/5+J67/200)*200*L67*M67</f>
        <v/>
      </c>
      <c r="P67" s="6">
        <f>((D67*E67/25000)+(F67*K67*J67/2.5))*L67*M67</f>
        <v/>
      </c>
      <c r="Q67" s="6">
        <f>(D67*E67*F67*K67*J67*L67*M67)/12500000</f>
        <v/>
      </c>
      <c r="R67" s="6">
        <f>(O67+P67+Q67)/3</f>
        <v/>
      </c>
      <c r="S67" t="n">
        <v>400</v>
      </c>
    </row>
    <row r="68">
      <c r="B68" t="inlineStr">
        <is>
          <t>Flak Trooper (Ground)</t>
        </is>
      </c>
      <c r="D68" t="n">
        <v>10000</v>
      </c>
      <c r="E68" t="n">
        <v>45</v>
      </c>
      <c r="F68" s="7">
        <f>(S68*37500000/(L68*M68*D68*E68*K68*J68)-((500/(K68*J68))+(2500000000/(D68*E68*K68*J68)*(D68/100000+E68/100+J68/200))))/(1+5000000/(D68*E68)+(500000000/(D68*E68*J68)))</f>
        <v/>
      </c>
      <c r="G68" t="n">
        <v>8000</v>
      </c>
      <c r="H68" t="n">
        <v>1</v>
      </c>
      <c r="I68" t="n">
        <v>17</v>
      </c>
      <c r="J68" s="6">
        <f>G68/I68*H68</f>
        <v/>
      </c>
      <c r="K68" t="n">
        <v>1</v>
      </c>
      <c r="L68" t="n">
        <v>0.5</v>
      </c>
      <c r="M68" t="n">
        <v>1</v>
      </c>
      <c r="O68" s="6">
        <f>(D68/100000+E68/100+F68*K68/5+J68/200)*200*L68*M68</f>
        <v/>
      </c>
      <c r="P68" s="6">
        <f>((D68*E68/25000)+(F68*K68*J68/2.5))*L68*M68</f>
        <v/>
      </c>
      <c r="Q68" s="6">
        <f>(D68*E68*F68*K68*J68*L68*M68)/12500000</f>
        <v/>
      </c>
      <c r="R68" s="6">
        <f>(O68+P68+Q68)/3</f>
        <v/>
      </c>
      <c r="S68" t="n">
        <v>300</v>
      </c>
    </row>
    <row r="69">
      <c r="B69" t="inlineStr">
        <is>
          <t>Flak Trooper (AA)</t>
        </is>
      </c>
      <c r="D69" t="n">
        <v>10000</v>
      </c>
      <c r="E69" t="n">
        <v>45</v>
      </c>
      <c r="F69" s="7">
        <f>(S69*37500000/(L69*M69*D69*E69*K69*J69)-((500/(K69*J69))+(2500000000/(D69*E69*K69*J69)*(D69/100000+E69/100+J69/200))))/(1+5000000/(D69*E69)+(500000000/(D69*E69*J69)))</f>
        <v/>
      </c>
      <c r="G69" t="n">
        <v>8000</v>
      </c>
      <c r="H69" t="n">
        <v>1</v>
      </c>
      <c r="I69" t="n">
        <v>26</v>
      </c>
      <c r="J69" s="6">
        <f>G69/I69*H69</f>
        <v/>
      </c>
      <c r="K69" t="n">
        <v>1</v>
      </c>
      <c r="L69" t="n">
        <v>0.5</v>
      </c>
      <c r="M69" t="n">
        <v>1</v>
      </c>
      <c r="O69" s="6">
        <f>(D69/100000+E69/100+F69*K69/5+J69/200)*200*L69*M69</f>
        <v/>
      </c>
      <c r="P69" s="6">
        <f>((D69*E69/25000)+(F69*K69*J69/2.5))*L69*M69</f>
        <v/>
      </c>
      <c r="Q69" s="6">
        <f>(D69*E69*F69*K69*J69*L69*M69)/12500000</f>
        <v/>
      </c>
      <c r="R69" s="6">
        <f>(O69+P69+Q69)/3</f>
        <v/>
      </c>
      <c r="S69" t="n">
        <v>300</v>
      </c>
    </row>
    <row r="70">
      <c r="A70" t="inlineStr">
        <is>
          <t>WarCraft</t>
        </is>
      </c>
      <c r="B70" t="inlineStr">
        <is>
          <t>Elven Archer</t>
        </is>
      </c>
      <c r="D70" t="n">
        <v>25000</v>
      </c>
      <c r="E70" t="n">
        <v>75</v>
      </c>
      <c r="F70" s="7">
        <f>(S70*37500000/(L70*M70*D70*E70*K70*J70)-((500/(K70*J70))+(2500000000/(D70*E70*K70*J70)*(D70/100000+E70/100+J70/200))))/(1+5000000/(D70*E70)+(500000000/(D70*E70*J70)))</f>
        <v/>
      </c>
      <c r="G70" t="n">
        <v>18000</v>
      </c>
      <c r="H70" t="n">
        <v>0.875</v>
      </c>
      <c r="I70" t="n">
        <v>25</v>
      </c>
      <c r="J70" s="6">
        <f>G70/I70*H70</f>
        <v/>
      </c>
      <c r="K70" t="n">
        <v>1</v>
      </c>
      <c r="L70" t="n">
        <v>0.5</v>
      </c>
      <c r="M70" t="n">
        <v>1</v>
      </c>
      <c r="O70" s="6">
        <f>(D70/100000+E70/100+F70*K70/5+J70/200)*200*L70*M70</f>
        <v/>
      </c>
      <c r="P70" s="6">
        <f>((D70*E70/25000)+(F70*K70*J70/2.5))*L70*M70</f>
        <v/>
      </c>
      <c r="Q70" s="6">
        <f>(D70*E70*F70*K70*J70*L70*M70)/12500000</f>
        <v/>
      </c>
      <c r="R70" s="6">
        <f>(O70+P70+Q70)/3</f>
        <v/>
      </c>
      <c r="S70" t="n">
        <v>600</v>
      </c>
    </row>
    <row r="71">
      <c r="B71" t="inlineStr">
        <is>
          <t>High Elven Archer</t>
        </is>
      </c>
      <c r="D71" t="n">
        <v>35000</v>
      </c>
      <c r="E71" t="n">
        <v>85</v>
      </c>
      <c r="F71" s="7">
        <f>(S71*37500000/(L71*M71*D71*E71*K71*J71)-((500/(K71*J71))+(2500000000/(D71*E71*K71*J71)*(D71/100000+E71/100+J71/200))))/(1+5000000/(D71*E71)+(500000000/(D71*E71*J71)))</f>
        <v/>
      </c>
      <c r="G71" t="n">
        <v>36000</v>
      </c>
      <c r="H71" t="n">
        <v>1</v>
      </c>
      <c r="I71" t="n">
        <v>35</v>
      </c>
      <c r="J71" s="6">
        <f>G71/I71*H71</f>
        <v/>
      </c>
      <c r="K71" t="n">
        <v>1</v>
      </c>
      <c r="L71" t="n">
        <v>0.5</v>
      </c>
      <c r="M71" t="n">
        <v>1</v>
      </c>
      <c r="O71" s="6">
        <f>(D71/100000+E71/100+F71*K71/5+J71/200)*200*L71*M71</f>
        <v/>
      </c>
      <c r="P71" s="6">
        <f>((D71*E71/25000)+(F71*K71*J71/2.5))*L71*M71</f>
        <v/>
      </c>
      <c r="Q71" s="6">
        <f>(D71*E71*F71*K71*J71*L71*M71)/12500000</f>
        <v/>
      </c>
      <c r="R71" s="6">
        <f>(O71+P71+Q71)/3</f>
        <v/>
      </c>
      <c r="S71" t="n">
        <v>1100</v>
      </c>
    </row>
    <row r="72">
      <c r="B72" t="inlineStr">
        <is>
          <t>Troll Axethrower</t>
        </is>
      </c>
      <c r="D72" t="n">
        <v>30000</v>
      </c>
      <c r="E72" t="n">
        <v>60</v>
      </c>
      <c r="F72" s="7">
        <f>(S72*37500000/(L72*M72*D72*E72*K72*J72)-((500/(K72*J72))+(2500000000/(D72*E72*K72*J72)*(D72/100000+E72/100+J72/200))))/(1+5000000/(D72*E72)+(500000000/(D72*E72*J72)))</f>
        <v/>
      </c>
      <c r="G72" t="n">
        <v>24000</v>
      </c>
      <c r="H72" t="n">
        <v>0.875</v>
      </c>
      <c r="I72" t="n">
        <v>38</v>
      </c>
      <c r="J72" s="6">
        <f>G72/I72*H72</f>
        <v/>
      </c>
      <c r="K72" t="n">
        <v>1</v>
      </c>
      <c r="L72" t="n">
        <v>0.5</v>
      </c>
      <c r="M72" t="n">
        <v>1</v>
      </c>
      <c r="O72" s="6">
        <f>(D72/100000+E72/100+F72*K72/5+J72/200)*200*L72*M72</f>
        <v/>
      </c>
      <c r="P72" s="6">
        <f>((D72*E72/25000)+(F72*K72*J72/2.5))*L72*M72</f>
        <v/>
      </c>
      <c r="Q72" s="6">
        <f>(D72*E72*F72*K72*J72*L72*M72)/12500000</f>
        <v/>
      </c>
      <c r="R72" s="6">
        <f>(O72+P72+Q72)/3</f>
        <v/>
      </c>
      <c r="S72" t="n">
        <v>500</v>
      </c>
    </row>
    <row r="73">
      <c r="B73" t="inlineStr">
        <is>
          <t>Troll Headhunter</t>
        </is>
      </c>
      <c r="D73" t="n">
        <v>40000</v>
      </c>
      <c r="E73" t="n">
        <v>75</v>
      </c>
      <c r="F73" s="7">
        <f>(S73*37500000/(L73*M73*D73*E73*K73*J73)-((500/(K73*J73))+(2500000000/(D73*E73*K73*J73)*(D73/100000+E73/100+J73/200))))/(1+5000000/(D73*E73)+(500000000/(D73*E73*J73)))</f>
        <v/>
      </c>
      <c r="G73" t="n">
        <v>36000</v>
      </c>
      <c r="H73" t="n">
        <v>1</v>
      </c>
      <c r="I73" t="n">
        <v>40</v>
      </c>
      <c r="J73" s="6">
        <f>G73/I73*H73</f>
        <v/>
      </c>
      <c r="K73" t="n">
        <v>1</v>
      </c>
      <c r="L73" t="n">
        <v>0.5</v>
      </c>
      <c r="M73" t="n">
        <v>1</v>
      </c>
      <c r="O73" s="6">
        <f>(D73/100000+E73/100+F73*K73/5+J73/200)*200*L73*M73</f>
        <v/>
      </c>
      <c r="P73" s="6">
        <f>((D73*E73/25000)+(F73*K73*J73/2.5))*L73*M73</f>
        <v/>
      </c>
      <c r="Q73" s="6">
        <f>(D73*E73*F73*K73*J73*L73*M73)/12500000</f>
        <v/>
      </c>
      <c r="R73" s="6">
        <f>(O73+P73+Q73)/3</f>
        <v/>
      </c>
      <c r="S73" t="n">
        <v>1000</v>
      </c>
    </row>
    <row r="74">
      <c r="B74" t="inlineStr">
        <is>
          <t>Kodo Beast</t>
        </is>
      </c>
      <c r="D74" t="n">
        <v>125000</v>
      </c>
      <c r="E74" t="n">
        <v>60</v>
      </c>
      <c r="F74" s="7">
        <f>(S74*37500000/(L74*M74*D74*E74*K74*J74)-((500/(K74*J74))+(2500000000/(D74*E74*K74*J74)*(D74/100000+E74/100+J74/200))))/(1+5000000/(D74*E74)+(500000000/(D74*E74*J74)))</f>
        <v/>
      </c>
      <c r="G74" t="n">
        <v>24000</v>
      </c>
      <c r="H74" t="n">
        <v>0.875</v>
      </c>
      <c r="I74" t="n">
        <v>38</v>
      </c>
      <c r="J74" s="6">
        <f>G74/I74*H74</f>
        <v/>
      </c>
      <c r="K74" t="n">
        <v>1.25</v>
      </c>
      <c r="L74" t="n">
        <v>0.5</v>
      </c>
      <c r="M74" t="n">
        <v>1</v>
      </c>
      <c r="O74" s="6">
        <f>(D74/100000+E74/100+F74*K74/5+J74/200)*200*L74*M74</f>
        <v/>
      </c>
      <c r="P74" s="6">
        <f>((D74*E74/25000)+(F74*K74*J74/2.5))*L74*M74</f>
        <v/>
      </c>
      <c r="Q74" s="6">
        <f>(D74*E74*F74*K74*J74*L74*M74)/12500000</f>
        <v/>
      </c>
      <c r="R74" s="6">
        <f>(O74+P74+Q74)/3</f>
        <v/>
      </c>
      <c r="S74" t="n">
        <v>1000</v>
      </c>
    </row>
    <row r="75">
      <c r="A75" t="inlineStr">
        <is>
          <t>RA2 Modded</t>
        </is>
      </c>
      <c r="B75" t="inlineStr">
        <is>
          <t>Asian Tank Killer</t>
        </is>
      </c>
      <c r="D75" t="n">
        <v>17000</v>
      </c>
      <c r="E75" t="n">
        <v>51</v>
      </c>
      <c r="F75" s="7">
        <f>(S75*37500000/(L75*M75*D75*E75*K75*J75)-((500/(K75*J75))+(2500000000/(D75*E75*K75*J75)*(D75/100000+E75/100+J75/200))))/(1+5000000/(D75*E75)+(500000000/(D75*E75*J75)))</f>
        <v/>
      </c>
      <c r="G75" t="n">
        <v>34000</v>
      </c>
      <c r="H75" t="n">
        <v>0.75</v>
      </c>
      <c r="I75" t="n">
        <v>75</v>
      </c>
      <c r="J75" s="6">
        <f>G75/I75*H75</f>
        <v/>
      </c>
      <c r="K75" t="n">
        <v>1</v>
      </c>
      <c r="L75" t="n">
        <v>0.5</v>
      </c>
      <c r="M75" t="n">
        <v>1</v>
      </c>
      <c r="O75" s="6">
        <f>(D75/100000+E75/100+F75*K75/5+J75/200)*200*L75*M75</f>
        <v/>
      </c>
      <c r="P75" s="6">
        <f>((D75*E75/25000)+(F75*K75*J75/2.5))*L75*M75</f>
        <v/>
      </c>
      <c r="Q75" s="6">
        <f>(D75*E75*F75*K75*J75*L75*M75)/12500000</f>
        <v/>
      </c>
      <c r="R75" s="6">
        <f>(O75+P75+Q75)/3</f>
        <v/>
      </c>
      <c r="S75" t="n">
        <v>300</v>
      </c>
    </row>
    <row r="76">
      <c r="B76" t="inlineStr">
        <is>
          <t>Veteran Archer</t>
        </is>
      </c>
      <c r="D76" t="n">
        <v>14000</v>
      </c>
      <c r="E76" t="n">
        <v>68</v>
      </c>
      <c r="F76" s="7">
        <f>(S76*37500000/(L76*M76*D76*E76*K76*J76)-((500/(K76*J76))+(2500000000/(D76*E76*K76*J76)*(D76/100000+E76/100+J76/200))))/(1+5000000/(D76*E76)+(500000000/(D76*E76*J76)))</f>
        <v/>
      </c>
      <c r="G76" t="n">
        <v>36000</v>
      </c>
      <c r="H76" t="n">
        <v>1</v>
      </c>
      <c r="I76" t="n">
        <v>68</v>
      </c>
      <c r="J76" s="6">
        <f>G76/I76*H76</f>
        <v/>
      </c>
      <c r="K76" t="n">
        <v>1</v>
      </c>
      <c r="L76" t="n">
        <v>0.5</v>
      </c>
      <c r="M76" t="n">
        <v>1</v>
      </c>
      <c r="O76" s="6">
        <f>(D76/100000+E76/100+F76*K76/5+J76/200)*200*L76*M76</f>
        <v/>
      </c>
      <c r="P76" s="6">
        <f>((D76*E76/25000)+(F76*K76*J76/2.5))*L76*M76</f>
        <v/>
      </c>
      <c r="Q76" s="6">
        <f>(D76*E76*F76*K76*J76*L76*M76)/12500000</f>
        <v/>
      </c>
      <c r="R76" s="6">
        <f>(O76+P76+Q76)/3</f>
        <v/>
      </c>
      <c r="S76" t="n">
        <v>450</v>
      </c>
    </row>
    <row r="77">
      <c r="B77" t="inlineStr">
        <is>
          <t>Latin Tank Killer</t>
        </is>
      </c>
      <c r="D77" t="n">
        <v>13000</v>
      </c>
      <c r="E77" t="n">
        <v>53</v>
      </c>
      <c r="F77" s="7">
        <f>(S77*37500000/(L77*M77*D77*E77*K77*J77)-((500/(K77*J77))+(2500000000/(D77*E77*K77*J77)*(D77/100000+E77/100+J77/200))))/(1+5000000/(D77*E77)+(500000000/(D77*E77*J77)))</f>
        <v/>
      </c>
      <c r="G77" t="n">
        <v>26000</v>
      </c>
      <c r="H77" t="n">
        <v>0.75</v>
      </c>
      <c r="I77" t="n">
        <v>66</v>
      </c>
      <c r="J77" s="6">
        <f>G77/I77*H77</f>
        <v/>
      </c>
      <c r="K77" t="n">
        <v>1</v>
      </c>
      <c r="L77" t="n">
        <v>0.5</v>
      </c>
      <c r="M77" t="n">
        <v>1</v>
      </c>
      <c r="O77" s="6">
        <f>(D77/100000+E77/100+F77*K77/5+J77/200)*200*L77*M77</f>
        <v/>
      </c>
      <c r="P77" s="6">
        <f>((D77*E77/25000)+(F77*K77*J77/2.5))*L77*M77</f>
        <v/>
      </c>
      <c r="Q77" s="6">
        <f>(D77*E77*F77*K77*J77*L77*M77)/12500000</f>
        <v/>
      </c>
      <c r="R77" s="6">
        <f>(O77+P77+Q77)/3</f>
        <v/>
      </c>
      <c r="S77" t="n">
        <v>270</v>
      </c>
    </row>
    <row r="78">
      <c r="B78" t="inlineStr">
        <is>
          <t>Javelin Soldier (Rocket)</t>
        </is>
      </c>
      <c r="D78" t="n">
        <v>25000</v>
      </c>
      <c r="E78" t="n">
        <v>50</v>
      </c>
      <c r="F78" s="7">
        <f>(S78*37500000/(L78*M78*D78*E78*K78*J78)-((500/(K78*J78))+(2500000000/(D78*E78*K78*J78)*(D78/100000+E78/100+J78/200))))/(1+5000000/(D78*E78)+(500000000/(D78*E78*J78)))</f>
        <v/>
      </c>
      <c r="G78" t="n">
        <v>10000</v>
      </c>
      <c r="H78" t="n">
        <v>1</v>
      </c>
      <c r="I78" t="n">
        <v>25</v>
      </c>
      <c r="J78" s="6">
        <f>G78/I78*H78</f>
        <v/>
      </c>
      <c r="K78" t="n">
        <v>1.25</v>
      </c>
      <c r="L78" t="n">
        <v>0.5</v>
      </c>
      <c r="M78" t="n">
        <v>1</v>
      </c>
      <c r="O78" s="6">
        <f>(D78/100000+E78/100+F78*K78/5+J78/200)*200*L78*M78</f>
        <v/>
      </c>
      <c r="P78" s="6">
        <f>((D78*E78/25000)+(F78*K78*J78/2.5))*L78*M78</f>
        <v/>
      </c>
      <c r="Q78" s="6">
        <f>(D78*E78*F78*K78*J78*L78*M78)/12500000</f>
        <v/>
      </c>
      <c r="R78" s="6">
        <f>(O78+P78+Q78)/3</f>
        <v/>
      </c>
      <c r="S78" t="n">
        <v>400</v>
      </c>
    </row>
    <row r="79">
      <c r="B79" t="inlineStr">
        <is>
          <t>Javelin Soldier (Deployed)</t>
        </is>
      </c>
      <c r="D79" t="n">
        <v>25000</v>
      </c>
      <c r="E79" t="n">
        <v>50</v>
      </c>
      <c r="F79" s="7">
        <f>(S79*37500000/(L79*M79*D79*E79*K79*J79)-((500/(K79*J79))+(2500000000/(D79*E79*K79*J79)*(D79/100000+E79/100+J79/200))))/(1+5000000/(D79*E79)+(500000000/(D79*E79*J79)))</f>
        <v/>
      </c>
      <c r="G79" t="n">
        <v>10000</v>
      </c>
      <c r="H79" t="n">
        <v>1</v>
      </c>
      <c r="I79" t="n">
        <v>25</v>
      </c>
      <c r="J79" s="6">
        <f>G79/I79*H79</f>
        <v/>
      </c>
      <c r="K79" t="n">
        <v>1</v>
      </c>
      <c r="L79" t="n">
        <v>0.5</v>
      </c>
      <c r="M79" t="n">
        <v>1</v>
      </c>
      <c r="O79" s="6">
        <f>(D79/100000+E79/100+F79*K79/5+J79/200)*200*L79*M79</f>
        <v/>
      </c>
      <c r="P79" s="6">
        <f>((D79*E79/25000)+(F79*K79*J79/2.5))*L79*M79</f>
        <v/>
      </c>
      <c r="Q79" s="6">
        <f>(D79*E79*F79*K79*J79*L79*M79)/12500000</f>
        <v/>
      </c>
      <c r="R79" s="6">
        <f>(O79+P79+Q79)/3</f>
        <v/>
      </c>
      <c r="S79" t="n">
        <v>400</v>
      </c>
    </row>
    <row r="80">
      <c r="B80" t="inlineStr">
        <is>
          <t>Steel Clone Trooper</t>
        </is>
      </c>
      <c r="D80" t="n">
        <v>17000</v>
      </c>
      <c r="E80" t="n">
        <v>57</v>
      </c>
      <c r="F80" s="7">
        <f>(S80*37500000/(L80*M80*D80*E80*K80*J80)-((500/(K80*J80))+(2500000000/(D80*E80*K80*J80)*(D80/100000+E80/100+J80/200))))/(1+5000000/(D80*E80)+(500000000/(D80*E80*J80)))</f>
        <v/>
      </c>
      <c r="G80" t="n">
        <v>6000</v>
      </c>
      <c r="H80" t="n">
        <v>1</v>
      </c>
      <c r="I80" t="n">
        <v>25</v>
      </c>
      <c r="J80" s="6">
        <f>G80/I80*H80</f>
        <v/>
      </c>
      <c r="K80" t="n">
        <v>1</v>
      </c>
      <c r="L80" t="n">
        <v>0.5</v>
      </c>
      <c r="M80" t="n">
        <v>1</v>
      </c>
      <c r="O80" s="6">
        <f>(D80/100000+E80/100+F80*K80/5+J80/200)*200*L80*M80</f>
        <v/>
      </c>
      <c r="P80" s="6">
        <f>((D80*E80/25000)+(F80*K80*J80/2.5))*L80*M80</f>
        <v/>
      </c>
      <c r="Q80" s="6">
        <f>(D80*E80*F80*K80*J80*L80*M80)/12500000</f>
        <v/>
      </c>
      <c r="R80" s="6">
        <f>(O80+P80+Q80)/3</f>
        <v/>
      </c>
      <c r="S80" t="n">
        <v>200</v>
      </c>
    </row>
    <row r="82">
      <c r="B82" t="inlineStr">
        <is>
          <t>Heavy Infantry</t>
        </is>
      </c>
      <c r="D82" t="inlineStr">
        <is>
          <t>HP</t>
        </is>
      </c>
      <c r="E82" t="inlineStr">
        <is>
          <t>Speed</t>
        </is>
      </c>
      <c r="F82" t="inlineStr">
        <is>
          <t>Range</t>
        </is>
      </c>
      <c r="G82" t="inlineStr">
        <is>
          <t>Damage</t>
        </is>
      </c>
      <c r="H82" t="inlineStr">
        <is>
          <t>Weapon Class</t>
        </is>
      </c>
      <c r="I82" t="inlineStr">
        <is>
          <t>Reload Delay</t>
        </is>
      </c>
      <c r="J82" s="6" t="inlineStr">
        <is>
          <t>DPS</t>
        </is>
      </c>
      <c r="K82" t="inlineStr">
        <is>
          <t>Special</t>
        </is>
      </c>
      <c r="L82" t="inlineStr">
        <is>
          <t>Unit Class</t>
        </is>
      </c>
      <c r="M82" t="inlineStr">
        <is>
          <t>Tech Tier</t>
        </is>
      </c>
      <c r="O82" s="6" t="n"/>
      <c r="P82" s="6" t="n"/>
      <c r="Q82" s="6" t="n"/>
      <c r="R82" s="6" t="n"/>
      <c r="S82" t="inlineStr">
        <is>
          <t>Cost</t>
        </is>
      </c>
    </row>
    <row r="84">
      <c r="A84" t="inlineStr">
        <is>
          <t>XCOM</t>
        </is>
      </c>
      <c r="B84" t="inlineStr">
        <is>
          <t>XCOM Heavy (Chaingun)</t>
        </is>
      </c>
      <c r="D84" t="n">
        <v>150000</v>
      </c>
      <c r="E84" t="n">
        <v>50</v>
      </c>
      <c r="F84" s="7">
        <f>(S84*37500000/(L84*M84*D84*E84*K84*J84)-((500/(K84*J84))+(2500000000/(D84*E84*K84*J84)*(D84/100000+E84/100+J84/200))))/(1+5000000/(D84*E84)+(500000000/(D84*E84*J84)))</f>
        <v/>
      </c>
      <c r="G84" t="n">
        <v>20000</v>
      </c>
      <c r="H84" t="n">
        <v>0.875</v>
      </c>
      <c r="I84" t="n">
        <v>16</v>
      </c>
      <c r="J84" s="6">
        <f>G84/I84*H84</f>
        <v/>
      </c>
      <c r="K84" t="n">
        <v>1.25</v>
      </c>
      <c r="L84" t="n">
        <v>0.8</v>
      </c>
      <c r="M84" t="n">
        <v>0.75</v>
      </c>
      <c r="O84" s="6">
        <f>(D84/100000+E84/100+F84*K84/5+J84/200)*200*L84*M84</f>
        <v/>
      </c>
      <c r="P84" s="6">
        <f>((D84*E84/25000)+(F84*K84*J84/2.5))*L84*M84</f>
        <v/>
      </c>
      <c r="Q84" s="6">
        <f>(D84*E84*F84*K84*J84*L84*M84)/12500000</f>
        <v/>
      </c>
      <c r="R84" s="6">
        <f>(O84+P84+Q84)/3</f>
        <v/>
      </c>
      <c r="S84" t="n">
        <v>1800</v>
      </c>
    </row>
    <row r="85">
      <c r="B85" t="inlineStr">
        <is>
          <t>XCOM Heavy (Rocket)</t>
        </is>
      </c>
      <c r="D85" t="n">
        <v>150000</v>
      </c>
      <c r="E85" t="n">
        <v>50</v>
      </c>
      <c r="F85" s="7" t="n">
        <v>7.5</v>
      </c>
      <c r="G85" t="n">
        <v>150000</v>
      </c>
      <c r="H85" t="n">
        <v>1</v>
      </c>
      <c r="I85" t="n">
        <v>75</v>
      </c>
      <c r="J85" s="6">
        <f>G85/I85*H85</f>
        <v/>
      </c>
      <c r="K85" t="n">
        <v>1.25</v>
      </c>
      <c r="L85" t="n">
        <v>0.8</v>
      </c>
      <c r="M85" t="n">
        <v>0.75</v>
      </c>
      <c r="O85" s="6">
        <f>(D85/100000+E85/100+F85*K85/5+J85/200)*200*L85*M85</f>
        <v/>
      </c>
      <c r="P85" s="6">
        <f>((D85*E85/25000)+(F85*K85*J85/2.5))*L85*M85</f>
        <v/>
      </c>
      <c r="Q85" s="6">
        <f>(D85*E85*F85*K85*J85*L85*M85)/12500000</f>
        <v/>
      </c>
      <c r="R85" s="6">
        <f>(O85+P85+Q85)/3</f>
        <v/>
      </c>
      <c r="S85" t="inlineStr">
        <is>
          <t>(+2600)</t>
        </is>
      </c>
    </row>
    <row r="86">
      <c r="A86" t="inlineStr">
        <is>
          <t>TD</t>
        </is>
      </c>
      <c r="B86" t="inlineStr">
        <is>
          <t>Laser Trooper</t>
        </is>
      </c>
      <c r="D86" t="n">
        <v>60000</v>
      </c>
      <c r="E86" t="n">
        <v>60</v>
      </c>
      <c r="F86" s="7">
        <f>(S86*37500000/(L86*M86*D86*E86*K86*J86)-((500/(K86*J86))+(2500000000/(D86*E86*K86*J86)*(D86/100000+E86/100+J86/200))))/(1+5000000/(D86*E86)+(500000000/(D86*E86*J86)))</f>
        <v/>
      </c>
      <c r="G86" t="n">
        <v>30000</v>
      </c>
      <c r="H86" t="n">
        <v>1.25</v>
      </c>
      <c r="I86" t="n">
        <v>60</v>
      </c>
      <c r="J86" s="6">
        <f>G86/I86*H86</f>
        <v/>
      </c>
      <c r="K86" t="n">
        <v>1</v>
      </c>
      <c r="L86" t="n">
        <v>0.8</v>
      </c>
      <c r="M86" t="n">
        <v>0.75</v>
      </c>
      <c r="O86" s="6">
        <f>(D86/100000+E86/100+F86*K86/5+J86/200)*200*L86*M86</f>
        <v/>
      </c>
      <c r="P86" s="6">
        <f>((D86*E86/25000)+(F86*K86*J86/2.5))*L86*M86</f>
        <v/>
      </c>
      <c r="Q86" s="6">
        <f>(D86*E86*F86*K86*J86*L86*M86)/12500000</f>
        <v/>
      </c>
      <c r="R86" s="6">
        <f>(O86+P86+Q86)/3</f>
        <v/>
      </c>
      <c r="S86" t="n">
        <v>700</v>
      </c>
    </row>
    <row r="87">
      <c r="B87" t="inlineStr">
        <is>
          <t>Black Hand Flamer</t>
        </is>
      </c>
      <c r="D87" t="n">
        <v>36000</v>
      </c>
      <c r="E87" t="n">
        <v>66</v>
      </c>
      <c r="F87" s="7">
        <f>(S87*37500000/(L87*M87*D87*E87*K87*J87)-((500/(K87*J87))+(2500000000/(D87*E87*K87*J87)*(D87/100000+E87/100+J87/200))))/(1+5000000/(D87*E87)+(500000000/(D87*E87*J87)))</f>
        <v/>
      </c>
      <c r="G87" t="n">
        <v>24000</v>
      </c>
      <c r="H87" t="n">
        <v>1</v>
      </c>
      <c r="I87" t="n">
        <v>66</v>
      </c>
      <c r="J87" s="6">
        <f>G87/I87*H87</f>
        <v/>
      </c>
      <c r="K87" t="n">
        <v>1.25</v>
      </c>
      <c r="L87" t="n">
        <v>0.8</v>
      </c>
      <c r="M87" t="n">
        <v>1</v>
      </c>
      <c r="O87" s="6">
        <f>(D87/100000+E87/100+F87*K87/5+J87/200)*200*L87*M87</f>
        <v/>
      </c>
      <c r="P87" s="6">
        <f>((D87*E87/25000)+(F87*K87*J87/2.5))*L87*M87</f>
        <v/>
      </c>
      <c r="Q87" s="6">
        <f>(D87*E87*F87*K87*J87*L87*M87)/12500000</f>
        <v/>
      </c>
      <c r="R87" s="6">
        <f>(O87+P87+Q87)/3</f>
        <v/>
      </c>
      <c r="S87" t="n">
        <v>600</v>
      </c>
    </row>
    <row r="88">
      <c r="B88" t="inlineStr">
        <is>
          <t>Stealth Soldier</t>
        </is>
      </c>
      <c r="D88" t="n">
        <v>25000</v>
      </c>
      <c r="E88" t="n">
        <v>72</v>
      </c>
      <c r="F88" s="7">
        <f>(S88*37500000/(L88*M88*D88*E88*K88*J88)-((500/(K88*J88))+(2500000000/(D88*E88*K88*J88)*(D88/100000+E88/100+J88/200))))/(1+5000000/(D88*E88)+(500000000/(D88*E88*J88)))</f>
        <v/>
      </c>
      <c r="G88" t="n">
        <v>32000</v>
      </c>
      <c r="H88" t="n">
        <v>1</v>
      </c>
      <c r="I88" t="n">
        <v>105</v>
      </c>
      <c r="J88" s="6">
        <f>G88/I88*H88</f>
        <v/>
      </c>
      <c r="K88" t="n">
        <v>1.5</v>
      </c>
      <c r="L88" t="n">
        <v>0.8</v>
      </c>
      <c r="M88" t="n">
        <v>0.75</v>
      </c>
      <c r="O88" s="6">
        <f>(D88/100000+E88/100+F88*K88/5+J88/200)*200*L88*M88</f>
        <v/>
      </c>
      <c r="P88" s="6">
        <f>((D88*E88/25000)+(F88*K88*J88/2.5))*L88*M88</f>
        <v/>
      </c>
      <c r="Q88" s="6">
        <f>(D88*E88*F88*K88*J88*L88*M88)/12500000</f>
        <v/>
      </c>
      <c r="R88" s="6">
        <f>(O88+P88+Q88)/3</f>
        <v/>
      </c>
      <c r="S88" t="n">
        <v>400</v>
      </c>
    </row>
    <row r="89">
      <c r="B89" t="inlineStr">
        <is>
          <t>GDI Officer</t>
        </is>
      </c>
      <c r="D89" t="n">
        <v>32000</v>
      </c>
      <c r="E89" t="n">
        <v>80</v>
      </c>
      <c r="F89" s="7">
        <f>(S89*37500000/(L89*M89*D89*E89*K89*J89)-((500/(K89*J89))+(2500000000/(D89*E89*K89*J89)*(D89/100000+E89/100+J89/200))))/(1+5000000/(D89*E89)+(500000000/(D89*E89*J89)))</f>
        <v/>
      </c>
      <c r="G89" t="n">
        <v>16000</v>
      </c>
      <c r="H89" t="n">
        <v>0.875</v>
      </c>
      <c r="I89" t="n">
        <v>32</v>
      </c>
      <c r="J89" s="6">
        <f>G89/I89*H89</f>
        <v/>
      </c>
      <c r="K89" t="n">
        <v>1.25</v>
      </c>
      <c r="L89" t="n">
        <v>0.8</v>
      </c>
      <c r="M89" t="n">
        <v>1</v>
      </c>
      <c r="O89" s="6">
        <f>(D89/100000+E89/100+F89*K89/5+J89/200)*200*L89*M89</f>
        <v/>
      </c>
      <c r="P89" s="6">
        <f>((D89*E89/25000)+(F89*K89*J89/2.5))*L89*M89</f>
        <v/>
      </c>
      <c r="Q89" s="6">
        <f>(D89*E89*F89*K89*J89*L89*M89)/12500000</f>
        <v/>
      </c>
      <c r="R89" s="6">
        <f>(O89+P89+Q89)/3</f>
        <v/>
      </c>
      <c r="S89" t="n">
        <v>700</v>
      </c>
    </row>
    <row r="90">
      <c r="B90" t="inlineStr">
        <is>
          <t>Tank Buster</t>
        </is>
      </c>
      <c r="D90" t="n">
        <v>48000</v>
      </c>
      <c r="E90" t="n">
        <v>48</v>
      </c>
      <c r="F90" s="7">
        <f>(S90*37500000/(L90*M90*D90*E90*K90*J90)-((500/(K90*J90))+(2500000000/(D90*E90*K90*J90)*(D90/100000+E90/100+J90/200))))/(1+5000000/(D90*E90)+(500000000/(D90*E90*J90)))</f>
        <v/>
      </c>
      <c r="G90" t="n">
        <v>24000</v>
      </c>
      <c r="H90" t="n">
        <v>1</v>
      </c>
      <c r="I90" t="n">
        <v>96</v>
      </c>
      <c r="J90" s="6">
        <f>G90/I90*H90</f>
        <v/>
      </c>
      <c r="K90" t="n">
        <v>1</v>
      </c>
      <c r="L90" t="n">
        <v>0.8</v>
      </c>
      <c r="M90" t="n">
        <v>1</v>
      </c>
      <c r="O90" s="6">
        <f>(D90/100000+E90/100+F90*K90/5+J90/200)*200*L90*M90</f>
        <v/>
      </c>
      <c r="P90" s="6">
        <f>((D90*E90/25000)+(F90*K90*J90/2.5))*L90*M90</f>
        <v/>
      </c>
      <c r="Q90" s="6">
        <f>(D90*E90*F90*K90*J90*L90*M90)/12500000</f>
        <v/>
      </c>
      <c r="R90" s="6">
        <f>(O90+P90+Q90)/3</f>
        <v/>
      </c>
      <c r="S90" t="n">
        <v>400</v>
      </c>
    </row>
    <row r="91">
      <c r="A91" t="inlineStr">
        <is>
          <t>RA1</t>
        </is>
      </c>
      <c r="B91" t="inlineStr">
        <is>
          <t>Machine Gunner</t>
        </is>
      </c>
      <c r="D91" t="n">
        <v>20000</v>
      </c>
      <c r="E91" t="n">
        <v>50</v>
      </c>
      <c r="F91" s="7">
        <f>(S91*37500000/(L91*M91*D91*E91*K91*J91)-((500/(K91*J91))+(2500000000/(D91*E91*K91*J91)*(D91/100000+E91/100+J91/200))))/(1+5000000/(D91*E91)+(500000000/(D91*E91*J91)))</f>
        <v/>
      </c>
      <c r="G91" t="n">
        <v>20000</v>
      </c>
      <c r="H91" t="n">
        <v>0.875</v>
      </c>
      <c r="I91" t="n">
        <v>60</v>
      </c>
      <c r="J91" s="6">
        <f>G91/I91*H91</f>
        <v/>
      </c>
      <c r="K91" t="n">
        <v>1</v>
      </c>
      <c r="L91" t="n">
        <v>0.8</v>
      </c>
      <c r="M91" t="n">
        <v>1</v>
      </c>
      <c r="O91" s="6">
        <f>(D91/100000+E91/100+F91*K91/5+J91/200)*200*L91*M91</f>
        <v/>
      </c>
      <c r="P91" s="6">
        <f>((D91*E91/25000)+(F91*K91*J91/2.5))*L91*M91</f>
        <v/>
      </c>
      <c r="Q91" s="6">
        <f>(D91*E91*F91*K91*J91*L91*M91)/12500000</f>
        <v/>
      </c>
      <c r="R91" s="6">
        <f>(O91+P91+Q91)/3</f>
        <v/>
      </c>
      <c r="S91" t="n">
        <v>400</v>
      </c>
    </row>
    <row r="92">
      <c r="B92" t="inlineStr">
        <is>
          <t>Shock Trooper</t>
        </is>
      </c>
      <c r="D92" t="n">
        <v>40000</v>
      </c>
      <c r="E92" t="n">
        <v>40</v>
      </c>
      <c r="F92" s="7">
        <f>(S92*37500000/(L92*M92*D92*E92*K92*J92)-((500/(K92*J92))+(2500000000/(D92*E92*K92*J92)*(D92/100000+E92/100+J92/200))))/(1+5000000/(D92*E92)+(500000000/(D92*E92*J92)))</f>
        <v/>
      </c>
      <c r="G92" t="n">
        <v>20000</v>
      </c>
      <c r="H92" t="n">
        <v>1.25</v>
      </c>
      <c r="I92" t="n">
        <v>40</v>
      </c>
      <c r="J92" s="6">
        <f>G92/I92*H92</f>
        <v/>
      </c>
      <c r="K92" t="n">
        <v>1.25</v>
      </c>
      <c r="L92" t="n">
        <v>0.8</v>
      </c>
      <c r="M92" t="n">
        <v>0.75</v>
      </c>
      <c r="O92" s="6">
        <f>(D92/100000+E92/100+F92*K92/5+J92/200)*200*L92*M92</f>
        <v/>
      </c>
      <c r="P92" s="6">
        <f>((D92*E92/25000)+(F92*K92*J92/2.5))*L92*M92</f>
        <v/>
      </c>
      <c r="Q92" s="6">
        <f>(D92*E92*F92*K92*J92*L92*M92)/12500000</f>
        <v/>
      </c>
      <c r="R92" s="6">
        <f>(O92+P92+Q92)/3</f>
        <v/>
      </c>
      <c r="S92" t="n">
        <v>600</v>
      </c>
    </row>
    <row r="93">
      <c r="B93" t="inlineStr">
        <is>
          <t>Zapper</t>
        </is>
      </c>
      <c r="D93" t="n">
        <v>60000</v>
      </c>
      <c r="E93" t="n">
        <v>30</v>
      </c>
      <c r="F93" s="7">
        <f>(S93*37500000/(L93*M93*D93*E93*K93*J93)-((500/(K93*J93))+(2500000000/(D93*E93*K93*J93)*(D93/100000+E93/100+J93/200))))/(1+5000000/(D93*E93)+(500000000/(D93*E93*J93)))</f>
        <v/>
      </c>
      <c r="G93" t="n">
        <v>30000</v>
      </c>
      <c r="H93" t="n">
        <v>1.25</v>
      </c>
      <c r="I93" t="n">
        <v>30</v>
      </c>
      <c r="J93" s="6">
        <f>G93/I93*H93</f>
        <v/>
      </c>
      <c r="K93" t="n">
        <v>1.25</v>
      </c>
      <c r="L93" t="n">
        <v>0.8</v>
      </c>
      <c r="M93" t="n">
        <v>0.75</v>
      </c>
      <c r="O93" s="6">
        <f>(D93/100000+E93/100+F93*K93/5+J93/200)*200*L93*M93</f>
        <v/>
      </c>
      <c r="P93" s="6">
        <f>((D93*E93/25000)+(F93*K93*J93/2.5))*L93*M93</f>
        <v/>
      </c>
      <c r="Q93" s="6">
        <f>(D93*E93*F93*K93*J93*L93*M93)/12500000</f>
        <v/>
      </c>
      <c r="R93" s="6">
        <f>(O93+P93+Q93)/3</f>
        <v/>
      </c>
      <c r="S93" t="n">
        <v>1200</v>
      </c>
    </row>
    <row r="94">
      <c r="A94" t="inlineStr">
        <is>
          <t>D2K</t>
        </is>
      </c>
      <c r="B94" t="inlineStr">
        <is>
          <t>Dune Shock Infantry</t>
        </is>
      </c>
      <c r="D94" t="n">
        <v>36000</v>
      </c>
      <c r="E94" t="n">
        <v>45</v>
      </c>
      <c r="F94" s="7">
        <f>(S94*37500000/(L94*M94*D94*E94*K94*J94)-((500/(K94*J94))+(2500000000/(D94*E94*K94*J94)*(D94/100000+E94/100+J94/200))))/(1+5000000/(D94*E94)+(500000000/(D94*E94*J94)))</f>
        <v/>
      </c>
      <c r="G94" t="n">
        <v>18000</v>
      </c>
      <c r="H94" t="n">
        <v>1.25</v>
      </c>
      <c r="I94" t="n">
        <v>45</v>
      </c>
      <c r="J94" s="6">
        <f>G94/I94*H94</f>
        <v/>
      </c>
      <c r="K94" t="n">
        <v>1</v>
      </c>
      <c r="L94" t="n">
        <v>0.8</v>
      </c>
      <c r="M94" t="n">
        <v>0.75</v>
      </c>
      <c r="O94" s="6">
        <f>(D94/100000+E94/100+F94*K94/5+J94/200)*200*L94*M94</f>
        <v/>
      </c>
      <c r="P94" s="6">
        <f>((D94*E94/25000)+(F94*K94*J94/2.5))*L94*M94</f>
        <v/>
      </c>
      <c r="Q94" s="6">
        <f>(D94*E94*F94*K94*J94*L94*M94)/12500000</f>
        <v/>
      </c>
      <c r="R94" s="6">
        <f>(O94+P94+Q94)/3</f>
        <v/>
      </c>
      <c r="S94" t="n">
        <v>500</v>
      </c>
    </row>
    <row r="95">
      <c r="B95" t="inlineStr">
        <is>
          <t>Dune Storm Infantry</t>
        </is>
      </c>
      <c r="D95" t="n">
        <v>44000</v>
      </c>
      <c r="E95" t="n">
        <v>44</v>
      </c>
      <c r="F95" s="7">
        <f>(S95*37500000/(L95*M95*D95*E95*K95*J95)-((500/(K95*J95))+(2500000000/(D95*E95*K95*J95)*(D95/100000+E95/100+J95/200))))/(1+5000000/(D95*E95)+(500000000/(D95*E95*J95)))</f>
        <v/>
      </c>
      <c r="G95" t="n">
        <v>24000</v>
      </c>
      <c r="H95" t="n">
        <v>1.25</v>
      </c>
      <c r="I95" t="n">
        <v>66</v>
      </c>
      <c r="J95" s="6">
        <f>G95/I95*H95</f>
        <v/>
      </c>
      <c r="K95" t="n">
        <v>1.25</v>
      </c>
      <c r="L95" t="n">
        <v>0.8</v>
      </c>
      <c r="M95" t="n">
        <v>1</v>
      </c>
      <c r="O95" s="6">
        <f>(D95/100000+E95/100+F95*K95/5+J95/200)*200*L95*M95</f>
        <v/>
      </c>
      <c r="P95" s="6">
        <f>((D95*E95/25000)+(F95*K95*J95/2.5))*L95*M95</f>
        <v/>
      </c>
      <c r="Q95" s="6">
        <f>(D95*E95*F95*K95*J95*L95*M95)/12500000</f>
        <v/>
      </c>
      <c r="R95" s="6">
        <f>(O95+P95+Q95)/3</f>
        <v/>
      </c>
      <c r="S95" t="n">
        <v>800</v>
      </c>
    </row>
    <row r="96">
      <c r="B96" t="inlineStr">
        <is>
          <t>Ordos Chemical Trooper</t>
        </is>
      </c>
      <c r="D96" t="n">
        <v>30000</v>
      </c>
      <c r="E96" t="n">
        <v>45</v>
      </c>
      <c r="F96" s="7">
        <f>(S96*37500000/(L96*M96*D96*E96*K96*J96)-((500/(K96*J96))+(2500000000/(D96*E96*K96*J96)*(D96/100000+E96/100+J96/200))))/(1+5000000/(D96*E96)+(500000000/(D96*E96*J96)))</f>
        <v/>
      </c>
      <c r="G96" t="n">
        <v>30000</v>
      </c>
      <c r="H96" t="n">
        <v>0.75</v>
      </c>
      <c r="I96" t="n">
        <v>75</v>
      </c>
      <c r="J96" s="6">
        <f>G96/I96*H96</f>
        <v/>
      </c>
      <c r="K96" t="n">
        <v>1</v>
      </c>
      <c r="L96" t="n">
        <v>0.8</v>
      </c>
      <c r="M96" t="n">
        <v>1</v>
      </c>
      <c r="O96" s="6">
        <f>(D96/100000+E96/100+F96*K96/5+J96/200)*200*L96*M96</f>
        <v/>
      </c>
      <c r="P96" s="6">
        <f>((D96*E96/25000)+(F96*K96*J96/2.5))*L96*M96</f>
        <v/>
      </c>
      <c r="Q96" s="6">
        <f>(D96*E96*F96*K96*J96*L96*M96)/12500000</f>
        <v/>
      </c>
      <c r="R96" s="6">
        <f>(O96+P96+Q96)/3</f>
        <v/>
      </c>
      <c r="S96" t="n">
        <v>400</v>
      </c>
    </row>
    <row r="97">
      <c r="A97" t="inlineStr">
        <is>
          <t>Naxi</t>
        </is>
      </c>
      <c r="B97" t="inlineStr">
        <is>
          <t>Naxi Flame Recruit</t>
        </is>
      </c>
      <c r="D97" t="n">
        <v>24000</v>
      </c>
      <c r="E97" t="n">
        <v>48</v>
      </c>
      <c r="F97" s="7">
        <f>(S97*37500000/(L97*M97*D97*E97*K97*J97)-((500/(K97*J97))+(2500000000/(D97*E97*K97*J97)*(D97/100000+E97/100+J97/200))))/(1+5000000/(D97*E97)+(500000000/(D97*E97*J97)))</f>
        <v/>
      </c>
      <c r="G97" t="n">
        <v>12000</v>
      </c>
      <c r="H97" t="n">
        <v>0.75</v>
      </c>
      <c r="I97" t="n">
        <v>66</v>
      </c>
      <c r="J97" s="6">
        <f>G97/I97*H97</f>
        <v/>
      </c>
      <c r="K97" t="n">
        <v>1</v>
      </c>
      <c r="L97" t="n">
        <v>0.8</v>
      </c>
      <c r="M97" t="n">
        <v>1</v>
      </c>
      <c r="O97" s="6">
        <f>(D97/100000+E97/100+F97*K97/5+J97/200)*200*L97*M97</f>
        <v/>
      </c>
      <c r="P97" s="6">
        <f>((D97*E97/25000)+(F97*K97*J97/2.5))*L97*M97</f>
        <v/>
      </c>
      <c r="Q97" s="6">
        <f>(D97*E97*F97*K97*J97*L97*M97)/12500000</f>
        <v/>
      </c>
      <c r="R97" s="6">
        <f>(O97+P97+Q97)/3</f>
        <v/>
      </c>
      <c r="S97" t="n">
        <v>225</v>
      </c>
    </row>
    <row r="98">
      <c r="B98" t="inlineStr">
        <is>
          <t>Panzerschreck</t>
        </is>
      </c>
      <c r="D98" t="n">
        <v>96000</v>
      </c>
      <c r="E98" t="n">
        <v>42</v>
      </c>
      <c r="F98" s="7">
        <f>(S98*37500000/(L98*M98*D98*E98*K98*J98)-((500/(K98*J98))+(2500000000/(D98*E98*K98*J98)*(D98/100000+E98/100+J98/200))))/(1+5000000/(D98*E98)+(500000000/(D98*E98*J98)))</f>
        <v/>
      </c>
      <c r="G98" t="n">
        <v>48000</v>
      </c>
      <c r="H98" t="n">
        <v>1</v>
      </c>
      <c r="I98" t="n">
        <v>124</v>
      </c>
      <c r="J98" s="6">
        <f>G98/I98*H98</f>
        <v/>
      </c>
      <c r="K98" t="n">
        <v>1</v>
      </c>
      <c r="L98" t="n">
        <v>0.8</v>
      </c>
      <c r="M98" t="n">
        <v>0.75</v>
      </c>
      <c r="O98" s="6">
        <f>(D98/100000+E98/100+F98*K98/5+J98/200)*200*L98*M98</f>
        <v/>
      </c>
      <c r="P98" s="6">
        <f>((D98*E98/25000)+(F98*K98*J98/2.5))*L98*M98</f>
        <v/>
      </c>
      <c r="Q98" s="6">
        <f>(D98*E98*F98*K98*J98*L98*M98)/12500000</f>
        <v/>
      </c>
      <c r="R98" s="6">
        <f>(O98+P98+Q98)/3</f>
        <v/>
      </c>
      <c r="S98" t="n">
        <v>600</v>
      </c>
    </row>
    <row r="99">
      <c r="B99" t="inlineStr">
        <is>
          <t>Panzerfaust Trooper</t>
        </is>
      </c>
      <c r="D99" t="n">
        <v>36000</v>
      </c>
      <c r="E99" t="n">
        <v>46</v>
      </c>
      <c r="F99" s="7">
        <f>(S99*37500000/(L99*M99*D99*E99*K99*J99)-((500/(K99*J99))+(2500000000/(D99*E99*K99*J99)*(D99/100000+E99/100+J99/200))))/(1+5000000/(D99*E99)+(500000000/(D99*E99*J99)))</f>
        <v/>
      </c>
      <c r="G99" t="n">
        <v>36000</v>
      </c>
      <c r="H99" t="n">
        <v>1</v>
      </c>
      <c r="I99" t="n">
        <v>135</v>
      </c>
      <c r="J99" s="6">
        <f>G99/I99*H99</f>
        <v/>
      </c>
      <c r="K99" t="n">
        <v>1</v>
      </c>
      <c r="L99" t="n">
        <v>0.8</v>
      </c>
      <c r="M99" t="n">
        <v>1</v>
      </c>
      <c r="O99" s="6">
        <f>(D99/100000+E99/100+F99*K99/5+J99/200)*200*L99*M99</f>
        <v/>
      </c>
      <c r="P99" s="6">
        <f>((D99*E99/25000)+(F99*K99*J99/2.5))*L99*M99</f>
        <v/>
      </c>
      <c r="Q99" s="6">
        <f>(D99*E99*F99*K99*J99*L99*M99)/12500000</f>
        <v/>
      </c>
      <c r="R99" s="6">
        <f>(O99+P99+Q99)/3</f>
        <v/>
      </c>
      <c r="S99" t="n">
        <v>400</v>
      </c>
    </row>
    <row r="100">
      <c r="B100" t="inlineStr">
        <is>
          <t>Naxi Machinegunners</t>
        </is>
      </c>
      <c r="D100" t="n">
        <v>60000</v>
      </c>
      <c r="E100" t="n">
        <v>55</v>
      </c>
      <c r="F100" s="7">
        <f>(S100*37500000/(L100*M100*D100*E100*K100*J100)-((500/(K100*J100))+(2500000000/(D100*E100*K100*J100)*(D100/100000+E100/100+J100/200))))/(1+5000000/(D100*E100)+(500000000/(D100*E100*J100)))</f>
        <v/>
      </c>
      <c r="G100" t="n">
        <v>40000</v>
      </c>
      <c r="H100" t="n">
        <v>0.875</v>
      </c>
      <c r="I100" t="n">
        <v>135</v>
      </c>
      <c r="J100" s="6">
        <f>G100/I100*H100</f>
        <v/>
      </c>
      <c r="K100" t="n">
        <v>1.25</v>
      </c>
      <c r="L100" t="n">
        <v>0.8</v>
      </c>
      <c r="M100" t="n">
        <v>0.75</v>
      </c>
      <c r="O100" s="6">
        <f>(D100/100000+E100/100+F100*K100/5+J100/200)*200*L100*M100</f>
        <v/>
      </c>
      <c r="P100" s="6">
        <f>((D100*E100/25000)+(F100*K100*J100/2.5))*L100*M100</f>
        <v/>
      </c>
      <c r="Q100" s="6">
        <f>(D100*E100*F100*K100*J100*L100*M100)/12500000</f>
        <v/>
      </c>
      <c r="R100" s="6">
        <f>(O100+P100+Q100)/3</f>
        <v/>
      </c>
      <c r="S100" t="n">
        <v>600</v>
      </c>
    </row>
    <row r="101">
      <c r="B101" t="inlineStr">
        <is>
          <t>Übermensch</t>
        </is>
      </c>
      <c r="D101" t="n">
        <v>64000</v>
      </c>
      <c r="E101" t="n">
        <v>64</v>
      </c>
      <c r="F101" s="7">
        <f>(S101*37500000/(L101*M101*D101*E101*K101*J101)-((500/(K101*J101))+(2500000000/(D101*E101*K101*J101)*(D101/100000+E101/100+J101/200))))/(1+5000000/(D101*E101)+(500000000/(D101*E101*J101)))</f>
        <v/>
      </c>
      <c r="G101" t="n">
        <v>16000</v>
      </c>
      <c r="H101" t="n">
        <v>1.125</v>
      </c>
      <c r="I101" t="n">
        <v>33</v>
      </c>
      <c r="J101" s="6">
        <f>G101/I101*H101</f>
        <v/>
      </c>
      <c r="K101" t="n">
        <v>1</v>
      </c>
      <c r="L101" t="n">
        <v>0.8</v>
      </c>
      <c r="M101" t="n">
        <v>0.75</v>
      </c>
      <c r="O101" s="6">
        <f>(D101/100000+E101/100+F101*K101/5+J101/200)*200*L101*M101</f>
        <v/>
      </c>
      <c r="P101" s="6">
        <f>((D101*E101/25000)+(F101*K101*J101/2.5))*L101*M101</f>
        <v/>
      </c>
      <c r="Q101" s="6">
        <f>(D101*E101*F101*K101*J101*L101*M101)/12500000</f>
        <v/>
      </c>
      <c r="R101" s="6">
        <f>(O101+P101+Q101)/3</f>
        <v/>
      </c>
      <c r="S101" t="n">
        <v>700</v>
      </c>
    </row>
    <row r="102">
      <c r="B102" t="inlineStr">
        <is>
          <t>Noid MG Armor</t>
        </is>
      </c>
      <c r="D102" t="n">
        <v>50000</v>
      </c>
      <c r="E102" t="n">
        <v>40</v>
      </c>
      <c r="F102" s="7">
        <f>(S102*37500000/(L102*M102*D102*E102*K102*J102)-((500/(K102*J102))+(2500000000/(D102*E102*K102*J102)*(D102/100000+E102/100+J102/200))))/(1+5000000/(D102*E102)+(500000000/(D102*E102*J102)))</f>
        <v/>
      </c>
      <c r="G102" t="n">
        <v>50000</v>
      </c>
      <c r="H102" t="n">
        <v>1</v>
      </c>
      <c r="I102" t="n">
        <v>120</v>
      </c>
      <c r="J102" s="6">
        <f>G102/I102*H102</f>
        <v/>
      </c>
      <c r="K102" t="n">
        <v>1</v>
      </c>
      <c r="L102" t="n">
        <v>0.8</v>
      </c>
      <c r="M102" t="n">
        <v>1</v>
      </c>
      <c r="O102" s="6">
        <f>(D102/100000+E102/100+F102*K102/5+J102/200)*200*L102*M102</f>
        <v/>
      </c>
      <c r="P102" s="6">
        <f>((D102*E102/25000)+(F102*K102*J102/2.5))*L102*M102</f>
        <v/>
      </c>
      <c r="Q102" s="6">
        <f>(D102*E102*F102*K102*J102*L102*M102)/12500000</f>
        <v/>
      </c>
      <c r="R102" s="6">
        <f>(O102+P102+Q102)/3</f>
        <v/>
      </c>
      <c r="S102" t="n">
        <v>500</v>
      </c>
    </row>
    <row r="103">
      <c r="A103" t="inlineStr">
        <is>
          <t>StarCraft</t>
        </is>
      </c>
      <c r="B103" s="8" t="inlineStr">
        <is>
          <t>Marauder</t>
        </is>
      </c>
      <c r="C103" s="8" t="n"/>
      <c r="D103" t="n">
        <v>90000</v>
      </c>
      <c r="E103" t="n">
        <v>45</v>
      </c>
      <c r="F103" s="7">
        <f>(S103*37500000/(L103*M103*D103*E103*K103*J103)-((500/(K103*J103))+(2500000000/(D103*E103*K103*J103)*(D103/100000+E103/100+J103/200))))/(1+5000000/(D103*E103)+(500000000/(D103*E103*J103)))</f>
        <v/>
      </c>
      <c r="G103" t="n">
        <v>30000</v>
      </c>
      <c r="H103" t="n">
        <v>1</v>
      </c>
      <c r="I103" t="n">
        <v>60</v>
      </c>
      <c r="J103" s="6">
        <f>G103/I103*H103</f>
        <v/>
      </c>
      <c r="K103" t="n">
        <v>1</v>
      </c>
      <c r="L103" t="n">
        <v>0.8</v>
      </c>
      <c r="M103" t="n">
        <v>1</v>
      </c>
      <c r="O103" s="6">
        <f>(D103/100000+E103/100+F103*K103/5+J103/200)*200*L103*M103</f>
        <v/>
      </c>
      <c r="P103" s="6">
        <f>((D103*E103/25000)+(F103*K103*J103/2.5))*L103*M103</f>
        <v/>
      </c>
      <c r="Q103" s="6">
        <f>(D103*E103*F103*K103*J103*L103*M103)/12500000</f>
        <v/>
      </c>
      <c r="R103" s="6">
        <f>(O103+P103+Q103)/3</f>
        <v/>
      </c>
      <c r="S103" t="n">
        <v>1000</v>
      </c>
    </row>
    <row r="104">
      <c r="A104" t="inlineStr">
        <is>
          <t>WarCraft</t>
        </is>
      </c>
      <c r="B104" t="inlineStr">
        <is>
          <t>Dwarven Rifleman</t>
        </is>
      </c>
      <c r="D104" t="n">
        <v>24000</v>
      </c>
      <c r="E104" t="n">
        <v>64</v>
      </c>
      <c r="F104" s="7">
        <f>(S104*37500000/(L104*M104*D104*E104*K104*J104)-((500/(K104*J104))+(2500000000/(D104*E104*K104*J104)*(D104/100000+E104/100+J104/200))))/(1+5000000/(D104*E104)+(500000000/(D104*E104*J104)))</f>
        <v/>
      </c>
      <c r="G104" t="n">
        <v>24000</v>
      </c>
      <c r="H104" t="n">
        <v>1</v>
      </c>
      <c r="I104" t="n">
        <v>64</v>
      </c>
      <c r="J104" s="6">
        <f>G104/I104*H104</f>
        <v/>
      </c>
      <c r="K104" t="n">
        <v>1</v>
      </c>
      <c r="L104" t="n">
        <v>0.8</v>
      </c>
      <c r="M104" t="n">
        <v>1</v>
      </c>
      <c r="O104" s="6">
        <f>(D104/100000+E104/100+F104*K104/5+J104/200)*200*L104*M104</f>
        <v/>
      </c>
      <c r="P104" s="6">
        <f>((D104*E104/25000)+(F104*K104*J104/2.5))*L104*M104</f>
        <v/>
      </c>
      <c r="Q104" s="6">
        <f>(D104*E104*F104*K104*J104*L104*M104)/12500000</f>
        <v/>
      </c>
      <c r="R104" s="6">
        <f>(O104+P104+Q104)/3</f>
        <v/>
      </c>
      <c r="S104" t="n">
        <v>600</v>
      </c>
    </row>
    <row r="105">
      <c r="A105" t="inlineStr">
        <is>
          <t>RA2</t>
        </is>
      </c>
      <c r="B105" t="inlineStr">
        <is>
          <t>Desolator</t>
        </is>
      </c>
      <c r="D105" t="n">
        <v>30000</v>
      </c>
      <c r="E105" t="n">
        <v>59</v>
      </c>
      <c r="F105" s="7">
        <f>(S105*37500000/(L105*M105*D105*E105*K105*J105)-((500/(K105*J105))+(2500000000/(D105*E105*K105*J105)*(D105/100000+E105/100+J105/200))))/(1+5000000/(D105*E105)+(500000000/(D105*E105*J105)))</f>
        <v/>
      </c>
      <c r="G105" t="n">
        <v>30000</v>
      </c>
      <c r="H105" t="n">
        <v>1</v>
      </c>
      <c r="I105" t="n">
        <v>45</v>
      </c>
      <c r="J105" s="6">
        <f>G105/I105*H105</f>
        <v/>
      </c>
      <c r="K105" t="n">
        <v>1</v>
      </c>
      <c r="L105" t="n">
        <v>0.8</v>
      </c>
      <c r="M105" t="n">
        <v>0.75</v>
      </c>
      <c r="O105" s="6">
        <f>(D105/100000+E105/100+F105*K105/5+J105/200)*200*L105*M105</f>
        <v/>
      </c>
      <c r="P105" s="6">
        <f>((D105*E105/25000)+(F105*K105*J105/2.5))*L105*M105</f>
        <v/>
      </c>
      <c r="Q105" s="6">
        <f>(D105*E105*F105*K105*J105*L105*M105)/12500000</f>
        <v/>
      </c>
      <c r="R105" s="6">
        <f>(O105+P105+Q105)/3</f>
        <v/>
      </c>
      <c r="S105" t="n">
        <v>700</v>
      </c>
    </row>
    <row r="106">
      <c r="B106" t="inlineStr">
        <is>
          <t>Tesla Trooper</t>
        </is>
      </c>
      <c r="D106" t="n">
        <v>48000</v>
      </c>
      <c r="E106" t="n">
        <v>38</v>
      </c>
      <c r="F106" s="7">
        <f>(S106*37500000/(L106*M106*D106*E106*K106*J106)-((500/(K106*J106))+(2500000000/(D106*E106*K106*J106)*(D106/100000+E106/100+J106/200))))/(1+5000000/(D106*E106)+(500000000/(D106*E106*J106)))</f>
        <v/>
      </c>
      <c r="G106" t="n">
        <v>24000</v>
      </c>
      <c r="H106" t="n">
        <v>1.25</v>
      </c>
      <c r="I106" t="n">
        <v>100</v>
      </c>
      <c r="J106" s="6">
        <f>G106/I106*H106</f>
        <v/>
      </c>
      <c r="K106" t="n">
        <v>1.25</v>
      </c>
      <c r="L106" t="n">
        <v>0.8</v>
      </c>
      <c r="M106" t="n">
        <v>1</v>
      </c>
      <c r="O106" s="6">
        <f>(D106/100000+E106/100+F106*K106/5+J106/200)*200*L106*M106</f>
        <v/>
      </c>
      <c r="P106" s="6">
        <f>((D106*E106/25000)+(F106*K106*J106/2.5))*L106*M106</f>
        <v/>
      </c>
      <c r="Q106" s="6">
        <f>(D106*E106*F106*K106*J106*L106*M106)/12500000</f>
        <v/>
      </c>
      <c r="R106" s="6">
        <f>(O106+P106+Q106)/3</f>
        <v/>
      </c>
      <c r="S106" t="n">
        <v>500</v>
      </c>
    </row>
    <row r="107">
      <c r="B107" t="inlineStr">
        <is>
          <t>Gatling Trooper</t>
        </is>
      </c>
      <c r="D107" t="n">
        <v>36000</v>
      </c>
      <c r="E107" t="n">
        <v>45</v>
      </c>
      <c r="F107" s="7">
        <f>(S107*37500000/(L107*M107*D107*E107*K107*J107)-((500/(K107*J107))+(2500000000/(D107*E107*K107*J107)*(D107/100000+E107/100+J107/200))))/(1+5000000/(D107*E107)+(500000000/(D107*E107*J107)))</f>
        <v/>
      </c>
      <c r="G107" t="n">
        <v>4000</v>
      </c>
      <c r="H107" t="n">
        <v>0.875</v>
      </c>
      <c r="I107" t="n">
        <v>15</v>
      </c>
      <c r="J107" s="6">
        <f>G107/I107*H107</f>
        <v/>
      </c>
      <c r="K107" t="n">
        <v>1.25</v>
      </c>
      <c r="L107" t="n">
        <v>0.8</v>
      </c>
      <c r="M107" t="n">
        <v>0.75</v>
      </c>
      <c r="O107" s="6">
        <f>(D107/100000+E107/100+F107*K107/5+J107/200)*200*L107*M107</f>
        <v/>
      </c>
      <c r="P107" s="6">
        <f>((D107*E107/25000)+(F107*K107*J107/2.5))*L107*M107</f>
        <v/>
      </c>
      <c r="Q107" s="6">
        <f>(D107*E107*F107*K107*J107*L107*M107)/12500000</f>
        <v/>
      </c>
      <c r="R107" s="6">
        <f>(O107+P107+Q107)/3</f>
        <v/>
      </c>
      <c r="S107" t="n">
        <v>300</v>
      </c>
    </row>
    <row r="108">
      <c r="B108" t="inlineStr">
        <is>
          <t>Bio Trooper</t>
        </is>
      </c>
      <c r="D108" t="n">
        <v>96000</v>
      </c>
      <c r="E108" t="n">
        <v>64</v>
      </c>
      <c r="F108" s="7">
        <f>(S108*37500000/(L108*M108*D108*E108*K108*J108)-((500/(K108*J108))+(2500000000/(D108*E108*K108*J108)*(D108/100000+E108/100+J108/200))))/(1+5000000/(D108*E108)+(500000000/(D108*E108*J108)))</f>
        <v/>
      </c>
      <c r="G108" t="n">
        <v>24000</v>
      </c>
      <c r="H108" t="n">
        <v>1</v>
      </c>
      <c r="I108" t="n">
        <v>70</v>
      </c>
      <c r="J108" s="6">
        <f>G108/I108*H108</f>
        <v/>
      </c>
      <c r="K108" t="n">
        <v>1.25</v>
      </c>
      <c r="L108" t="n">
        <v>0.8</v>
      </c>
      <c r="M108" t="n">
        <v>0.5</v>
      </c>
      <c r="O108" s="6">
        <f>(D108/100000+E108/100+F108*K108/5+J108/200)*200*L108*M108</f>
        <v/>
      </c>
      <c r="P108" s="6">
        <f>((D108*E108/25000)+(F108*K108*J108/2.5))*L108*M108</f>
        <v/>
      </c>
      <c r="Q108" s="6">
        <f>(D108*E108*F108*K108*J108*L108*M108)/12500000</f>
        <v/>
      </c>
      <c r="R108" s="6">
        <f>(O108+P108+Q108)/3</f>
        <v/>
      </c>
      <c r="S108" t="n">
        <v>400</v>
      </c>
    </row>
    <row r="109">
      <c r="A109" t="inlineStr">
        <is>
          <t>RA2 Modded</t>
        </is>
      </c>
      <c r="B109" t="inlineStr">
        <is>
          <t>Plasma Trooper</t>
        </is>
      </c>
      <c r="D109" t="n">
        <v>64000</v>
      </c>
      <c r="E109" t="n">
        <v>42</v>
      </c>
      <c r="F109" s="7">
        <f>(S109*37500000/(L109*M109*D109*E109*K109*J109)-((500/(K109*J109))+(2500000000/(D109*E109*K109*J109)*(D109/100000+E109/100+J109/200))))/(1+5000000/(D109*E109)+(500000000/(D109*E109*J109)))</f>
        <v/>
      </c>
      <c r="G109" t="n">
        <v>16000</v>
      </c>
      <c r="H109" t="n">
        <v>1</v>
      </c>
      <c r="I109" t="n">
        <v>34</v>
      </c>
      <c r="J109" s="6">
        <f>G109/I109*H109</f>
        <v/>
      </c>
      <c r="K109" t="n">
        <v>1</v>
      </c>
      <c r="L109" t="n">
        <v>0.8</v>
      </c>
      <c r="M109" t="n">
        <v>0.75</v>
      </c>
      <c r="O109" s="6">
        <f>(D109/100000+E109/100+F109*K109/5+J109/200)*200*L109*M109</f>
        <v/>
      </c>
      <c r="P109" s="6">
        <f>((D109*E109/25000)+(F109*K109*J109/2.5))*L109*M109</f>
        <v/>
      </c>
      <c r="Q109" s="6">
        <f>(D109*E109*F109*K109*J109*L109*M109)/12500000</f>
        <v/>
      </c>
      <c r="R109" s="6">
        <f>(O109+P109+Q109)/3</f>
        <v/>
      </c>
      <c r="S109" t="n">
        <v>500</v>
      </c>
    </row>
    <row r="110">
      <c r="B110" t="inlineStr">
        <is>
          <t>Asian Flame Trooper</t>
        </is>
      </c>
      <c r="D110" t="n">
        <v>26000</v>
      </c>
      <c r="E110" t="n">
        <v>53</v>
      </c>
      <c r="F110" s="7">
        <f>(S110*37500000/(L110*M110*D110*E110*K110*J110)-((500/(K110*J110))+(2500000000/(D110*E110*K110*J110)*(D110/100000+E110/100+J110/200))))/(1+5000000/(D110*E110)+(500000000/(D110*E110*J110)))</f>
        <v/>
      </c>
      <c r="G110" t="n">
        <v>24000</v>
      </c>
      <c r="H110" t="n">
        <v>0.75</v>
      </c>
      <c r="I110" t="n">
        <v>53</v>
      </c>
      <c r="J110" s="6">
        <f>G110/I110*H110</f>
        <v/>
      </c>
      <c r="K110" t="n">
        <v>1</v>
      </c>
      <c r="L110" t="n">
        <v>0.8</v>
      </c>
      <c r="M110" t="n">
        <v>1</v>
      </c>
      <c r="O110" s="6">
        <f>(D110/100000+E110/100+F110*K110/5+J110/200)*200*L110*M110</f>
        <v/>
      </c>
      <c r="P110" s="6">
        <f>((D110*E110/25000)+(F110*K110*J110/2.5))*L110*M110</f>
        <v/>
      </c>
      <c r="Q110" s="6">
        <f>(D110*E110*F110*K110*J110*L110*M110)/12500000</f>
        <v/>
      </c>
      <c r="R110" s="6">
        <f>(O110+P110+Q110)/3</f>
        <v/>
      </c>
      <c r="S110" t="n">
        <v>400</v>
      </c>
    </row>
    <row r="111">
      <c r="B111" t="inlineStr">
        <is>
          <t>Fanatic</t>
        </is>
      </c>
      <c r="D111" t="n">
        <v>24000</v>
      </c>
      <c r="E111" t="n">
        <v>63</v>
      </c>
      <c r="F111" s="7">
        <f>(S111*37500000/(L111*M111*D111*E111*K111*J111)-((500/(K111*J111))+(2500000000/(D111*E111*K111*J111)*(D111/100000+E111/100+J111/200))))/(1+5000000/(D111*E111)+(500000000/(D111*E111*J111)))</f>
        <v/>
      </c>
      <c r="G111" t="n">
        <v>8000</v>
      </c>
      <c r="H111" t="n">
        <v>0.875</v>
      </c>
      <c r="I111" t="n">
        <v>50</v>
      </c>
      <c r="J111" s="6">
        <f>G111/I111*H111</f>
        <v/>
      </c>
      <c r="K111" t="n">
        <v>1</v>
      </c>
      <c r="L111" t="n">
        <v>0.8</v>
      </c>
      <c r="M111" t="n">
        <v>1</v>
      </c>
      <c r="O111" s="6">
        <f>(D111/100000+E111/100+F111*K111/5+J111/200)*200*L111*M111</f>
        <v/>
      </c>
      <c r="P111" s="6">
        <f>((D111*E111/25000)+(F111*K111*J111/2.5))*L111*M111</f>
        <v/>
      </c>
      <c r="Q111" s="6">
        <f>(D111*E111*F111*K111*J111*L111*M111)/12500000</f>
        <v/>
      </c>
      <c r="R111" s="6">
        <f>(O111+P111+Q111)/3</f>
        <v/>
      </c>
      <c r="S111" t="n">
        <v>250</v>
      </c>
    </row>
    <row r="112">
      <c r="B112" t="inlineStr">
        <is>
          <t>Syndicate Flame Trooper</t>
        </is>
      </c>
      <c r="D112" t="n">
        <v>55000</v>
      </c>
      <c r="E112" t="n">
        <v>55</v>
      </c>
      <c r="F112" s="7">
        <f>(S112*37500000/(L112*M112*D112*E112*K112*J112)-((500/(K112*J112))+(2500000000/(D112*E112*K112*J112)*(D112/100000+E112/100+J112/200))))/(1+5000000/(D112*E112)+(500000000/(D112*E112*J112)))</f>
        <v/>
      </c>
      <c r="G112" t="n">
        <v>24000</v>
      </c>
      <c r="H112" t="n">
        <v>1</v>
      </c>
      <c r="I112" t="n">
        <v>56</v>
      </c>
      <c r="J112" s="6">
        <f>G112/I112*H112</f>
        <v/>
      </c>
      <c r="K112" t="n">
        <v>1</v>
      </c>
      <c r="L112" t="n">
        <v>0.8</v>
      </c>
      <c r="M112" t="n">
        <v>0.75</v>
      </c>
      <c r="O112" s="6">
        <f>(D112/100000+E112/100+F112*K112/5+J112/200)*200*L112*M112</f>
        <v/>
      </c>
      <c r="P112" s="6">
        <f>((D112*E112/25000)+(F112*K112*J112/2.5))*L112*M112</f>
        <v/>
      </c>
      <c r="Q112" s="6">
        <f>(D112*E112*F112*K112*J112*L112*M112)/12500000</f>
        <v/>
      </c>
      <c r="R112" s="6">
        <f>(O112+P112+Q112)/3</f>
        <v/>
      </c>
      <c r="S112" t="n">
        <v>500</v>
      </c>
    </row>
    <row r="113">
      <c r="B113" t="inlineStr">
        <is>
          <t>Quantum Missile Trooper</t>
        </is>
      </c>
      <c r="D113" t="n">
        <v>64000</v>
      </c>
      <c r="E113" t="n">
        <v>48</v>
      </c>
      <c r="F113" s="7">
        <f>(S113*37500000/(L113*M113*D113*E113*K113*J113)-((500/(K113*J113))+(2500000000/(D113*E113*K113*J113)*(D113/100000+E113/100+J113/200))))/(1+5000000/(D113*E113)+(500000000/(D113*E113*J113)))</f>
        <v/>
      </c>
      <c r="G113" t="n">
        <v>32000</v>
      </c>
      <c r="H113" t="n">
        <v>1</v>
      </c>
      <c r="I113" t="n">
        <v>48</v>
      </c>
      <c r="J113" s="6">
        <f>G113/I113*H113</f>
        <v/>
      </c>
      <c r="K113" t="n">
        <v>1.25</v>
      </c>
      <c r="L113" t="n">
        <v>0.8</v>
      </c>
      <c r="M113" t="n">
        <v>0.75</v>
      </c>
      <c r="O113" s="6">
        <f>(D113/100000+E113/100+F113*K113/5+J113/200)*200*L113*M113</f>
        <v/>
      </c>
      <c r="P113" s="6">
        <f>((D113*E113/25000)+(F113*K113*J113/2.5))*L113*M113</f>
        <v/>
      </c>
      <c r="Q113" s="6">
        <f>(D113*E113*F113*K113*J113*L113*M113)/12500000</f>
        <v/>
      </c>
      <c r="R113" s="6">
        <f>(O113+P113+Q113)/3</f>
        <v/>
      </c>
      <c r="S113" t="n">
        <v>1150</v>
      </c>
    </row>
    <row r="116">
      <c r="B116" t="inlineStr">
        <is>
          <t>Melee Infantry</t>
        </is>
      </c>
      <c r="D116" t="inlineStr">
        <is>
          <t>HP</t>
        </is>
      </c>
      <c r="E116" t="inlineStr">
        <is>
          <t>Speed</t>
        </is>
      </c>
      <c r="F116" t="inlineStr">
        <is>
          <t>Range</t>
        </is>
      </c>
      <c r="G116" t="inlineStr">
        <is>
          <t>Damage</t>
        </is>
      </c>
      <c r="H116" t="inlineStr">
        <is>
          <t>Weapon Class</t>
        </is>
      </c>
      <c r="I116" t="inlineStr">
        <is>
          <t>Reload Delay</t>
        </is>
      </c>
      <c r="J116" s="6" t="inlineStr">
        <is>
          <t>DPS</t>
        </is>
      </c>
      <c r="K116" t="inlineStr">
        <is>
          <t>Special</t>
        </is>
      </c>
      <c r="L116" t="inlineStr">
        <is>
          <t>Unit Class</t>
        </is>
      </c>
      <c r="M116" t="inlineStr">
        <is>
          <t>Tech Tier</t>
        </is>
      </c>
      <c r="O116" s="6" t="n"/>
      <c r="P116" s="6" t="n"/>
      <c r="Q116" s="6" t="n"/>
      <c r="R116" s="6" t="n"/>
      <c r="S116" t="inlineStr">
        <is>
          <t>Cost</t>
        </is>
      </c>
    </row>
    <row r="118">
      <c r="A118" t="inlineStr">
        <is>
          <t>XCOM</t>
        </is>
      </c>
      <c r="B118" t="inlineStr">
        <is>
          <t>XCOM Assault (Carbine)</t>
        </is>
      </c>
      <c r="D118" t="n">
        <v>100000</v>
      </c>
      <c r="E118" t="n">
        <v>75</v>
      </c>
      <c r="F118" s="7">
        <f>(S118*37500000/(L118*M118*D118*E118*K118*J118)-((500/(K118*J118))+(2500000000/(D118*E118*K118*J118)*(D118/100000+E118/100+J118/200))))/(1+5000000/(D118*E118)+(500000000/(D118*E118*J118)))</f>
        <v/>
      </c>
      <c r="G118" t="n">
        <v>20000</v>
      </c>
      <c r="H118" t="n">
        <v>0.75</v>
      </c>
      <c r="I118" t="n">
        <v>12</v>
      </c>
      <c r="J118" s="6">
        <f>G118/I118*H118</f>
        <v/>
      </c>
      <c r="K118" t="n">
        <v>1.25</v>
      </c>
      <c r="L118" t="n">
        <v>0.75</v>
      </c>
      <c r="M118" t="n">
        <v>0.75</v>
      </c>
      <c r="O118" s="6">
        <f>(D118/100000+E118/100+F118*K118/5+J118/200)*200*L118*M118</f>
        <v/>
      </c>
      <c r="P118" s="6">
        <f>((D118*E118/25000)+(F118*K118*J118/2.5))*L118*M118</f>
        <v/>
      </c>
      <c r="Q118" s="6">
        <f>(D118*E118*F118*K118*J118*L118*M118)/12500000</f>
        <v/>
      </c>
      <c r="R118" s="6">
        <f>(O118+P118+Q118)/3</f>
        <v/>
      </c>
      <c r="S118" t="n">
        <v>1800</v>
      </c>
    </row>
    <row r="119">
      <c r="B119" t="inlineStr">
        <is>
          <t>XCOM Assault (Shotgun)</t>
        </is>
      </c>
      <c r="D119" t="n">
        <v>100000</v>
      </c>
      <c r="E119" t="n">
        <v>75</v>
      </c>
      <c r="F119" s="7" t="n">
        <v>3</v>
      </c>
      <c r="G119" t="n">
        <v>60000</v>
      </c>
      <c r="H119" t="n">
        <v>0.875</v>
      </c>
      <c r="I119" t="n">
        <v>20</v>
      </c>
      <c r="J119" s="6">
        <f>G119/I119*H119</f>
        <v/>
      </c>
      <c r="K119" t="n">
        <v>1.25</v>
      </c>
      <c r="L119" t="n">
        <v>0.75</v>
      </c>
      <c r="M119" t="n">
        <v>0.75</v>
      </c>
      <c r="O119" s="6">
        <f>(D119/100000+E119/100+F119*K119/5+J119/200)*200*L119*M119</f>
        <v/>
      </c>
      <c r="P119" s="6">
        <f>((D119*E119/25000)+(F119*K119*J119/2.5))*L119*M119</f>
        <v/>
      </c>
      <c r="Q119" s="6">
        <f>(D119*E119*F119*K119*J119*L119*M119)/12500000</f>
        <v/>
      </c>
      <c r="R119" s="6">
        <f>(O119+P119+Q119)/3</f>
        <v/>
      </c>
      <c r="S119" t="inlineStr">
        <is>
          <t>(+700)</t>
        </is>
      </c>
    </row>
    <row r="120">
      <c r="B120" t="inlineStr">
        <is>
          <t>XCOM Assault (Shard Gun)</t>
        </is>
      </c>
      <c r="D120" t="n">
        <v>100000</v>
      </c>
      <c r="E120" t="n">
        <v>75</v>
      </c>
      <c r="F120" s="7" t="n">
        <v>5</v>
      </c>
      <c r="G120" t="n">
        <v>90000</v>
      </c>
      <c r="H120" t="n">
        <v>1</v>
      </c>
      <c r="I120" t="n">
        <v>25</v>
      </c>
      <c r="J120" s="6">
        <f>G120/I120*H120</f>
        <v/>
      </c>
      <c r="K120" t="n">
        <v>1.25</v>
      </c>
      <c r="L120" t="n">
        <v>0.75</v>
      </c>
      <c r="M120" t="n">
        <v>0.75</v>
      </c>
      <c r="O120" s="6">
        <f>(D120/100000+E120/100+F120*K120/5+J120/200)*200*L120*M120</f>
        <v/>
      </c>
      <c r="P120" s="6">
        <f>((D120*E120/25000)+(F120*K120*J120/2.5))*L120*M120</f>
        <v/>
      </c>
      <c r="Q120" s="6">
        <f>(D120*E120*F120*K120*J120*L120*M120)/12500000</f>
        <v/>
      </c>
      <c r="R120" s="6">
        <f>(O120+P120+Q120)/3</f>
        <v/>
      </c>
      <c r="S120" t="n">
        <v>1800</v>
      </c>
    </row>
    <row r="122">
      <c r="A122" t="inlineStr">
        <is>
          <t>TD</t>
        </is>
      </c>
      <c r="B122" t="inlineStr">
        <is>
          <t>Nod Flamethrower</t>
        </is>
      </c>
      <c r="D122" t="n">
        <v>20000</v>
      </c>
      <c r="E122" t="n">
        <v>60</v>
      </c>
      <c r="F122" s="7">
        <f>(S122*37500000/(L122*M122*D122*E122*K122*J122)-((500/(K122*J122))+(2500000000/(D122*E122*K122*J122)*(D122/100000+E122/100+J122/200))))/(1+5000000/(D122*E122)+(500000000/(D122*E122*J122)))</f>
        <v/>
      </c>
      <c r="G122" t="n">
        <v>20000</v>
      </c>
      <c r="H122" t="n">
        <v>0.75</v>
      </c>
      <c r="I122" t="n">
        <v>60</v>
      </c>
      <c r="J122" s="6">
        <f>G122/I122*H122</f>
        <v/>
      </c>
      <c r="K122" t="n">
        <v>1</v>
      </c>
      <c r="L122" t="n">
        <v>0.75</v>
      </c>
      <c r="M122" t="n">
        <v>1</v>
      </c>
      <c r="O122" s="6">
        <f>(D122/100000+E122/100+F122*K122/5+J122/200)*200*L122*M122</f>
        <v/>
      </c>
      <c r="P122" s="6">
        <f>((D122*E122/25000)+(F122*K122*J122/2.5))*L122*M122</f>
        <v/>
      </c>
      <c r="Q122" s="6">
        <f>(D122*E122*F122*K122*J122*L122*M122)/12500000</f>
        <v/>
      </c>
      <c r="R122" s="6">
        <f>(O122+P122+Q122)/3</f>
        <v/>
      </c>
      <c r="S122" t="n">
        <v>200</v>
      </c>
    </row>
    <row r="123">
      <c r="B123" t="inlineStr">
        <is>
          <t>Chemical Warrior</t>
        </is>
      </c>
      <c r="D123" t="n">
        <v>48000</v>
      </c>
      <c r="E123" t="n">
        <v>48</v>
      </c>
      <c r="F123" s="7">
        <f>(S123*37500000/(L123*M123*D123*E123*K123*J123)-((500/(K123*J123))+(2500000000/(D123*E123*K123*J123)*(D123/100000+E123/100+J123/200))))/(1+5000000/(D123*E123)+(500000000/(D123*E123*J123)))</f>
        <v/>
      </c>
      <c r="G123" t="n">
        <v>48000</v>
      </c>
      <c r="H123" t="n">
        <v>0.75</v>
      </c>
      <c r="I123" t="n">
        <v>48</v>
      </c>
      <c r="J123" s="6">
        <f>G123/I123*H123</f>
        <v/>
      </c>
      <c r="K123" t="n">
        <v>1</v>
      </c>
      <c r="L123" t="n">
        <v>0.75</v>
      </c>
      <c r="M123" t="n">
        <v>0.75</v>
      </c>
      <c r="O123" s="6">
        <f>(D123/100000+E123/100+F123*K123/5+J123/200)*200*L123*M123</f>
        <v/>
      </c>
      <c r="P123" s="6">
        <f>((D123*E123/25000)+(F123*K123*J123/2.5))*L123*M123</f>
        <v/>
      </c>
      <c r="Q123" s="6">
        <f>(D123*E123*F123*K123*J123*L123*M123)/12500000</f>
        <v/>
      </c>
      <c r="R123" s="6">
        <f>(O123+P123+Q123)/3</f>
        <v/>
      </c>
      <c r="S123" t="n">
        <v>500</v>
      </c>
    </row>
    <row r="124">
      <c r="B124" t="inlineStr">
        <is>
          <t>Shotgunner</t>
        </is>
      </c>
      <c r="D124" t="n">
        <v>24000</v>
      </c>
      <c r="E124" t="n">
        <v>75</v>
      </c>
      <c r="F124" s="7">
        <f>(S124*37500000/(L124*M124*D124*E124*K124*J124)-((500/(K124*J124))+(2500000000/(D124*E124*K124*J124)*(D124/100000+E124/100+J124/200))))/(1+5000000/(D124*E124)+(500000000/(D124*E124*J124)))</f>
        <v/>
      </c>
      <c r="G124" t="n">
        <v>12000</v>
      </c>
      <c r="H124" t="n">
        <v>0.875</v>
      </c>
      <c r="I124" t="n">
        <v>70</v>
      </c>
      <c r="J124" s="6">
        <f>G124/I124*H124</f>
        <v/>
      </c>
      <c r="K124" t="n">
        <v>1</v>
      </c>
      <c r="L124" t="n">
        <v>0.75</v>
      </c>
      <c r="M124" t="n">
        <v>1</v>
      </c>
      <c r="O124" s="6">
        <f>(D124/100000+E124/100+F124*K124/5+J124/200)*200*L124*M124</f>
        <v/>
      </c>
      <c r="P124" s="6">
        <f>((D124*E124/25000)+(F124*K124*J124/2.5))*L124*M124</f>
        <v/>
      </c>
      <c r="Q124" s="6">
        <f>(D124*E124*F124*K124*J124*L124*M124)/12500000</f>
        <v/>
      </c>
      <c r="R124" s="6">
        <f>(O124+P124+Q124)/3</f>
        <v/>
      </c>
      <c r="S124" t="n">
        <v>200</v>
      </c>
    </row>
    <row r="125">
      <c r="A125" t="inlineStr">
        <is>
          <t>RA1</t>
        </is>
      </c>
      <c r="B125" t="inlineStr">
        <is>
          <t>Samurai</t>
        </is>
      </c>
      <c r="D125" t="n">
        <v>35000</v>
      </c>
      <c r="E125" t="n">
        <v>65</v>
      </c>
      <c r="F125" s="7">
        <f>(S125*37500000/(L125*M125*D125*E125*K125*J125)-((500/(K125*J125))+(2500000000/(D125*E125*K125*J125)*(D125/100000+E125/100+J125/200))))/(1+5000000/(D125*E125)+(500000000/(D125*E125*J125)))</f>
        <v/>
      </c>
      <c r="G125" t="n">
        <v>10000</v>
      </c>
      <c r="H125" t="n">
        <v>1</v>
      </c>
      <c r="I125" t="n">
        <v>20</v>
      </c>
      <c r="J125" s="6">
        <f>G125/I125*H125</f>
        <v/>
      </c>
      <c r="K125" t="n">
        <v>1</v>
      </c>
      <c r="L125" t="n">
        <v>0.75</v>
      </c>
      <c r="M125" t="n">
        <v>1</v>
      </c>
      <c r="O125" s="6">
        <f>(D125/100000+E125/100+F125*K125/5+J125/200)*200*L125*M125</f>
        <v/>
      </c>
      <c r="P125" s="6">
        <f>((D125*E125/25000)+(F125*K125*J125/2.5))*L125*M125</f>
        <v/>
      </c>
      <c r="Q125" s="6">
        <f>(D125*E125*F125*K125*J125*L125*M125)/12500000</f>
        <v/>
      </c>
      <c r="R125" s="6">
        <f>(O125+P125+Q125)/3</f>
        <v/>
      </c>
      <c r="S125" t="n">
        <v>300</v>
      </c>
    </row>
    <row r="126">
      <c r="A126" t="inlineStr">
        <is>
          <t>D2K</t>
        </is>
      </c>
      <c r="B126" t="inlineStr">
        <is>
          <t>Dune Rashinan</t>
        </is>
      </c>
      <c r="D126" t="n">
        <v>32000</v>
      </c>
      <c r="E126" t="n">
        <v>50</v>
      </c>
      <c r="F126" s="7">
        <f>(S126*37500000/(L126*M126*D126*E126*K126*J126)-((500/(K126*J126))+(2500000000/(D126*E126*K126*J126)*(D126/100000+E126/100+J126/200))))/(1+5000000/(D126*E126)+(500000000/(D126*E126*J126)))</f>
        <v/>
      </c>
      <c r="G126" t="n">
        <v>32000</v>
      </c>
      <c r="H126" t="n">
        <v>0.875</v>
      </c>
      <c r="I126" t="n">
        <v>69</v>
      </c>
      <c r="J126" s="6">
        <f>G126/I126*H126</f>
        <v/>
      </c>
      <c r="K126" t="n">
        <v>1</v>
      </c>
      <c r="L126" t="n">
        <v>0.75</v>
      </c>
      <c r="M126" t="n">
        <v>1</v>
      </c>
      <c r="O126" s="6">
        <f>(D126/100000+E126/100+F126*K126/5+J126/200)*200*L126*M126</f>
        <v/>
      </c>
      <c r="P126" s="6">
        <f>((D126*E126/25000)+(F126*K126*J126/2.5))*L126*M126</f>
        <v/>
      </c>
      <c r="Q126" s="6">
        <f>(D126*E126*F126*K126*J126*L126*M126)/12500000</f>
        <v/>
      </c>
      <c r="R126" s="6">
        <f>(O126+P126+Q126)/3</f>
        <v/>
      </c>
      <c r="S126" t="n">
        <v>400</v>
      </c>
    </row>
    <row r="127">
      <c r="B127" t="inlineStr">
        <is>
          <t>Contaminator</t>
        </is>
      </c>
      <c r="D127" t="n">
        <v>75000</v>
      </c>
      <c r="E127" t="n">
        <v>60</v>
      </c>
      <c r="F127" s="7">
        <f>(S127*37500000/(L127*M127*D127*E127*K127*J127)-((500/(K127*J127))+(2500000000/(D127*E127*K127*J127)*(D127/100000+E127/100+J127/200))))/(1+5000000/(D127*E127)+(500000000/(D127*E127*J127)))</f>
        <v/>
      </c>
      <c r="G127" t="n">
        <v>10000</v>
      </c>
      <c r="H127" t="n">
        <v>1</v>
      </c>
      <c r="I127" t="n">
        <v>20</v>
      </c>
      <c r="J127" s="6">
        <f>G127/I127*H127</f>
        <v/>
      </c>
      <c r="K127" t="n">
        <v>1.25</v>
      </c>
      <c r="L127" t="n">
        <v>0.75</v>
      </c>
      <c r="M127" t="n">
        <v>1</v>
      </c>
      <c r="O127" s="6">
        <f>(D127/100000+E127/100+F127*K127/5+J127/200)*200*L127*M127</f>
        <v/>
      </c>
      <c r="P127" s="6">
        <f>((D127*E127/25000)+(F127*K127*J127/2.5))*L127*M127</f>
        <v/>
      </c>
      <c r="Q127" s="6">
        <f>(D127*E127*F127*K127*J127*L127*M127)/12500000</f>
        <v/>
      </c>
      <c r="R127" s="6">
        <f>(O127+P127+Q127)/3</f>
        <v/>
      </c>
      <c r="S127" t="n">
        <v>500</v>
      </c>
    </row>
    <row r="128">
      <c r="A128" t="inlineStr">
        <is>
          <t>Naxi</t>
        </is>
      </c>
      <c r="B128" t="inlineStr">
        <is>
          <t>SS Soldier</t>
        </is>
      </c>
      <c r="D128" t="n">
        <v>30000</v>
      </c>
      <c r="E128" t="n">
        <v>60</v>
      </c>
      <c r="F128" s="7">
        <f>(S128*37500000/(L128*M128*D128*E128*K128*J128)-((500/(K128*J128))+(2500000000/(D128*E128*K128*J128)*(D128/100000+E128/100+J128/200))))/(1+5000000/(D128*E128)+(500000000/(D128*E128*J128)))</f>
        <v/>
      </c>
      <c r="G128" t="n">
        <v>60000</v>
      </c>
      <c r="H128" t="n">
        <v>1</v>
      </c>
      <c r="I128" t="n">
        <v>120</v>
      </c>
      <c r="J128" s="6">
        <f>G128/I128*H128</f>
        <v/>
      </c>
      <c r="K128" t="n">
        <v>1</v>
      </c>
      <c r="L128" t="n">
        <v>0.75</v>
      </c>
      <c r="M128" t="n">
        <v>0.75</v>
      </c>
      <c r="O128" s="6">
        <f>(D128/100000+E128/100+F128*K128/5+J128/200)*200*L128*M128</f>
        <v/>
      </c>
      <c r="P128" s="6">
        <f>((D128*E128/25000)+(F128*K128*J128/2.5))*L128*M128</f>
        <v/>
      </c>
      <c r="Q128" s="6">
        <f>(D128*E128*F128*K128*J128*L128*M128)/12500000</f>
        <v/>
      </c>
      <c r="R128" s="6">
        <f>(O128+P128+Q128)/3</f>
        <v/>
      </c>
      <c r="S128" t="n">
        <v>375</v>
      </c>
    </row>
    <row r="129">
      <c r="B129" t="inlineStr">
        <is>
          <t>Übermutant</t>
        </is>
      </c>
      <c r="D129" t="n">
        <v>85000</v>
      </c>
      <c r="E129" t="n">
        <v>61</v>
      </c>
      <c r="F129" t="n">
        <v>2</v>
      </c>
      <c r="G129" t="n">
        <v>20000</v>
      </c>
      <c r="H129" t="n">
        <v>1</v>
      </c>
      <c r="I129" t="n">
        <v>37</v>
      </c>
      <c r="J129" s="6">
        <f>G129/I129*H129</f>
        <v/>
      </c>
      <c r="K129" t="n">
        <v>1</v>
      </c>
      <c r="L129" t="n">
        <v>0.75</v>
      </c>
      <c r="M129" t="n">
        <v>1</v>
      </c>
      <c r="O129" s="6">
        <f>(D129/100000+E129/100+F129*K129/5+J129/200)*200*L129*M129</f>
        <v/>
      </c>
      <c r="P129" s="6">
        <f>((D129*E129/25000)+(F129*K129*J129/2.5))*L129*M129</f>
        <v/>
      </c>
      <c r="Q129" s="6">
        <f>(D129*E129*F129*K129*J129*L129*M129)/12500000</f>
        <v/>
      </c>
      <c r="R129" s="6">
        <f>(O129+P129+Q129)/3</f>
        <v/>
      </c>
      <c r="S129" t="n">
        <v>500</v>
      </c>
    </row>
    <row r="130">
      <c r="A130" t="inlineStr">
        <is>
          <t>StarCraft</t>
        </is>
      </c>
      <c r="B130" s="8" t="inlineStr">
        <is>
          <t>Firebat</t>
        </is>
      </c>
      <c r="C130" s="8" t="n"/>
      <c r="D130" t="n">
        <v>52000</v>
      </c>
      <c r="E130" t="n">
        <v>52</v>
      </c>
      <c r="F130" s="7">
        <f>(S130*37500000/(L130*M130*D130*E130*K130*J130)-((500/(K130*J130))+(2500000000/(D130*E130*K130*J130)*(D130/100000+E130/100+J130/200))))/(1+5000000/(D130*E130)+(500000000/(D130*E130*J130)))</f>
        <v/>
      </c>
      <c r="G130" t="n">
        <v>26000</v>
      </c>
      <c r="H130" t="n">
        <v>1</v>
      </c>
      <c r="I130" t="n">
        <v>52</v>
      </c>
      <c r="J130" s="6">
        <f>G130/I130*H130</f>
        <v/>
      </c>
      <c r="K130" t="n">
        <v>1</v>
      </c>
      <c r="L130" t="n">
        <v>0.75</v>
      </c>
      <c r="M130" t="n">
        <v>1</v>
      </c>
      <c r="O130" s="6">
        <f>(D130/100000+E130/100+F130*K130/5+J130/200)*200*L130*M130</f>
        <v/>
      </c>
      <c r="P130" s="6">
        <f>((D130*E130/25000)+(F130*K130*J130/2.5))*L130*M130</f>
        <v/>
      </c>
      <c r="Q130" s="6">
        <f>(D130*E130*F130*K130*J130*L130*M130)/12500000</f>
        <v/>
      </c>
      <c r="R130" s="6">
        <f>(O130+P130+Q130)/3</f>
        <v/>
      </c>
      <c r="S130" t="n">
        <v>500</v>
      </c>
    </row>
    <row r="131">
      <c r="B131" s="8" t="inlineStr">
        <is>
          <t>Harakan</t>
        </is>
      </c>
      <c r="C131" s="8" t="n"/>
      <c r="D131" t="n">
        <v>78000</v>
      </c>
      <c r="E131" t="n">
        <v>56</v>
      </c>
      <c r="F131" s="7">
        <f>(S131*37500000/(L131*M131*D131*E131*K131*J131)-((500/(K131*J131))+(2500000000/(D131*E131*K131*J131)*(D131/100000+E131/100+J131/200))))/(1+5000000/(D131*E131)+(500000000/(D131*E131*J131)))</f>
        <v/>
      </c>
      <c r="G131" t="n">
        <v>40000</v>
      </c>
      <c r="H131" t="n">
        <v>1.125</v>
      </c>
      <c r="I131" t="n">
        <v>85</v>
      </c>
      <c r="J131" s="6">
        <f>G131/I131*H131</f>
        <v/>
      </c>
      <c r="K131" t="n">
        <v>1</v>
      </c>
      <c r="L131" t="n">
        <v>0.75</v>
      </c>
      <c r="M131" t="n">
        <v>1</v>
      </c>
      <c r="O131" s="6">
        <f>(D131/100000+E131/100+F131*K131/5+J131/200)*200*L131*M131</f>
        <v/>
      </c>
      <c r="P131" s="6">
        <f>((D131*E131/25000)+(F131*K131*J131/2.5))*L131*M131</f>
        <v/>
      </c>
      <c r="Q131" s="6">
        <f>(D131*E131*F131*K131*J131*L131*M131)/12500000</f>
        <v/>
      </c>
      <c r="R131" s="6">
        <f>(O131+P131+Q131)/3</f>
        <v/>
      </c>
      <c r="S131" t="n">
        <v>700</v>
      </c>
    </row>
    <row r="132">
      <c r="B132" t="inlineStr">
        <is>
          <t>Zergling</t>
        </is>
      </c>
      <c r="D132" t="n">
        <v>11000</v>
      </c>
      <c r="E132" t="n">
        <v>110</v>
      </c>
      <c r="F132" s="7">
        <f>(S132*37500000/(L132*M132*D132*E132*K132*J132)-((500/(K132*J132))+(2500000000/(D132*E132*K132*J132)*(D132/100000+E132/100+J132/200))))/(1+5000000/(D132*E132)+(500000000/(D132*E132*J132)))</f>
        <v/>
      </c>
      <c r="G132" t="n">
        <v>3000</v>
      </c>
      <c r="H132" t="n">
        <v>1</v>
      </c>
      <c r="I132" t="n">
        <v>11</v>
      </c>
      <c r="J132" s="6">
        <f>G132/I132*H132</f>
        <v/>
      </c>
      <c r="K132" t="n">
        <v>1</v>
      </c>
      <c r="L132" t="n">
        <v>0.75</v>
      </c>
      <c r="M132" t="n">
        <v>1</v>
      </c>
      <c r="O132" s="6">
        <f>(D132/100000+E132/100+F132*K132/5+J132/200)*200*L132*M132</f>
        <v/>
      </c>
      <c r="P132" s="6">
        <f>((D132*E132/25000)+(F132*K132*J132/2.5))*L132*M132</f>
        <v/>
      </c>
      <c r="Q132" s="6">
        <f>(D132*E132*F132*K132*J132*L132*M132)/12500000</f>
        <v/>
      </c>
      <c r="R132" s="6">
        <f>(O132+P132+Q132)/3</f>
        <v/>
      </c>
      <c r="S132" t="n">
        <v>200</v>
      </c>
    </row>
    <row r="133">
      <c r="B133" t="inlineStr">
        <is>
          <t>Talon</t>
        </is>
      </c>
      <c r="D133" t="n">
        <v>32000</v>
      </c>
      <c r="E133" t="n">
        <v>160</v>
      </c>
      <c r="F133" s="7">
        <f>(S133*37500000/(L133*M133*D133*E133*K133*J133)-((500/(K133*J133))+(2500000000/(D133*E133*K133*J133)*(D133/100000+E133/100+J133/200))))/(1+5000000/(D133*E133)+(500000000/(D133*E133*J133)))</f>
        <v/>
      </c>
      <c r="G133" t="n">
        <v>6000</v>
      </c>
      <c r="H133" t="n">
        <v>1</v>
      </c>
      <c r="I133" t="n">
        <v>15</v>
      </c>
      <c r="J133" s="6">
        <f>G133/I133*H133</f>
        <v/>
      </c>
      <c r="K133" t="n">
        <v>1</v>
      </c>
      <c r="L133" t="n">
        <v>0.75</v>
      </c>
      <c r="M133" t="n">
        <v>1</v>
      </c>
      <c r="O133" s="6">
        <f>(D133/100000+E133/100+F133*K133/5+J133/200)*200*L133*M133</f>
        <v/>
      </c>
      <c r="P133" s="6">
        <f>((D133*E133/25000)+(F133*K133*J133/2.5))*L133*M133</f>
        <v/>
      </c>
      <c r="Q133" s="6">
        <f>(D133*E133*F133*K133*J133*L133*M133)/12500000</f>
        <v/>
      </c>
      <c r="R133" s="6">
        <f>(O133+P133+Q133)/3</f>
        <v/>
      </c>
      <c r="S133" t="n">
        <v>400</v>
      </c>
    </row>
    <row r="134">
      <c r="B134" t="inlineStr">
        <is>
          <t>Zealot</t>
        </is>
      </c>
      <c r="D134" t="n">
        <v>40000</v>
      </c>
      <c r="E134" t="n">
        <v>70</v>
      </c>
      <c r="F134" s="7">
        <f>(S134*37500000/(L134*M134*D134*E134*K134*J134)-((500/(K134*J134))+(2500000000/(D134*E134*K134*J134)*(D134/100000+E134/100+J134/200))))/(1+5000000/(D134*E134)+(500000000/(D134*E134*J134)))</f>
        <v/>
      </c>
      <c r="G134" t="n">
        <v>8000</v>
      </c>
      <c r="H134" t="n">
        <v>1</v>
      </c>
      <c r="I134" t="n">
        <v>18</v>
      </c>
      <c r="J134" s="6">
        <f>G134/I134*H134</f>
        <v/>
      </c>
      <c r="K134" t="n">
        <v>1</v>
      </c>
      <c r="L134" t="n">
        <v>0.75</v>
      </c>
      <c r="M134" t="n">
        <v>1</v>
      </c>
      <c r="O134" s="6">
        <f>(D134/100000+E134/100+F134*K134/5+J134/200)*200*L134*M134</f>
        <v/>
      </c>
      <c r="P134" s="6">
        <f>((D134*E134/25000)+(F134*K134*J134/2.5))*L134*M134</f>
        <v/>
      </c>
      <c r="Q134" s="6">
        <f>(D134*E134*F134*K134*J134*L134*M134)/12500000</f>
        <v/>
      </c>
      <c r="R134" s="6">
        <f>(O134+P134+Q134)/3</f>
        <v/>
      </c>
      <c r="S134" t="n">
        <v>300</v>
      </c>
    </row>
    <row r="135">
      <c r="B135" t="inlineStr">
        <is>
          <t>Legionnaire</t>
        </is>
      </c>
      <c r="D135" t="n">
        <v>60000</v>
      </c>
      <c r="E135" t="n">
        <v>60</v>
      </c>
      <c r="F135" s="7">
        <f>(S135*37500000/(L135*M135*D135*E135*K135*J135)-((500/(K135*J135))+(2500000000/(D135*E135*K135*J135)*(D135/100000+E135/100+J135/200))))/(1+5000000/(D135*E135)+(500000000/(D135*E135*J135)))</f>
        <v/>
      </c>
      <c r="G135" t="n">
        <v>32000</v>
      </c>
      <c r="H135" t="n">
        <v>1</v>
      </c>
      <c r="I135" t="n">
        <v>26</v>
      </c>
      <c r="J135" s="6">
        <f>G135/I135*H135</f>
        <v/>
      </c>
      <c r="K135" t="n">
        <v>1</v>
      </c>
      <c r="L135" t="n">
        <v>0.75</v>
      </c>
      <c r="M135" t="n">
        <v>1</v>
      </c>
      <c r="O135" s="6">
        <f>(D135/100000+E135/100+F135*K135/5+J135/200)*200*L135*M135</f>
        <v/>
      </c>
      <c r="P135" s="6">
        <f>((D135*E135/25000)+(F135*K135*J135/2.5))*L135*M135</f>
        <v/>
      </c>
      <c r="Q135" s="6">
        <f>(D135*E135*F135*K135*J135*L135*M135)/12500000</f>
        <v/>
      </c>
      <c r="R135" s="6">
        <f>(O135+P135+Q135)/3</f>
        <v/>
      </c>
      <c r="S135" t="n">
        <v>700</v>
      </c>
    </row>
    <row r="136">
      <c r="B136" t="inlineStr">
        <is>
          <t>Dark Templar</t>
        </is>
      </c>
      <c r="D136" t="n">
        <v>50000</v>
      </c>
      <c r="E136" t="n">
        <v>75</v>
      </c>
      <c r="F136" s="7">
        <f>(S136*37500000/(L136*M136*D136*E136*K136*J136)-((500/(K136*J136))+(2500000000/(D136*E136*K136*J136)*(D136/100000+E136/100+J136/200))))/(1+5000000/(D136*E136)+(500000000/(D136*E136*J136)))</f>
        <v/>
      </c>
      <c r="G136" t="n">
        <v>20000</v>
      </c>
      <c r="H136" t="n">
        <v>1</v>
      </c>
      <c r="I136" t="n">
        <v>25</v>
      </c>
      <c r="J136" s="6">
        <f>G136/I136*H136</f>
        <v/>
      </c>
      <c r="K136" t="n">
        <v>1.25</v>
      </c>
      <c r="L136" t="n">
        <v>0.75</v>
      </c>
      <c r="M136" t="n">
        <v>1</v>
      </c>
      <c r="O136" s="6">
        <f>(D136/100000+E136/100+F136*K136/5+J136/200)*200*L136*M136</f>
        <v/>
      </c>
      <c r="P136" s="6">
        <f>((D136*E136/25000)+(F136*K136*J136/2.5))*L136*M136</f>
        <v/>
      </c>
      <c r="Q136" s="6">
        <f>(D136*E136*F136*K136*J136*L136*M136)/12500000</f>
        <v/>
      </c>
      <c r="R136" s="6">
        <f>(O136+P136+Q136)/3</f>
        <v/>
      </c>
      <c r="S136" t="n">
        <v>600</v>
      </c>
    </row>
    <row r="137">
      <c r="B137" t="inlineStr">
        <is>
          <t>Amaranth</t>
        </is>
      </c>
      <c r="D137" t="n">
        <v>70000</v>
      </c>
      <c r="E137" t="n">
        <v>70</v>
      </c>
      <c r="F137" s="7">
        <f>(S137*37500000/(L137*M137*D137*E137*K137*J137)-((500/(K137*J137))+(2500000000/(D137*E137*K137*J137)*(D137/100000+E137/100+J137/200))))/(1+5000000/(D137*E137)+(500000000/(D137*E137*J137)))</f>
        <v/>
      </c>
      <c r="G137" t="n">
        <v>30000</v>
      </c>
      <c r="H137" t="n">
        <v>1</v>
      </c>
      <c r="I137" t="n">
        <v>20</v>
      </c>
      <c r="J137" s="6">
        <f>G137/I137*H137</f>
        <v/>
      </c>
      <c r="K137" t="n">
        <v>1.25</v>
      </c>
      <c r="L137" t="n">
        <v>0.75</v>
      </c>
      <c r="M137" t="n">
        <v>1</v>
      </c>
      <c r="O137" s="6">
        <f>(D137/100000+E137/100+F137*K137/5+J137/200)*200*L137*M137</f>
        <v/>
      </c>
      <c r="P137" s="6">
        <f>((D137*E137/25000)+(F137*K137*J137/2.5))*L137*M137</f>
        <v/>
      </c>
      <c r="Q137" s="6">
        <f>(D137*E137*F137*K137*J137*L137*M137)/12500000</f>
        <v/>
      </c>
      <c r="R137" s="6">
        <f>(O137+P137+Q137)/3</f>
        <v/>
      </c>
      <c r="S137" t="n">
        <v>1200</v>
      </c>
    </row>
    <row r="138">
      <c r="A138" t="inlineStr">
        <is>
          <t>WarCraft</t>
        </is>
      </c>
      <c r="B138" t="inlineStr">
        <is>
          <t>Footman</t>
        </is>
      </c>
      <c r="D138" t="n">
        <v>50000</v>
      </c>
      <c r="E138" t="n">
        <v>75</v>
      </c>
      <c r="F138" s="7">
        <f>(S138*37500000/(L138*M138*D138*E138*K138*J138)-((500/(K138*J138))+(2500000000/(D138*E138*K138*J138)*(D138/100000+E138/100+J138/200))))/(1+5000000/(D138*E138)+(500000000/(D138*E138*J138)))</f>
        <v/>
      </c>
      <c r="G138" t="n">
        <v>12000</v>
      </c>
      <c r="H138" t="n">
        <v>1</v>
      </c>
      <c r="I138" t="n">
        <v>15</v>
      </c>
      <c r="J138" s="6">
        <f>G138/I138*H138</f>
        <v/>
      </c>
      <c r="K138" t="n">
        <v>1</v>
      </c>
      <c r="L138" t="n">
        <v>0.75</v>
      </c>
      <c r="M138" t="n">
        <v>1</v>
      </c>
      <c r="O138" s="6">
        <f>(D138/100000+E138/100+F138*K138/5+J138/200)*200*L138*M138</f>
        <v/>
      </c>
      <c r="P138" s="6">
        <f>((D138*E138/25000)+(F138*K138*J138/2.5))*L138*M138</f>
        <v/>
      </c>
      <c r="Q138" s="6">
        <f>(D138*E138*F138*K138*J138*L138*M138)/12500000</f>
        <v/>
      </c>
      <c r="R138" s="6">
        <f>(O138+P138+Q138)/3</f>
        <v/>
      </c>
      <c r="S138" t="n">
        <v>500</v>
      </c>
    </row>
    <row r="139">
      <c r="B139" t="inlineStr">
        <is>
          <t>Footman 2</t>
        </is>
      </c>
      <c r="D139" t="n">
        <v>80000</v>
      </c>
      <c r="E139" t="n">
        <v>85</v>
      </c>
      <c r="F139" s="7">
        <f>(S139*37500000/(L139*M139*D139*E139*K139*J139)-((500/(K139*J139))+(2500000000/(D139*E139*K139*J139)*(D139/100000+E139/100+J139/200))))/(1+5000000/(D139*E139)+(500000000/(D139*E139*J139)))</f>
        <v/>
      </c>
      <c r="G139" t="n">
        <v>18000</v>
      </c>
      <c r="H139" t="n">
        <v>1</v>
      </c>
      <c r="I139" t="n">
        <v>15</v>
      </c>
      <c r="J139" s="6">
        <f>G139/I139*H139</f>
        <v/>
      </c>
      <c r="K139" t="n">
        <v>1</v>
      </c>
      <c r="L139" t="n">
        <v>0.75</v>
      </c>
      <c r="M139" t="n">
        <v>1</v>
      </c>
      <c r="O139" s="6">
        <f>(D139/100000+E139/100+F139*K139/5+J139/200)*200*L139*M139</f>
        <v/>
      </c>
      <c r="P139" s="6">
        <f>((D139*E139/25000)+(F139*K139*J139/2.5))*L139*M139</f>
        <v/>
      </c>
      <c r="Q139" s="6">
        <f>(D139*E139*F139*K139*J139*L139*M139)/12500000</f>
        <v/>
      </c>
      <c r="R139" s="6">
        <f>(O139+P139+Q139)/3</f>
        <v/>
      </c>
      <c r="S139" t="n">
        <v>900</v>
      </c>
    </row>
    <row r="140">
      <c r="B140" t="inlineStr">
        <is>
          <t>Grunt</t>
        </is>
      </c>
      <c r="D140" t="n">
        <v>65000</v>
      </c>
      <c r="E140" t="n">
        <v>65</v>
      </c>
      <c r="F140" s="7">
        <f>(S140*37500000/(L140*M140*D140*E140*K140*J140)-((500/(K140*J140))+(2500000000/(D140*E140*K140*J140)*(D140/100000+E140/100+J140/200))))/(1+5000000/(D140*E140)+(500000000/(D140*E140*J140)))</f>
        <v/>
      </c>
      <c r="G140" t="n">
        <v>16000</v>
      </c>
      <c r="H140" t="n">
        <v>1</v>
      </c>
      <c r="I140" t="n">
        <v>18</v>
      </c>
      <c r="J140" s="6">
        <f>G140/I140*H140</f>
        <v/>
      </c>
      <c r="K140" t="n">
        <v>1</v>
      </c>
      <c r="L140" t="n">
        <v>0.75</v>
      </c>
      <c r="M140" t="n">
        <v>1</v>
      </c>
      <c r="O140" s="6">
        <f>(D140/100000+E140/100+F140*K140/5+J140/200)*200*L140*M140</f>
        <v/>
      </c>
      <c r="P140" s="6">
        <f>((D140*E140/25000)+(F140*K140*J140/2.5))*L140*M140</f>
        <v/>
      </c>
      <c r="Q140" s="6">
        <f>(D140*E140*F140*K140*J140*L140*M140)/12500000</f>
        <v/>
      </c>
      <c r="R140" s="6">
        <f>(O140+P140+Q140)/3</f>
        <v/>
      </c>
      <c r="S140" t="n">
        <v>600</v>
      </c>
    </row>
    <row r="141">
      <c r="B141" t="inlineStr">
        <is>
          <t>Grunt 2</t>
        </is>
      </c>
      <c r="D141" t="n">
        <v>120000</v>
      </c>
      <c r="E141" t="n">
        <v>70</v>
      </c>
      <c r="F141" s="7">
        <f>(S141*37500000/(L141*M141*D141*E141*K141*J141)-((500/(K141*J141))+(2500000000/(D141*E141*K141*J141)*(D141/100000+E141/100+J141/200))))/(1+5000000/(D141*E141)+(500000000/(D141*E141*J141)))</f>
        <v/>
      </c>
      <c r="G141" t="n">
        <v>24000</v>
      </c>
      <c r="H141" t="n">
        <v>1</v>
      </c>
      <c r="I141" t="n">
        <v>18</v>
      </c>
      <c r="J141" s="6">
        <f>G141/I141*H141</f>
        <v/>
      </c>
      <c r="K141" t="n">
        <v>1</v>
      </c>
      <c r="L141" t="n">
        <v>0.75</v>
      </c>
      <c r="M141" t="n">
        <v>1</v>
      </c>
      <c r="O141" s="6">
        <f>(D141/100000+E141/100+F141*K141/5+J141/200)*200*L141*M141</f>
        <v/>
      </c>
      <c r="P141" s="6">
        <f>((D141*E141/25000)+(F141*K141*J141/2.5))*L141*M141</f>
        <v/>
      </c>
      <c r="Q141" s="6">
        <f>(D141*E141*F141*K141*J141*L141*M141)/12500000</f>
        <v/>
      </c>
      <c r="R141" s="6">
        <f>(O141+P141+Q141)/3</f>
        <v/>
      </c>
      <c r="S141" t="n">
        <v>1100</v>
      </c>
    </row>
    <row r="143">
      <c r="A143" t="inlineStr">
        <is>
          <t>RA2</t>
        </is>
      </c>
      <c r="B143" t="inlineStr">
        <is>
          <t>Seal</t>
        </is>
      </c>
      <c r="D143" t="n">
        <v>30000</v>
      </c>
      <c r="E143" t="n">
        <v>60</v>
      </c>
      <c r="F143" s="7">
        <f>(S143*37500000/(L143*M143*D143*E143*K143*J143)-((500/(K143*J143))+(2500000000/(D143*E143*K143*J143)*(D143/100000+E143/100+J143/200))))/(1+5000000/(D143*E143)+(500000000/(D143*E143*J143)))</f>
        <v/>
      </c>
      <c r="G143" t="n">
        <v>18000</v>
      </c>
      <c r="H143" t="n">
        <v>0.75</v>
      </c>
      <c r="I143" t="n">
        <v>19</v>
      </c>
      <c r="J143" s="6">
        <f>G143/I143*H143</f>
        <v/>
      </c>
      <c r="K143" t="n">
        <v>1.25</v>
      </c>
      <c r="L143" t="n">
        <v>0.75</v>
      </c>
      <c r="M143" t="n">
        <v>1</v>
      </c>
      <c r="O143" s="6">
        <f>(D143/100000+E143/100+F143*K143/5+J143/200)*200*L143*M143</f>
        <v/>
      </c>
      <c r="P143" s="6">
        <f>((D143*E143/25000)+(F143*K143*J143/2.5))*L143*M143</f>
        <v/>
      </c>
      <c r="Q143" s="6">
        <f>(D143*E143*F143*K143*J143*L143*M143)/12500000</f>
        <v/>
      </c>
      <c r="R143" s="6">
        <f>(O143+P143+Q143)/3</f>
        <v/>
      </c>
      <c r="S143" t="n">
        <v>900</v>
      </c>
    </row>
    <row r="144">
      <c r="B144" t="inlineStr">
        <is>
          <t>Brute</t>
        </is>
      </c>
      <c r="D144" t="n">
        <v>45000</v>
      </c>
      <c r="E144" t="n">
        <v>80</v>
      </c>
      <c r="F144" s="7">
        <f>(S144*37500000/(L144*M144*D144*E144*K144*J144)-((500/(K144*J144))+(2500000000/(D144*E144*K144*J144)*(D144/100000+E144/100+J144/200))))/(1+5000000/(D144*E144)+(500000000/(D144*E144*J144)))</f>
        <v/>
      </c>
      <c r="G144" t="n">
        <v>20000</v>
      </c>
      <c r="H144" t="n">
        <v>1</v>
      </c>
      <c r="I144" t="n">
        <v>37</v>
      </c>
      <c r="J144" s="6">
        <f>G144/I144*H144</f>
        <v/>
      </c>
      <c r="K144" t="n">
        <v>1</v>
      </c>
      <c r="L144" t="n">
        <v>0.75</v>
      </c>
      <c r="M144" t="n">
        <v>1</v>
      </c>
      <c r="O144" s="6">
        <f>(D144/100000+E144/100+F144*K144/5+J144/200)*200*L144*M144</f>
        <v/>
      </c>
      <c r="P144" s="6">
        <f>((D144*E144/25000)+(F144*K144*J144/2.5))*L144*M144</f>
        <v/>
      </c>
      <c r="Q144" s="6">
        <f>(D144*E144*F144*K144*J144*L144*M144)/12500000</f>
        <v/>
      </c>
      <c r="R144" s="6">
        <f>(O144+P144+Q144)/3</f>
        <v/>
      </c>
      <c r="S144" t="n">
        <v>400</v>
      </c>
    </row>
    <row r="145">
      <c r="A145" t="inlineStr">
        <is>
          <t>RA2 Modded</t>
        </is>
      </c>
      <c r="B145" t="inlineStr">
        <is>
          <t>AA Samurai</t>
        </is>
      </c>
      <c r="D145" t="n">
        <v>40000</v>
      </c>
      <c r="E145" t="n">
        <v>72</v>
      </c>
      <c r="F145" s="7">
        <f>(S145*37500000/(L145*M145*D145*E145*K145*J145)-((500/(K145*J145))+(2500000000/(D145*E145*K145*J145)*(D145/100000+E145/100+J145/200))))/(1+5000000/(D145*E145)+(500000000/(D145*E145*J145)))</f>
        <v/>
      </c>
      <c r="G145" t="n">
        <v>20000</v>
      </c>
      <c r="H145" t="n">
        <v>1</v>
      </c>
      <c r="I145" t="n">
        <v>40</v>
      </c>
      <c r="J145" s="6">
        <f>G145/I145*H145</f>
        <v/>
      </c>
      <c r="K145" t="n">
        <v>1</v>
      </c>
      <c r="L145" t="n">
        <v>0.75</v>
      </c>
      <c r="M145" t="n">
        <v>1</v>
      </c>
      <c r="O145" s="6">
        <f>(D145/100000+E145/100+F145*K145/5+J145/200)*200*L145*M145</f>
        <v/>
      </c>
      <c r="P145" s="6">
        <f>((D145*E145/25000)+(F145*K145*J145/2.5))*L145*M145</f>
        <v/>
      </c>
      <c r="Q145" s="6">
        <f>(D145*E145*F145*K145*J145*L145*M145)/12500000</f>
        <v/>
      </c>
      <c r="R145" s="6">
        <f>(O145+P145+Q145)/3</f>
        <v/>
      </c>
      <c r="S145" t="n">
        <v>350</v>
      </c>
    </row>
    <row r="146">
      <c r="B146" t="inlineStr">
        <is>
          <t>Alligator</t>
        </is>
      </c>
      <c r="D146" t="n">
        <v>27000</v>
      </c>
      <c r="E146" t="n">
        <v>108</v>
      </c>
      <c r="F146" s="7">
        <f>(S146*37500000/(L146*M146*D146*E146*K146*J146)-((500/(K146*J146))+(2500000000/(D146*E146*K146*J146)*(D146/100000+E146/100+J146/200))))/(1+5000000/(D146*E146)+(500000000/(D146*E146*J146)))</f>
        <v/>
      </c>
      <c r="G146" t="n">
        <v>16000</v>
      </c>
      <c r="H146" t="n">
        <v>1</v>
      </c>
      <c r="I146" t="n">
        <v>39</v>
      </c>
      <c r="J146" s="6">
        <f>G146/I146*H146</f>
        <v/>
      </c>
      <c r="K146" t="n">
        <v>1</v>
      </c>
      <c r="L146" t="n">
        <v>0.75</v>
      </c>
      <c r="M146" t="n">
        <v>1</v>
      </c>
      <c r="O146" s="6">
        <f>(D146/100000+E146/100+F146*K146/5+J146/200)*200*L146*M146</f>
        <v/>
      </c>
      <c r="P146" s="6">
        <f>((D146*E146/25000)+(F146*K146*J146/2.5))*L146*M146</f>
        <v/>
      </c>
      <c r="Q146" s="6">
        <f>(D146*E146*F146*K146*J146*L146*M146)/12500000</f>
        <v/>
      </c>
      <c r="R146" s="6">
        <f>(O146+P146+Q146)/3</f>
        <v/>
      </c>
      <c r="S146" t="n">
        <v>300</v>
      </c>
    </row>
    <row r="147">
      <c r="B147" t="inlineStr">
        <is>
          <t>Future Enforcer (Shotgun)</t>
        </is>
      </c>
      <c r="D147" t="n">
        <v>30000</v>
      </c>
      <c r="E147" t="n">
        <v>60</v>
      </c>
      <c r="F147" s="7">
        <f>(S147*37500000/(L147*M147*D147*E147*K147*J147)-((500/(K147*J147))+(2500000000/(D147*E147*K147*J147)*(D147/100000+E147/100+J147/200))))/(1+5000000/(D147*E147)+(500000000/(D147*E147*J147)))</f>
        <v/>
      </c>
      <c r="G147" t="n">
        <v>12000</v>
      </c>
      <c r="H147" t="n">
        <v>0.875</v>
      </c>
      <c r="I147" t="n">
        <v>40</v>
      </c>
      <c r="J147" s="6">
        <f>G147/I147*H147</f>
        <v/>
      </c>
      <c r="K147" t="n">
        <v>1.25</v>
      </c>
      <c r="L147" t="n">
        <v>0.75</v>
      </c>
      <c r="M147" t="n">
        <v>1</v>
      </c>
      <c r="O147" s="6">
        <f>(D147/100000+E147/100+F147*K147/5+J147/200)*200*L147*M147</f>
        <v/>
      </c>
      <c r="P147" s="6">
        <f>((D147*E147/25000)+(F147*K147*J147/2.5))*L147*M147</f>
        <v/>
      </c>
      <c r="Q147" s="6">
        <f>(D147*E147*F147*K147*J147*L147*M147)/12500000</f>
        <v/>
      </c>
      <c r="R147" s="6">
        <f>(O147+P147+Q147)/3</f>
        <v/>
      </c>
      <c r="S147" t="n">
        <v>300</v>
      </c>
    </row>
    <row r="148">
      <c r="B148" t="inlineStr">
        <is>
          <t>Future Enforcer (Deployed)</t>
        </is>
      </c>
      <c r="D148" t="n">
        <v>30000</v>
      </c>
      <c r="E148" t="n">
        <v>60</v>
      </c>
      <c r="F148" s="7">
        <f>(S148*37500000/(L148*M148*D148*E148*K148*J148)-((500/(K148*J148))+(2500000000/(D148*E148*K148*J148)*(D148/100000+E148/100+J148/200))))/(1+5000000/(D148*E148)+(500000000/(D148*E148*J148)))</f>
        <v/>
      </c>
      <c r="G148" t="n">
        <v>12000</v>
      </c>
      <c r="H148" t="n">
        <v>0.875</v>
      </c>
      <c r="I148" t="n">
        <v>65</v>
      </c>
      <c r="J148" s="6">
        <f>G148/I148*H148</f>
        <v/>
      </c>
      <c r="K148" t="n">
        <v>1</v>
      </c>
      <c r="L148" t="n">
        <v>0.75</v>
      </c>
      <c r="M148" t="n">
        <v>1</v>
      </c>
      <c r="O148" s="6">
        <f>(D148/100000+E148/100+F148*K148/5+J148/200)*200*L148*M148</f>
        <v/>
      </c>
      <c r="P148" s="6">
        <f>((D148*E148/25000)+(F148*K148*J148/2.5))*L148*M148</f>
        <v/>
      </c>
      <c r="Q148" s="6">
        <f>(D148*E148*F148*K148*J148*L148*M148)/12500000</f>
        <v/>
      </c>
      <c r="R148" s="6">
        <f>(O148+P148+Q148)/3</f>
        <v/>
      </c>
      <c r="S148" t="n">
        <v>300</v>
      </c>
    </row>
    <row r="149">
      <c r="B149" t="inlineStr">
        <is>
          <t>Black Widow</t>
        </is>
      </c>
      <c r="D149" t="n">
        <v>25000</v>
      </c>
      <c r="E149" t="n">
        <v>75</v>
      </c>
      <c r="F149" s="7">
        <f>(S149*37500000/(L149*M149*D149*E149*K149*J149)-((500/(K149*J149))+(2500000000/(D149*E149*K149*J149)*(D149/100000+E149/100+J149/200))))/(1+5000000/(D149*E149)+(500000000/(D149*E149*J149)))</f>
        <v/>
      </c>
      <c r="G149" t="n">
        <v>20000</v>
      </c>
      <c r="H149" t="n">
        <v>0.75</v>
      </c>
      <c r="I149" t="n">
        <v>19</v>
      </c>
      <c r="J149" s="6">
        <f>G149/I149*H149</f>
        <v/>
      </c>
      <c r="K149" t="n">
        <v>1.25</v>
      </c>
      <c r="L149" t="n">
        <v>0.75</v>
      </c>
      <c r="M149" t="n">
        <v>0.75</v>
      </c>
      <c r="O149" s="6">
        <f>(D149/100000+E149/100+F149*K149/5+J149/200)*200*L149*M149</f>
        <v/>
      </c>
      <c r="P149" s="6">
        <f>((D149*E149/25000)+(F149*K149*J149/2.5))*L149*M149</f>
        <v/>
      </c>
      <c r="Q149" s="6">
        <f>(D149*E149*F149*K149*J149*L149*M149)/12500000</f>
        <v/>
      </c>
      <c r="R149" s="6">
        <f>(O149+P149+Q149)/3</f>
        <v/>
      </c>
      <c r="S149" t="n">
        <v>1200</v>
      </c>
    </row>
    <row r="151">
      <c r="B151" t="inlineStr">
        <is>
          <t>Sniper Infantry</t>
        </is>
      </c>
      <c r="D151" t="inlineStr">
        <is>
          <t>HP</t>
        </is>
      </c>
      <c r="E151" t="inlineStr">
        <is>
          <t>Speed</t>
        </is>
      </c>
      <c r="F151" t="inlineStr">
        <is>
          <t>Range</t>
        </is>
      </c>
      <c r="G151" t="inlineStr">
        <is>
          <t>Damage</t>
        </is>
      </c>
      <c r="H151" t="inlineStr">
        <is>
          <t>Weapon Class</t>
        </is>
      </c>
      <c r="I151" t="inlineStr">
        <is>
          <t>Reload Delay</t>
        </is>
      </c>
      <c r="J151" s="6" t="inlineStr">
        <is>
          <t>DPS</t>
        </is>
      </c>
      <c r="K151" t="inlineStr">
        <is>
          <t>Special</t>
        </is>
      </c>
      <c r="L151" t="inlineStr">
        <is>
          <t>Unit Class</t>
        </is>
      </c>
      <c r="M151" t="inlineStr">
        <is>
          <t>Tech Tier</t>
        </is>
      </c>
      <c r="O151" s="6" t="n"/>
      <c r="P151" s="6" t="n"/>
      <c r="Q151" s="6" t="n"/>
      <c r="R151" s="6" t="n"/>
      <c r="S151" t="inlineStr">
        <is>
          <t>Cost</t>
        </is>
      </c>
    </row>
    <row r="153">
      <c r="A153" t="inlineStr">
        <is>
          <t>XCOM</t>
        </is>
      </c>
      <c r="B153" t="inlineStr">
        <is>
          <t>XCOM Sniper</t>
        </is>
      </c>
      <c r="D153" t="n">
        <v>50000</v>
      </c>
      <c r="E153" t="n">
        <v>50</v>
      </c>
      <c r="F153" s="7">
        <f>(S153*37500000/(L153*M153*D153*E153*K153*J153)-((500/(K153*J153))+(2500000000/(D153*E153*K153*J153)*(D153/100000+E153/100+J153/200))))/(1+5000000/(D153*E153)+(500000000/(D153*E153*J153)))</f>
        <v/>
      </c>
      <c r="G153" t="n">
        <v>100000</v>
      </c>
      <c r="H153" t="n">
        <v>0.75</v>
      </c>
      <c r="I153" t="n">
        <v>75</v>
      </c>
      <c r="J153" s="6">
        <f>G153/I153*H153</f>
        <v/>
      </c>
      <c r="K153" t="n">
        <v>1</v>
      </c>
      <c r="L153" t="n">
        <v>0.75</v>
      </c>
      <c r="M153" t="n">
        <v>0.75</v>
      </c>
      <c r="O153" s="6">
        <f>(D153/100000+E153/100+F153*K153/5+J153/200)*200*L153*M153</f>
        <v/>
      </c>
      <c r="P153" s="6">
        <f>((D153*E153/25000)+(F153*K153*J153/2.5))*L153*M153</f>
        <v/>
      </c>
      <c r="Q153" s="6">
        <f>(D153*E153*F153*K153*J153*L153*M153)/12500000</f>
        <v/>
      </c>
      <c r="R153" s="6">
        <f>(O153+P153+Q153)/3</f>
        <v/>
      </c>
      <c r="S153" t="n">
        <v>1800</v>
      </c>
    </row>
    <row r="154">
      <c r="B154" t="inlineStr">
        <is>
          <t>XCOM Sniper</t>
        </is>
      </c>
      <c r="D154" t="n">
        <v>50000</v>
      </c>
      <c r="E154" t="n">
        <v>50</v>
      </c>
      <c r="F154" s="7" t="n">
        <v>13</v>
      </c>
      <c r="G154" t="n">
        <v>50000</v>
      </c>
      <c r="H154" t="n">
        <v>0.75</v>
      </c>
      <c r="I154" t="n">
        <v>25</v>
      </c>
      <c r="J154" s="6">
        <f>G154/I154*H154</f>
        <v/>
      </c>
      <c r="K154" t="n">
        <v>1</v>
      </c>
      <c r="L154" t="n">
        <v>0.75</v>
      </c>
      <c r="M154" t="n">
        <v>0.75</v>
      </c>
      <c r="O154" s="6">
        <f>(D154/100000+E154/100+F154*K154/5+J154/200)*200*L154*M154</f>
        <v/>
      </c>
      <c r="P154" s="6">
        <f>((D154*E154/25000)+(F154*K154*J154/2.5))*L154*M154</f>
        <v/>
      </c>
      <c r="Q154" s="6">
        <f>(D154*E154*F154*K154*J154*L154*M154)/12500000</f>
        <v/>
      </c>
      <c r="R154" s="6">
        <f>(O154+P154+Q154)/3</f>
        <v/>
      </c>
      <c r="S154" t="inlineStr">
        <is>
          <t>(+800)</t>
        </is>
      </c>
    </row>
    <row r="155">
      <c r="A155" t="inlineStr">
        <is>
          <t>TD</t>
        </is>
      </c>
      <c r="B155" t="inlineStr">
        <is>
          <t>GDI Sniper</t>
        </is>
      </c>
      <c r="D155" t="n">
        <v>25000</v>
      </c>
      <c r="E155" t="n">
        <v>78</v>
      </c>
      <c r="F155" s="7">
        <f>(S155*37500000/(L155*M155*D155*E155*K155*J155)-((500/(K155*J155))+(2500000000/(D155*E155*K155*J155)*(D155/100000+E155/100+J155/200))))/(1+5000000/(D155*E155)+(500000000/(D155*E155*J155)))</f>
        <v/>
      </c>
      <c r="G155" t="n">
        <v>32000</v>
      </c>
      <c r="H155" t="n">
        <v>0.875</v>
      </c>
      <c r="I155" t="n">
        <v>75</v>
      </c>
      <c r="J155" s="6">
        <f>G155/I155*H155</f>
        <v/>
      </c>
      <c r="K155" t="n">
        <v>1</v>
      </c>
      <c r="L155" t="n">
        <v>0.75</v>
      </c>
      <c r="M155" t="n">
        <v>1</v>
      </c>
      <c r="O155" s="6">
        <f>(D155/100000+E155/100+F155*K155/5+J155/200)*200*L155*M155</f>
        <v/>
      </c>
      <c r="P155" s="6">
        <f>((D155*E155/25000)+(F155*K155*J155/2.5))*L155*M155</f>
        <v/>
      </c>
      <c r="Q155" s="6">
        <f>(D155*E155*F155*K155*J155*L155*M155)/12500000</f>
        <v/>
      </c>
      <c r="R155" s="6">
        <f>(O155+P155+Q155)/3</f>
        <v/>
      </c>
      <c r="S155" t="n">
        <v>700</v>
      </c>
    </row>
    <row r="156">
      <c r="A156" t="inlineStr">
        <is>
          <t>RA1</t>
        </is>
      </c>
      <c r="B156" t="inlineStr">
        <is>
          <t>Allied Sniper</t>
        </is>
      </c>
      <c r="D156" t="n">
        <v>10000</v>
      </c>
      <c r="E156" t="n">
        <v>60</v>
      </c>
      <c r="F156" s="7">
        <f>(S156*37500000/(L156*M156*D156*E156*K156*J156)-((500/(K156*J156))+(2500000000/(D156*E156*K156*J156)*(D156/100000+E156/100+J156/200))))/(1+5000000/(D156*E156)+(500000000/(D156*E156*J156)))</f>
        <v/>
      </c>
      <c r="G156" t="n">
        <v>30000</v>
      </c>
      <c r="H156" t="n">
        <v>0.75</v>
      </c>
      <c r="I156" t="n">
        <v>100</v>
      </c>
      <c r="J156" s="6">
        <f>G156/I156*H156</f>
        <v/>
      </c>
      <c r="K156" t="n">
        <v>1.25</v>
      </c>
      <c r="L156" t="n">
        <v>0.75</v>
      </c>
      <c r="M156" t="n">
        <v>1</v>
      </c>
      <c r="O156" s="6">
        <f>(D156/100000+E156/100+F156*K156/5+J156/200)*200*L156*M156</f>
        <v/>
      </c>
      <c r="P156" s="6">
        <f>((D156*E156/25000)+(F156*K156*J156/2.5))*L156*M156</f>
        <v/>
      </c>
      <c r="Q156" s="6">
        <f>(D156*E156*F156*K156*J156*L156*M156)/12500000</f>
        <v/>
      </c>
      <c r="R156" s="6">
        <f>(O156+P156+Q156)/3</f>
        <v/>
      </c>
      <c r="S156" t="n">
        <v>500</v>
      </c>
    </row>
    <row r="157">
      <c r="B157" t="inlineStr">
        <is>
          <t>Soviet Commissar</t>
        </is>
      </c>
      <c r="D157" t="n">
        <v>30000</v>
      </c>
      <c r="E157" t="n">
        <v>70</v>
      </c>
      <c r="F157" s="7">
        <f>(S157*37500000/(L157*M157*D157*E157*K157*J157)-((500/(K157*J157))+(2500000000/(D157*E157*K157*J157)*(D157/100000+E157/100+J157/200))))/(1+5000000/(D157*E157)+(500000000/(D157*E157*J157)))</f>
        <v/>
      </c>
      <c r="G157" t="n">
        <v>10000</v>
      </c>
      <c r="H157" t="n">
        <v>0.75</v>
      </c>
      <c r="I157" t="n">
        <v>20</v>
      </c>
      <c r="J157" s="6">
        <f>G157/I157*H157</f>
        <v/>
      </c>
      <c r="K157" t="n">
        <v>1.25</v>
      </c>
      <c r="L157" t="n">
        <v>0.75</v>
      </c>
      <c r="M157" t="n">
        <v>1</v>
      </c>
      <c r="O157" s="6">
        <f>(D157/100000+E157/100+F157*K157/5+J157/200)*200*L157*M157</f>
        <v/>
      </c>
      <c r="P157" s="6">
        <f>((D157*E157/25000)+(F157*K157*J157/2.5))*L157*M157</f>
        <v/>
      </c>
      <c r="Q157" s="6">
        <f>(D157*E157*F157*K157*J157*L157*M157)/12500000</f>
        <v/>
      </c>
      <c r="R157" s="6">
        <f>(O157+P157+Q157)/3</f>
        <v/>
      </c>
      <c r="S157" t="n">
        <v>700</v>
      </c>
    </row>
    <row r="159">
      <c r="B159" t="inlineStr">
        <is>
          <t>Archer Maiden</t>
        </is>
      </c>
      <c r="D159" t="n">
        <v>20000</v>
      </c>
      <c r="E159" t="n">
        <v>72</v>
      </c>
      <c r="F159" s="7">
        <f>(S159*37500000/(L159*M159*D159*E159*K159*J159)-((500/(K159*J159))+(2500000000/(D159*E159*K159*J159)*(D159/100000+E159/100+J159/200))))/(1+5000000/(D159*E159)+(500000000/(D159*E159*J159)))</f>
        <v/>
      </c>
      <c r="G159" t="n">
        <v>40000</v>
      </c>
      <c r="H159" t="n">
        <v>0.75</v>
      </c>
      <c r="I159" t="n">
        <v>100</v>
      </c>
      <c r="J159" s="6">
        <f>G159/I159*H159</f>
        <v/>
      </c>
      <c r="K159" t="n">
        <v>1</v>
      </c>
      <c r="L159" t="n">
        <v>0.75</v>
      </c>
      <c r="M159" t="n">
        <v>1</v>
      </c>
      <c r="O159" s="6">
        <f>(D159/100000+E159/100+F159*K159/5+J159/200)*200*L159*M159</f>
        <v/>
      </c>
      <c r="P159" s="6">
        <f>((D159*E159/25000)+(F159*K159*J159/2.5))*L159*M159</f>
        <v/>
      </c>
      <c r="Q159" s="6">
        <f>(D159*E159*F159*K159*J159*L159*M159)/12500000</f>
        <v/>
      </c>
      <c r="R159" s="6">
        <f>(O159+P159+Q159)/3</f>
        <v/>
      </c>
      <c r="S159" t="n">
        <v>500</v>
      </c>
    </row>
    <row r="160">
      <c r="B160" t="inlineStr">
        <is>
          <t>Archer Maiden (upgrade)</t>
        </is>
      </c>
      <c r="D160" t="n">
        <v>20000</v>
      </c>
      <c r="E160" t="n">
        <v>72</v>
      </c>
      <c r="F160" s="7">
        <f>(S160*37500000/(L160*M160*D160*E160*K160*J160)-((500/(K160*J160))+(2500000000/(D160*E160*K160*J160)*(D160/100000+E160/100+J160/200))))/(1+5000000/(D160*E160)+(500000000/(D160*E160*J160)))</f>
        <v/>
      </c>
      <c r="G160" t="n">
        <v>30000</v>
      </c>
      <c r="H160" t="n">
        <v>1</v>
      </c>
      <c r="I160" t="n">
        <v>127</v>
      </c>
      <c r="J160" s="6">
        <f>G160/I160*H160</f>
        <v/>
      </c>
      <c r="K160" t="n">
        <v>1.25</v>
      </c>
      <c r="L160" t="n">
        <v>0.75</v>
      </c>
      <c r="M160" t="n">
        <v>1</v>
      </c>
      <c r="O160" s="6">
        <f>(D160/100000+E160/100+F160*K160/5+J160/200)*200*L160*M160</f>
        <v/>
      </c>
      <c r="P160" s="6">
        <f>((D160*E160/25000)+(F160*K160*J160/2.5))*L160*M160</f>
        <v/>
      </c>
      <c r="Q160" s="6">
        <f>(D160*E160*F160*K160*J160*L160*M160)/12500000</f>
        <v/>
      </c>
      <c r="R160" s="6">
        <f>(O160+P160+Q160)/3</f>
        <v/>
      </c>
      <c r="S160" t="n">
        <v>500</v>
      </c>
    </row>
    <row r="161">
      <c r="A161" t="inlineStr">
        <is>
          <t>Naxi</t>
        </is>
      </c>
      <c r="B161" t="inlineStr">
        <is>
          <t>Naxi Sniper</t>
        </is>
      </c>
      <c r="D161" t="n">
        <v>8000</v>
      </c>
      <c r="E161" t="n">
        <v>60</v>
      </c>
      <c r="F161" s="7">
        <f>(S161*37500000/(L161*M161*D161*E161*K161*J161)-((500/(K161*J161))+(2500000000/(D161*E161*K161*J161)*(D161/100000+E161/100+J161/200))))/(1+5000000/(D161*E161)+(500000000/(D161*E161*J161)))</f>
        <v/>
      </c>
      <c r="G161" t="n">
        <v>24000</v>
      </c>
      <c r="H161" t="n">
        <v>0.75</v>
      </c>
      <c r="I161" t="n">
        <v>120</v>
      </c>
      <c r="J161" s="6">
        <f>G161/I161*H161</f>
        <v/>
      </c>
      <c r="K161" t="n">
        <v>1.25</v>
      </c>
      <c r="L161" t="n">
        <v>0.75</v>
      </c>
      <c r="M161" t="n">
        <v>0.75</v>
      </c>
      <c r="O161" s="6">
        <f>(D161/100000+E161/100+F161*K161/5+J161/200)*200*L161*M161</f>
        <v/>
      </c>
      <c r="P161" s="6">
        <f>((D161*E161/25000)+(F161*K161*J161/2.5))*L161*M161</f>
        <v/>
      </c>
      <c r="Q161" s="6">
        <f>(D161*E161*F161*K161*J161*L161*M161)/12500000</f>
        <v/>
      </c>
      <c r="R161" s="6">
        <f>(O161+P161+Q161)/3</f>
        <v/>
      </c>
      <c r="S161" t="n">
        <v>250</v>
      </c>
    </row>
    <row r="162">
      <c r="A162" t="inlineStr">
        <is>
          <t>StarCraft</t>
        </is>
      </c>
      <c r="B162" s="8" t="inlineStr">
        <is>
          <t>Ghost</t>
        </is>
      </c>
      <c r="C162" s="8" t="n"/>
      <c r="D162" t="n">
        <v>45000</v>
      </c>
      <c r="E162" t="n">
        <v>75</v>
      </c>
      <c r="F162" s="7">
        <f>(S162*37500000/(L162*M162*D162*E162*K162*J162)-((500/(K162*J162))+(2500000000/(D162*E162*K162*J162)*(D162/100000+E162/100+J162/200))))/(1+5000000/(D162*E162)+(500000000/(D162*E162*J162)))</f>
        <v/>
      </c>
      <c r="G162" t="n">
        <v>10000</v>
      </c>
      <c r="H162" t="n">
        <v>1</v>
      </c>
      <c r="I162" t="n">
        <v>22</v>
      </c>
      <c r="J162" s="6">
        <f>G162/I162*H162</f>
        <v/>
      </c>
      <c r="K162" t="n">
        <v>1</v>
      </c>
      <c r="L162" t="n">
        <v>0.75</v>
      </c>
      <c r="M162" t="n">
        <v>0.75</v>
      </c>
      <c r="O162" s="6">
        <f>(D162/100000+E162/100+F162*K162/5+J162/200)*200*L162*M162</f>
        <v/>
      </c>
      <c r="P162" s="6">
        <f>((D162*E162/25000)+(F162*K162*J162/2.5))*L162*M162</f>
        <v/>
      </c>
      <c r="Q162" s="6">
        <f>(D162*E162*F162*K162*J162*L162*M162)/12500000</f>
        <v/>
      </c>
      <c r="R162" s="6">
        <f>(O162+P162+Q162)/3</f>
        <v/>
      </c>
      <c r="S162" t="n">
        <v>700</v>
      </c>
    </row>
    <row r="163">
      <c r="B163" s="8" t="inlineStr">
        <is>
          <t>Specter</t>
        </is>
      </c>
      <c r="C163" s="8" t="n"/>
      <c r="D163" t="n">
        <v>50000</v>
      </c>
      <c r="E163" t="n">
        <v>80</v>
      </c>
      <c r="F163" s="7">
        <f>(S163*37500000/(L163*M163*D163*E163*K163*J163)-((500/(K163*J163))+(2500000000/(D163*E163*K163*J163)*(D163/100000+E163/100+J163/200))))/(1+5000000/(D163*E163)+(500000000/(D163*E163*J163)))</f>
        <v/>
      </c>
      <c r="G163" t="n">
        <v>20000</v>
      </c>
      <c r="H163" t="n">
        <v>1</v>
      </c>
      <c r="I163" t="n">
        <v>33</v>
      </c>
      <c r="J163" s="6">
        <f>G163/I163*H163</f>
        <v/>
      </c>
      <c r="K163" t="n">
        <v>1</v>
      </c>
      <c r="L163" t="n">
        <v>0.75</v>
      </c>
      <c r="M163" t="n">
        <v>0.75</v>
      </c>
      <c r="O163" s="6">
        <f>(D163/100000+E163/100+F163*K163/5+J163/200)*200*L163*M163</f>
        <v/>
      </c>
      <c r="P163" s="6">
        <f>((D163*E163/25000)+(F163*K163*J163/2.5))*L163*M163</f>
        <v/>
      </c>
      <c r="Q163" s="6">
        <f>(D163*E163*F163*K163*J163*L163*M163)/12500000</f>
        <v/>
      </c>
      <c r="R163" s="6">
        <f>(O163+P163+Q163)/3</f>
        <v/>
      </c>
      <c r="S163" t="n">
        <v>900</v>
      </c>
    </row>
    <row r="166">
      <c r="A166" t="inlineStr">
        <is>
          <t>RA2</t>
        </is>
      </c>
      <c r="B166" t="inlineStr">
        <is>
          <t>RA2 Sniper</t>
        </is>
      </c>
      <c r="D166" t="n">
        <v>22000</v>
      </c>
      <c r="E166" t="n">
        <v>56</v>
      </c>
      <c r="F166" s="7">
        <f>(S166*37500000/(L166*M166*D166*E166*K166*J166)-((500/(K166*J166))+(2500000000/(D166*E166*K166*J166)*(D166/100000+E166/100+J166/200))))/(1+5000000/(D166*E166)+(500000000/(D166*E166*J166)))</f>
        <v/>
      </c>
      <c r="G166" t="n">
        <v>44000</v>
      </c>
      <c r="H166" t="n">
        <v>0.75</v>
      </c>
      <c r="I166" t="n">
        <v>54</v>
      </c>
      <c r="J166" s="6">
        <f>G166/I166*H166</f>
        <v/>
      </c>
      <c r="K166" t="n">
        <v>1</v>
      </c>
      <c r="L166" t="n">
        <v>0.75</v>
      </c>
      <c r="M166" t="n">
        <v>0.75</v>
      </c>
      <c r="O166" s="6">
        <f>(D166/100000+E166/100+F166*K166/5+J166/200)*200*L166*M166</f>
        <v/>
      </c>
      <c r="P166" s="6">
        <f>((D166*E166/25000)+(F166*K166*J166/2.5))*L166*M166</f>
        <v/>
      </c>
      <c r="Q166" s="6">
        <f>(D166*E166*F166*K166*J166*L166*M166)/12500000</f>
        <v/>
      </c>
      <c r="R166" s="6">
        <f>(O166+P166+Q166)/3</f>
        <v/>
      </c>
      <c r="S166" t="n">
        <v>800</v>
      </c>
    </row>
    <row r="167">
      <c r="B167" t="inlineStr">
        <is>
          <t>Virus</t>
        </is>
      </c>
      <c r="D167" t="n">
        <v>12000</v>
      </c>
      <c r="E167" t="n">
        <v>52</v>
      </c>
      <c r="F167" s="7">
        <f>(S167*37500000/(L167*M167*D167*E167*K167*J167)-((500/(K167*J167))+(2500000000/(D167*E167*K167*J167)*(D167/100000+E167/100+J167/200))))/(1+5000000/(D167*E167)+(500000000/(D167*E167*J167)))</f>
        <v/>
      </c>
      <c r="G167" t="n">
        <v>24000</v>
      </c>
      <c r="H167" t="n">
        <v>1</v>
      </c>
      <c r="I167" t="n">
        <v>74</v>
      </c>
      <c r="J167" s="6">
        <f>G167/I167*H167</f>
        <v/>
      </c>
      <c r="K167" t="n">
        <v>1.25</v>
      </c>
      <c r="L167" t="n">
        <v>0.75</v>
      </c>
      <c r="M167" t="n">
        <v>1</v>
      </c>
      <c r="O167" s="6">
        <f>(D167/100000+E167/100+F167*K167/5+J167/200)*200*L167*M167</f>
        <v/>
      </c>
      <c r="P167" s="6">
        <f>((D167*E167/25000)+(F167*K167*J167/2.5))*L167*M167</f>
        <v/>
      </c>
      <c r="Q167" s="6">
        <f>(D167*E167*F167*K167*J167*L167*M167)/12500000</f>
        <v/>
      </c>
      <c r="R167" s="6">
        <f>(O167+P167+Q167)/3</f>
        <v/>
      </c>
      <c r="S167" t="n">
        <v>700</v>
      </c>
    </row>
    <row r="168">
      <c r="B168" t="inlineStr">
        <is>
          <t>Shinobi</t>
        </is>
      </c>
      <c r="D168" t="n">
        <v>20000</v>
      </c>
      <c r="E168" t="n">
        <v>60</v>
      </c>
      <c r="F168" s="7">
        <f>(S168*37500000/(L168*M168*D168*E168*K168*J168)-((500/(K168*J168))+(2500000000/(D168*E168*K168*J168)*(D168/100000+E168/100+J168/200))))/(1+5000000/(D168*E168)+(500000000/(D168*E168*J168)))</f>
        <v/>
      </c>
      <c r="G168" t="n">
        <v>20000</v>
      </c>
      <c r="H168" t="n">
        <v>1</v>
      </c>
      <c r="I168" t="n">
        <v>25</v>
      </c>
      <c r="J168" s="6">
        <f>G168/I168*H168</f>
        <v/>
      </c>
      <c r="K168" t="n">
        <v>1</v>
      </c>
      <c r="L168" t="n">
        <v>0.75</v>
      </c>
      <c r="M168" t="n">
        <v>1</v>
      </c>
      <c r="O168" s="6">
        <f>(D168/100000+E168/100+F168*K168/5+J168/200)*200*L168*M168</f>
        <v/>
      </c>
      <c r="P168" s="6">
        <f>((D168*E168/25000)+(F168*K168*J168/2.5))*L168*M168</f>
        <v/>
      </c>
      <c r="Q168" s="6">
        <f>(D168*E168*F168*K168*J168*L168*M168)/12500000</f>
        <v/>
      </c>
      <c r="R168" s="6">
        <f>(O168+P168+Q168)/3</f>
        <v/>
      </c>
      <c r="S168" t="n">
        <v>750</v>
      </c>
    </row>
    <row r="169">
      <c r="B169" t="inlineStr">
        <is>
          <t>ASDF</t>
        </is>
      </c>
      <c r="D169" t="n">
        <v>40000</v>
      </c>
      <c r="E169" t="n">
        <v>60</v>
      </c>
      <c r="F169" s="7">
        <f>(S169*37500000/(L169*M169*D169*E169*K169*J169)-((500/(K169*J169))+(2500000000/(D169*E169*K169*J169)*(D169/100000+E169/100+J169/200))))/(1+5000000/(D169*E169)+(500000000/(D169*E169*J169)))</f>
        <v/>
      </c>
      <c r="G169" t="n">
        <v>12000</v>
      </c>
      <c r="H169" t="n">
        <v>0.875</v>
      </c>
      <c r="I169" t="n">
        <v>20</v>
      </c>
      <c r="J169" s="6">
        <f>G169/I169*H169</f>
        <v/>
      </c>
      <c r="K169" t="n">
        <v>1.25</v>
      </c>
      <c r="L169" t="n">
        <v>0.75</v>
      </c>
      <c r="M169" t="n">
        <v>1</v>
      </c>
      <c r="O169" s="6">
        <f>(D169/100000+E169/100+F169*K169/5+J169/200)*200*L169*M169</f>
        <v/>
      </c>
      <c r="P169" s="6">
        <f>((D169*E169/25000)+(F169*K169*J169/2.5))*L169*M169</f>
        <v/>
      </c>
      <c r="Q169" s="6">
        <f>(D169*E169*F169*K169*J169*L169*M169)/12500000</f>
        <v/>
      </c>
      <c r="R169" s="6">
        <f>(O169+P169+Q169)/3</f>
        <v/>
      </c>
      <c r="S169" t="n">
        <v>1000</v>
      </c>
    </row>
    <row r="170">
      <c r="B170" t="inlineStr">
        <is>
          <t>Narco (Pistol)</t>
        </is>
      </c>
      <c r="D170" t="n">
        <v>28000</v>
      </c>
      <c r="E170" t="n">
        <v>70</v>
      </c>
      <c r="F170" s="7">
        <f>(S170*37500000/(L170*M170*D170*E170*K170*J170)-((500/(K170*J170))+(2500000000/(D170*E170*K170*J170)*(D170/100000+E170/100+J170/200))))/(1+5000000/(D170*E170)+(500000000/(D170*E170*J170)))</f>
        <v/>
      </c>
      <c r="G170" t="n">
        <v>20000</v>
      </c>
      <c r="H170" t="n">
        <v>0.75</v>
      </c>
      <c r="I170" t="n">
        <v>22</v>
      </c>
      <c r="J170" s="6">
        <f>G170/I170*H170</f>
        <v/>
      </c>
      <c r="K170" t="n">
        <v>1</v>
      </c>
      <c r="L170" t="n">
        <v>0.75</v>
      </c>
      <c r="M170" t="n">
        <v>1</v>
      </c>
      <c r="O170" s="6">
        <f>(D170/100000+E170/100+F170*K170/5+J170/200)*200*L170*M170</f>
        <v/>
      </c>
      <c r="P170" s="6">
        <f>((D170*E170/25000)+(F170*K170*J170/2.5))*L170*M170</f>
        <v/>
      </c>
      <c r="Q170" s="6">
        <f>(D170*E170*F170*K170*J170*L170*M170)/12500000</f>
        <v/>
      </c>
      <c r="R170" s="6">
        <f>(O170+P170+Q170)/3</f>
        <v/>
      </c>
      <c r="S170" t="n">
        <v>900</v>
      </c>
    </row>
    <row r="171">
      <c r="B171" t="inlineStr">
        <is>
          <t>Narco (Grenade)</t>
        </is>
      </c>
      <c r="D171" t="n">
        <v>28000</v>
      </c>
      <c r="E171" t="n">
        <v>70</v>
      </c>
      <c r="F171" s="7">
        <f>(S171*37500000/(L171*M171*D171*E171*K171*J171)-((500/(K171*J171))+(2500000000/(D171*E171*K171*J171)*(D171/100000+E171/100+J171/200))))/(1+5000000/(D171*E171)+(500000000/(D171*E171*J171)))</f>
        <v/>
      </c>
      <c r="G171" t="n">
        <v>70000</v>
      </c>
      <c r="H171" t="n">
        <v>0.75</v>
      </c>
      <c r="I171" t="n">
        <v>77</v>
      </c>
      <c r="J171" s="6">
        <f>G171/I171*H171</f>
        <v/>
      </c>
      <c r="K171" t="n">
        <v>1</v>
      </c>
      <c r="L171" t="n">
        <v>0.75</v>
      </c>
      <c r="M171" t="n">
        <v>1</v>
      </c>
      <c r="O171" s="6">
        <f>(D171/100000+E171/100+F171*K171/5+J171/200)*200*L171*M171</f>
        <v/>
      </c>
      <c r="P171" s="6">
        <f>((D171*E171/25000)+(F171*K171*J171/2.5))*L171*M171</f>
        <v/>
      </c>
      <c r="Q171" s="6">
        <f>(D171*E171*F171*K171*J171*L171*M171)/12500000</f>
        <v/>
      </c>
      <c r="R171" s="6">
        <f>(O171+P171+Q171)/3</f>
        <v/>
      </c>
      <c r="S171" t="n">
        <v>900</v>
      </c>
    </row>
    <row r="173">
      <c r="B173" t="inlineStr">
        <is>
          <t>Hero  Infantry</t>
        </is>
      </c>
      <c r="D173" t="inlineStr">
        <is>
          <t>HP</t>
        </is>
      </c>
      <c r="E173" t="inlineStr">
        <is>
          <t>Speed</t>
        </is>
      </c>
      <c r="F173" t="inlineStr">
        <is>
          <t>Range</t>
        </is>
      </c>
      <c r="G173" t="inlineStr">
        <is>
          <t>Damage</t>
        </is>
      </c>
      <c r="H173" t="inlineStr">
        <is>
          <t>Weapon Class</t>
        </is>
      </c>
      <c r="I173" t="inlineStr">
        <is>
          <t>Reload Delay</t>
        </is>
      </c>
      <c r="J173" s="6" t="inlineStr">
        <is>
          <t>DPS</t>
        </is>
      </c>
      <c r="K173" t="inlineStr">
        <is>
          <t>Special</t>
        </is>
      </c>
      <c r="L173" t="inlineStr">
        <is>
          <t>Unit Class</t>
        </is>
      </c>
      <c r="M173" t="inlineStr">
        <is>
          <t>Tech Tier</t>
        </is>
      </c>
      <c r="O173" s="6" t="n"/>
      <c r="P173" s="6" t="n"/>
      <c r="Q173" s="6" t="n"/>
      <c r="R173" s="6" t="n"/>
      <c r="S173" t="inlineStr">
        <is>
          <t>Cost</t>
        </is>
      </c>
    </row>
    <row r="175">
      <c r="A175" t="inlineStr">
        <is>
          <t>TD</t>
        </is>
      </c>
      <c r="B175" t="inlineStr">
        <is>
          <t>Commando</t>
        </is>
      </c>
      <c r="D175" t="n">
        <v>80000</v>
      </c>
      <c r="E175" t="n">
        <v>65</v>
      </c>
      <c r="F175" s="7">
        <f>(S175*37500000/(L175*M175*D175*E175*K175*J175)-((500/(K175*J175))+(2500000000/(D175*E175*K175*J175)*(D175/100000+E175/100+J175/200))))/(1+5000000/(D175*E175)+(500000000/(D175*E175*J175)))</f>
        <v/>
      </c>
      <c r="G175" t="n">
        <v>40000</v>
      </c>
      <c r="H175" t="n">
        <v>0.75</v>
      </c>
      <c r="I175" t="n">
        <v>25</v>
      </c>
      <c r="J175" s="6">
        <f>G175/I175*H175</f>
        <v/>
      </c>
      <c r="K175" t="n">
        <v>1.25</v>
      </c>
      <c r="L175" t="n">
        <v>1</v>
      </c>
      <c r="M175" t="n">
        <v>0.75</v>
      </c>
      <c r="O175" s="6">
        <f>(D175/100000+E175/100+F175*K175/5+J175/200)*200*L175*M175</f>
        <v/>
      </c>
      <c r="P175" s="6">
        <f>((D175*E175/25000)+(F175*K175*J175/2.5))*L175*M175</f>
        <v/>
      </c>
      <c r="Q175" s="6">
        <f>(D175*E175*F175*K175*J175*L175*M175)/12500000</f>
        <v/>
      </c>
      <c r="R175" s="6">
        <f>(O175+P175+Q175)/3</f>
        <v/>
      </c>
      <c r="S175" t="n">
        <v>3000</v>
      </c>
    </row>
    <row r="176">
      <c r="B176" t="inlineStr">
        <is>
          <t>Laser Commando</t>
        </is>
      </c>
      <c r="D176" t="n">
        <v>57000</v>
      </c>
      <c r="E176" t="n">
        <v>79</v>
      </c>
      <c r="F176" s="7">
        <f>(S176*37500000/(L176*M176*D176*E176*K176*J176)-((500/(K176*J176))+(2500000000/(D176*E176*K176*J176)*(D176/100000+E176/100+J176/200))))/(1+5000000/(D176*E176)+(500000000/(D176*E176*J176)))</f>
        <v/>
      </c>
      <c r="G176" t="n">
        <v>12000</v>
      </c>
      <c r="H176" t="n">
        <v>1.25</v>
      </c>
      <c r="I176" t="n">
        <v>8</v>
      </c>
      <c r="J176" s="6">
        <f>G176/I176*H176</f>
        <v/>
      </c>
      <c r="K176" t="n">
        <v>2</v>
      </c>
      <c r="L176" t="n">
        <v>1</v>
      </c>
      <c r="M176" t="n">
        <v>0.75</v>
      </c>
      <c r="O176" s="6">
        <f>(D176/100000+E176/100+F176*K176/5+J176/200)*200*L176*M176</f>
        <v/>
      </c>
      <c r="P176" s="6">
        <f>((D176*E176/25000)+(F176*K176*J176/2.5))*L176*M176</f>
        <v/>
      </c>
      <c r="Q176" s="6">
        <f>(D176*E176*F176*K176*J176*L176*M176)/12500000</f>
        <v/>
      </c>
      <c r="R176" s="6">
        <f>(O176+P176+Q176)/3</f>
        <v/>
      </c>
      <c r="S176" t="n">
        <v>5000</v>
      </c>
    </row>
    <row r="177">
      <c r="B177" t="inlineStr">
        <is>
          <t>Havoc</t>
        </is>
      </c>
      <c r="D177" t="n">
        <v>100000</v>
      </c>
      <c r="E177" t="n">
        <v>75</v>
      </c>
      <c r="F177" s="7">
        <f>(S177*37500000/(L177*M177*D177*E177*K177*J177)-((500/(K177*J177))+(2500000000/(D177*E177*K177*J177)*(D177/100000+E177/100+J177/200))))/(1+5000000/(D177*E177)+(500000000/(D177*E177*J177)))</f>
        <v/>
      </c>
      <c r="G177" t="n">
        <v>160000</v>
      </c>
      <c r="H177" t="n">
        <v>0.875</v>
      </c>
      <c r="I177" t="n">
        <v>100</v>
      </c>
      <c r="J177" s="6">
        <f>G177/I177*H177</f>
        <v/>
      </c>
      <c r="K177" t="n">
        <v>1.25</v>
      </c>
      <c r="L177" t="n">
        <v>1</v>
      </c>
      <c r="M177" t="n">
        <v>0.75</v>
      </c>
      <c r="O177" s="6">
        <f>(D177/100000+E177/100+F177*K177/5+J177/200)*200*L177*M177</f>
        <v/>
      </c>
      <c r="P177" s="6">
        <f>((D177*E177/25000)+(F177*K177*J177/2.5))*L177*M177</f>
        <v/>
      </c>
      <c r="Q177" s="6">
        <f>(D177*E177*F177*K177*J177*L177*M177)/12500000</f>
        <v/>
      </c>
      <c r="R177" s="6">
        <f>(O177+P177+Q177)/3</f>
        <v/>
      </c>
      <c r="S177" t="n">
        <v>4000</v>
      </c>
    </row>
    <row r="178">
      <c r="A178" t="inlineStr">
        <is>
          <t>RA1</t>
        </is>
      </c>
      <c r="B178" t="inlineStr">
        <is>
          <t>Tanya</t>
        </is>
      </c>
      <c r="D178" t="n">
        <v>44000</v>
      </c>
      <c r="E178" t="n">
        <v>77</v>
      </c>
      <c r="F178" s="7">
        <f>(S178*37500000/(L178*M178*D178*E178*K178*J178)-((500/(K178*J178))+(2500000000/(D178*E178*K178*J178)*(D178/100000+E178/100+J178/200))))/(1+5000000/(D178*E178)+(500000000/(D178*E178*J178)))</f>
        <v/>
      </c>
      <c r="G178" t="n">
        <v>14000</v>
      </c>
      <c r="H178" t="n">
        <v>0.75</v>
      </c>
      <c r="I178" t="n">
        <v>7</v>
      </c>
      <c r="J178" s="6">
        <f>G178/I178*H178</f>
        <v/>
      </c>
      <c r="K178" t="n">
        <v>1.25</v>
      </c>
      <c r="L178" t="n">
        <v>1</v>
      </c>
      <c r="M178" t="n">
        <v>0.75</v>
      </c>
      <c r="O178" s="6">
        <f>(D178/100000+E178/100+F178*K178/5+J178/200)*200*L178*M178</f>
        <v/>
      </c>
      <c r="P178" s="6">
        <f>((D178*E178/25000)+(F178*K178*J178/2.5))*L178*M178</f>
        <v/>
      </c>
      <c r="Q178" s="6">
        <f>(D178*E178*F178*K178*J178*L178*M178)/12500000</f>
        <v/>
      </c>
      <c r="R178" s="6">
        <f>(O178+P178+Q178)/3</f>
        <v/>
      </c>
      <c r="S178" t="n">
        <v>3000</v>
      </c>
    </row>
    <row r="179">
      <c r="B179" t="inlineStr">
        <is>
          <t>Volkov (Magnetic Weapon)</t>
        </is>
      </c>
      <c r="D179" t="n">
        <v>400000</v>
      </c>
      <c r="E179" t="n">
        <v>55</v>
      </c>
      <c r="F179" s="7">
        <f>(S179*37500000/(L179*M179*D179*E179*K179*J179)-((500/(K179*J179))+(2500000000/(D179*E179*K179*J179)*(D179/100000+E179/100+J179/200))))/(1+5000000/(D179*E179)+(500000000/(D179*E179*J179)))</f>
        <v/>
      </c>
      <c r="G179" t="n">
        <v>60000</v>
      </c>
      <c r="H179" t="n">
        <v>1</v>
      </c>
      <c r="I179" t="n">
        <v>20</v>
      </c>
      <c r="J179" s="6">
        <f>G179/I179*H179</f>
        <v/>
      </c>
      <c r="K179" t="n">
        <v>1</v>
      </c>
      <c r="L179" t="n">
        <v>1</v>
      </c>
      <c r="M179" t="n">
        <v>0.75</v>
      </c>
      <c r="O179" s="6">
        <f>(D179/100000+E179/100+F179*K179/5+J179/200)*200*L179*M179</f>
        <v/>
      </c>
      <c r="P179" s="6">
        <f>((D179*E179/25000)+(F179*K179*J179/2.5))*L179*M179</f>
        <v/>
      </c>
      <c r="Q179" s="6">
        <f>(D179*E179*F179*K179*J179*L179*M179)/12500000</f>
        <v/>
      </c>
      <c r="R179" s="6">
        <f>(O179+P179+Q179)/3</f>
        <v/>
      </c>
      <c r="S179" t="n">
        <v>10000</v>
      </c>
    </row>
    <row r="180">
      <c r="B180" t="inlineStr">
        <is>
          <t>Volkov (Tesla)</t>
        </is>
      </c>
      <c r="D180" t="n">
        <v>400000</v>
      </c>
      <c r="E180" t="n">
        <v>55</v>
      </c>
      <c r="F180" s="7">
        <f>(S180*37500000/(L180*M180*D180*E180*K180*J180)-((500/(K180*J180))+(2500000000/(D180*E180*K180*J180)*(D180/100000+E180/100+J180/200))))/(1+5000000/(D180*E180)+(500000000/(D180*E180*J180)))</f>
        <v/>
      </c>
      <c r="G180" t="n">
        <v>112000</v>
      </c>
      <c r="H180" t="n">
        <v>1</v>
      </c>
      <c r="I180" t="n">
        <v>39</v>
      </c>
      <c r="J180" s="6">
        <f>G180/I180*H180</f>
        <v/>
      </c>
      <c r="K180" t="n">
        <v>1</v>
      </c>
      <c r="L180" t="n">
        <v>1</v>
      </c>
      <c r="M180" t="n">
        <v>0.75</v>
      </c>
      <c r="O180" s="6">
        <f>(D180/100000+E180/100+F180*K180/5+J180/200)*200*L180*M180</f>
        <v/>
      </c>
      <c r="P180" s="6">
        <f>((D180*E180/25000)+(F180*K180*J180/2.5))*L180*M180</f>
        <v/>
      </c>
      <c r="Q180" s="6">
        <f>(D180*E180*F180*K180*J180*L180*M180)/12500000</f>
        <v/>
      </c>
      <c r="R180" s="6">
        <f>(O180+P180+Q180)/3</f>
        <v/>
      </c>
      <c r="S180" t="n">
        <v>10000</v>
      </c>
    </row>
    <row r="181">
      <c r="B181" t="inlineStr">
        <is>
          <t>Exorcist</t>
        </is>
      </c>
      <c r="D181" t="n">
        <v>75000</v>
      </c>
      <c r="E181" t="n">
        <v>60</v>
      </c>
      <c r="F181" t="n">
        <v>6.666</v>
      </c>
      <c r="G181" t="n">
        <v>60000</v>
      </c>
      <c r="H181" t="n">
        <v>1.25</v>
      </c>
      <c r="I181" t="n">
        <v>3</v>
      </c>
      <c r="J181" s="6">
        <f>G181/I181*H181</f>
        <v/>
      </c>
      <c r="K181" t="n">
        <v>1.25</v>
      </c>
      <c r="L181" t="n">
        <v>1</v>
      </c>
      <c r="M181" t="n">
        <v>0.75</v>
      </c>
      <c r="O181" s="6">
        <f>(D181/100000+E181/100+F181*K181/5+J181/200)*200*L181*M181</f>
        <v/>
      </c>
      <c r="P181" s="6">
        <f>((D181*E181/25000)+(F181*K181*J181/2.5))*L181*M181</f>
        <v/>
      </c>
      <c r="Q181" s="6">
        <f>(D181*E181*F181*K181*J181*L181*M181)/12500000</f>
        <v/>
      </c>
      <c r="R181" s="6">
        <f>(O181+P181+Q181)/3</f>
        <v/>
      </c>
      <c r="S181" t="n">
        <v>3000</v>
      </c>
    </row>
    <row r="182">
      <c r="B182" t="inlineStr">
        <is>
          <t>Parzival</t>
        </is>
      </c>
      <c r="D182" t="n">
        <v>120000</v>
      </c>
      <c r="E182" t="n">
        <v>60</v>
      </c>
      <c r="F182" s="7">
        <f>(S182*37500000/(L182*M182*D182*E182*K182*J182)-((500/(K182*J182))+(2500000000/(D182*E182*K182*J182)*(D182/100000+E182/100+J182/200))))/(1+5000000/(D182*E182)+(500000000/(D182*E182*J182)))</f>
        <v/>
      </c>
      <c r="G182" t="n">
        <v>60000</v>
      </c>
      <c r="H182" t="n">
        <v>1.25</v>
      </c>
      <c r="I182" t="n">
        <v>60</v>
      </c>
      <c r="J182" s="6">
        <f>G182/I182*H182</f>
        <v/>
      </c>
      <c r="K182" t="n">
        <v>1.25</v>
      </c>
      <c r="L182" t="n">
        <v>1</v>
      </c>
      <c r="M182" t="n">
        <v>0.75</v>
      </c>
      <c r="O182" s="6">
        <f>(D182/100000+E182/100+F182*K182/5+J182/200)*200*L182*M182</f>
        <v/>
      </c>
      <c r="P182" s="6">
        <f>((D182*E182/25000)+(F182*K182*J182/2.5))*L182*M182</f>
        <v/>
      </c>
      <c r="Q182" s="6">
        <f>(D182*E182*F182*K182*J182*L182*M182)/12500000</f>
        <v/>
      </c>
      <c r="R182" s="6">
        <f>(O182+P182+Q182)/3</f>
        <v/>
      </c>
      <c r="S182" t="n">
        <v>3000</v>
      </c>
    </row>
    <row r="183">
      <c r="A183" t="inlineStr">
        <is>
          <t>Dune</t>
        </is>
      </c>
      <c r="B183" t="inlineStr">
        <is>
          <t>Facedancer</t>
        </is>
      </c>
      <c r="D183" t="n">
        <v>90000</v>
      </c>
      <c r="E183" t="n">
        <v>75</v>
      </c>
      <c r="F183" s="7">
        <f>(S183*37500000/(L183*M183*D183*E183*K183*J183)-((500/(K183*J183))+(2500000000/(D183*E183*K183*J183)*(D183/100000+E183/100+J183/200))))/(1+5000000/(D183*E183)+(500000000/(D183*E183*J183)))</f>
        <v/>
      </c>
      <c r="G183" t="n">
        <v>180000</v>
      </c>
      <c r="H183" t="n">
        <v>1</v>
      </c>
      <c r="I183" t="n">
        <v>90</v>
      </c>
      <c r="J183" s="6">
        <f>G183/I183*H183</f>
        <v/>
      </c>
      <c r="K183" t="n">
        <v>1.25</v>
      </c>
      <c r="L183" t="n">
        <v>1</v>
      </c>
      <c r="M183" t="n">
        <v>0.75</v>
      </c>
      <c r="O183" s="6">
        <f>(D183/100000+E183/100+F183*K183/5+J183/200)*200*L183*M183</f>
        <v/>
      </c>
      <c r="P183" s="6">
        <f>((D183*E183/25000)+(F183*K183*J183/2.5))*L183*M183</f>
        <v/>
      </c>
      <c r="Q183" s="6">
        <f>(D183*E183*F183*K183*J183*L183*M183)/12500000</f>
        <v/>
      </c>
      <c r="R183" s="6">
        <f>(O183+P183+Q183)/3</f>
        <v/>
      </c>
      <c r="S183" t="n">
        <v>5000</v>
      </c>
    </row>
    <row r="184">
      <c r="A184" t="inlineStr">
        <is>
          <t>StarCraft</t>
        </is>
      </c>
      <c r="B184" t="inlineStr">
        <is>
          <t>Jim Raynor</t>
        </is>
      </c>
      <c r="D184" t="n">
        <v>200000</v>
      </c>
      <c r="E184" t="n">
        <v>65</v>
      </c>
      <c r="F184" s="7">
        <f>(S184*37500000/(L184*M184*D184*E184*K184*J184)-((500/(K184*J184))+(2500000000/(D184*E184*K184*J184)*(D184/100000+E184/100+J184/200))))/(1+5000000/(D184*E184)+(500000000/(D184*E184*J184)))</f>
        <v/>
      </c>
      <c r="G184" t="n">
        <v>20000</v>
      </c>
      <c r="H184" t="n">
        <v>1.25</v>
      </c>
      <c r="I184" t="n">
        <v>20</v>
      </c>
      <c r="J184" s="6">
        <f>G184/I184*H184</f>
        <v/>
      </c>
      <c r="K184" t="n">
        <v>1</v>
      </c>
      <c r="L184" t="n">
        <v>1</v>
      </c>
      <c r="M184" t="n">
        <v>0.75</v>
      </c>
      <c r="O184" s="6">
        <f>(D184/100000+E184/100+F184*K184/5+J184/200)*200*L184*M184</f>
        <v/>
      </c>
      <c r="P184" s="6">
        <f>((D184*E184/25000)+(F184*K184*J184/2.5))*L184*M184</f>
        <v/>
      </c>
      <c r="Q184" s="6">
        <f>(D184*E184*F184*K184*J184*L184*M184)/12500000</f>
        <v/>
      </c>
      <c r="R184" s="6">
        <f>(O184+P184+Q184)/3</f>
        <v/>
      </c>
      <c r="S184" t="n">
        <v>4000</v>
      </c>
    </row>
    <row r="185">
      <c r="B185" t="inlineStr">
        <is>
          <t>Kerrigan</t>
        </is>
      </c>
      <c r="D185" t="n">
        <v>300000</v>
      </c>
      <c r="E185" t="n">
        <v>75</v>
      </c>
      <c r="F185" s="7">
        <f>(S185*37500000/(L185*M185*D185*E185*K185*J185)-((500/(K185*J185))+(2500000000/(D185*E185*K185*J185)*(D185/100000+E185/100+J185/200))))/(1+5000000/(D185*E185)+(500000000/(D185*E185*J185)))</f>
        <v/>
      </c>
      <c r="G185" t="n">
        <v>40000</v>
      </c>
      <c r="H185" t="n">
        <v>1</v>
      </c>
      <c r="I185" t="n">
        <v>20</v>
      </c>
      <c r="J185" s="6">
        <f>G185/I185*H185</f>
        <v/>
      </c>
      <c r="K185" t="n">
        <v>1.25</v>
      </c>
      <c r="L185" t="n">
        <v>1</v>
      </c>
      <c r="M185" t="n">
        <v>0.75</v>
      </c>
      <c r="O185" s="6">
        <f>(D185/100000+E185/100+F185*K185/5+J185/200)*200*L185*M185</f>
        <v/>
      </c>
      <c r="P185" s="6">
        <f>((D185*E185/25000)+(F185*K185*J185/2.5))*L185*M185</f>
        <v/>
      </c>
      <c r="Q185" s="6">
        <f>(D185*E185*F185*K185*J185*L185*M185)/12500000</f>
        <v/>
      </c>
      <c r="R185" s="6">
        <f>(O185+P185+Q185)/3</f>
        <v/>
      </c>
      <c r="S185" t="n">
        <v>4000</v>
      </c>
    </row>
    <row r="186">
      <c r="B186" t="inlineStr">
        <is>
          <t>Zeratul</t>
        </is>
      </c>
      <c r="D186" t="n">
        <v>250000</v>
      </c>
      <c r="E186" t="n">
        <v>100</v>
      </c>
      <c r="F186" s="7">
        <f>(S186*37500000/(L186*M186*D186*E186*K186*J186)-((500/(K186*J186))+(2500000000/(D186*E186*K186*J186)*(D186/100000+E186/100+J186/200))))/(1+5000000/(D186*E186)+(500000000/(D186*E186*J186)))</f>
        <v/>
      </c>
      <c r="G186" t="n">
        <v>64000</v>
      </c>
      <c r="H186" t="n">
        <v>1</v>
      </c>
      <c r="I186" t="n">
        <v>24</v>
      </c>
      <c r="J186" s="6">
        <f>G186/I186*H186</f>
        <v/>
      </c>
      <c r="K186" t="n">
        <v>1.25</v>
      </c>
      <c r="L186" t="n">
        <v>1</v>
      </c>
      <c r="M186" t="n">
        <v>0.75</v>
      </c>
      <c r="O186" s="6">
        <f>(D186/100000+E186/100+F186*K186/5+J186/200)*200*L186*M186</f>
        <v/>
      </c>
      <c r="P186" s="6">
        <f>((D186*E186/25000)+(F186*K186*J186/2.5))*L186*M186</f>
        <v/>
      </c>
      <c r="Q186" s="6">
        <f>(D186*E186*F186*K186*J186*L186*M186)/12500000</f>
        <v/>
      </c>
      <c r="R186" s="6">
        <f>(O186+P186+Q186)/3</f>
        <v/>
      </c>
      <c r="S186" t="n">
        <v>4000</v>
      </c>
    </row>
    <row r="187">
      <c r="B187" t="inlineStr">
        <is>
          <t>Patriach</t>
        </is>
      </c>
      <c r="D187" t="n">
        <v>75000</v>
      </c>
      <c r="E187" t="n">
        <v>75</v>
      </c>
      <c r="F187" s="7">
        <f>(S187*37500000/(L187*M187*D187*E187*K187*J187)-((500/(K187*J187))+(2500000000/(D187*E187*K187*J187)*(D187/100000+E187/100+J187/200))))/(1+5000000/(D187*E187)+(500000000/(D187*E187*J187)))</f>
        <v/>
      </c>
      <c r="G187" t="n">
        <v>120000</v>
      </c>
      <c r="H187" t="n">
        <v>1</v>
      </c>
      <c r="I187" t="n">
        <v>75</v>
      </c>
      <c r="J187" s="6">
        <f>G187/I187*H187</f>
        <v/>
      </c>
      <c r="K187" t="n">
        <v>2</v>
      </c>
      <c r="L187" t="n">
        <v>1</v>
      </c>
      <c r="M187" t="n">
        <v>0.75</v>
      </c>
      <c r="O187" s="6">
        <f>(D187/100000+E187/100+F187*K187/5+J187/200)*200*L187*M187</f>
        <v/>
      </c>
      <c r="P187" s="6">
        <f>((D187*E187/25000)+(F187*K187*J187/2.5))*L187*M187</f>
        <v/>
      </c>
      <c r="Q187" s="6">
        <f>(D187*E187*F187*K187*J187*L187*M187)/12500000</f>
        <v/>
      </c>
      <c r="R187" s="6">
        <f>(O187+P187+Q187)/3</f>
        <v/>
      </c>
      <c r="S187" t="n">
        <v>4000</v>
      </c>
    </row>
    <row r="188">
      <c r="A188" t="inlineStr">
        <is>
          <t>RA2</t>
        </is>
      </c>
      <c r="B188" t="inlineStr">
        <is>
          <t>RA2 Tanya</t>
        </is>
      </c>
      <c r="D188" t="n">
        <v>50000</v>
      </c>
      <c r="E188" t="n">
        <v>75</v>
      </c>
      <c r="F188" s="7">
        <f>(S188*37500000/(L188*M188*D188*E188*K188*J188)-((500/(K188*J188))+(2500000000/(D188*E188*K188*J188)*(D188/100000+E188/100+J188/200))))/(1+5000000/(D188*E188)+(500000000/(D188*E188*J188)))</f>
        <v/>
      </c>
      <c r="G188" t="n">
        <v>28000</v>
      </c>
      <c r="H188" t="n">
        <v>0.75</v>
      </c>
      <c r="I188" t="n">
        <v>15</v>
      </c>
      <c r="J188" s="6">
        <f>G188/I188*H188</f>
        <v/>
      </c>
      <c r="K188" t="n">
        <v>1.25</v>
      </c>
      <c r="L188" t="n">
        <v>1</v>
      </c>
      <c r="M188" t="n">
        <v>0.75</v>
      </c>
      <c r="O188" s="6">
        <f>(D188/100000+E188/100+F188*K188/5+J188/200)*200*L188*M188</f>
        <v/>
      </c>
      <c r="P188" s="6">
        <f>((D188*E188/25000)+(F188*K188*J188/2.5))*L188*M188</f>
        <v/>
      </c>
      <c r="Q188" s="6">
        <f>(D188*E188*F188*K188*J188*L188*M188)/12500000</f>
        <v/>
      </c>
      <c r="R188" s="6">
        <f>(O188+P188+Q188)/3</f>
        <v/>
      </c>
      <c r="S188" t="n">
        <v>3000</v>
      </c>
    </row>
    <row r="189">
      <c r="B189" t="inlineStr">
        <is>
          <t>Boris</t>
        </is>
      </c>
      <c r="D189" t="n">
        <v>90000</v>
      </c>
      <c r="E189" t="n">
        <v>60</v>
      </c>
      <c r="F189" s="7">
        <f>(S189*37500000/(L189*M189*D189*E189*K189*J189)-((500/(K189*J189))+(2500000000/(D189*E189*K189*J189)*(D189/100000+E189/100+J189/200))))/(1+5000000/(D189*E189)+(500000000/(D189*E189*J189)))</f>
        <v/>
      </c>
      <c r="G189" t="n">
        <v>32000</v>
      </c>
      <c r="H189" t="n">
        <v>0.875</v>
      </c>
      <c r="I189" t="n">
        <v>24</v>
      </c>
      <c r="J189" s="6">
        <f>G189/I189*H189</f>
        <v/>
      </c>
      <c r="K189" t="n">
        <v>1.25</v>
      </c>
      <c r="L189" t="n">
        <v>1</v>
      </c>
      <c r="M189" t="n">
        <v>0.75</v>
      </c>
      <c r="O189" s="6">
        <f>(D189/100000+E189/100+F189*K189/5+J189/200)*200*L189*M189</f>
        <v/>
      </c>
      <c r="P189" s="6">
        <f>((D189*E189/25000)+(F189*K189*J189/2.5))*L189*M189</f>
        <v/>
      </c>
      <c r="Q189" s="6">
        <f>(D189*E189*F189*K189*J189*L189*M189)/12500000</f>
        <v/>
      </c>
      <c r="R189" s="6">
        <f>(O189+P189+Q189)/3</f>
        <v/>
      </c>
      <c r="S189" t="n">
        <v>3000</v>
      </c>
    </row>
    <row r="190">
      <c r="A190" t="inlineStr">
        <is>
          <t>RA2 Modded</t>
        </is>
      </c>
      <c r="B190" t="inlineStr">
        <is>
          <t>Freedom Fighter (AK47)</t>
        </is>
      </c>
      <c r="D190" t="n">
        <v>77000</v>
      </c>
      <c r="E190" t="n">
        <v>55</v>
      </c>
      <c r="F190" s="7">
        <f>(S190*37500000/(L190*M190*D190*E190*K190*J190)-((500/(K190*J190))+(2500000000/(D190*E190*K190*J190)*(D190/100000+E190/100+J190/200))))/(1+5000000/(D190*E190)+(500000000/(D190*E190*J190)))</f>
        <v/>
      </c>
      <c r="G190" t="n">
        <v>90000</v>
      </c>
      <c r="H190" t="n">
        <v>1</v>
      </c>
      <c r="I190" t="n">
        <v>50</v>
      </c>
      <c r="J190" s="6">
        <f>G190/I190*H190</f>
        <v/>
      </c>
      <c r="K190" t="n">
        <v>1</v>
      </c>
      <c r="L190" t="n">
        <v>1</v>
      </c>
      <c r="M190" t="n">
        <v>0.75</v>
      </c>
      <c r="O190" s="6">
        <f>(D190/100000+E190/100+F190*K190/5+J190/200)*200*L190*M190</f>
        <v/>
      </c>
      <c r="P190" s="6">
        <f>((D190*E190/25000)+(F190*K190*J190/2.5))*L190*M190</f>
        <v/>
      </c>
      <c r="Q190" s="6">
        <f>(D190*E190*F190*K190*J190*L190*M190)/12500000</f>
        <v/>
      </c>
      <c r="R190" s="6">
        <f>(O190+P190+Q190)/3</f>
        <v/>
      </c>
      <c r="S190" t="n">
        <v>3000</v>
      </c>
    </row>
    <row r="191">
      <c r="B191" t="inlineStr">
        <is>
          <t>Freedom Fighter (Rockets)</t>
        </is>
      </c>
      <c r="D191" t="n">
        <v>77000</v>
      </c>
      <c r="E191" t="n">
        <v>55</v>
      </c>
      <c r="F191" s="7">
        <f>(S191*37500000/(L191*M191*D191*E191*K191*J191)-((500/(K191*J191))+(2500000000/(D191*E191*K191*J191)*(D191/100000+E191/100+J191/200))))/(1+5000000/(D191*E191)+(500000000/(D191*E191*J191)))</f>
        <v/>
      </c>
      <c r="G191" t="n">
        <v>180000</v>
      </c>
      <c r="H191" t="n">
        <v>1</v>
      </c>
      <c r="I191" t="n">
        <v>100</v>
      </c>
      <c r="J191" s="6">
        <f>G191/I191*H191</f>
        <v/>
      </c>
      <c r="K191" t="n">
        <v>1</v>
      </c>
      <c r="L191" t="n">
        <v>1</v>
      </c>
      <c r="M191" t="n">
        <v>0.75</v>
      </c>
      <c r="O191" s="6">
        <f>(D191/100000+E191/100+F191*K191/5+J191/200)*200*L191*M191</f>
        <v/>
      </c>
      <c r="P191" s="6">
        <f>((D191*E191/25000)+(F191*K191*J191/2.5))*L191*M191</f>
        <v/>
      </c>
      <c r="Q191" s="6">
        <f>(D191*E191*F191*K191*J191*L191*M191)/12500000</f>
        <v/>
      </c>
      <c r="R191" s="6">
        <f>(O191+P191+Q191)/3</f>
        <v/>
      </c>
      <c r="S191" t="n">
        <v>3000</v>
      </c>
    </row>
    <row r="192">
      <c r="B192" t="inlineStr">
        <is>
          <t>Consortium Stalker</t>
        </is>
      </c>
      <c r="D192" t="n">
        <v>140000</v>
      </c>
      <c r="E192" t="n">
        <v>80</v>
      </c>
      <c r="F192" s="7">
        <f>(S192*37500000/(L192*M192*D192*E192*K192*J192)-((500/(K192*J192))+(2500000000/(D192*E192*K192*J192)*(D192/100000+E192/100+J192/200))))/(1+5000000/(D192*E192)+(500000000/(D192*E192*J192)))</f>
        <v/>
      </c>
      <c r="G192" t="n">
        <v>100000</v>
      </c>
      <c r="H192" t="n">
        <v>1</v>
      </c>
      <c r="I192" t="n">
        <v>80</v>
      </c>
      <c r="J192" s="6">
        <f>G192/I192*H192</f>
        <v/>
      </c>
      <c r="K192" t="n">
        <v>1</v>
      </c>
      <c r="L192" t="n">
        <v>1</v>
      </c>
      <c r="M192" t="n">
        <v>0.75</v>
      </c>
      <c r="O192" s="6">
        <f>(D192/100000+E192/100+F192*K192/5+J192/200)*200*L192*M192</f>
        <v/>
      </c>
      <c r="P192" s="6">
        <f>((D192*E192/25000)+(F192*K192*J192/2.5))*L192*M192</f>
        <v/>
      </c>
      <c r="Q192" s="6">
        <f>(D192*E192*F192*K192*J192*L192*M192)/12500000</f>
        <v/>
      </c>
      <c r="R192" s="6">
        <f>(O192+P192+Q192)/3</f>
        <v/>
      </c>
      <c r="S192" t="n">
        <v>4000</v>
      </c>
    </row>
    <row r="193">
      <c r="B193" t="inlineStr">
        <is>
          <t>White Rabbit</t>
        </is>
      </c>
      <c r="D193" t="n">
        <v>150000</v>
      </c>
      <c r="E193" t="n">
        <v>50</v>
      </c>
      <c r="F193" s="7">
        <f>(S193*37500000/(L193*M193*D193*E193*K193*J193)-((500/(K193*J193))+(2500000000/(D193*E193*K193*J193)*(D193/100000+E193/100+J193/200))))/(1+5000000/(D193*E193)+(500000000/(D193*E193*J193)))</f>
        <v/>
      </c>
      <c r="G193" t="n">
        <v>20000</v>
      </c>
      <c r="H193" t="n">
        <v>1</v>
      </c>
      <c r="I193" t="n">
        <v>10</v>
      </c>
      <c r="J193" s="6">
        <f>G193/I193*H193</f>
        <v/>
      </c>
      <c r="K193" t="n">
        <v>1.25</v>
      </c>
      <c r="L193" t="n">
        <v>1</v>
      </c>
      <c r="M193" t="n">
        <v>0.75</v>
      </c>
      <c r="O193" s="6">
        <f>(D193/100000+E193/100+F193*K193/5+J193/200)*200*L193*M193</f>
        <v/>
      </c>
      <c r="P193" s="6">
        <f>((D193*E193/25000)+(F193*K193*J193/2.5))*L193*M193</f>
        <v/>
      </c>
      <c r="Q193" s="6">
        <f>(D193*E193*F193*K193*J193*L193*M193)/12500000</f>
        <v/>
      </c>
      <c r="R193" s="6">
        <f>(O193+P193+Q193)/3</f>
        <v/>
      </c>
      <c r="S193" t="n">
        <v>4500</v>
      </c>
    </row>
    <row r="194">
      <c r="B194" t="inlineStr">
        <is>
          <t>Von</t>
        </is>
      </c>
      <c r="D194" t="n">
        <v>50000</v>
      </c>
      <c r="E194" t="n">
        <v>75</v>
      </c>
      <c r="F194" s="7">
        <f>(S194*37500000/(L194*M194*D194*E194*K194*J194)-((500/(K194*J194))+(2500000000/(D194*E194*K194*J194)*(D194/100000+E194/100+J194/200))))/(1+5000000/(D194*E194)+(500000000/(D194*E194*J194)))</f>
        <v/>
      </c>
      <c r="G194" t="n">
        <v>30000</v>
      </c>
      <c r="H194" t="n">
        <v>1</v>
      </c>
      <c r="I194" t="n">
        <v>25</v>
      </c>
      <c r="J194" s="6">
        <f>G194/I194*H194</f>
        <v/>
      </c>
      <c r="K194" t="n">
        <v>1.25</v>
      </c>
      <c r="L194" t="n">
        <v>1</v>
      </c>
      <c r="M194" t="n">
        <v>0.75</v>
      </c>
      <c r="O194" s="6">
        <f>(D194/100000+E194/100+F194*K194/5+J194/200)*200*L194*M194</f>
        <v/>
      </c>
      <c r="P194" s="6">
        <f>((D194*E194/25000)+(F194*K194*J194/2.5))*L194*M194</f>
        <v/>
      </c>
      <c r="Q194" s="6">
        <f>(D194*E194*F194*K194*J194*L194*M194)/12500000</f>
        <v/>
      </c>
      <c r="R194" s="6">
        <f>(O194+P194+Q194)/3</f>
        <v/>
      </c>
      <c r="S194" t="n">
        <v>3000</v>
      </c>
    </row>
    <row r="195">
      <c r="B195" t="inlineStr">
        <is>
          <t>Cryo Legionaire</t>
        </is>
      </c>
      <c r="D195" t="n">
        <v>360000</v>
      </c>
      <c r="E195" t="n">
        <v>75</v>
      </c>
      <c r="F195" s="7">
        <f>(S195*37500000/(L195*M195*D195*E195*K195*J195)-((500/(K195*J195))+(2500000000/(D195*E195*K195*J195)*(D195/100000+E195/100+J195/200))))/(1+5000000/(D195*E195)+(500000000/(D195*E195*J195)))</f>
        <v/>
      </c>
      <c r="G195" t="n">
        <v>12000</v>
      </c>
      <c r="H195" t="n">
        <v>1.25</v>
      </c>
      <c r="I195" t="n">
        <v>30</v>
      </c>
      <c r="J195" s="6">
        <f>G195/I195*H195</f>
        <v/>
      </c>
      <c r="K195" t="n">
        <v>1.25</v>
      </c>
      <c r="L195" t="n">
        <v>1</v>
      </c>
      <c r="M195" t="n">
        <v>0.75</v>
      </c>
      <c r="O195" s="6">
        <f>(D195/100000+E195/100+F195*K195/5+J195/200)*200*L195*M195</f>
        <v/>
      </c>
      <c r="P195" s="6">
        <f>((D195*E195/25000)+(F195*K195*J195/2.5))*L195*M195</f>
        <v/>
      </c>
      <c r="Q195" s="6">
        <f>(D195*E195*F195*K195*J195*L195*M195)/12500000</f>
        <v/>
      </c>
      <c r="R195" s="6">
        <f>(O195+P195+Q195)/3</f>
        <v/>
      </c>
      <c r="S195" t="n">
        <v>3500</v>
      </c>
    </row>
    <row r="196">
      <c r="B196" t="inlineStr">
        <is>
          <t>Steel Runner</t>
        </is>
      </c>
      <c r="D196" t="n">
        <v>60000</v>
      </c>
      <c r="E196" t="n">
        <v>90</v>
      </c>
      <c r="F196" s="7">
        <f>(S196*37500000/(L196*M196*D196*E196*K196*J196)-((500/(K196*J196))+(2500000000/(D196*E196*K196*J196)*(D196/100000+E196/100+J196/200))))/(1+5000000/(D196*E196)+(500000000/(D196*E196*J196)))</f>
        <v/>
      </c>
      <c r="G196" t="n">
        <v>24000</v>
      </c>
      <c r="H196" t="n">
        <v>0.75</v>
      </c>
      <c r="I196" t="n">
        <v>12</v>
      </c>
      <c r="J196" s="6">
        <f>G196/I196*H196</f>
        <v/>
      </c>
      <c r="K196" t="n">
        <v>1.25</v>
      </c>
      <c r="L196" t="n">
        <v>1</v>
      </c>
      <c r="M196" t="n">
        <v>0.75</v>
      </c>
      <c r="O196" s="6">
        <f>(D196/100000+E196/100+F196*K196/5+J196/200)*200*L196*M196</f>
        <v/>
      </c>
      <c r="P196" s="6">
        <f>((D196*E196/25000)+(F196*K196*J196/2.5))*L196*M196</f>
        <v/>
      </c>
      <c r="Q196" s="6">
        <f>(D196*E196*F196*K196*J196*L196*M196)/12500000</f>
        <v/>
      </c>
      <c r="R196" s="6">
        <f>(O196+P196+Q196)/3</f>
        <v/>
      </c>
      <c r="S196" t="n">
        <v>3000</v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122"/>
  <sheetViews>
    <sheetView tabSelected="1" topLeftCell="A70" workbookViewId="0">
      <selection activeCell="L121" sqref="L121"/>
    </sheetView>
  </sheetViews>
  <sheetFormatPr baseColWidth="10" defaultRowHeight="15"/>
  <cols>
    <col width="12.28515625" bestFit="1" customWidth="1" min="1" max="1"/>
    <col width="30.28515625" bestFit="1" customWidth="1" min="2" max="2"/>
    <col width="8" bestFit="1" customWidth="1" min="4" max="4"/>
    <col width="6.5703125" bestFit="1" customWidth="1" min="5" max="5"/>
    <col width="7.7109375" bestFit="1" customWidth="1" style="7" min="6" max="6"/>
    <col width="8.140625" bestFit="1" customWidth="1" min="7" max="7"/>
    <col width="13.28515625" bestFit="1" customWidth="1" min="8" max="8"/>
    <col width="12.5703125" bestFit="1" customWidth="1" min="9" max="9"/>
    <col width="8.5703125" bestFit="1" customWidth="1" style="6" min="10" max="10"/>
    <col width="7.28515625" bestFit="1" customWidth="1" min="11" max="11"/>
    <col width="9.5703125" bestFit="1" customWidth="1" min="12" max="12"/>
    <col width="9" bestFit="1" customWidth="1" min="13" max="13"/>
    <col width="7.5703125" bestFit="1" customWidth="1" style="6" min="15" max="16"/>
    <col width="8.5703125" bestFit="1" customWidth="1" style="6" min="17" max="18"/>
    <col width="6" bestFit="1" customWidth="1" min="19" max="19"/>
  </cols>
  <sheetData>
    <row r="2">
      <c r="B2" t="inlineStr">
        <is>
          <t>Main Battle Tanks</t>
        </is>
      </c>
      <c r="D2" t="inlineStr">
        <is>
          <t>HP</t>
        </is>
      </c>
      <c r="E2" t="inlineStr">
        <is>
          <t>Speed</t>
        </is>
      </c>
      <c r="F2" s="7" t="inlineStr">
        <is>
          <t>Range</t>
        </is>
      </c>
      <c r="G2" t="inlineStr">
        <is>
          <t>Damage</t>
        </is>
      </c>
      <c r="H2" t="inlineStr">
        <is>
          <t>Weapon Class</t>
        </is>
      </c>
      <c r="I2" t="inlineStr">
        <is>
          <t>Reload Delay</t>
        </is>
      </c>
      <c r="J2" s="6" t="inlineStr">
        <is>
          <t>DPS</t>
        </is>
      </c>
      <c r="K2" t="inlineStr">
        <is>
          <t>Special</t>
        </is>
      </c>
      <c r="L2" t="inlineStr">
        <is>
          <t>Unit Class</t>
        </is>
      </c>
      <c r="M2" t="inlineStr">
        <is>
          <t>Tech Tier</t>
        </is>
      </c>
      <c r="N2" t="inlineStr">
        <is>
          <t>HP/DPS</t>
        </is>
      </c>
      <c r="S2" t="inlineStr">
        <is>
          <t>Cost</t>
        </is>
      </c>
    </row>
    <row r="4">
      <c r="A4" t="inlineStr">
        <is>
          <t>TD</t>
        </is>
      </c>
      <c r="B4" s="3" t="inlineStr">
        <is>
          <t>Nod Light Tank</t>
        </is>
      </c>
      <c r="D4" t="n">
        <v>80000</v>
      </c>
      <c r="E4" t="n">
        <v>110</v>
      </c>
      <c r="F4" s="7">
        <f>(S4*37500000/(L4*M4*D4*E4*K4*J4)-((500/(K4*J4))+(2500000000/(D4*E4*K4*J4)*(D4/100000+E4/100+J4/200))))/(1+5000000/(D4*E4)+(500000000/(D4*E4*J4)))</f>
        <v/>
      </c>
      <c r="G4" t="n">
        <v>6000</v>
      </c>
      <c r="H4" t="n">
        <v>1</v>
      </c>
      <c r="I4" t="n">
        <v>45</v>
      </c>
      <c r="J4" s="6">
        <f>G4/I4*H4</f>
        <v/>
      </c>
      <c r="K4" t="n">
        <v>1</v>
      </c>
      <c r="L4" t="n">
        <v>1</v>
      </c>
      <c r="M4" t="n">
        <v>1</v>
      </c>
      <c r="N4" s="6">
        <f>D4/J4</f>
        <v/>
      </c>
      <c r="O4" s="6">
        <f>(D4/100000+E4/100+F4*K4/5+J4/200)*200*L4*M4</f>
        <v/>
      </c>
      <c r="P4" s="6">
        <f>((D4*E4/25000)+(F4*K4*J4/2.5))*L4*M4</f>
        <v/>
      </c>
      <c r="Q4" s="6">
        <f>(D4*E4*F4*K4*J4*L4*M4)/12500000</f>
        <v/>
      </c>
      <c r="R4" s="6">
        <f>(O4+P4+Q4)/3</f>
        <v/>
      </c>
      <c r="S4" t="n">
        <v>600</v>
      </c>
    </row>
    <row r="5">
      <c r="B5" t="inlineStr">
        <is>
          <t>Nod Flame Tank</t>
        </is>
      </c>
      <c r="D5" t="n">
        <v>100000</v>
      </c>
      <c r="E5" t="n">
        <v>80</v>
      </c>
      <c r="F5" s="7">
        <f>(S5*37500000/(L5*M5*D5*E5*K5*J5)-((500/(K5*J5))+(2500000000/(D5*E5*K5*J5)*(D5/100000+E5/100+J5/200))))/(1+5000000/(D5*E5)+(500000000/(D5*E5*J5)))</f>
        <v/>
      </c>
      <c r="G5" t="n">
        <v>28000</v>
      </c>
      <c r="H5" t="n">
        <v>1</v>
      </c>
      <c r="I5" t="n">
        <v>60</v>
      </c>
      <c r="J5" s="6">
        <f>G5/I5*H5</f>
        <v/>
      </c>
      <c r="K5" t="n">
        <v>1</v>
      </c>
      <c r="L5" t="n">
        <v>1</v>
      </c>
      <c r="M5" t="n">
        <v>1</v>
      </c>
      <c r="N5" s="6">
        <f>D5/J5</f>
        <v/>
      </c>
      <c r="O5" s="6">
        <f>(D5/100000+E5/100+F5*K5/5+J5/200)*200*L5*M5</f>
        <v/>
      </c>
      <c r="P5" s="6">
        <f>((D5*E5/25000)+(F5*K5*J5/2.5))*L5*M5</f>
        <v/>
      </c>
      <c r="Q5" s="6">
        <f>(D5*E5*F5*K5*J5*L5*M5)/12500000</f>
        <v/>
      </c>
      <c r="R5" s="6">
        <f>(O5+P5+Q5)/3</f>
        <v/>
      </c>
      <c r="S5" t="n">
        <v>800</v>
      </c>
    </row>
    <row r="6">
      <c r="B6" s="3" t="inlineStr">
        <is>
          <t>GDI Battle Tank</t>
        </is>
      </c>
      <c r="D6" t="n">
        <v>125000</v>
      </c>
      <c r="E6" t="n">
        <v>80</v>
      </c>
      <c r="F6" s="7">
        <f>(S6*37500000/(L6*M6*D6*E6*K6*J6)-((500/(K6*J6))+(2500000000/(D6*E6*K6*J6)*(D6/100000+E6/100+J6/200))))/(1+5000000/(D6*E6)+(500000000/(D6*E6*J6)))</f>
        <v/>
      </c>
      <c r="G6" t="n">
        <v>16000</v>
      </c>
      <c r="H6" t="n">
        <v>1</v>
      </c>
      <c r="I6" t="n">
        <v>72</v>
      </c>
      <c r="J6" s="6">
        <f>G6/I6*H6</f>
        <v/>
      </c>
      <c r="K6" t="n">
        <v>1</v>
      </c>
      <c r="L6" t="n">
        <v>1</v>
      </c>
      <c r="M6" t="n">
        <v>1</v>
      </c>
      <c r="N6" s="6">
        <f>D6/J6</f>
        <v/>
      </c>
      <c r="O6" s="6">
        <f>(D6/100000+E6/100+F6*K6/5+J6/200)*200*L6*M6</f>
        <v/>
      </c>
      <c r="P6" s="6">
        <f>((D6*E6/25000)+(F6*K6*J6/2.5))*L6*M6</f>
        <v/>
      </c>
      <c r="Q6" s="6">
        <f>(D6*E6*F6*K6*J6*L6*M6)/12500000</f>
        <v/>
      </c>
      <c r="R6" s="6">
        <f>(O6+P6+Q6)/3</f>
        <v/>
      </c>
      <c r="S6" t="n">
        <v>900</v>
      </c>
    </row>
    <row r="7">
      <c r="B7" s="3" t="inlineStr">
        <is>
          <t>Light Tank Mk2</t>
        </is>
      </c>
      <c r="D7" t="n">
        <v>80000</v>
      </c>
      <c r="E7" t="n">
        <v>100</v>
      </c>
      <c r="F7" s="7">
        <f>(S7*37500000/(L7*M7*D7*E7*K7*J7)-((500/(K7*J7))+(2500000000/(D7*E7*K7*J7)*(D7/100000+E7/100+J7/200))))/(1+5000000/(D7*E7)+(500000000/(D7*E7*J7)))</f>
        <v/>
      </c>
      <c r="G7" t="n">
        <v>8000</v>
      </c>
      <c r="H7" t="n">
        <v>0.875</v>
      </c>
      <c r="I7" t="n">
        <v>35</v>
      </c>
      <c r="J7" s="6">
        <f>G7/I7*H7</f>
        <v/>
      </c>
      <c r="K7" t="n">
        <v>1.25</v>
      </c>
      <c r="L7" t="n">
        <v>1</v>
      </c>
      <c r="M7" t="n">
        <v>1</v>
      </c>
      <c r="N7" s="6">
        <f>D7/J7</f>
        <v/>
      </c>
      <c r="O7" s="6">
        <f>(D7/100000+E7/100+F7*K7/5+J7/200)*200*L7*M7</f>
        <v/>
      </c>
      <c r="P7" s="6">
        <f>((D7*E7/25000)+(F7*K7*J7/2.5))*L7*M7</f>
        <v/>
      </c>
      <c r="Q7" s="6">
        <f>(D7*E7*F7*K7*J7*L7*M7)/12500000</f>
        <v/>
      </c>
      <c r="R7" s="6">
        <f>(O7+P7+Q7)/3</f>
        <v/>
      </c>
      <c r="S7" t="n">
        <v>800</v>
      </c>
    </row>
    <row r="8">
      <c r="B8" s="3" t="inlineStr">
        <is>
          <t>Predator Tank</t>
        </is>
      </c>
      <c r="D8" t="n">
        <v>170000</v>
      </c>
      <c r="E8" t="n">
        <v>70</v>
      </c>
      <c r="F8" s="7">
        <f>(S8*37500000/(L8*M8*D8*E8*K8*J8)-((500/(K8*J8))+(2500000000/(D8*E8*K8*J8)*(D8/100000+E8/100+J8/200))))/(1+5000000/(D8*E8)+(500000000/(D8*E8*J8)))</f>
        <v/>
      </c>
      <c r="G8" t="n">
        <v>16000</v>
      </c>
      <c r="H8" t="n">
        <v>1</v>
      </c>
      <c r="I8" t="n">
        <v>70</v>
      </c>
      <c r="J8" s="6">
        <f>G8/I8*H8</f>
        <v/>
      </c>
      <c r="K8" t="n">
        <v>1.25</v>
      </c>
      <c r="L8" t="n">
        <v>1</v>
      </c>
      <c r="M8" t="n">
        <v>1</v>
      </c>
      <c r="N8" s="6">
        <f>D8/J8</f>
        <v/>
      </c>
      <c r="O8" s="6">
        <f>(D8/100000+E8/100+F8*K8/5+J8/200)*200*L8*M8</f>
        <v/>
      </c>
      <c r="P8" s="6">
        <f>((D8*E8/25000)+(F8*K8*J8/2.5))*L8*M8</f>
        <v/>
      </c>
      <c r="Q8" s="6">
        <f>(D8*E8*F8*K8*J8*L8*M8)/12500000</f>
        <v/>
      </c>
      <c r="R8" s="6">
        <f>(O8+P8+Q8)/3</f>
        <v/>
      </c>
      <c r="S8" t="n">
        <v>1250</v>
      </c>
    </row>
    <row r="9">
      <c r="A9" t="inlineStr">
        <is>
          <t>RA1</t>
        </is>
      </c>
      <c r="B9" t="inlineStr">
        <is>
          <t>Allied Light Tank</t>
        </is>
      </c>
      <c r="D9" t="n">
        <v>50000</v>
      </c>
      <c r="E9" t="n">
        <v>120</v>
      </c>
      <c r="F9" s="7">
        <f>(S9*37500000/(L9*M9*D9*E9*K9*J9)-((500/(K9*J9))+(2500000000/(D9*E9*K9*J9)*(D9/100000+E9/100+J9/200))))/(1+5000000/(D9*E9)+(500000000/(D9*E9*J9)))</f>
        <v/>
      </c>
      <c r="G9" t="n">
        <v>6000</v>
      </c>
      <c r="H9" t="n">
        <v>0.875</v>
      </c>
      <c r="I9" t="n">
        <v>37</v>
      </c>
      <c r="J9" s="6">
        <f>G9/I9*H9</f>
        <v/>
      </c>
      <c r="K9" t="n">
        <v>1</v>
      </c>
      <c r="L9" t="n">
        <v>1</v>
      </c>
      <c r="M9" t="n">
        <v>1</v>
      </c>
      <c r="N9" s="6">
        <f>D9/J9</f>
        <v/>
      </c>
      <c r="O9" s="6">
        <f>(D9/100000+E9/100+F9*K9/5+J9/200)*200*L9*M9</f>
        <v/>
      </c>
      <c r="P9" s="6">
        <f>((D9*E9/25000)+(F9*K9*J9/2.5))*L9*M9</f>
        <v/>
      </c>
      <c r="Q9" s="6">
        <f>(D9*E9*F9*K9*J9*L9*M9)/12500000</f>
        <v/>
      </c>
      <c r="R9" s="6">
        <f>(O9+P9+Q9)/3</f>
        <v/>
      </c>
      <c r="S9" t="n">
        <v>500</v>
      </c>
    </row>
    <row r="10">
      <c r="B10" t="inlineStr">
        <is>
          <t>Allied Medium Tank</t>
        </is>
      </c>
      <c r="D10" t="n">
        <v>90000</v>
      </c>
      <c r="E10" t="n">
        <v>100</v>
      </c>
      <c r="F10" s="7">
        <f>(S10*37500000/(L10*M10*D10*E10*K10*J10)-((500/(K10*J10))+(2500000000/(D10*E10*K10*J10)*(D10/100000+E10/100+J10/200))))/(1+5000000/(D10*E10)+(500000000/(D10*E10*J10)))</f>
        <v/>
      </c>
      <c r="G10" t="n">
        <v>8000</v>
      </c>
      <c r="H10" t="n">
        <v>1</v>
      </c>
      <c r="I10" t="n">
        <v>47</v>
      </c>
      <c r="J10" s="6">
        <f>G10/I10*H10</f>
        <v/>
      </c>
      <c r="K10" t="n">
        <v>1</v>
      </c>
      <c r="L10" t="n">
        <v>1</v>
      </c>
      <c r="M10" t="n">
        <v>1</v>
      </c>
      <c r="N10" s="6">
        <f>D10/J10</f>
        <v/>
      </c>
      <c r="O10" s="6">
        <f>(D10/100000+E10/100+F10*K10/5+J10/200)*200*L10*M10</f>
        <v/>
      </c>
      <c r="P10" s="6">
        <f>((D10*E10/25000)+(F10*K10*J10/2.5))*L10*M10</f>
        <v/>
      </c>
      <c r="Q10" s="6">
        <f>(D10*E10*F10*K10*J10*L10*M10)/12500000</f>
        <v/>
      </c>
      <c r="R10" s="6">
        <f>(O10+P10+Q10)/3</f>
        <v/>
      </c>
      <c r="S10" t="n">
        <v>700</v>
      </c>
    </row>
    <row r="11">
      <c r="B11" t="inlineStr">
        <is>
          <t>Soviet Heavy Tank</t>
        </is>
      </c>
      <c r="D11" t="n">
        <v>150000</v>
      </c>
      <c r="E11" t="n">
        <v>70</v>
      </c>
      <c r="F11" s="7">
        <f>(S11*37500000/(L11*M11*D11*E11*K11*J11)-((500/(K11*J11))+(2500000000/(D11*E11*K11*J11)*(D11/100000+E11/100+J11/200))))/(1+5000000/(D11*E11)+(500000000/(D11*E11*J11)))</f>
        <v/>
      </c>
      <c r="G11" t="n">
        <v>20000</v>
      </c>
      <c r="H11" t="n">
        <v>1</v>
      </c>
      <c r="I11" t="n">
        <v>81</v>
      </c>
      <c r="J11" s="6">
        <f>G11/I11*H11</f>
        <v/>
      </c>
      <c r="K11" t="n">
        <v>1</v>
      </c>
      <c r="L11" t="n">
        <v>1</v>
      </c>
      <c r="M11" t="n">
        <v>1</v>
      </c>
      <c r="N11" s="6">
        <f>D11/J11</f>
        <v/>
      </c>
      <c r="O11" s="6">
        <f>(D11/100000+E11/100+F11*K11/5+J11/200)*200*L11*M11</f>
        <v/>
      </c>
      <c r="P11" s="6">
        <f>((D11*E11/25000)+(F11*K11*J11/2.5))*L11*M11</f>
        <v/>
      </c>
      <c r="Q11" s="6">
        <f>(D11*E11*F11*K11*J11*L11*M11)/12500000</f>
        <v/>
      </c>
      <c r="R11" s="6">
        <f>(O11+P11+Q11)/3</f>
        <v/>
      </c>
      <c r="S11" t="n">
        <v>1000</v>
      </c>
    </row>
    <row r="12">
      <c r="B12" t="inlineStr">
        <is>
          <t>I-Go Medium Tank</t>
        </is>
      </c>
      <c r="D12" t="n">
        <v>110000</v>
      </c>
      <c r="E12" t="n">
        <v>90</v>
      </c>
      <c r="F12" s="7">
        <f>(S12*37500000/(L12*M12*D12*E12*K12*J12)-((500/(K12*J12))+(2500000000/(D12*E12*K12*J12)*(D12/100000+E12/100+J12/200))))/(1+5000000/(D12*E12)+(500000000/(D12*E12*J12)))</f>
        <v/>
      </c>
      <c r="G12" t="n">
        <v>10000</v>
      </c>
      <c r="H12" t="n">
        <v>1</v>
      </c>
      <c r="I12" t="n">
        <v>52</v>
      </c>
      <c r="J12" s="6">
        <f>G12/I12*H12</f>
        <v/>
      </c>
      <c r="K12" t="n">
        <v>1</v>
      </c>
      <c r="L12" t="n">
        <v>1</v>
      </c>
      <c r="M12" t="n">
        <v>1</v>
      </c>
      <c r="N12" s="6">
        <f>D12/J12</f>
        <v/>
      </c>
      <c r="O12" s="6">
        <f>(D12/100000+E12/100+F12*K12/5+J12/200)*200*L12*M12</f>
        <v/>
      </c>
      <c r="P12" s="6">
        <f>((D12*E12/25000)+(F12*K12*J12/2.5))*L12*M12</f>
        <v/>
      </c>
      <c r="Q12" s="6">
        <f>(D12*E12*F12*K12*J12*L12*M12)/12500000</f>
        <v/>
      </c>
      <c r="R12" s="6">
        <f>(O12+P12+Q12)/3</f>
        <v/>
      </c>
      <c r="S12" t="n">
        <v>800</v>
      </c>
    </row>
    <row r="13">
      <c r="B13" t="inlineStr">
        <is>
          <t>Sheridan</t>
        </is>
      </c>
      <c r="D13" t="n">
        <v>85000</v>
      </c>
      <c r="E13" t="n">
        <v>85</v>
      </c>
      <c r="F13" s="7">
        <f>(S13*37500000/(L13*M13*D13*E13*K13*J13)-((500/(K13*J13))+(2500000000/(D13*E13*K13*J13)*(D13/100000+E13/100+J13/200))))/(1+5000000/(D13*E13)+(500000000/(D13*E13*J13)))</f>
        <v/>
      </c>
      <c r="G13" t="n">
        <v>12000</v>
      </c>
      <c r="H13" t="n">
        <v>0.875</v>
      </c>
      <c r="I13" t="n">
        <v>64</v>
      </c>
      <c r="J13" s="6">
        <f>G13/I13*H13</f>
        <v/>
      </c>
      <c r="K13" t="n">
        <v>1</v>
      </c>
      <c r="L13" t="n">
        <v>1</v>
      </c>
      <c r="M13" t="n">
        <v>1</v>
      </c>
      <c r="N13" s="6">
        <f>D13/J13</f>
        <v/>
      </c>
      <c r="O13" s="6">
        <f>(D13/100000+E13/100+F13*K13/5+J13/200)*200*L13*M13</f>
        <v/>
      </c>
      <c r="P13" s="6">
        <f>((D13*E13/25000)+(F13*K13*J13/2.5))*L13*M13</f>
        <v/>
      </c>
      <c r="Q13" s="6">
        <f>(D13*E13*F13*K13*J13*L13*M13)/12500000</f>
        <v/>
      </c>
      <c r="R13" s="6">
        <f>(O13+P13+Q13)/3</f>
        <v/>
      </c>
      <c r="S13" t="n">
        <v>600</v>
      </c>
    </row>
    <row r="14">
      <c r="B14" t="inlineStr">
        <is>
          <t>Allied Tiger Heavy Tank</t>
        </is>
      </c>
      <c r="D14" t="n">
        <v>160000</v>
      </c>
      <c r="E14" t="n">
        <v>75</v>
      </c>
      <c r="F14" s="7">
        <f>(S14*37500000/(L14*M14*D14*E14*K14*J14)-((500/(K14*J14))+(2500000000/(D14*E14*K14*J14)*(D14/100000+E14/100+J14/200))))/(1+5000000/(D14*E14)+(500000000/(D14*E14*J14)))</f>
        <v/>
      </c>
      <c r="G14" t="n">
        <v>16000</v>
      </c>
      <c r="H14" t="n">
        <v>1.125</v>
      </c>
      <c r="I14" t="n">
        <v>60</v>
      </c>
      <c r="J14" s="6">
        <f>G14/I14*H14</f>
        <v/>
      </c>
      <c r="K14" t="n">
        <v>1</v>
      </c>
      <c r="L14" t="n">
        <v>1</v>
      </c>
      <c r="M14" t="n">
        <v>1</v>
      </c>
      <c r="N14" s="6">
        <f>D14/J14</f>
        <v/>
      </c>
      <c r="O14" s="6">
        <f>(D14/100000+E14/100+F14*K14/5+J14/200)*200*L14*M14</f>
        <v/>
      </c>
      <c r="P14" s="6">
        <f>((D14*E14/25000)+(F14*K14*J14/2.5))*L14*M14</f>
        <v/>
      </c>
      <c r="Q14" s="6">
        <f>(D14*E14*F14*K14*J14*L14*M14)/12500000</f>
        <v/>
      </c>
      <c r="R14" s="6">
        <f>(O14+P14+Q14)/3</f>
        <v/>
      </c>
      <c r="S14" t="n">
        <v>1300</v>
      </c>
    </row>
    <row r="15">
      <c r="B15" t="inlineStr">
        <is>
          <t>Hammer Tank</t>
        </is>
      </c>
      <c r="D15" t="n">
        <v>210000</v>
      </c>
      <c r="E15" t="n">
        <v>60</v>
      </c>
      <c r="F15" s="7">
        <f>(S15*37500000/(L15*M15*D15*E15*K15*J15)-((500/(K15*J15))+(2500000000/(D15*E15*K15*J15)*(D15/100000+E15/100+J15/200))))/(1+5000000/(D15*E15)+(500000000/(D15*E15*J15)))</f>
        <v/>
      </c>
      <c r="G15" t="n">
        <v>24000</v>
      </c>
      <c r="H15" t="n">
        <v>1.125</v>
      </c>
      <c r="I15" t="n">
        <v>90</v>
      </c>
      <c r="J15" s="6">
        <f>G15/I15*H15</f>
        <v/>
      </c>
      <c r="K15" t="n">
        <v>1</v>
      </c>
      <c r="L15" t="n">
        <v>1</v>
      </c>
      <c r="M15" t="n">
        <v>1</v>
      </c>
      <c r="N15" s="6">
        <f>D15/J15</f>
        <v/>
      </c>
      <c r="O15" s="6">
        <f>(D15/100000+E15/100+F15*K15/5+J15/200)*200*L15*M15</f>
        <v/>
      </c>
      <c r="P15" s="6">
        <f>((D15*E15/25000)+(F15*K15*J15/2.5))*L15*M15</f>
        <v/>
      </c>
      <c r="Q15" s="6">
        <f>(D15*E15*F15*K15*J15*L15*M15)/12500000</f>
        <v/>
      </c>
      <c r="R15" s="6">
        <f>(O15+P15+Q15)/3</f>
        <v/>
      </c>
      <c r="S15" t="n">
        <v>1500</v>
      </c>
    </row>
    <row r="16">
      <c r="B16" t="inlineStr">
        <is>
          <t>Kotin Nuclear Tank</t>
        </is>
      </c>
      <c r="D16" t="n">
        <v>240000</v>
      </c>
      <c r="E16" t="n">
        <v>65</v>
      </c>
      <c r="F16" s="7">
        <f>(S16*37500000/(L16*M16*D16*E16*K16*J16)-((500/(K16*J16))+(2500000000/(D16*E16*K16*J16)*(D16/100000+E16/100+J16/200))))/(1+5000000/(D16*E16)+(500000000/(D16*E16*J16)))</f>
        <v/>
      </c>
      <c r="G16" t="n">
        <v>24000</v>
      </c>
      <c r="H16" t="n">
        <v>1.125</v>
      </c>
      <c r="I16" t="n">
        <v>100</v>
      </c>
      <c r="J16" s="6">
        <f>G16/I16*H16</f>
        <v/>
      </c>
      <c r="K16" t="n">
        <v>1.25</v>
      </c>
      <c r="L16" t="n">
        <v>1</v>
      </c>
      <c r="M16" t="n">
        <v>1</v>
      </c>
      <c r="N16" s="6">
        <f>D16/J16</f>
        <v/>
      </c>
      <c r="O16" s="6">
        <f>(D16/100000+E16/100+F16*K16/5+J16/200)*200*L16*M16</f>
        <v/>
      </c>
      <c r="P16" s="6">
        <f>((D16*E16/25000)+(F16*K16*J16/2.5))*L16*M16</f>
        <v/>
      </c>
      <c r="Q16" s="6">
        <f>(D16*E16*F16*K16*J16*L16*M16)/12500000</f>
        <v/>
      </c>
      <c r="R16" s="6">
        <f>(O16+P16+Q16)/3</f>
        <v/>
      </c>
      <c r="S16" t="n">
        <v>1800</v>
      </c>
    </row>
    <row r="17">
      <c r="B17" t="inlineStr">
        <is>
          <t>Chi-Ha Medium Tank</t>
        </is>
      </c>
      <c r="D17" t="n">
        <v>130000</v>
      </c>
      <c r="E17" t="n">
        <v>85</v>
      </c>
      <c r="F17" s="7">
        <f>(S17*37500000/(L17*M17*D17*E17*K17*J17)-((500/(K17*J17))+(2500000000/(D17*E17*K17*J17)*(D17/100000+E17/100+J17/200))))/(1+5000000/(D17*E17)+(500000000/(D17*E17*J17)))</f>
        <v/>
      </c>
      <c r="G17" t="n">
        <v>12000</v>
      </c>
      <c r="H17" t="n">
        <v>1.125</v>
      </c>
      <c r="I17" t="n">
        <v>56</v>
      </c>
      <c r="J17" s="6">
        <f>G17/I17*H17</f>
        <v/>
      </c>
      <c r="K17" t="n">
        <v>1.25</v>
      </c>
      <c r="L17" t="n">
        <v>1</v>
      </c>
      <c r="M17" t="n">
        <v>1</v>
      </c>
      <c r="N17" s="6">
        <f>D17/J17</f>
        <v/>
      </c>
      <c r="O17" s="6">
        <f>(D17/100000+E17/100+F17*K17/5+J17/200)*200*L17*M17</f>
        <v/>
      </c>
      <c r="P17" s="6">
        <f>((D17*E17/25000)+(F17*K17*J17/2.5))*L17*M17</f>
        <v/>
      </c>
      <c r="Q17" s="6">
        <f>(D17*E17*F17*K17*J17*L17*M17)/12500000</f>
        <v/>
      </c>
      <c r="R17" s="6">
        <f>(O17+P17+Q17)/3</f>
        <v/>
      </c>
      <c r="S17" t="n">
        <v>1200</v>
      </c>
    </row>
    <row r="18">
      <c r="B18" t="inlineStr">
        <is>
          <t>Shrine Tank</t>
        </is>
      </c>
      <c r="D18" t="n">
        <v>60000</v>
      </c>
      <c r="E18" t="n">
        <v>120</v>
      </c>
      <c r="F18" s="7">
        <f>(S18*37500000/(L18*M18*D18*E18*K18*J18)-((500/(K18*J18))+(2500000000/(D18*E18*K18*J18)*(D18/100000+E18/100+J18/200))))/(1+5000000/(D18*E18)+(500000000/(D18*E18*J18)))</f>
        <v/>
      </c>
      <c r="G18" t="n">
        <v>24000</v>
      </c>
      <c r="H18" t="n">
        <v>1.125</v>
      </c>
      <c r="I18" t="n">
        <v>50</v>
      </c>
      <c r="J18" s="6">
        <f>G18/I18*H18</f>
        <v/>
      </c>
      <c r="K18" t="n">
        <v>1</v>
      </c>
      <c r="L18" t="n">
        <v>1</v>
      </c>
      <c r="M18" t="n">
        <v>1</v>
      </c>
      <c r="N18" s="6">
        <f>D18/J18</f>
        <v/>
      </c>
      <c r="O18" s="6">
        <f>(D18/100000+E18/100+F18*K18/5+J18/200)*200*L18*M18</f>
        <v/>
      </c>
      <c r="P18" s="6">
        <f>((D18*E18/25000)+(F18*K18*J18/2.5))*L18*M18</f>
        <v/>
      </c>
      <c r="Q18" s="6">
        <f>(D18*E18*F18*K18*J18*L18*M18)/12500000</f>
        <v/>
      </c>
      <c r="R18" s="6">
        <f>(O18+P18+Q18)/3</f>
        <v/>
      </c>
      <c r="S18" t="n">
        <v>1600</v>
      </c>
    </row>
    <row r="19">
      <c r="A19" t="inlineStr">
        <is>
          <t>D2K</t>
        </is>
      </c>
      <c r="B19" t="inlineStr">
        <is>
          <t>Ix Combat Tank</t>
        </is>
      </c>
      <c r="D19" t="n">
        <v>65000</v>
      </c>
      <c r="E19" t="n">
        <v>65</v>
      </c>
      <c r="F19" s="7">
        <f>(S19*37500000/(L19*M19*D19*E19*K19*J19)-((500/(K19*J19))+(2500000000/(D19*E19*K19*J19)*(D19/100000+E19/100+J19/200))))/(1+5000000/(D19*E19)+(500000000/(D19*E19*J19)))</f>
        <v/>
      </c>
      <c r="G19" t="n">
        <v>12000</v>
      </c>
      <c r="H19" t="n">
        <v>1</v>
      </c>
      <c r="I19" t="n">
        <v>35</v>
      </c>
      <c r="J19" s="6">
        <f>G19/I19*H19</f>
        <v/>
      </c>
      <c r="K19" t="n">
        <v>1</v>
      </c>
      <c r="L19" t="n">
        <v>1</v>
      </c>
      <c r="M19" t="n">
        <v>1</v>
      </c>
      <c r="N19" s="6">
        <f>D19/J19</f>
        <v/>
      </c>
      <c r="O19" s="6">
        <f>(D19/100000+E19/100+F19*K19/5+J19/200)*200*L19*M19</f>
        <v/>
      </c>
      <c r="P19" s="6">
        <f>((D19*E19/25000)+(F19*K19*J19/2.5))*L19*M19</f>
        <v/>
      </c>
      <c r="Q19" s="6">
        <f>(D19*E19*F19*K19*J19*L19*M19)/12500000</f>
        <v/>
      </c>
      <c r="R19" s="6">
        <f>(O19+P19+Q19)/3</f>
        <v/>
      </c>
      <c r="S19" t="n">
        <v>800</v>
      </c>
    </row>
    <row r="20">
      <c r="B20" t="inlineStr">
        <is>
          <t>Ordos Combat Tank</t>
        </is>
      </c>
      <c r="D20" t="n">
        <v>85000</v>
      </c>
      <c r="E20" t="n">
        <v>85</v>
      </c>
      <c r="F20" s="7">
        <f>(S20*37500000/(L20*M20*D20*E20*K20*J20)-((500/(K20*J20))+(2500000000/(D20*E20*K20*J20)*(D20/100000+E20/100+J20/200))))/(1+5000000/(D20*E20)+(500000000/(D20*E20*J20)))</f>
        <v/>
      </c>
      <c r="G20" t="n">
        <v>8000</v>
      </c>
      <c r="H20" t="n">
        <v>1</v>
      </c>
      <c r="I20" t="n">
        <v>44</v>
      </c>
      <c r="J20" s="6">
        <f>G20/I20*H20</f>
        <v/>
      </c>
      <c r="K20" t="n">
        <v>1</v>
      </c>
      <c r="L20" t="n">
        <v>1</v>
      </c>
      <c r="M20" t="n">
        <v>1</v>
      </c>
      <c r="N20" s="6">
        <f>D20/J20</f>
        <v/>
      </c>
      <c r="O20" s="6">
        <f>(D20/100000+E20/100+F20*K20/5+J20/200)*200*L20*M20</f>
        <v/>
      </c>
      <c r="P20" s="6">
        <f>((D20*E20/25000)+(F20*K20*J20/2.5))*L20*M20</f>
        <v/>
      </c>
      <c r="Q20" s="6">
        <f>(D20*E20*F20*K20*J20*L20*M20)/12500000</f>
        <v/>
      </c>
      <c r="R20" s="6">
        <f>(O20+P20+Q20)/3</f>
        <v/>
      </c>
      <c r="S20" t="n">
        <v>650</v>
      </c>
    </row>
    <row r="21">
      <c r="B21" t="inlineStr">
        <is>
          <t>Ordos Heavy Combat Tank (Cannon)</t>
        </is>
      </c>
      <c r="D21" t="n">
        <v>115000</v>
      </c>
      <c r="E21" t="n">
        <v>75</v>
      </c>
      <c r="F21" s="7">
        <f>(S21*37500000/(L21*M21*D21*E21*K21*J21)-((500/(K21*J21))+(2500000000/(D21*E21*K21*J21)*(D21/100000+E21/100+J21/200))))/(1+5000000/(D21*E21)+(500000000/(D21*E21*J21)))</f>
        <v/>
      </c>
      <c r="G21" t="n">
        <v>10000</v>
      </c>
      <c r="H21" t="n">
        <v>1</v>
      </c>
      <c r="I21" t="n">
        <v>40</v>
      </c>
      <c r="J21" s="6">
        <f>G21/I21*H21</f>
        <v/>
      </c>
      <c r="K21" t="n">
        <v>1</v>
      </c>
      <c r="L21" t="n">
        <v>1</v>
      </c>
      <c r="M21" t="n">
        <v>1</v>
      </c>
      <c r="N21" s="6">
        <f>D21/J21</f>
        <v/>
      </c>
      <c r="O21" s="6">
        <f>(D21/100000+E21/100+F21*K21/5+J21/200)*200*L21*M21</f>
        <v/>
      </c>
      <c r="P21" s="6">
        <f>((D21*E21/25000)+(F21*K21*J21/2.5))*L21*M21</f>
        <v/>
      </c>
      <c r="Q21" s="6">
        <f>(D21*E21*F21*K21*J21*L21*M21)/12500000</f>
        <v/>
      </c>
      <c r="R21" s="6">
        <f>(O21+P21+Q21)/3</f>
        <v/>
      </c>
      <c r="S21" t="n">
        <v>950</v>
      </c>
    </row>
    <row r="22">
      <c r="B22" t="inlineStr">
        <is>
          <t>Ordos Heavy Combat Tank (Missiles)</t>
        </is>
      </c>
      <c r="D22" t="n">
        <v>115000</v>
      </c>
      <c r="E22" t="n">
        <v>75</v>
      </c>
      <c r="F22" s="7">
        <f>(S22*37500000/(L22*M22*D22*E22*K22*J22)-((500/(K22*J22))+(2500000000/(D22*E22*K22*J22)*(D22/100000+E22/100+J22/200))))/(1+5000000/(D22*E22)+(500000000/(D22*E22*J22)))</f>
        <v/>
      </c>
      <c r="G22" t="n">
        <v>20000</v>
      </c>
      <c r="H22" t="n">
        <v>1</v>
      </c>
      <c r="I22" t="n">
        <v>80</v>
      </c>
      <c r="J22" s="6">
        <f>G22/I22*H22</f>
        <v/>
      </c>
      <c r="K22" t="n">
        <v>1</v>
      </c>
      <c r="L22" t="n">
        <v>1</v>
      </c>
      <c r="M22" t="n">
        <v>1</v>
      </c>
      <c r="N22" s="6">
        <f>D22/J22</f>
        <v/>
      </c>
      <c r="O22" s="6">
        <f>(D22/100000+E22/100+F22*K22/5+J22/200)*200*L22*M22</f>
        <v/>
      </c>
      <c r="P22" s="6">
        <f>((D22*E22/25000)+(F22*K22*J22/2.5))*L22*M22</f>
        <v/>
      </c>
      <c r="Q22" s="6">
        <f>(D22*E22*F22*K22*J22*L22*M22)/12500000</f>
        <v/>
      </c>
      <c r="R22" s="6">
        <f>(O22+P22+Q22)/3</f>
        <v/>
      </c>
      <c r="S22" t="n">
        <v>950</v>
      </c>
    </row>
    <row r="23">
      <c r="B23" t="inlineStr">
        <is>
          <t>Autogun Tank</t>
        </is>
      </c>
      <c r="D23" t="n">
        <v>95000</v>
      </c>
      <c r="E23" t="n">
        <v>80</v>
      </c>
      <c r="F23" s="7">
        <f>(S23*37500000/(L23*M23*D23*E23*K23*J23)-((500/(K23*J23))+(2500000000/(D23*E23*K23*J23)*(D23/100000+E23/100+J23/200))))/(1+5000000/(D23*E23)+(500000000/(D23*E23*J23)))</f>
        <v/>
      </c>
      <c r="G23" t="n">
        <v>12000</v>
      </c>
      <c r="H23" t="n">
        <v>1</v>
      </c>
      <c r="I23" t="n">
        <v>30</v>
      </c>
      <c r="J23" s="6">
        <f>G23/I23*H23</f>
        <v/>
      </c>
      <c r="K23" t="n">
        <v>1.25</v>
      </c>
      <c r="L23" t="n">
        <v>1</v>
      </c>
      <c r="M23" t="n">
        <v>1</v>
      </c>
      <c r="N23" s="6">
        <f>D23/J23</f>
        <v/>
      </c>
      <c r="O23" s="6">
        <f>(D23/100000+E23/100+F23*K23/5+J23/200)*200*L23*M23</f>
        <v/>
      </c>
      <c r="P23" s="6">
        <f>((D23*E23/25000)+(F23*K23*J23/2.5))*L23*M23</f>
        <v/>
      </c>
      <c r="Q23" s="6">
        <f>(D23*E23*F23*K23*J23*L23*M23)/12500000</f>
        <v/>
      </c>
      <c r="R23" s="6">
        <f>(O23+P23+Q23)/3</f>
        <v/>
      </c>
      <c r="S23" t="n">
        <v>1500</v>
      </c>
    </row>
    <row r="24">
      <c r="B24" t="inlineStr">
        <is>
          <t>Mongoose</t>
        </is>
      </c>
      <c r="D24" t="n">
        <v>75000</v>
      </c>
      <c r="E24" t="n">
        <v>75</v>
      </c>
      <c r="F24" s="7">
        <f>(S24*37500000/(L24*M24*D24*E24*K24*J24)-((500/(K24*J24))+(2500000000/(D24*E24*K24*J24)*(D24/100000+E24/100+J24/200))))/(1+5000000/(D24*E24)+(500000000/(D24*E24*J24)))</f>
        <v/>
      </c>
      <c r="G24" t="n">
        <v>32000</v>
      </c>
      <c r="H24" t="n">
        <v>1</v>
      </c>
      <c r="I24" t="n">
        <v>64</v>
      </c>
      <c r="J24" s="6">
        <f>G24/I24*H24</f>
        <v/>
      </c>
      <c r="K24" t="n">
        <v>1</v>
      </c>
      <c r="L24" t="n">
        <v>1</v>
      </c>
      <c r="M24" t="n">
        <v>1</v>
      </c>
      <c r="N24" s="6">
        <f>D24/J24</f>
        <v/>
      </c>
      <c r="O24" s="6">
        <f>(D24/100000+E24/100+F24*K24/5+J24/200)*200*L24*M24</f>
        <v/>
      </c>
      <c r="P24" s="6">
        <f>((D24*E24/25000)+(F24*K24*J24/2.5))*L24*M24</f>
        <v/>
      </c>
      <c r="Q24" s="6">
        <f>(D24*E24*F24*K24*J24*L24*M24)/12500000</f>
        <v/>
      </c>
      <c r="R24" s="6">
        <f>(O24+P24+Q24)/3</f>
        <v/>
      </c>
      <c r="S24" t="n">
        <v>1300</v>
      </c>
    </row>
    <row r="25">
      <c r="A25" t="inlineStr">
        <is>
          <t>Naxis</t>
        </is>
      </c>
      <c r="B25" t="inlineStr">
        <is>
          <t>Tiger Heavy Tank</t>
        </is>
      </c>
      <c r="D25" t="n">
        <v>100000</v>
      </c>
      <c r="E25" t="n">
        <v>100</v>
      </c>
      <c r="F25" s="7">
        <f>(S25*37500000/(L25*M25*D25*E25*K25*J25)-((500/(K25*J25))+(2500000000/(D25*E25*K25*J25)*(D25/100000+E25/100+J25/200))))/(1+5000000/(D25*E25)+(500000000/(D25*E25*J25)))</f>
        <v/>
      </c>
      <c r="G25" t="n">
        <v>10000</v>
      </c>
      <c r="H25" t="n">
        <v>1</v>
      </c>
      <c r="I25" t="n">
        <v>50</v>
      </c>
      <c r="J25" s="6">
        <f>G25/I25*H25</f>
        <v/>
      </c>
      <c r="K25" t="n">
        <v>1</v>
      </c>
      <c r="L25" t="n">
        <v>1</v>
      </c>
      <c r="M25" t="n">
        <v>1</v>
      </c>
      <c r="N25" s="6">
        <f>D25/J25</f>
        <v/>
      </c>
      <c r="O25" s="6">
        <f>(D25/100000+E25/100+F25*K25/5+J25/200)*200*L25*M25</f>
        <v/>
      </c>
      <c r="P25" s="6">
        <f>((D25*E25/25000)+(F25*K25*J25/2.5))*L25*M25</f>
        <v/>
      </c>
      <c r="Q25" s="6">
        <f>(D25*E25*F25*K25*J25*L25*M25)/12500000</f>
        <v/>
      </c>
      <c r="R25" s="6">
        <f>(O25+P25+Q25)/3</f>
        <v/>
      </c>
      <c r="S25" t="n">
        <v>800</v>
      </c>
    </row>
    <row r="26">
      <c r="B26" t="inlineStr">
        <is>
          <t>King Tiger Heavy Tank</t>
        </is>
      </c>
      <c r="D26" t="n">
        <v>200000</v>
      </c>
      <c r="E26" t="n">
        <v>100</v>
      </c>
      <c r="F26" s="7">
        <f>(S26*37500000/(L26*M26*D26*E26*K26*J26)-((500/(K26*J26))+(2500000000/(D26*E26*K26*J26)*(D26/100000+E26/100+J26/200))))/(1+5000000/(D26*E26)+(500000000/(D26*E26*J26)))</f>
        <v/>
      </c>
      <c r="G26" t="n">
        <v>20000</v>
      </c>
      <c r="H26" t="n">
        <v>1</v>
      </c>
      <c r="I26" t="n">
        <v>50</v>
      </c>
      <c r="J26" s="6">
        <f>G26/I26*H26</f>
        <v/>
      </c>
      <c r="K26" t="n">
        <v>1</v>
      </c>
      <c r="L26" t="n">
        <v>1</v>
      </c>
      <c r="M26" t="n">
        <v>1</v>
      </c>
      <c r="N26" s="6">
        <f>D26/J26</f>
        <v/>
      </c>
      <c r="O26" s="6">
        <f>(D26/100000+E26/100+F26*K26/5+J26/200)*200*L26*M26</f>
        <v/>
      </c>
      <c r="P26" s="6">
        <f>((D26*E26/25000)+(F26*K26*J26/2.5))*L26*M26</f>
        <v/>
      </c>
      <c r="Q26" s="6">
        <f>(D26*E26*F26*K26*J26*L26*M26)/12500000</f>
        <v/>
      </c>
      <c r="R26" s="6">
        <f>(O26+P26+Q26)/3</f>
        <v/>
      </c>
      <c r="S26" t="n">
        <v>2000</v>
      </c>
    </row>
    <row r="27">
      <c r="B27" t="inlineStr">
        <is>
          <t>Lunar Panzer</t>
        </is>
      </c>
      <c r="D27" t="n">
        <v>90000</v>
      </c>
      <c r="E27" t="n">
        <v>90</v>
      </c>
      <c r="F27" s="7">
        <f>(S27*37500000/(L27*M27*D27*E27*K27*J27)-((500/(K27*J27))+(2500000000/(D27*E27*K27*J27)*(D27/100000+E27/100+J27/200))))/(1+5000000/(D27*E27)+(500000000/(D27*E27*J27)))</f>
        <v/>
      </c>
      <c r="G27" t="n">
        <v>10000</v>
      </c>
      <c r="H27" t="n">
        <v>1</v>
      </c>
      <c r="I27" t="n">
        <v>60</v>
      </c>
      <c r="J27" s="6">
        <f>G27/I27*H27</f>
        <v/>
      </c>
      <c r="K27" t="n">
        <v>1</v>
      </c>
      <c r="L27" t="n">
        <v>1</v>
      </c>
      <c r="M27" t="n">
        <v>1</v>
      </c>
      <c r="N27" s="6">
        <f>D27/J27</f>
        <v/>
      </c>
      <c r="O27" s="6">
        <f>(D27/100000+E27/100+F27*K27/5+J27/200)*200*L27*M27</f>
        <v/>
      </c>
      <c r="P27" s="6">
        <f>((D27*E27/25000)+(F27*K27*J27/2.5))*L27*M27</f>
        <v/>
      </c>
      <c r="Q27" s="6">
        <f>(D27*E27*F27*K27*J27*L27*M27)/12500000</f>
        <v/>
      </c>
      <c r="R27" s="6">
        <f>(O27+P27+Q27)/3</f>
        <v/>
      </c>
      <c r="S27" t="n">
        <v>650</v>
      </c>
    </row>
    <row r="28">
      <c r="B28" t="inlineStr">
        <is>
          <t>Lunar Tiger</t>
        </is>
      </c>
      <c r="D28" t="n">
        <v>160000</v>
      </c>
      <c r="E28" t="n">
        <v>80</v>
      </c>
      <c r="F28" s="7">
        <f>(S28*37500000/(L28*M28*D28*E28*K28*J28)-((500/(K28*J28))+(2500000000/(D28*E28*K28*J28)*(D28/100000+E28/100+J28/200))))/(1+5000000/(D28*E28)+(500000000/(D28*E28*J28)))</f>
        <v/>
      </c>
      <c r="G28" t="n">
        <v>16000</v>
      </c>
      <c r="H28" t="n">
        <v>1</v>
      </c>
      <c r="I28" t="n">
        <v>80</v>
      </c>
      <c r="J28" s="6">
        <f>G28/I28*H28</f>
        <v/>
      </c>
      <c r="K28" t="n">
        <v>1</v>
      </c>
      <c r="L28" t="n">
        <v>1</v>
      </c>
      <c r="M28" t="n">
        <v>1</v>
      </c>
      <c r="N28" s="6">
        <f>D28/J28</f>
        <v/>
      </c>
      <c r="O28" s="6">
        <f>(D28/100000+E28/100+F28*K28/5+J28/200)*200*L28*M28</f>
        <v/>
      </c>
      <c r="P28" s="6">
        <f>((D28*E28/25000)+(F28*K28*J28/2.5))*L28*M28</f>
        <v/>
      </c>
      <c r="Q28" s="6">
        <f>(D28*E28*F28*K28*J28*L28*M28)/12500000</f>
        <v/>
      </c>
      <c r="R28" s="6">
        <f>(O28+P28+Q28)/3</f>
        <v/>
      </c>
      <c r="S28" t="n">
        <v>950</v>
      </c>
    </row>
    <row r="29">
      <c r="A29" t="inlineStr">
        <is>
          <t>StarCraft</t>
        </is>
      </c>
      <c r="B29" s="8" t="inlineStr">
        <is>
          <t>Siege Tank (Tank Mode)</t>
        </is>
      </c>
      <c r="D29" t="n">
        <v>150000</v>
      </c>
      <c r="E29" t="n">
        <v>75</v>
      </c>
      <c r="F29" s="7">
        <f>(S29*37500000/(L29*M29*D29*E29*K29*J29)-((500/(K29*J29))+(2500000000/(D29*E29*K29*J29)*(D29/100000+E29/100+J29/200))))/(1+5000000/(D29*E29)+(500000000/(D29*E29*J29)))</f>
        <v/>
      </c>
      <c r="G29" t="n">
        <v>30000</v>
      </c>
      <c r="H29" t="n">
        <v>1</v>
      </c>
      <c r="I29" t="n">
        <v>37</v>
      </c>
      <c r="J29" s="6">
        <f>G29/I29*H29</f>
        <v/>
      </c>
      <c r="K29" t="n">
        <v>1</v>
      </c>
      <c r="L29" t="n">
        <v>1</v>
      </c>
      <c r="M29" t="n">
        <v>1</v>
      </c>
      <c r="N29" s="6">
        <f>D29/J29</f>
        <v/>
      </c>
      <c r="O29" s="6">
        <f>(D29/100000+E29/100+F29*K29/5+J29/200)*200*L29*M29</f>
        <v/>
      </c>
      <c r="P29" s="6">
        <f>((D29*E29/25000)+(F29*K29*J29/2.5))*L29*M29</f>
        <v/>
      </c>
      <c r="Q29" s="6">
        <f>(D29*E29*F29*K29*J29*L29*M29)/12500000</f>
        <v/>
      </c>
      <c r="R29" s="6">
        <f>(O29+P29+Q29)/3</f>
        <v/>
      </c>
      <c r="S29" t="n">
        <v>2800</v>
      </c>
    </row>
    <row r="30">
      <c r="B30" s="8" t="inlineStr">
        <is>
          <t>Siege Tank (Siege Mode)</t>
        </is>
      </c>
      <c r="D30" t="n">
        <v>150000</v>
      </c>
      <c r="E30" t="n">
        <v>75</v>
      </c>
      <c r="F30" s="7">
        <f>(S30*37500000/(L30*M30*D30*E30*K30*J30)-((500/(K30*J30))+(2500000000/(D30*E30*K30*J30)*(D30/100000+E30/100+J30/200))))/(1+5000000/(D30*E30)+(500000000/(D30*E30*J30)))</f>
        <v/>
      </c>
      <c r="G30" t="n">
        <v>140000</v>
      </c>
      <c r="H30" t="n">
        <v>1</v>
      </c>
      <c r="I30" t="n">
        <v>148</v>
      </c>
      <c r="J30" s="6">
        <f>G30/I30*H30</f>
        <v/>
      </c>
      <c r="K30" t="n">
        <v>1</v>
      </c>
      <c r="L30" t="n">
        <v>0.5</v>
      </c>
      <c r="M30" t="n">
        <v>1</v>
      </c>
      <c r="N30" s="6">
        <f>D30/J30</f>
        <v/>
      </c>
      <c r="O30" s="6">
        <f>(D30/100000+E30/100+F30*K30/5+J30/200)*200*L30*M30</f>
        <v/>
      </c>
      <c r="P30" s="6">
        <f>((D30*E30/25000)+(F30*K30*J30/2.5))*L30*M30</f>
        <v/>
      </c>
      <c r="Q30" s="6">
        <f>(D30*E30*F30*K30*J30*L30*M30)/12500000</f>
        <v/>
      </c>
      <c r="R30" s="6">
        <f>(O30+P30+Q30)/3</f>
        <v/>
      </c>
      <c r="S30" t="n">
        <v>2800</v>
      </c>
    </row>
    <row r="31">
      <c r="B31" s="8" t="inlineStr">
        <is>
          <t>Matador (Tank Mode)</t>
        </is>
      </c>
      <c r="D31" t="n">
        <v>100000</v>
      </c>
      <c r="E31" t="n">
        <v>100</v>
      </c>
      <c r="F31" s="7">
        <f>(S31*37500000/(L31*M31*D31*E31*K31*J31)-((500/(K31*J31))+(2500000000/(D31*E31*K31*J31)*(D31/100000+E31/100+J31/200))))/(1+5000000/(D31*E31)+(500000000/(D31*E31*J31)))</f>
        <v/>
      </c>
      <c r="G31" t="n">
        <v>26000</v>
      </c>
      <c r="H31" t="n">
        <v>1</v>
      </c>
      <c r="I31" t="n">
        <v>52</v>
      </c>
      <c r="J31" s="6">
        <f>G31/I31*H31</f>
        <v/>
      </c>
      <c r="K31" t="n">
        <v>1</v>
      </c>
      <c r="L31" t="n">
        <v>1</v>
      </c>
      <c r="M31" t="n">
        <v>1</v>
      </c>
      <c r="N31" s="6">
        <f>D31/J31</f>
        <v/>
      </c>
      <c r="O31" s="6">
        <f>(D31/100000+E31/100+F31*K31/5+J31/200)*200*L31*M31</f>
        <v/>
      </c>
      <c r="P31" s="6">
        <f>((D31*E31/25000)+(F31*K31*J31/2.5))*L31*M31</f>
        <v/>
      </c>
      <c r="Q31" s="6">
        <f>(D31*E31*F31*K31*J31*L31*M31)/12500000</f>
        <v/>
      </c>
      <c r="R31" s="6">
        <f>(O31+P31+Q31)/3</f>
        <v/>
      </c>
      <c r="S31" t="n">
        <v>1700</v>
      </c>
    </row>
    <row r="32">
      <c r="B32" s="8" t="inlineStr">
        <is>
          <t>Matador (Siege Mode)</t>
        </is>
      </c>
      <c r="D32" t="n">
        <v>100000</v>
      </c>
      <c r="E32" t="n">
        <v>100</v>
      </c>
      <c r="F32" s="7">
        <f>(S32*37500000/(L32*M32*D32*E32*K32*J32)-((500/(K32*J32))+(2500000000/(D32*E32*K32*J32)*(D32/100000+E32/100+J32/200))))/(1+5000000/(D32*E32)+(500000000/(D32*E32*J32)))</f>
        <v/>
      </c>
      <c r="G32" t="n">
        <v>32000</v>
      </c>
      <c r="H32" t="n">
        <v>1.25</v>
      </c>
      <c r="I32" t="n">
        <v>39</v>
      </c>
      <c r="J32" s="6">
        <f>G32/I32*H32</f>
        <v/>
      </c>
      <c r="K32" t="n">
        <v>1</v>
      </c>
      <c r="L32" t="n">
        <v>0.5</v>
      </c>
      <c r="M32" t="n">
        <v>1</v>
      </c>
      <c r="N32" s="6">
        <f>D32/J32</f>
        <v/>
      </c>
      <c r="O32" s="6">
        <f>(D32/100000+E32/100+F32*K32/5+J32/200)*200*L32*M32</f>
        <v/>
      </c>
      <c r="P32" s="6">
        <f>((D32*E32/25000)+(F32*K32*J32/2.5))*L32*M32</f>
        <v/>
      </c>
      <c r="Q32" s="6">
        <f>(D32*E32*F32*K32*J32*L32*M32)/12500000</f>
        <v/>
      </c>
      <c r="R32" s="6">
        <f>(O32+P32+Q32)/3</f>
        <v/>
      </c>
      <c r="S32" t="n">
        <v>1700</v>
      </c>
    </row>
    <row r="33">
      <c r="B33" s="8" t="inlineStr">
        <is>
          <t>Dragoon</t>
        </is>
      </c>
      <c r="D33" t="n">
        <v>75000</v>
      </c>
      <c r="E33" t="n">
        <v>80</v>
      </c>
      <c r="F33" s="7">
        <f>(S33*37500000/(L33*M33*D33*E33*K33*J33)-((500/(K33*J33))+(2500000000/(D33*E33*K33*J33)*(D33/100000+E33/100+J33/200))))/(1+5000000/(D33*E33)+(500000000/(D33*E33*J33)))</f>
        <v/>
      </c>
      <c r="G33" t="n">
        <v>20000</v>
      </c>
      <c r="H33" t="n">
        <v>1</v>
      </c>
      <c r="I33" t="n">
        <v>40</v>
      </c>
      <c r="J33" s="6">
        <f>G33/I33*H33</f>
        <v/>
      </c>
      <c r="K33" t="n">
        <v>1</v>
      </c>
      <c r="L33" t="n">
        <v>1</v>
      </c>
      <c r="M33" t="n">
        <v>1</v>
      </c>
      <c r="N33" s="6">
        <f>D33/J33</f>
        <v/>
      </c>
      <c r="O33" s="6">
        <f>(D33/100000+E33/100+F33*K33/5+J33/200)*200*L33*M33</f>
        <v/>
      </c>
      <c r="P33" s="6">
        <f>((D33*E33/25000)+(F33*K33*J33/2.5))*L33*M33</f>
        <v/>
      </c>
      <c r="Q33" s="6">
        <f>(D33*E33*F33*K33*J33*L33*M33)/12500000</f>
        <v/>
      </c>
      <c r="R33" s="6">
        <f>(O33+P33+Q33)/3</f>
        <v/>
      </c>
      <c r="S33" t="n">
        <v>1150</v>
      </c>
    </row>
    <row r="34">
      <c r="A34" t="inlineStr">
        <is>
          <t>RA2</t>
        </is>
      </c>
      <c r="B34" t="inlineStr">
        <is>
          <t>Grizzly Tank</t>
        </is>
      </c>
      <c r="D34" t="n">
        <v>100000</v>
      </c>
      <c r="E34" t="n">
        <v>95</v>
      </c>
      <c r="F34" s="7">
        <f>(S34*37500000/(L34*M34*D34*E34*K34*J34)-((500/(K34*J34))+(2500000000/(D34*E34*K34*J34)*(D34/100000+E34/100+J34/200))))/(1+5000000/(D34*E34)+(500000000/(D34*E34*J34)))</f>
        <v/>
      </c>
      <c r="G34" t="n">
        <v>8000</v>
      </c>
      <c r="H34" t="n">
        <v>1</v>
      </c>
      <c r="I34" t="n">
        <v>45</v>
      </c>
      <c r="J34" s="6">
        <f>G34/I34*H34</f>
        <v/>
      </c>
      <c r="K34" t="n">
        <v>1</v>
      </c>
      <c r="L34" t="n">
        <v>1</v>
      </c>
      <c r="M34" t="n">
        <v>1</v>
      </c>
      <c r="N34" s="6">
        <f>D34/J34</f>
        <v/>
      </c>
      <c r="O34" s="6">
        <f>(D34/100000+E34/100+F34*K34/5+J34/200)*200*L34*M34</f>
        <v/>
      </c>
      <c r="P34" s="6">
        <f>((D34*E34/25000)+(F34*K34*J34/2.5))*L34*M34</f>
        <v/>
      </c>
      <c r="Q34" s="6">
        <f>(D34*E34*F34*K34*J34*L34*M34)/12500000</f>
        <v/>
      </c>
      <c r="R34" s="6">
        <f>(O34+P34+Q34)/3</f>
        <v/>
      </c>
      <c r="S34" t="n">
        <v>750</v>
      </c>
    </row>
    <row r="35">
      <c r="B35" t="inlineStr">
        <is>
          <t>Rhino Heavy Tank</t>
        </is>
      </c>
      <c r="D35" t="n">
        <v>130000</v>
      </c>
      <c r="E35" t="n">
        <v>85</v>
      </c>
      <c r="F35" s="7">
        <f>(S35*37500000/(L35*M35*D35*E35*K35*J35)-((500/(K35*J35))+(2500000000/(D35*E35*K35*J35)*(D35/100000+E35/100+J35/200))))/(1+5000000/(D35*E35)+(500000000/(D35*E35*J35)))</f>
        <v/>
      </c>
      <c r="G35" t="n">
        <v>10000</v>
      </c>
      <c r="H35" t="n">
        <v>1</v>
      </c>
      <c r="I35" t="n">
        <v>54</v>
      </c>
      <c r="J35" s="6">
        <f>G35/I35*H35</f>
        <v/>
      </c>
      <c r="K35" t="n">
        <v>1</v>
      </c>
      <c r="L35" t="n">
        <v>1</v>
      </c>
      <c r="M35" t="n">
        <v>1</v>
      </c>
      <c r="N35" s="6">
        <f>D35/J35</f>
        <v/>
      </c>
      <c r="O35" s="6">
        <f>(D35/100000+E35/100+F35*K35/5+J35/200)*200*L35*M35</f>
        <v/>
      </c>
      <c r="P35" s="6">
        <f>((D35*E35/25000)+(F35*K35*J35/2.5))*L35*M35</f>
        <v/>
      </c>
      <c r="Q35" s="6">
        <f>(D35*E35*F35*K35*J35*L35*M35)/12500000</f>
        <v/>
      </c>
      <c r="R35" s="6">
        <f>(O35+P35+Q35)/3</f>
        <v/>
      </c>
      <c r="S35" t="n">
        <v>850</v>
      </c>
    </row>
    <row r="36">
      <c r="B36" t="inlineStr">
        <is>
          <t>Lasher Tank (Cannon)</t>
        </is>
      </c>
      <c r="D36" t="n">
        <v>70000</v>
      </c>
      <c r="E36" t="n">
        <v>105</v>
      </c>
      <c r="F36" s="7">
        <f>(S36*37500000/(L36*M36*D36*E36*K36*J36)-((500/(K36*J36))+(2500000000/(D36*E36*K36*J36)*(D36/100000+E36/100+J36/200))))/(1+5000000/(D36*E36)+(500000000/(D36*E36*J36)))</f>
        <v/>
      </c>
      <c r="G36" t="n">
        <v>12000</v>
      </c>
      <c r="H36" t="n">
        <v>0.875</v>
      </c>
      <c r="I36" t="n">
        <v>68</v>
      </c>
      <c r="J36" s="6">
        <f>G36/I36*H36</f>
        <v/>
      </c>
      <c r="K36" t="n">
        <v>1</v>
      </c>
      <c r="L36" t="n">
        <v>1</v>
      </c>
      <c r="M36" t="n">
        <v>1</v>
      </c>
      <c r="N36" s="6">
        <f>D36/J36</f>
        <v/>
      </c>
      <c r="O36" s="6">
        <f>(D36/100000+E36/100+F36*K36/5+J36/200)*200*L36*M36</f>
        <v/>
      </c>
      <c r="P36" s="6">
        <f>((D36*E36/25000)+(F36*K36*J36/2.5))*L36*M36</f>
        <v/>
      </c>
      <c r="Q36" s="6">
        <f>(D36*E36*F36*K36*J36*L36*M36)/12500000</f>
        <v/>
      </c>
      <c r="R36" s="6">
        <f>(O36+P36+Q36)/3</f>
        <v/>
      </c>
      <c r="S36" t="n">
        <v>600</v>
      </c>
    </row>
    <row r="37">
      <c r="B37" t="inlineStr">
        <is>
          <t>Lasher Tank (Toxic Mortar)</t>
        </is>
      </c>
      <c r="D37" t="n">
        <v>70000</v>
      </c>
      <c r="E37" t="n">
        <v>105</v>
      </c>
      <c r="F37" s="7">
        <f>(S37*37500000/(L37*M37*D37*E37*K37*J37)-((500/(K37*J37))+(2500000000/(D37*E37*K37*J37)*(D37/100000+E37/100+J37/200))))/(1+5000000/(D37*E37)+(500000000/(D37*E37*J37)))</f>
        <v/>
      </c>
      <c r="G37" t="n">
        <v>18000</v>
      </c>
      <c r="H37" t="n">
        <v>1</v>
      </c>
      <c r="I37" t="n">
        <v>105</v>
      </c>
      <c r="J37" s="6">
        <f>G37/I37*H37</f>
        <v/>
      </c>
      <c r="K37" t="n">
        <v>1</v>
      </c>
      <c r="L37" t="n">
        <v>1</v>
      </c>
      <c r="M37" t="n">
        <v>1</v>
      </c>
      <c r="N37" s="6">
        <f>D37/J37</f>
        <v/>
      </c>
      <c r="O37" s="6">
        <f>(D37/100000+E37/100+F37*K37/5+J37/200)*200*L37*M37</f>
        <v/>
      </c>
      <c r="P37" s="6">
        <f>((D37*E37/25000)+(F37*K37*J37/2.5))*L37*M37</f>
        <v/>
      </c>
      <c r="Q37" s="6">
        <f>(D37*E37*F37*K37*J37*L37*M37)/12500000</f>
        <v/>
      </c>
      <c r="R37" s="6">
        <f>(O37+P37+Q37)/3</f>
        <v/>
      </c>
      <c r="S37" t="n">
        <v>900</v>
      </c>
    </row>
    <row r="38">
      <c r="B38" t="inlineStr">
        <is>
          <t>Lasher Tank (Laser)</t>
        </is>
      </c>
      <c r="D38" t="n">
        <v>70000</v>
      </c>
      <c r="E38" t="n">
        <v>105</v>
      </c>
      <c r="F38" s="7">
        <f>(S38*37500000/(L38*M38*D38*E38*K38*J38)-((500/(K38*J38))+(2500000000/(D38*E38*K38*J38)*(D38/100000+E38/100+J38/200))))/(1+5000000/(D38*E38)+(500000000/(D38*E38*J38)))</f>
        <v/>
      </c>
      <c r="G38" t="n">
        <v>16000</v>
      </c>
      <c r="H38" t="n">
        <v>1.125</v>
      </c>
      <c r="I38" t="n">
        <v>81</v>
      </c>
      <c r="J38" s="6">
        <f>G38/I38*H38</f>
        <v/>
      </c>
      <c r="K38" t="n">
        <v>1</v>
      </c>
      <c r="L38" t="n">
        <v>1</v>
      </c>
      <c r="M38" t="n">
        <v>1</v>
      </c>
      <c r="N38" s="6">
        <f>D38/J38</f>
        <v/>
      </c>
      <c r="O38" s="6">
        <f>(D38/100000+E38/100+F38*K38/5+J38/200)*200*L38*M38</f>
        <v/>
      </c>
      <c r="P38" s="6">
        <f>((D38*E38/25000)+(F38*K38*J38/2.5))*L38*M38</f>
        <v/>
      </c>
      <c r="Q38" s="6">
        <f>(D38*E38*F38*K38*J38*L38*M38)/12500000</f>
        <v/>
      </c>
      <c r="R38" s="6">
        <f>(O38+P38+Q38)/3</f>
        <v/>
      </c>
      <c r="S38" t="n">
        <v>900</v>
      </c>
    </row>
    <row r="39">
      <c r="A39" t="inlineStr">
        <is>
          <t>RA2 Modded</t>
        </is>
      </c>
      <c r="B39" t="inlineStr">
        <is>
          <t>Lynx Tank (Cannon)</t>
        </is>
      </c>
      <c r="D39" t="n">
        <v>120000</v>
      </c>
      <c r="E39" t="n">
        <v>90</v>
      </c>
      <c r="F39" s="7">
        <f>(S39*37500000/(L39*M39*D39*E39*K39*J39)-((500/(K39*J39))+(2500000000/(D39*E39*K39*J39)*(D39/100000+E39/100+J39/200))))/(1+5000000/(D39*E39)+(500000000/(D39*E39*J39)))</f>
        <v/>
      </c>
      <c r="G39" t="n">
        <v>12000</v>
      </c>
      <c r="H39" t="n">
        <v>0.875</v>
      </c>
      <c r="I39" t="n">
        <v>55</v>
      </c>
      <c r="J39" s="6">
        <f>G39/I39*H39</f>
        <v/>
      </c>
      <c r="K39" t="n">
        <v>1</v>
      </c>
      <c r="L39" t="n">
        <v>1</v>
      </c>
      <c r="M39" t="n">
        <v>1</v>
      </c>
      <c r="N39" s="6">
        <f>D39/J39</f>
        <v/>
      </c>
      <c r="O39" s="6">
        <f>(D39/100000+E39/100+F39*K39/5+J39/200)*200*L39*M39</f>
        <v/>
      </c>
      <c r="P39" s="6">
        <f>((D39*E39/25000)+(F39*K39*J39/2.5))*L39*M39</f>
        <v/>
      </c>
      <c r="Q39" s="6">
        <f>(D39*E39*F39*K39*J39*L39*M39)/12500000</f>
        <v/>
      </c>
      <c r="R39" s="6">
        <f>(O39+P39+Q39)/3</f>
        <v/>
      </c>
      <c r="S39" t="n">
        <v>850</v>
      </c>
    </row>
    <row r="40">
      <c r="B40" t="inlineStr">
        <is>
          <t>Lynx Tank (MG)</t>
        </is>
      </c>
      <c r="D40" t="n">
        <v>120000</v>
      </c>
      <c r="E40" t="n">
        <v>90</v>
      </c>
      <c r="F40" s="7">
        <f>(S40*37500000/(L40*M40*D40*E40*K40*J40)-((500/(K40*J40))+(2500000000/(D40*E40*K40*J40)*(D40/100000+E40/100+J40/200))))/(1+5000000/(D40*E40)+(500000000/(D40*E40*J40)))</f>
        <v/>
      </c>
      <c r="G40" t="n">
        <v>12000</v>
      </c>
      <c r="H40" t="n">
        <v>0.875</v>
      </c>
      <c r="I40" t="n">
        <v>55</v>
      </c>
      <c r="J40" s="6">
        <f>G40/I40*H40</f>
        <v/>
      </c>
      <c r="K40" t="n">
        <v>1</v>
      </c>
      <c r="L40" t="n">
        <v>1</v>
      </c>
      <c r="M40" t="n">
        <v>1</v>
      </c>
      <c r="N40" s="6">
        <f>D40/J40</f>
        <v/>
      </c>
      <c r="O40" s="6">
        <f>(D40/100000+E40/100+F40*K40/5+J40/200)*200*L40*M40</f>
        <v/>
      </c>
      <c r="P40" s="6">
        <f>((D40*E40/25000)+(F40*K40*J40/2.5))*L40*M40</f>
        <v/>
      </c>
      <c r="Q40" s="6">
        <f>(D40*E40*F40*K40*J40*L40*M40)/12500000</f>
        <v/>
      </c>
      <c r="R40" s="6">
        <f>(O40+P40+Q40)/3</f>
        <v/>
      </c>
      <c r="S40" t="n">
        <v>850</v>
      </c>
    </row>
    <row r="41">
      <c r="B41" t="inlineStr">
        <is>
          <t>AA Flame Tank</t>
        </is>
      </c>
      <c r="D41" t="n">
        <v>85000</v>
      </c>
      <c r="E41" t="n">
        <v>85</v>
      </c>
      <c r="F41" s="7">
        <f>(S41*37500000/(L41*M41*D41*E41*K41*J41)-((500/(K41*J41))+(2500000000/(D41*E41*K41*J41)*(D41/100000+E41/100+J41/200))))/(1+5000000/(D41*E41)+(500000000/(D41*E41*J41)))</f>
        <v/>
      </c>
      <c r="G41" t="n">
        <v>36000</v>
      </c>
      <c r="H41" t="n">
        <v>0.75</v>
      </c>
      <c r="I41" t="n">
        <v>40</v>
      </c>
      <c r="J41" s="6">
        <f>G41/I41*H41</f>
        <v/>
      </c>
      <c r="K41" t="n">
        <v>1</v>
      </c>
      <c r="L41" t="n">
        <v>1</v>
      </c>
      <c r="M41" t="n">
        <v>1</v>
      </c>
      <c r="N41" s="6">
        <f>D41/J41</f>
        <v/>
      </c>
      <c r="O41" s="6">
        <f>(D41/100000+E41/100+F41*K41/5+J41/200)*200*L41*M41</f>
        <v/>
      </c>
      <c r="P41" s="6">
        <f>((D41*E41/25000)+(F41*K41*J41/2.5))*L41*M41</f>
        <v/>
      </c>
      <c r="Q41" s="6">
        <f>(D41*E41*F41*K41*J41*L41*M41)/12500000</f>
        <v/>
      </c>
      <c r="R41" s="6">
        <f>(O41+P41+Q41)/3</f>
        <v/>
      </c>
      <c r="S41" t="n">
        <v>1300</v>
      </c>
    </row>
    <row r="42">
      <c r="B42" t="inlineStr">
        <is>
          <t>Rusher Tank (Cannon)</t>
        </is>
      </c>
      <c r="D42" t="n">
        <v>75000</v>
      </c>
      <c r="E42" t="n">
        <v>115</v>
      </c>
      <c r="F42" s="7">
        <f>(S42*37500000/(L42*M42*D42*E42*K42*J42)-((500/(K42*J42))+(2500000000/(D42*E42*K42*J42)*(D42/100000+E42/100+J42/200))))/(1+5000000/(D42*E42)+(500000000/(D42*E42*J42)))</f>
        <v/>
      </c>
      <c r="G42" t="n">
        <v>6000</v>
      </c>
      <c r="H42" t="n">
        <v>1</v>
      </c>
      <c r="I42" t="n">
        <v>38</v>
      </c>
      <c r="J42" s="6">
        <f>G42/I42*H42</f>
        <v/>
      </c>
      <c r="K42" t="n">
        <v>1</v>
      </c>
      <c r="L42" t="n">
        <v>1</v>
      </c>
      <c r="M42" t="n">
        <v>1</v>
      </c>
      <c r="N42" s="6">
        <f>D42/J42</f>
        <v/>
      </c>
      <c r="O42" s="6">
        <f>(D42/100000+E42/100+F42*K42/5+J42/200)*200*L42*M42</f>
        <v/>
      </c>
      <c r="P42" s="6">
        <f>((D42*E42/25000)+(F42*K42*J42/2.5))*L42*M42</f>
        <v/>
      </c>
      <c r="Q42" s="6">
        <f>(D42*E42*F42*K42*J42*L42*M42)/12500000</f>
        <v/>
      </c>
      <c r="R42" s="6">
        <f>(O42+P42+Q42)/3</f>
        <v/>
      </c>
      <c r="S42" t="n">
        <v>650</v>
      </c>
    </row>
    <row r="43">
      <c r="B43" t="inlineStr">
        <is>
          <t>Rusher Tank (Rockets)</t>
        </is>
      </c>
      <c r="D43" t="n">
        <v>75000</v>
      </c>
      <c r="E43" t="n">
        <v>115</v>
      </c>
      <c r="F43" s="7">
        <f>(S43*37500000/(L43*M43*D43*E43*K43*J43)-((500/(K43*J43))+(2500000000/(D43*E43*K43*J43)*(D43/100000+E43/100+J43/200))))/(1+5000000/(D43*E43)+(500000000/(D43*E43*J43)))</f>
        <v/>
      </c>
      <c r="G43" t="n">
        <v>16000</v>
      </c>
      <c r="H43" t="n">
        <v>1</v>
      </c>
      <c r="I43" t="n">
        <v>101</v>
      </c>
      <c r="J43" s="6">
        <f>G43/I43*H43</f>
        <v/>
      </c>
      <c r="K43" t="n">
        <v>1</v>
      </c>
      <c r="L43" t="n">
        <v>1</v>
      </c>
      <c r="M43" t="n">
        <v>1</v>
      </c>
      <c r="N43" s="6">
        <f>D43/J43</f>
        <v/>
      </c>
      <c r="O43" s="6">
        <f>(D43/100000+E43/100+F43*K43/5+J43/200)*200*L43*M43</f>
        <v/>
      </c>
      <c r="P43" s="6">
        <f>((D43*E43/25000)+(F43*K43*J43/2.5))*L43*M43</f>
        <v/>
      </c>
      <c r="Q43" s="6">
        <f>(D43*E43*F43*K43*J43*L43*M43)/12500000</f>
        <v/>
      </c>
      <c r="R43" s="6">
        <f>(O43+P43+Q43)/3</f>
        <v/>
      </c>
      <c r="S43" t="n">
        <v>650</v>
      </c>
    </row>
    <row r="44">
      <c r="B44" t="inlineStr">
        <is>
          <t>Smoker Tank (Cannon)</t>
        </is>
      </c>
      <c r="D44" t="n">
        <v>260000</v>
      </c>
      <c r="E44" t="n">
        <v>95</v>
      </c>
      <c r="F44" s="7">
        <f>(S44*37500000/(L44*M44*D44*E44*K44*J44)-((500/(K44*J44))+(2500000000/(D44*E44*K44*J44)*(D44/100000+E44/100+J44/200))))/(1+5000000/(D44*E44)+(500000000/(D44*E44*J44)))</f>
        <v/>
      </c>
      <c r="G44" t="n">
        <v>12000</v>
      </c>
      <c r="H44" t="n">
        <v>1.125</v>
      </c>
      <c r="I44" t="n">
        <v>65</v>
      </c>
      <c r="J44" s="6">
        <f>G44/I44*H44</f>
        <v/>
      </c>
      <c r="K44" t="n">
        <v>1</v>
      </c>
      <c r="L44" t="n">
        <v>1</v>
      </c>
      <c r="M44" t="n">
        <v>1</v>
      </c>
      <c r="N44" s="6">
        <f>D44/J44</f>
        <v/>
      </c>
      <c r="O44" s="6">
        <f>(D44/100000+E44/100+F44*K44/5+J44/200)*200*L44*M44</f>
        <v/>
      </c>
      <c r="P44" s="6">
        <f>((D44*E44/25000)+(F44*K44*J44/2.5))*L44*M44</f>
        <v/>
      </c>
      <c r="Q44" s="6">
        <f>(D44*E44*F44*K44*J44*L44*M44)/12500000</f>
        <v/>
      </c>
      <c r="R44" s="6">
        <f>(O44+P44+Q44)/3</f>
        <v/>
      </c>
      <c r="S44" t="n">
        <v>1800</v>
      </c>
    </row>
    <row r="45">
      <c r="B45" t="inlineStr">
        <is>
          <t>Smoker Tank (Grenade Pack)</t>
        </is>
      </c>
      <c r="D45" t="n">
        <v>260000</v>
      </c>
      <c r="E45" t="n">
        <v>95</v>
      </c>
      <c r="F45" s="7">
        <f>(S45*37500000/(L45*M45*D45*E45*K45*J45)-((500/(K45*J45))+(2500000000/(D45*E45*K45*J45)*(D45/100000+E45/100+J45/200))))/(1+5000000/(D45*E45)+(500000000/(D45*E45*J45)))</f>
        <v/>
      </c>
      <c r="G45" t="n">
        <v>24000</v>
      </c>
      <c r="H45" t="n">
        <v>1</v>
      </c>
      <c r="I45" t="n">
        <v>116</v>
      </c>
      <c r="J45" s="6">
        <f>G45/I45*H45</f>
        <v/>
      </c>
      <c r="K45" t="n">
        <v>1</v>
      </c>
      <c r="L45" t="n">
        <v>1</v>
      </c>
      <c r="M45" t="n">
        <v>1</v>
      </c>
      <c r="N45" s="6">
        <f>D45/J45</f>
        <v/>
      </c>
      <c r="O45" s="6">
        <f>(D45/100000+E45/100+F45*K45/5+J45/200)*200*L45*M45</f>
        <v/>
      </c>
      <c r="P45" s="6">
        <f>((D45*E45/25000)+(F45*K45*J45/2.5))*L45*M45</f>
        <v/>
      </c>
      <c r="Q45" s="6">
        <f>(D45*E45*F45*K45*J45*L45*M45)/12500000</f>
        <v/>
      </c>
      <c r="R45" s="6">
        <f>(O45+P45+Q45)/3</f>
        <v/>
      </c>
      <c r="S45" t="n">
        <v>1800</v>
      </c>
    </row>
    <row r="46">
      <c r="B46" t="inlineStr">
        <is>
          <t>Smoker Tank (Rockets)</t>
        </is>
      </c>
      <c r="D46" t="n">
        <v>260000</v>
      </c>
      <c r="E46" t="n">
        <v>95</v>
      </c>
      <c r="F46" s="7">
        <f>(S46*37500000/(L46*M46*D46*E46*K46*J46)-((500/(K46*J46))+(2500000000/(D46*E46*K46*J46)*(D46/100000+E46/100+J46/200))))/(1+5000000/(D46*E46)+(500000000/(D46*E46*J46)))</f>
        <v/>
      </c>
      <c r="G46" t="n">
        <v>24000</v>
      </c>
      <c r="H46" t="n">
        <v>1</v>
      </c>
      <c r="I46" t="n">
        <v>116</v>
      </c>
      <c r="J46" s="6">
        <f>G46/I46*H46</f>
        <v/>
      </c>
      <c r="K46" t="n">
        <v>1</v>
      </c>
      <c r="L46" t="n">
        <v>1</v>
      </c>
      <c r="M46" t="n">
        <v>1</v>
      </c>
      <c r="N46" s="6">
        <f>D46/J46</f>
        <v/>
      </c>
      <c r="O46" s="6">
        <f>(D46/100000+E46/100+F46*K46/5+J46/200)*200*L46*M46</f>
        <v/>
      </c>
      <c r="P46" s="6">
        <f>((D46*E46/25000)+(F46*K46*J46/2.5))*L46*M46</f>
        <v/>
      </c>
      <c r="Q46" s="6">
        <f>(D46*E46*F46*K46*J46*L46*M46)/12500000</f>
        <v/>
      </c>
      <c r="R46" s="6">
        <f>(O46+P46+Q46)/3</f>
        <v/>
      </c>
      <c r="S46" t="n">
        <v>1800</v>
      </c>
    </row>
    <row r="47">
      <c r="B47" t="inlineStr">
        <is>
          <t>Cannon Attack Robot</t>
        </is>
      </c>
      <c r="D47" t="n">
        <v>80000</v>
      </c>
      <c r="E47" t="n">
        <v>35</v>
      </c>
      <c r="F47" s="7">
        <f>(S47*37500000/(L47*M47*D47*E47*K47*J47)-((500/(K47*J47))+(2500000000/(D47*E47*K47*J47)*(D47/100000+E47/100+J47/200))))/(1+5000000/(D47*E47)+(500000000/(D47*E47*J47)))</f>
        <v/>
      </c>
      <c r="G47" t="n">
        <v>8000</v>
      </c>
      <c r="H47" t="n">
        <v>1</v>
      </c>
      <c r="I47" t="n">
        <v>25</v>
      </c>
      <c r="J47" s="6">
        <f>G47/I47*H47</f>
        <v/>
      </c>
      <c r="K47" t="n">
        <v>1</v>
      </c>
      <c r="L47" t="n">
        <v>1</v>
      </c>
      <c r="M47" t="n">
        <v>0.5</v>
      </c>
      <c r="N47" s="6">
        <f>D47/J47</f>
        <v/>
      </c>
      <c r="O47" s="6">
        <f>(D47/100000+E47/100+F47*K47/5+J47/200)*200*L47*M47</f>
        <v/>
      </c>
      <c r="P47" s="6">
        <f>((D47*E47/25000)+(F47*K47*J47/2.5))*L47*M47</f>
        <v/>
      </c>
      <c r="Q47" s="6">
        <f>(D47*E47*F47*K47*J47*L47*M47)/12500000</f>
        <v/>
      </c>
      <c r="R47" s="6">
        <f>(O47+P47+Q47)/3</f>
        <v/>
      </c>
      <c r="S47" t="n">
        <v>350</v>
      </c>
    </row>
    <row r="48">
      <c r="B48" t="inlineStr">
        <is>
          <t>Guardian Heavy Tank</t>
        </is>
      </c>
      <c r="D48" t="n">
        <v>115000</v>
      </c>
      <c r="E48" t="n">
        <v>85</v>
      </c>
      <c r="F48" s="7">
        <f>(S48*37500000/(L48*M48*D48*E48*K48*J48)-((500/(K48*J48))+(2500000000/(D48*E48*K48*J48)*(D48/100000+E48/100+J48/200))))/(1+5000000/(D48*E48)+(500000000/(D48*E48*J48)))</f>
        <v/>
      </c>
      <c r="G48" t="n">
        <v>12000</v>
      </c>
      <c r="H48" t="n">
        <v>1</v>
      </c>
      <c r="I48" t="n">
        <v>85</v>
      </c>
      <c r="J48" s="6">
        <f>G48/I48*H48</f>
        <v/>
      </c>
      <c r="K48" t="n">
        <v>1</v>
      </c>
      <c r="L48" t="n">
        <v>1</v>
      </c>
      <c r="M48" t="n">
        <v>1</v>
      </c>
      <c r="N48" s="6">
        <f>D48/J48</f>
        <v/>
      </c>
      <c r="O48" s="6">
        <f>(D48/100000+E48/100+F48*K48/5+J48/200)*200*L48*M48</f>
        <v/>
      </c>
      <c r="P48" s="6">
        <f>((D48*E48/25000)+(F48*K48*J48/2.5))*L48*M48</f>
        <v/>
      </c>
      <c r="Q48" s="6">
        <f>(D48*E48*F48*K48*J48*L48*M48)/12500000</f>
        <v/>
      </c>
      <c r="R48" s="6">
        <f>(O48+P48+Q48)/3</f>
        <v/>
      </c>
      <c r="S48" t="n">
        <v>850</v>
      </c>
    </row>
    <row r="49">
      <c r="B49" t="inlineStr">
        <is>
          <t>Mako</t>
        </is>
      </c>
      <c r="D49" t="n">
        <v>95000</v>
      </c>
      <c r="E49" t="n">
        <v>85</v>
      </c>
      <c r="F49" s="7">
        <f>(S49*37500000/(L49*M49*D49*E49*K49*J49)-((500/(K49*J49))+(2500000000/(D49*E49*K49*J49)*(D49/100000+E49/100+J49/200))))/(1+5000000/(D49*E49)+(500000000/(D49*E49*J49)))</f>
        <v/>
      </c>
      <c r="G49" s="4" t="n">
        <v>8000</v>
      </c>
      <c r="H49" t="n">
        <v>1</v>
      </c>
      <c r="I49" t="n">
        <v>25</v>
      </c>
      <c r="J49" s="6">
        <f>G49/I49*H49</f>
        <v/>
      </c>
      <c r="K49" t="n">
        <v>0.75</v>
      </c>
      <c r="L49" t="n">
        <v>1</v>
      </c>
      <c r="M49" t="n">
        <v>1</v>
      </c>
      <c r="N49" s="6">
        <f>D49/J49</f>
        <v/>
      </c>
      <c r="O49" s="6">
        <f>(D49/100000+E49/100+F49*K49/5+J49/200)*200*L49*M49</f>
        <v/>
      </c>
      <c r="P49" s="6">
        <f>((D49*E49/25000)+(F49*K49*J49/2.5))*L49*M49</f>
        <v/>
      </c>
      <c r="Q49" s="6">
        <f>(D49*E49*F49*K49*J49*L49*M49)/12500000</f>
        <v/>
      </c>
      <c r="R49" s="6">
        <f>(O49+P49+Q49)/3</f>
        <v/>
      </c>
      <c r="S49" t="n">
        <v>900</v>
      </c>
    </row>
    <row r="50">
      <c r="B50" t="inlineStr">
        <is>
          <t>Quantum Tank</t>
        </is>
      </c>
      <c r="D50" t="n">
        <v>100000</v>
      </c>
      <c r="E50" t="n">
        <v>100</v>
      </c>
      <c r="F50" s="7">
        <f>(S50*37500000/(L50*M50*D50*E50*K50*J50)-((500/(K50*J50))+(2500000000/(D50*E50*K50*J50)*(D50/100000+E50/100+J50/200))))/(1+5000000/(D50*E50)+(500000000/(D50*E50*J50)))</f>
        <v/>
      </c>
      <c r="G50" t="n">
        <v>24000</v>
      </c>
      <c r="H50" t="n">
        <v>1.25</v>
      </c>
      <c r="I50" t="n">
        <v>65</v>
      </c>
      <c r="J50" s="6">
        <f>G50/I50*H50</f>
        <v/>
      </c>
      <c r="K50" t="n">
        <v>1</v>
      </c>
      <c r="L50" t="n">
        <v>1</v>
      </c>
      <c r="M50" t="n">
        <v>1</v>
      </c>
      <c r="N50" s="6">
        <f>D50/J50</f>
        <v/>
      </c>
      <c r="O50" s="6">
        <f>(D50/100000+E50/100+F50*K50/5+J50/200)*200*L50*M50</f>
        <v/>
      </c>
      <c r="P50" s="6">
        <f>((D50*E50/25000)+(F50*K50*J50/2.5))*L50*M50</f>
        <v/>
      </c>
      <c r="Q50" s="6">
        <f>(D50*E50*F50*K50*J50*L50*M50)/12500000</f>
        <v/>
      </c>
      <c r="R50" s="6">
        <f>(O50+P50+Q50)/3</f>
        <v/>
      </c>
      <c r="S50" t="n">
        <v>1600</v>
      </c>
    </row>
    <row r="51">
      <c r="A51" t="inlineStr">
        <is>
          <t>Outpost 2</t>
        </is>
      </c>
      <c r="B51" t="inlineStr">
        <is>
          <t>Eden Laser Lynx</t>
        </is>
      </c>
      <c r="D51" t="n">
        <v>75000</v>
      </c>
      <c r="E51" t="n">
        <v>75</v>
      </c>
      <c r="F51" s="7">
        <f>(S51*37500000/(L51*M51*D51*E51*K51*J51)-((500/(K51*J51))+(2500000000/(D51*E51*K51*J51)*(D51/100000+E51/100+J51/200))))/(1+5000000/(D51*E51)+(500000000/(D51*E51*J51)))</f>
        <v/>
      </c>
      <c r="G51" t="n">
        <v>8000</v>
      </c>
      <c r="H51" t="n">
        <v>1</v>
      </c>
      <c r="I51" t="n">
        <v>29</v>
      </c>
      <c r="J51" s="6">
        <f>G51/I51*H51</f>
        <v/>
      </c>
      <c r="K51" t="n">
        <v>1</v>
      </c>
      <c r="L51" t="n">
        <v>1</v>
      </c>
      <c r="M51" t="n">
        <v>1</v>
      </c>
      <c r="N51" s="6">
        <f>D51/J51</f>
        <v/>
      </c>
      <c r="O51" s="6">
        <f>(D51/100000+E51/100+F51*K51/5+J51/200)*200*L51*M51</f>
        <v/>
      </c>
      <c r="P51" s="6">
        <f>((D51*E51/25000)+(F51*K51*J51/2.5))*L51*M51</f>
        <v/>
      </c>
      <c r="Q51" s="6">
        <f>(D51*E51*F51*K51*J51*L51*M51)/12500000</f>
        <v/>
      </c>
      <c r="R51" s="6">
        <f>(O51+P51+Q51)/3</f>
        <v/>
      </c>
      <c r="S51" t="n">
        <v>750</v>
      </c>
    </row>
    <row r="52">
      <c r="B52" t="inlineStr">
        <is>
          <t>Eden Laser Tiger</t>
        </is>
      </c>
      <c r="D52" t="n">
        <v>150000</v>
      </c>
      <c r="E52" t="n">
        <v>50</v>
      </c>
      <c r="F52" s="7">
        <f>(S52*37500000/(L52*M52*D52*E52*K52*J52)-((500/(K52*J52))+(2500000000/(D52*E52*K52*J52)*(D52/100000+E52/100+J52/200))))/(1+5000000/(D52*E52)+(500000000/(D52*E52*J52)))</f>
        <v/>
      </c>
      <c r="G52" t="n">
        <v>10000</v>
      </c>
      <c r="H52" t="n">
        <v>1</v>
      </c>
      <c r="I52" t="n">
        <v>16</v>
      </c>
      <c r="J52" s="6">
        <f>G52/I52*H52</f>
        <v/>
      </c>
      <c r="K52" t="n">
        <v>1</v>
      </c>
      <c r="L52" t="n">
        <v>1</v>
      </c>
      <c r="M52" t="n">
        <v>0.75</v>
      </c>
      <c r="N52" s="6">
        <f>D52/J52</f>
        <v/>
      </c>
      <c r="O52" s="6">
        <f>(D52/100000+E52/100+F52*K52/5+J52/200)*200*L52*M52</f>
        <v/>
      </c>
      <c r="P52" s="6">
        <f>((D52*E52/25000)+(F52*K52*J52/2.5))*L52*M52</f>
        <v/>
      </c>
      <c r="Q52" s="6">
        <f>(D52*E52*F52*K52*J52*L52*M52)/12500000</f>
        <v/>
      </c>
      <c r="R52" s="6">
        <f>(O52+P52+Q52)/3</f>
        <v/>
      </c>
      <c r="S52" t="n">
        <v>1500</v>
      </c>
    </row>
    <row r="54">
      <c r="B54" t="inlineStr">
        <is>
          <t>Beta Quantum Tank</t>
        </is>
      </c>
      <c r="D54" t="n">
        <v>112500</v>
      </c>
      <c r="E54" t="n">
        <v>80</v>
      </c>
      <c r="F54" s="7">
        <f>(S54*37500000/(L54*M54*D54*E54*K54*J54)-((500/(K54*J54))+(2500000000/(D54*E54*K54*J54)*(D54/100000+E54/100+J54/200))))/(1+5000000/(D54*E54)+(500000000/(D54*E54*J54)))</f>
        <v/>
      </c>
      <c r="G54" t="n">
        <v>24000</v>
      </c>
      <c r="H54" t="n">
        <v>1.25</v>
      </c>
      <c r="I54" t="n">
        <v>65</v>
      </c>
      <c r="J54" s="6">
        <f>G54/I54*H54</f>
        <v/>
      </c>
      <c r="K54" t="n">
        <v>1</v>
      </c>
      <c r="L54" t="n">
        <v>1</v>
      </c>
      <c r="M54" t="n">
        <v>1</v>
      </c>
      <c r="O54" s="6">
        <f>(D54/100000+E54/100+F54*K54/5+J54/200)*200*L54*M54</f>
        <v/>
      </c>
      <c r="P54" s="6">
        <f>((D54*E54/25000)+(F54*K54*J54/2.5))*L54*M54</f>
        <v/>
      </c>
      <c r="Q54" s="6">
        <f>(D54*E54*F54*K54*J54*L54*M54)/12500000</f>
        <v/>
      </c>
      <c r="R54" s="6">
        <f>(O54+P54+Q54)/3</f>
        <v/>
      </c>
      <c r="S54" t="n">
        <v>1700</v>
      </c>
    </row>
    <row r="56">
      <c r="B56" t="inlineStr">
        <is>
          <t>High Tech Tanks</t>
        </is>
      </c>
      <c r="D56" t="inlineStr">
        <is>
          <t>HP</t>
        </is>
      </c>
      <c r="E56" t="inlineStr">
        <is>
          <t>Speed</t>
        </is>
      </c>
      <c r="F56" s="7" t="inlineStr">
        <is>
          <t>Range</t>
        </is>
      </c>
      <c r="G56" t="inlineStr">
        <is>
          <t>Damage</t>
        </is>
      </c>
      <c r="H56" t="inlineStr">
        <is>
          <t>Weapon Class</t>
        </is>
      </c>
      <c r="I56" t="inlineStr">
        <is>
          <t>Reload Delay</t>
        </is>
      </c>
      <c r="J56" s="6" t="inlineStr">
        <is>
          <t>DPS</t>
        </is>
      </c>
      <c r="K56" t="inlineStr">
        <is>
          <t>Special</t>
        </is>
      </c>
      <c r="L56" t="inlineStr">
        <is>
          <t>Unit Class</t>
        </is>
      </c>
      <c r="M56" t="inlineStr">
        <is>
          <t>Tech Tier</t>
        </is>
      </c>
      <c r="N56" t="inlineStr">
        <is>
          <t>HP/DPS</t>
        </is>
      </c>
      <c r="S56" t="inlineStr">
        <is>
          <t>Cost</t>
        </is>
      </c>
    </row>
    <row r="58">
      <c r="A58" t="inlineStr">
        <is>
          <t>TD</t>
        </is>
      </c>
      <c r="B58" s="3" t="inlineStr">
        <is>
          <t>GDI Mammoth Tank</t>
        </is>
      </c>
      <c r="D58" t="n">
        <v>225000</v>
      </c>
      <c r="E58" t="n">
        <v>60</v>
      </c>
      <c r="F58" s="7">
        <f>(S58*37500000/(L58*M58*D58*E58*K58*J58)-((500/(K58*J58))+(2500000000/(D58*E58*K58*J58)*(D58/100000+E58/100+J58/200))))/(1+5000000/(D58*E58)+(500000000/(D58*E58*J58)))</f>
        <v/>
      </c>
      <c r="G58" t="n">
        <v>32000</v>
      </c>
      <c r="H58" t="n">
        <v>1.25</v>
      </c>
      <c r="I58" t="n">
        <v>80</v>
      </c>
      <c r="J58" s="6">
        <f>G58/I58*H58</f>
        <v/>
      </c>
      <c r="K58" t="n">
        <v>1</v>
      </c>
      <c r="L58" t="n">
        <v>1</v>
      </c>
      <c r="M58" t="n">
        <v>0.75</v>
      </c>
      <c r="N58" s="6">
        <f>D58/J58</f>
        <v/>
      </c>
      <c r="O58" s="6">
        <f>(D58/100000+E58/100+F58*K58/5+J58/200)*200*L58*M58</f>
        <v/>
      </c>
      <c r="P58" s="6">
        <f>((D58*E58/25000)+(F58*K58*J58/2.5))*L58*M58</f>
        <v/>
      </c>
      <c r="Q58" s="6">
        <f>(D58*E58*F58*K58*J58*L58*M58)/12500000</f>
        <v/>
      </c>
      <c r="R58" s="6">
        <f>(O58+P58+Q58)/3</f>
        <v/>
      </c>
      <c r="S58" t="n">
        <v>1600</v>
      </c>
    </row>
    <row r="59">
      <c r="B59" s="3" t="inlineStr">
        <is>
          <t>Chemical Stealth Tank</t>
        </is>
      </c>
      <c r="C59" s="3" t="n"/>
      <c r="D59" t="n">
        <v>90000</v>
      </c>
      <c r="E59" t="n">
        <v>120</v>
      </c>
      <c r="F59" s="7">
        <f>(S59*37500000/(L59*M59*D59*E59*K59*J59)-((500/(K59*J59))+(2500000000/(D59*E59*K59*J59)*(D59/100000+E59/100+J59/200))))/(1+5000000/(D59*E59)+(500000000/(D59*E59*J59)))</f>
        <v/>
      </c>
      <c r="G59" t="n">
        <v>30000</v>
      </c>
      <c r="H59" t="n">
        <v>1</v>
      </c>
      <c r="I59" t="n">
        <v>60</v>
      </c>
      <c r="J59" s="6">
        <f>G59/I59*H59</f>
        <v/>
      </c>
      <c r="K59" t="n">
        <v>1.25</v>
      </c>
      <c r="L59" t="n">
        <v>1</v>
      </c>
      <c r="M59" t="n">
        <v>0.75</v>
      </c>
      <c r="N59" s="6">
        <f>D59/J59</f>
        <v/>
      </c>
      <c r="O59" s="6">
        <f>(D59/100000+E59/100+F59*K59/5+J59/200)*200*L59*M59</f>
        <v/>
      </c>
      <c r="P59" s="6">
        <f>((D59*E59/25000)+(F59*K59*J59/2.5))*L59*M59</f>
        <v/>
      </c>
      <c r="Q59" s="6">
        <f>(D59*E59*F59*K59*J59*L59*M59)/12500000</f>
        <v/>
      </c>
      <c r="R59" s="6">
        <f>(O59+P59+Q59)/3</f>
        <v/>
      </c>
      <c r="S59" t="n">
        <v>1800</v>
      </c>
    </row>
    <row r="60">
      <c r="B60" s="3" t="inlineStr">
        <is>
          <t>Flame Tank Mk2</t>
        </is>
      </c>
      <c r="C60" s="3" t="n"/>
      <c r="D60" t="n">
        <v>200000</v>
      </c>
      <c r="E60" t="n">
        <v>75</v>
      </c>
      <c r="F60" s="7">
        <f>(S60*37500000/(L60*M60*D60*E60*K60*J60)-((500/(K60*J60))+(2500000000/(D60*E60*K60*J60)*(D60/100000+E60/100+J60/200))))/(1+5000000/(D60*E60)+(500000000/(D60*E60*J60)))</f>
        <v/>
      </c>
      <c r="G60" t="n">
        <v>40000</v>
      </c>
      <c r="H60" t="n">
        <v>1.25</v>
      </c>
      <c r="I60" t="n">
        <v>64</v>
      </c>
      <c r="J60" s="6">
        <f>G60/I60*H60</f>
        <v/>
      </c>
      <c r="K60" t="n">
        <v>1</v>
      </c>
      <c r="L60" t="n">
        <v>1</v>
      </c>
      <c r="M60" t="n">
        <v>0.75</v>
      </c>
      <c r="N60" s="6">
        <f>D60/J60</f>
        <v/>
      </c>
      <c r="O60" s="6">
        <f>(D60/100000+E60/100+F60*K60/5+J60/200)*200*L60*M60</f>
        <v/>
      </c>
      <c r="P60" s="6">
        <f>((D60*E60/25000)+(F60*K60*J60/2.5))*L60*M60</f>
        <v/>
      </c>
      <c r="Q60" s="6">
        <f>(D60*E60*F60*K60*J60*L60*M60)/12500000</f>
        <v/>
      </c>
      <c r="R60" s="6">
        <f>(O60+P60+Q60)/3</f>
        <v/>
      </c>
      <c r="S60" t="n">
        <v>1300</v>
      </c>
    </row>
    <row r="61">
      <c r="B61" s="3" t="inlineStr">
        <is>
          <t>Mammoth Mk3</t>
        </is>
      </c>
      <c r="C61" s="3" t="n"/>
      <c r="D61" t="n">
        <v>500000</v>
      </c>
      <c r="E61" t="n">
        <v>55</v>
      </c>
      <c r="F61" s="7">
        <f>(S61*37500000/(L61*M61*D61*E61*K61*J61)-((500/(K61*J61))+(2500000000/(D61*E61*K61*J61)*(D61/100000+E61/100+J61/200))))/(1+5000000/(D61*E61)+(500000000/(D61*E61*J61)))</f>
        <v/>
      </c>
      <c r="G61" t="n">
        <v>48000</v>
      </c>
      <c r="H61" t="n">
        <v>1.25</v>
      </c>
      <c r="I61" t="n">
        <v>110</v>
      </c>
      <c r="J61" s="6">
        <f>G61/I61*H61</f>
        <v/>
      </c>
      <c r="K61" t="n">
        <v>1</v>
      </c>
      <c r="L61" t="n">
        <v>1</v>
      </c>
      <c r="M61" t="n">
        <v>0.75</v>
      </c>
      <c r="N61" s="6">
        <f>D61/J61</f>
        <v/>
      </c>
      <c r="O61" s="6">
        <f>(D61/100000+E61/100+F61*K61/5+J61/200)*200*L61*M61</f>
        <v/>
      </c>
      <c r="P61" s="6">
        <f>((D61*E61/25000)+(F61*K61*J61/2.5))*L61*M61</f>
        <v/>
      </c>
      <c r="Q61" s="6">
        <f>(D61*E61*F61*K61*J61*L61*M61)/12500000</f>
        <v/>
      </c>
      <c r="R61" s="6">
        <f>(O61+P61+Q61)/3</f>
        <v/>
      </c>
      <c r="S61" t="n">
        <v>3000</v>
      </c>
    </row>
    <row r="62">
      <c r="A62" t="inlineStr">
        <is>
          <t>RA1</t>
        </is>
      </c>
      <c r="B62" t="inlineStr">
        <is>
          <t>Soviet Mammoth Tank</t>
        </is>
      </c>
      <c r="D62" t="n">
        <v>375000</v>
      </c>
      <c r="E62" t="n">
        <v>50</v>
      </c>
      <c r="F62" s="7">
        <f>(S62*37500000/(L62*M62*D62*E62*K62*J62)-((500/(K62*J62))+(2500000000/(D62*E62*K62*J62)*(D62/100000+E62/100+J62/200))))/(1+5000000/(D62*E62)+(500000000/(D62*E62*J62)))</f>
        <v/>
      </c>
      <c r="G62" t="n">
        <v>48000</v>
      </c>
      <c r="H62" t="n">
        <v>1</v>
      </c>
      <c r="I62" t="n">
        <v>103</v>
      </c>
      <c r="J62" s="6">
        <f>G62/I62*H62</f>
        <v/>
      </c>
      <c r="K62" t="n">
        <v>1</v>
      </c>
      <c r="L62" t="n">
        <v>1</v>
      </c>
      <c r="M62" t="n">
        <v>0.75</v>
      </c>
      <c r="N62" s="6">
        <f>D62/J62</f>
        <v/>
      </c>
      <c r="O62" s="6">
        <f>(D62/100000+E62/100+F62*K62/5+J62/200)*200*L62*M62</f>
        <v/>
      </c>
      <c r="P62" s="6">
        <f>((D62*E62/25000)+(F62*K62*J62/2.5))*L62*M62</f>
        <v/>
      </c>
      <c r="Q62" s="6">
        <f>(D62*E62*F62*K62*J62*L62*M62)/12500000</f>
        <v/>
      </c>
      <c r="R62" s="6">
        <f>(O62+P62+Q62)/3</f>
        <v/>
      </c>
      <c r="S62" t="n">
        <v>2000</v>
      </c>
    </row>
    <row r="63">
      <c r="B63" s="5" t="inlineStr">
        <is>
          <t>Heavy Tesla Tank</t>
        </is>
      </c>
      <c r="C63" s="3" t="n"/>
      <c r="D63" t="n">
        <v>150000</v>
      </c>
      <c r="E63" t="n">
        <v>60</v>
      </c>
      <c r="F63" s="7">
        <f>(S63*37500000/(L63*M63*D63*E63*K63*J63)-((500/(K63*J63))+(2500000000/(D63*E63*K63*J63)*(D63/100000+E63/100+J63/200))))/(1+5000000/(D63*E63)+(500000000/(D63*E63*J63)))</f>
        <v/>
      </c>
      <c r="G63" t="n">
        <v>80000</v>
      </c>
      <c r="H63" t="n">
        <v>1.25</v>
      </c>
      <c r="I63" t="n">
        <v>80</v>
      </c>
      <c r="J63" s="6">
        <f>G63/I63*H63</f>
        <v/>
      </c>
      <c r="K63" t="n">
        <v>1.25</v>
      </c>
      <c r="L63" t="n">
        <v>1</v>
      </c>
      <c r="M63" t="n">
        <v>0.75</v>
      </c>
      <c r="N63" s="6">
        <f>D63/J63</f>
        <v/>
      </c>
      <c r="O63" s="6">
        <f>(D63/100000+E63/100+F63*K63/5+J63/200)*200*L63*M63</f>
        <v/>
      </c>
      <c r="P63" s="6">
        <f>((D63*E63/25000)+(F63*K63*J63/2.5))*L63*M63</f>
        <v/>
      </c>
      <c r="Q63" s="6">
        <f>(D63*E63*F63*K63*J63*L63*M63)/12500000</f>
        <v/>
      </c>
      <c r="R63" s="6">
        <f>(O63+P63+Q63)/3</f>
        <v/>
      </c>
      <c r="S63" t="n">
        <v>3500</v>
      </c>
    </row>
    <row r="64">
      <c r="B64" s="5" t="inlineStr">
        <is>
          <t>Advanced Soviet Mammoth Tank</t>
        </is>
      </c>
      <c r="C64" s="3" t="n"/>
      <c r="D64" t="n">
        <v>625000</v>
      </c>
      <c r="E64" t="n">
        <v>45</v>
      </c>
      <c r="F64" s="7">
        <f>(S64*37500000/(L64*M64*D64*E64*K64*J64)-((500/(K64*J64))+(2500000000/(D64*E64*K64*J64)*(D64/100000+E64/100+J64/200))))/(1+5000000/(D64*E64)+(500000000/(D64*E64*J64)))</f>
        <v/>
      </c>
      <c r="G64" t="n">
        <v>96000</v>
      </c>
      <c r="H64" t="n">
        <v>1</v>
      </c>
      <c r="I64" t="n">
        <v>135</v>
      </c>
      <c r="J64" s="6">
        <f>G64/I64*H64</f>
        <v/>
      </c>
      <c r="K64" t="n">
        <v>1</v>
      </c>
      <c r="L64" t="n">
        <v>1</v>
      </c>
      <c r="M64" t="n">
        <v>0.75</v>
      </c>
      <c r="N64" s="6">
        <f>D64/J64</f>
        <v/>
      </c>
      <c r="O64" s="6">
        <f>(D64/100000+E64/100+F64*K64/5+J64/200)*200*L64*M64</f>
        <v/>
      </c>
      <c r="P64" s="6">
        <f>((D64*E64/25000)+(F64*K64*J64/2.5))*L64*M64</f>
        <v/>
      </c>
      <c r="Q64" s="6">
        <f>(D64*E64*F64*K64*J64*L64*M64)/12500000</f>
        <v/>
      </c>
      <c r="R64" s="6">
        <f>(O64+P64+Q64)/3</f>
        <v/>
      </c>
      <c r="S64" t="n">
        <v>4000</v>
      </c>
    </row>
    <row r="65">
      <c r="B65" s="5" t="inlineStr">
        <is>
          <t>Hovercraft Flametank</t>
        </is>
      </c>
      <c r="C65" s="3" t="n"/>
      <c r="D65" t="n">
        <v>60000</v>
      </c>
      <c r="E65" t="n">
        <v>90</v>
      </c>
      <c r="F65" s="7">
        <f>(S65*37500000/(L65*M65*D65*E65*K65*J65)-((500/(K65*J65))+(2500000000/(D65*E65*K65*J65)*(D65/100000+E65/100+J65/200))))/(1+5000000/(D65*E65)+(500000000/(D65*E65*J65)))</f>
        <v/>
      </c>
      <c r="G65" t="n">
        <v>60000</v>
      </c>
      <c r="H65" t="n">
        <v>1</v>
      </c>
      <c r="I65" t="n">
        <v>90</v>
      </c>
      <c r="J65" s="6">
        <f>G65/I65*H65</f>
        <v/>
      </c>
      <c r="K65" t="n">
        <v>1</v>
      </c>
      <c r="L65" t="n">
        <v>1</v>
      </c>
      <c r="M65" t="n">
        <v>0.75</v>
      </c>
      <c r="N65" s="6">
        <f>D65/J65</f>
        <v/>
      </c>
      <c r="O65" s="6">
        <f>(D65/100000+E65/100+F65*K65/5+J65/200)*200*L65*M65</f>
        <v/>
      </c>
      <c r="P65" s="6">
        <f>((D65*E65/25000)+(F65*K65*J65/2.5))*L65*M65</f>
        <v/>
      </c>
      <c r="Q65" s="6">
        <f>(D65*E65*F65*K65*J65*L65*M65)/12500000</f>
        <v/>
      </c>
      <c r="R65" s="6">
        <f>(O65+P65+Q65)/3</f>
        <v/>
      </c>
      <c r="S65" t="n">
        <v>1200</v>
      </c>
    </row>
    <row r="66">
      <c r="B66" s="5" t="inlineStr">
        <is>
          <t>OI Tank</t>
        </is>
      </c>
      <c r="C66" s="3" t="n"/>
      <c r="D66" t="n">
        <v>650000</v>
      </c>
      <c r="E66" t="n">
        <v>50</v>
      </c>
      <c r="F66" s="7">
        <f>(S66*37500000/(L66*M66*D66*E66*K66*J66)-((500/(K66*J66))+(2500000000/(D66*E66*K66*J66)*(D66/100000+E66/100+J66/200))))/(1+5000000/(D66*E66)+(500000000/(D66*E66*J66)))</f>
        <v/>
      </c>
      <c r="G66" t="n">
        <v>73000</v>
      </c>
      <c r="H66" t="n">
        <v>1</v>
      </c>
      <c r="I66" t="n">
        <v>50</v>
      </c>
      <c r="J66" s="6">
        <f>G66/I66*H66</f>
        <v/>
      </c>
      <c r="K66" t="n">
        <v>1</v>
      </c>
      <c r="L66" t="n">
        <v>1</v>
      </c>
      <c r="M66" t="n">
        <v>0.75</v>
      </c>
      <c r="N66" s="6">
        <f>D66/J66</f>
        <v/>
      </c>
      <c r="O66" s="6">
        <f>(D66/100000+E66/100+F66*K66/5+J66/200)*200*L66*M66</f>
        <v/>
      </c>
      <c r="P66" s="6">
        <f>((D66*E66/25000)+(F66*K66*J66/2.5))*L66*M66</f>
        <v/>
      </c>
      <c r="Q66" s="6">
        <f>(D66*E66*F66*K66*J66*L66*M66)/12500000</f>
        <v/>
      </c>
      <c r="R66" s="6">
        <f>(O66+P66+Q66)/3</f>
        <v/>
      </c>
      <c r="S66" t="n">
        <v>7000</v>
      </c>
    </row>
    <row r="67">
      <c r="A67" t="inlineStr">
        <is>
          <t>D2K</t>
        </is>
      </c>
      <c r="B67" s="5" t="inlineStr">
        <is>
          <t>Ix Duelist Tank (Cannon)</t>
        </is>
      </c>
      <c r="C67" s="3" t="n"/>
      <c r="D67" t="n">
        <v>240000</v>
      </c>
      <c r="E67" t="n">
        <v>45</v>
      </c>
      <c r="F67" s="7">
        <f>(S67*37500000/(L67*M67*D67*E67*K67*J67)-((500/(K67*J67))+(2500000000/(D67*E67*K67*J67)*(D67/100000+E67/100+J67/200))))/(1+5000000/(D67*E67)+(500000000/(D67*E67*J67)))</f>
        <v/>
      </c>
      <c r="G67" t="n">
        <v>84000</v>
      </c>
      <c r="H67" t="n">
        <v>1</v>
      </c>
      <c r="I67" t="n">
        <v>140</v>
      </c>
      <c r="J67" s="6">
        <f>G67/I67*H67</f>
        <v/>
      </c>
      <c r="K67" t="n">
        <v>1</v>
      </c>
      <c r="L67" t="n">
        <v>1</v>
      </c>
      <c r="M67" t="n">
        <v>0.75</v>
      </c>
      <c r="N67" s="6">
        <f>D67/J67</f>
        <v/>
      </c>
      <c r="O67" s="6">
        <f>(D67/100000+E67/100+F67*K67/5+J67/200)*200*L67*M67</f>
        <v/>
      </c>
      <c r="P67" s="6">
        <f>((D67*E67/25000)+(F67*K67*J67/2.5))*L67*M67</f>
        <v/>
      </c>
      <c r="Q67" s="6">
        <f>(D67*E67*F67*K67*J67*L67*M67)/12500000</f>
        <v/>
      </c>
      <c r="R67" s="6">
        <f>(O67+P67+Q67)/3</f>
        <v/>
      </c>
      <c r="S67" t="n">
        <v>1800</v>
      </c>
    </row>
    <row r="68">
      <c r="B68" s="5" t="inlineStr">
        <is>
          <t>Ix Duelist Tank (Guns)</t>
        </is>
      </c>
      <c r="C68" s="3" t="n"/>
      <c r="D68" t="n">
        <v>240000</v>
      </c>
      <c r="E68" t="n">
        <v>45</v>
      </c>
      <c r="F68" s="7">
        <f>(S68*37500000/(L68*M68*D68*E68*K68*J68)-((500/(K68*J68))+(2500000000/(D68*E68*K68*J68)*(D68/100000+E68/100+J68/200))))/(1+5000000/(D68*E68)+(500000000/(D68*E68*J68)))</f>
        <v/>
      </c>
      <c r="G68" t="n">
        <v>48000</v>
      </c>
      <c r="H68" t="n">
        <v>0.875</v>
      </c>
      <c r="I68" t="n">
        <v>70</v>
      </c>
      <c r="J68" s="6">
        <f>G68/I68*H68</f>
        <v/>
      </c>
      <c r="K68" t="n">
        <v>1</v>
      </c>
      <c r="L68" t="n">
        <v>1</v>
      </c>
      <c r="M68" t="n">
        <v>0.75</v>
      </c>
      <c r="N68" s="6">
        <f>D68/J68</f>
        <v/>
      </c>
      <c r="O68" s="6">
        <f>(D68/100000+E68/100+F68*K68/5+J68/200)*200*L68*M68</f>
        <v/>
      </c>
      <c r="P68" s="6">
        <f>((D68*E68/25000)+(F68*K68*J68/2.5))*L68*M68</f>
        <v/>
      </c>
      <c r="Q68" s="6">
        <f>(D68*E68*F68*K68*J68*L68*M68)/12500000</f>
        <v/>
      </c>
      <c r="R68" s="6">
        <f>(O68+P68+Q68)/3</f>
        <v/>
      </c>
      <c r="S68" t="n">
        <v>1800</v>
      </c>
    </row>
    <row r="69">
      <c r="B69" s="5" t="inlineStr">
        <is>
          <t>Neo Cymek (Stormgun)</t>
        </is>
      </c>
      <c r="D69" t="n">
        <v>300000</v>
      </c>
      <c r="E69" t="n">
        <v>45</v>
      </c>
      <c r="F69" s="7">
        <f>(S69*37500000/(L69*M69*D69*E69*K69*J69)-((500/(K69*J69))+(2500000000/(D69*E69*K69*J69)*(D69/100000+E69/100+J69/200))))/(1+5000000/(D69*E69)+(500000000/(D69*E69*J69)))</f>
        <v/>
      </c>
      <c r="G69" t="n">
        <v>64000</v>
      </c>
      <c r="H69" t="n">
        <v>1.25</v>
      </c>
      <c r="I69" t="n">
        <v>66</v>
      </c>
      <c r="J69" s="6">
        <f>G69/I69*H69</f>
        <v/>
      </c>
      <c r="K69" t="n">
        <v>1.25</v>
      </c>
      <c r="L69" t="n">
        <v>1</v>
      </c>
      <c r="M69" t="n">
        <v>0.75</v>
      </c>
      <c r="N69" s="6">
        <f>D69/J69</f>
        <v/>
      </c>
      <c r="O69" s="6">
        <f>(D69/100000+E69/100+F69*K69/5+J69/200)*200*L69*M69</f>
        <v/>
      </c>
      <c r="P69" s="6">
        <f>((D69*E69/25000)+(F69*K69*J69/2.5))*L69*M69</f>
        <v/>
      </c>
      <c r="Q69" s="6">
        <f>(D69*E69*F69*K69*J69*L69*M69)/12500000</f>
        <v/>
      </c>
      <c r="R69" s="6">
        <f>(O69+P69+Q69)/3</f>
        <v/>
      </c>
      <c r="S69" t="n">
        <v>4500</v>
      </c>
    </row>
    <row r="70">
      <c r="B70" s="5" t="inlineStr">
        <is>
          <t>Neo Cymek (Rockets)</t>
        </is>
      </c>
      <c r="D70" t="n">
        <v>300000</v>
      </c>
      <c r="E70" t="n">
        <v>45</v>
      </c>
      <c r="F70" s="7">
        <f>(S70*37500000/(L70*M70*D70*E70*K70*J70)-((500/(K70*J70))+(2500000000/(D70*E70*K70*J70)*(D70/100000+E70/100+J70/200))))/(1+5000000/(D70*E70)+(500000000/(D70*E70*J70)))</f>
        <v/>
      </c>
      <c r="G70" t="n">
        <v>96000</v>
      </c>
      <c r="H70" t="n">
        <v>1</v>
      </c>
      <c r="I70" t="n">
        <v>66</v>
      </c>
      <c r="J70" s="6">
        <f>G70/I70*H70</f>
        <v/>
      </c>
      <c r="K70" t="n">
        <v>1</v>
      </c>
      <c r="L70" t="n">
        <v>1</v>
      </c>
      <c r="M70" t="n">
        <v>0.75</v>
      </c>
      <c r="N70" s="6">
        <f>D70/J70</f>
        <v/>
      </c>
      <c r="O70" s="6">
        <f>(D70/100000+E70/100+F70*K70/5+J70/200)*200*L70*M70</f>
        <v/>
      </c>
      <c r="P70" s="6">
        <f>((D70*E70/25000)+(F70*K70*J70/2.5))*L70*M70</f>
        <v/>
      </c>
      <c r="Q70" s="6">
        <f>(D70*E70*F70*K70*J70*L70*M70)/12500000</f>
        <v/>
      </c>
      <c r="R70" s="6">
        <f>(O70+P70+Q70)/3</f>
        <v/>
      </c>
      <c r="S70" t="n">
        <v>4500</v>
      </c>
    </row>
    <row r="71">
      <c r="B71" t="inlineStr">
        <is>
          <t>Heavy Autogun Tank</t>
        </is>
      </c>
      <c r="D71" t="n">
        <v>160000</v>
      </c>
      <c r="E71" t="n">
        <v>75</v>
      </c>
      <c r="F71" s="7">
        <f>(S71*37500000/(L71*M71*D71*E71*K71*J71)-((500/(K71*J71))+(2500000000/(D71*E71*K71*J71)*(D71/100000+E71/100+J71/200))))/(1+5000000/(D71*E71)+(500000000/(D71*E71*J71)))</f>
        <v/>
      </c>
      <c r="G71" t="n">
        <v>19200</v>
      </c>
      <c r="H71" t="n">
        <v>1.125</v>
      </c>
      <c r="I71" t="n">
        <v>30</v>
      </c>
      <c r="J71" s="6">
        <f>G71/I71*H71</f>
        <v/>
      </c>
      <c r="K71" t="n">
        <v>1.25</v>
      </c>
      <c r="L71" t="n">
        <v>1</v>
      </c>
      <c r="M71" t="n">
        <v>0.75</v>
      </c>
      <c r="N71" s="6">
        <f>D71/J71</f>
        <v/>
      </c>
      <c r="O71" s="6">
        <f>(D71/100000+E71/100+F71*K71/5+J71/200)*200*L71*M71</f>
        <v/>
      </c>
      <c r="P71" s="6">
        <f>((D71*E71/25000)+(F71*K71*J71/2.5))*L71*M71</f>
        <v/>
      </c>
      <c r="Q71" s="6">
        <f>(D71*E71*F71*K71*J71*L71*M71)/12500000</f>
        <v/>
      </c>
      <c r="R71" s="6">
        <f>(O71+P71+Q71)/3</f>
        <v/>
      </c>
      <c r="S71" t="n">
        <v>2800</v>
      </c>
    </row>
    <row r="72">
      <c r="B72" s="5" t="inlineStr">
        <is>
          <t>Laser Tank</t>
        </is>
      </c>
      <c r="D72" t="n">
        <v>105000</v>
      </c>
      <c r="E72" t="n">
        <v>105</v>
      </c>
      <c r="F72" s="7">
        <f>(S72*37500000/(L72*M72*D72*E72*K72*J72)-((500/(K72*J72))+(2500000000/(D72*E72*K72*J72)*(D72/100000+E72/100+J72/200))))/(1+5000000/(D72*E72)+(500000000/(D72*E72*J72)))</f>
        <v/>
      </c>
      <c r="G72" t="n">
        <v>40000</v>
      </c>
      <c r="H72" t="n">
        <v>1.125</v>
      </c>
      <c r="I72" t="n">
        <v>55</v>
      </c>
      <c r="J72" s="6">
        <f>G72/I72*H72</f>
        <v/>
      </c>
      <c r="K72" t="n">
        <v>1</v>
      </c>
      <c r="L72" t="n">
        <v>1</v>
      </c>
      <c r="M72" t="n">
        <v>0.75</v>
      </c>
      <c r="N72" s="6">
        <f>D72/J72</f>
        <v/>
      </c>
      <c r="O72" s="6">
        <f>(D72/100000+E72/100+F72*K72/5+J72/200)*200*L72*M72</f>
        <v/>
      </c>
      <c r="P72" s="6">
        <f>((D72*E72/25000)+(F72*K72*J72/2.5))*L72*M72</f>
        <v/>
      </c>
      <c r="Q72" s="6">
        <f>(D72*E72*F72*K72*J72*L72*M72)/12500000</f>
        <v/>
      </c>
      <c r="R72" s="6">
        <f>(O72+P72+Q72)/3</f>
        <v/>
      </c>
      <c r="S72" t="n">
        <v>2400</v>
      </c>
    </row>
    <row r="73">
      <c r="B73" s="5" t="inlineStr">
        <is>
          <t>Deviator Tank</t>
        </is>
      </c>
      <c r="D73" t="n">
        <v>85000</v>
      </c>
      <c r="E73" t="n">
        <v>115</v>
      </c>
      <c r="F73" s="7">
        <f>(S73*37500000/(L73*M73*D73*E73*K73*J73)-((500/(K73*J73))+(2500000000/(D73*E73*K73*J73)*(D73/100000+E73/100+J73/200))))/(1+5000000/(D73*E73)+(500000000/(D73*E73*J73)))</f>
        <v/>
      </c>
      <c r="G73" t="n">
        <v>40000</v>
      </c>
      <c r="H73" t="n">
        <v>1.125</v>
      </c>
      <c r="I73" t="n">
        <v>98</v>
      </c>
      <c r="J73" s="6">
        <f>G73/I73*H73</f>
        <v/>
      </c>
      <c r="K73" t="n">
        <v>1.25</v>
      </c>
      <c r="L73" t="n">
        <v>1</v>
      </c>
      <c r="M73" t="n">
        <v>0.75</v>
      </c>
      <c r="N73" s="6">
        <f>D73/J73</f>
        <v/>
      </c>
      <c r="O73" s="6">
        <f>(D73/100000+E73/100+F73*K73/5+J73/200)*200*L73*M73</f>
        <v/>
      </c>
      <c r="P73" s="6">
        <f>((D73*E73/25000)+(F73*K73*J73/2.5))*L73*M73</f>
        <v/>
      </c>
      <c r="Q73" s="6">
        <f>(D73*E73*F73*K73*J73*L73*M73)/12500000</f>
        <v/>
      </c>
      <c r="R73" s="6">
        <f>(O73+P73+Q73)/3</f>
        <v/>
      </c>
      <c r="S73" t="n">
        <v>1600</v>
      </c>
    </row>
    <row r="74">
      <c r="A74" t="inlineStr">
        <is>
          <t>Naxis</t>
        </is>
      </c>
      <c r="B74" t="inlineStr">
        <is>
          <t>Maus</t>
        </is>
      </c>
      <c r="D74" t="n">
        <v>600000</v>
      </c>
      <c r="E74" t="n">
        <v>60</v>
      </c>
      <c r="F74" s="7">
        <f>(S74*37500000/(L74*M74*D74*E74*K74*J74)-((500/(K74*J74))+(2500000000/(D74*E74*K74*J74)*(D74/100000+E74/100+J74/200))))/(1+5000000/(D74*E74)+(500000000/(D74*E74*J74)))</f>
        <v/>
      </c>
      <c r="G74" t="n">
        <v>60000</v>
      </c>
      <c r="H74" t="n">
        <v>1</v>
      </c>
      <c r="I74" t="n">
        <v>99</v>
      </c>
      <c r="J74" s="6">
        <f>G74/I74*H74</f>
        <v/>
      </c>
      <c r="K74" t="n">
        <v>1</v>
      </c>
      <c r="L74" t="n">
        <v>1</v>
      </c>
      <c r="M74" t="n">
        <v>0.75</v>
      </c>
      <c r="N74" s="6">
        <f>D74/J74</f>
        <v/>
      </c>
      <c r="O74" s="6">
        <f>(D74/100000+E74/100+F74*K74/5+J74/200)*200*L74*M74</f>
        <v/>
      </c>
      <c r="P74" s="6">
        <f>((D74*E74/25000)+(F74*K74*J74/2.5))*L74*M74</f>
        <v/>
      </c>
      <c r="Q74" s="6">
        <f>(D74*E74*F74*K74*J74*L74*M74)/12500000</f>
        <v/>
      </c>
      <c r="R74" s="6">
        <f>(O74+P74+Q74)/3</f>
        <v/>
      </c>
      <c r="S74" t="n">
        <v>4200</v>
      </c>
    </row>
    <row r="75">
      <c r="B75" s="5" t="inlineStr">
        <is>
          <t>Neo Jagdpanzer</t>
        </is>
      </c>
      <c r="D75" t="n">
        <v>450000</v>
      </c>
      <c r="E75" t="n">
        <v>45</v>
      </c>
      <c r="F75" s="7">
        <f>(S75*37500000/(L75*M75*D75*E75*K75*J75)-((500/(K75*J75))+(2500000000/(D75*E75*K75*J75)*(D75/100000+E75/100+J75/200))))/(1+5000000/(D75*E75)+(500000000/(D75*E75*J75)))</f>
        <v/>
      </c>
      <c r="G75" t="n">
        <v>90000</v>
      </c>
      <c r="H75" t="n">
        <v>1</v>
      </c>
      <c r="I75" t="n">
        <v>90</v>
      </c>
      <c r="J75" s="6">
        <f>G75/I75*H75</f>
        <v/>
      </c>
      <c r="K75" t="n">
        <v>1</v>
      </c>
      <c r="L75" t="n">
        <v>1</v>
      </c>
      <c r="M75" t="n">
        <v>0.75</v>
      </c>
      <c r="N75" s="6">
        <f>D75/J75</f>
        <v/>
      </c>
      <c r="O75" s="6">
        <f>(D75/100000+E75/100+F75*K75/5+J75/200)*200*L75*M75</f>
        <v/>
      </c>
      <c r="P75" s="6">
        <f>((D75*E75/25000)+(F75*K75*J75/2.5))*L75*M75</f>
        <v/>
      </c>
      <c r="Q75" s="6">
        <f>(D75*E75*F75*K75*J75*L75*M75)/12500000</f>
        <v/>
      </c>
      <c r="R75" s="6">
        <f>(O75+P75+Q75)/3</f>
        <v/>
      </c>
      <c r="S75" t="n">
        <v>4500</v>
      </c>
    </row>
    <row r="76">
      <c r="A76" t="inlineStr">
        <is>
          <t>StarCraft</t>
        </is>
      </c>
      <c r="B76" s="5" t="inlineStr">
        <is>
          <t>Warhound</t>
        </is>
      </c>
      <c r="D76" t="n">
        <v>300000</v>
      </c>
      <c r="E76" t="n">
        <v>45</v>
      </c>
      <c r="F76" s="7">
        <f>(S76*37500000/(L76*M76*D76*E76*K76*J76)-((500/(K76*J76))+(2500000000/(D76*E76*K76*J76)*(D76/100000+E76/100+J76/200))))/(1+5000000/(D76*E76)+(500000000/(D76*E76*J76)))</f>
        <v/>
      </c>
      <c r="G76" t="n">
        <v>128000</v>
      </c>
      <c r="H76" t="n">
        <v>1</v>
      </c>
      <c r="I76" t="n">
        <v>90</v>
      </c>
      <c r="J76" s="6">
        <f>G76/I76*H76</f>
        <v/>
      </c>
      <c r="K76" t="n">
        <v>1</v>
      </c>
      <c r="L76" t="n">
        <v>1</v>
      </c>
      <c r="M76" t="n">
        <v>0.75</v>
      </c>
      <c r="N76" s="6">
        <f>D76/J76</f>
        <v/>
      </c>
      <c r="O76" s="6">
        <f>(D76/100000+E76/100+F76*K76/5+J76/200)*200*L76*M76</f>
        <v/>
      </c>
      <c r="P76" s="6">
        <f>((D76*E76/25000)+(F76*K76*J76/2.5))*L76*M76</f>
        <v/>
      </c>
      <c r="Q76" s="6">
        <f>(D76*E76*F76*K76*J76*L76*M76)/12500000</f>
        <v/>
      </c>
      <c r="R76" s="6">
        <f>(O76+P76+Q76)/3</f>
        <v/>
      </c>
      <c r="S76" t="n">
        <v>4500</v>
      </c>
    </row>
    <row r="77">
      <c r="B77" s="9" t="inlineStr">
        <is>
          <t>Goliath (Guns)</t>
        </is>
      </c>
      <c r="C77" s="4" t="n"/>
      <c r="D77" s="4" t="n">
        <v>125000</v>
      </c>
      <c r="E77" s="4" t="n">
        <v>90</v>
      </c>
      <c r="F77" s="7">
        <f>(S77*37500000/(L77*M77*D77*E77*K77*J77)-((500/(K77*J77))+(2500000000/(D77*E77*K77*J77)*(D77/100000+E77/100+J77/200))))/(1+5000000/(D77*E77)+(500000000/(D77*E77*J77)))</f>
        <v/>
      </c>
      <c r="G77" s="4" t="n">
        <v>12000</v>
      </c>
      <c r="H77" s="4" t="n">
        <v>1</v>
      </c>
      <c r="I77" s="4" t="n">
        <v>20</v>
      </c>
      <c r="J77" s="6">
        <f>G77/I77*H77</f>
        <v/>
      </c>
      <c r="K77" s="4" t="n">
        <v>1</v>
      </c>
      <c r="L77" s="4" t="n">
        <v>1</v>
      </c>
      <c r="M77" s="4" t="n">
        <v>0.75</v>
      </c>
      <c r="N77" s="6">
        <f>D77/J77</f>
        <v/>
      </c>
      <c r="O77" s="6">
        <f>(D77/100000+E77/100+F77*K77/5+J77/200)*200*L77*M77</f>
        <v/>
      </c>
      <c r="P77" s="6">
        <f>((D77*E77/25000)+(F77*K77*J77/2.5))*L77*M77</f>
        <v/>
      </c>
      <c r="Q77" s="6">
        <f>(D77*E77*F77*K77*J77*L77*M77)/12500000</f>
        <v/>
      </c>
      <c r="R77" s="6">
        <f>(O77+P77+Q77)/3</f>
        <v/>
      </c>
      <c r="S77" s="4" t="n">
        <v>1600</v>
      </c>
    </row>
    <row r="78">
      <c r="B78" s="9" t="inlineStr">
        <is>
          <t>Goliath (Rockets)</t>
        </is>
      </c>
      <c r="C78" s="4" t="n"/>
      <c r="D78" s="4" t="n">
        <v>125000</v>
      </c>
      <c r="E78" s="4" t="n">
        <v>90</v>
      </c>
      <c r="F78" s="7">
        <f>(S78*37500000/(L78*M78*D78*E78*K78*J78)-((500/(K78*J78))+(2500000000/(D78*E78*K78*J78)*(D78/100000+E78/100+J78/200))))/(1+5000000/(D78*E78)+(500000000/(D78*E78*J78)))</f>
        <v/>
      </c>
      <c r="G78" s="4" t="n">
        <v>20000</v>
      </c>
      <c r="H78" s="4" t="n">
        <v>1</v>
      </c>
      <c r="I78" s="4" t="n">
        <v>33</v>
      </c>
      <c r="J78" s="6">
        <f>G78/I78*H78</f>
        <v/>
      </c>
      <c r="K78" s="4" t="n">
        <v>1</v>
      </c>
      <c r="L78" s="4" t="n">
        <v>1</v>
      </c>
      <c r="M78" s="4" t="n">
        <v>0.75</v>
      </c>
      <c r="N78" s="6">
        <f>D78/J78</f>
        <v/>
      </c>
      <c r="O78" s="6">
        <f>(D78/100000+E78/100+F78*K78/5+J78/200)*200*L78*M78</f>
        <v/>
      </c>
      <c r="P78" s="6">
        <f>((D78*E78/25000)+(F78*K78*J78/2.5))*L78*M78</f>
        <v/>
      </c>
      <c r="Q78" s="6">
        <f>(D78*E78*F78*K78*J78*L78*M78)/12500000</f>
        <v/>
      </c>
      <c r="R78" s="6">
        <f>(O78+P78+Q78)/3</f>
        <v/>
      </c>
      <c r="S78" s="4" t="n">
        <v>1600</v>
      </c>
    </row>
    <row r="79">
      <c r="B79" s="9" t="inlineStr">
        <is>
          <t>Goliath Mk2 (Guns)</t>
        </is>
      </c>
      <c r="C79" s="4" t="n"/>
      <c r="D79" s="4" t="n">
        <v>175000</v>
      </c>
      <c r="E79" s="4" t="n">
        <v>75</v>
      </c>
      <c r="F79" s="7">
        <f>(S79*37500000/(L79*M79*D79*E79*K79*J79)-((500/(K79*J79))+(2500000000/(D79*E79*K79*J79)*(D79/100000+E79/100+J79/200))))/(1+5000000/(D79*E79)+(500000000/(D79*E79*J79)))</f>
        <v/>
      </c>
      <c r="G79" s="4" t="n">
        <v>32000</v>
      </c>
      <c r="H79" s="4" t="n">
        <v>1</v>
      </c>
      <c r="I79" s="4" t="n">
        <v>40</v>
      </c>
      <c r="J79" s="6">
        <f>G79/I79*H79</f>
        <v/>
      </c>
      <c r="K79" s="4" t="n">
        <v>1</v>
      </c>
      <c r="L79" s="4" t="n">
        <v>1</v>
      </c>
      <c r="M79" s="4" t="n">
        <v>0.75</v>
      </c>
      <c r="N79" s="6">
        <f>D79/J79</f>
        <v/>
      </c>
      <c r="O79" s="6">
        <f>(D79/100000+E79/100+F79*K79/5+J79/200)*200*L79*M79</f>
        <v/>
      </c>
      <c r="P79" s="6">
        <f>((D79*E79/25000)+(F79*K79*J79/2.5))*L79*M79</f>
        <v/>
      </c>
      <c r="Q79" s="6">
        <f>(D79*E79*F79*K79*J79*L79*M79)/12500000</f>
        <v/>
      </c>
      <c r="R79" s="6">
        <f>(O79+P79+Q79)/3</f>
        <v/>
      </c>
      <c r="S79" s="4" t="n">
        <v>2400</v>
      </c>
    </row>
    <row r="80">
      <c r="B80" s="9" t="inlineStr">
        <is>
          <t>Goliath Mk2 (Rockets)</t>
        </is>
      </c>
      <c r="C80" s="4" t="n"/>
      <c r="D80" s="4" t="n">
        <v>175000</v>
      </c>
      <c r="E80" s="4" t="n">
        <v>75</v>
      </c>
      <c r="F80" s="7">
        <f>(S80*37500000/(L80*M80*D80*E80*K80*J80)-((500/(K80*J80))+(2500000000/(D80*E80*K80*J80)*(D80/100000+E80/100+J80/200))))/(1+5000000/(D80*E80)+(500000000/(D80*E80*J80)))</f>
        <v/>
      </c>
      <c r="G80" s="4" t="n">
        <v>32000</v>
      </c>
      <c r="H80" s="4" t="n">
        <v>1</v>
      </c>
      <c r="I80" s="4" t="n">
        <v>40</v>
      </c>
      <c r="J80" s="6">
        <f>G80/I80*H80</f>
        <v/>
      </c>
      <c r="K80" s="4" t="n">
        <v>1</v>
      </c>
      <c r="L80" s="4" t="n">
        <v>1</v>
      </c>
      <c r="M80" s="4" t="n">
        <v>0.75</v>
      </c>
      <c r="N80" s="6">
        <f>D80/J80</f>
        <v/>
      </c>
      <c r="O80" s="6">
        <f>(D80/100000+E80/100+F80*K80/5+J80/200)*200*L80*M80</f>
        <v/>
      </c>
      <c r="P80" s="6">
        <f>((D80*E80/25000)+(F80*K80*J80/2.5))*L80*M80</f>
        <v/>
      </c>
      <c r="Q80" s="6">
        <f>(D80*E80*F80*K80*J80*L80*M80)/12500000</f>
        <v/>
      </c>
      <c r="R80" s="6">
        <f>(O80+P80+Q80)/3</f>
        <v/>
      </c>
      <c r="S80" s="4" t="n">
        <v>2400</v>
      </c>
    </row>
    <row r="81">
      <c r="B81" s="5" t="inlineStr">
        <is>
          <t>Ultralisk</t>
        </is>
      </c>
      <c r="D81" t="n">
        <v>400000</v>
      </c>
      <c r="E81" t="n">
        <v>80</v>
      </c>
      <c r="F81" s="7">
        <f>(S81*37500000/(L81*M81*D81*E81*K81*J81)-((500/(K81*J81))+(2500000000/(D81*E81*K81*J81)*(D81/100000+E81/100+J81/200))))/(1+5000000/(D81*E81)+(500000000/(D81*E81*J81)))</f>
        <v/>
      </c>
      <c r="G81" t="n">
        <v>40000</v>
      </c>
      <c r="H81" t="n">
        <v>1</v>
      </c>
      <c r="I81" t="n">
        <v>15</v>
      </c>
      <c r="J81" s="6">
        <f>G81/I81*H81</f>
        <v/>
      </c>
      <c r="K81" t="n">
        <v>1</v>
      </c>
      <c r="L81" t="n">
        <v>1</v>
      </c>
      <c r="M81" s="4" t="n">
        <v>0.75</v>
      </c>
      <c r="N81" s="6">
        <f>D81/J81</f>
        <v/>
      </c>
      <c r="O81" s="6">
        <f>(D81/100000+E81/100+F81*K81/5+J81/200)*200*L81*M81</f>
        <v/>
      </c>
      <c r="P81" s="6">
        <f>((D81*E81/25000)+(F81*K81*J81/2.5))*L81*M81</f>
        <v/>
      </c>
      <c r="Q81" s="6">
        <f>(D81*E81*F81*K81*J81*L81*M81)/12500000</f>
        <v/>
      </c>
      <c r="R81" s="6">
        <f>(O81+P81+Q81)/3</f>
        <v/>
      </c>
      <c r="S81" t="n">
        <v>4400</v>
      </c>
    </row>
    <row r="82">
      <c r="B82" t="inlineStr">
        <is>
          <t>Goremaw</t>
        </is>
      </c>
      <c r="D82" t="n">
        <v>150000</v>
      </c>
      <c r="E82" t="n">
        <v>150</v>
      </c>
      <c r="F82" s="7">
        <f>(S82*37500000/(L82*M82*D82*E82*K82*J82)-((500/(K82*J82))+(2500000000/(D82*E82*K82*J82)*(D82/100000+E82/100+J82/200))))/(1+5000000/(D82*E82)+(500000000/(D82*E82*J82)))</f>
        <v/>
      </c>
      <c r="G82" t="n">
        <v>10000</v>
      </c>
      <c r="H82" t="n">
        <v>1</v>
      </c>
      <c r="I82" t="n">
        <v>10</v>
      </c>
      <c r="J82" s="6">
        <f>G82/I82*H82</f>
        <v/>
      </c>
      <c r="K82" t="n">
        <v>1.25</v>
      </c>
      <c r="L82" t="n">
        <v>1</v>
      </c>
      <c r="M82" s="4" t="n">
        <v>0.75</v>
      </c>
      <c r="N82" s="6">
        <f>D82/J82</f>
        <v/>
      </c>
      <c r="O82" s="6">
        <f>(D82/100000+E82/100+F82*K82/5+J82/200)*200*L82*M82</f>
        <v/>
      </c>
      <c r="P82" s="6">
        <f>((D82*E82/25000)+(F82*K82*J82/2.5))*L82*M82</f>
        <v/>
      </c>
      <c r="Q82" s="6">
        <f>(D82*E82*F82*K82*J82*L82*M82)/12500000</f>
        <v/>
      </c>
      <c r="R82" s="6">
        <f>(O82+P82+Q82)/3</f>
        <v/>
      </c>
      <c r="S82" t="n">
        <v>1500</v>
      </c>
    </row>
    <row r="83">
      <c r="B83" t="inlineStr">
        <is>
          <t>Archon</t>
        </is>
      </c>
      <c r="D83" t="n">
        <v>350000</v>
      </c>
      <c r="E83" t="n">
        <v>75</v>
      </c>
      <c r="F83" s="7">
        <f>(S83*37500000/(L83*M83*D83*E83*K83*J83)-((500/(K83*J83))+(2500000000/(D83*E83*K83*J83)*(D83/100000+E83/100+J83/200))))/(1+5000000/(D83*E83)+(500000000/(D83*E83*J83)))</f>
        <v/>
      </c>
      <c r="G83" t="n">
        <v>30000</v>
      </c>
      <c r="H83" t="n">
        <v>1.25</v>
      </c>
      <c r="I83" t="n">
        <v>20</v>
      </c>
      <c r="J83" s="6">
        <f>G83/I83*H83</f>
        <v/>
      </c>
      <c r="K83" t="n">
        <v>1.25</v>
      </c>
      <c r="L83" t="n">
        <v>1</v>
      </c>
      <c r="M83" s="4" t="n">
        <v>0.75</v>
      </c>
      <c r="N83" s="6">
        <f>D83/J83</f>
        <v/>
      </c>
      <c r="O83" s="6">
        <f>(D83/100000+E83/100+F83*K83/5+J83/200)*200*L83*M83</f>
        <v/>
      </c>
      <c r="P83" s="6">
        <f>((D83*E83/25000)+(F83*K83*J83/2.5))*L83*M83</f>
        <v/>
      </c>
      <c r="Q83" s="6">
        <f>(D83*E83*F83*K83*J83*L83*M83)/12500000</f>
        <v/>
      </c>
      <c r="R83" s="6">
        <f>(O83+P83+Q83)/3</f>
        <v/>
      </c>
      <c r="S83" t="n">
        <v>5600</v>
      </c>
    </row>
    <row r="84">
      <c r="B84" s="8" t="inlineStr">
        <is>
          <t>Atreus</t>
        </is>
      </c>
      <c r="D84" t="n">
        <v>250000</v>
      </c>
      <c r="E84" t="n">
        <v>60</v>
      </c>
      <c r="F84" s="7">
        <f>(S84*37500000/(L84*M84*D84*E84*K84*J84)-((500/(K84*J84))+(2500000000/(D84*E84*K84*J84)*(D84/100000+E84/100+J84/200))))/(1+5000000/(D84*E84)+(500000000/(D84*E84*J84)))</f>
        <v/>
      </c>
      <c r="G84" t="n">
        <v>40000</v>
      </c>
      <c r="H84" t="n">
        <v>1</v>
      </c>
      <c r="I84" t="n">
        <v>40</v>
      </c>
      <c r="J84" s="6">
        <f>G84/I84*H84</f>
        <v/>
      </c>
      <c r="K84" t="n">
        <v>1</v>
      </c>
      <c r="L84" t="n">
        <v>1</v>
      </c>
      <c r="M84" s="4" t="n">
        <v>0.75</v>
      </c>
      <c r="N84" s="6">
        <f>D84/J84</f>
        <v/>
      </c>
      <c r="O84" s="6">
        <f>(D84/100000+E84/100+F84*K84/5+J84/200)*200*L84*M84</f>
        <v/>
      </c>
      <c r="P84" s="6">
        <f>((D84*E84/25000)+(F84*K84*J84/2.5))*L84*M84</f>
        <v/>
      </c>
      <c r="Q84" s="6">
        <f>(D84*E84*F84*K84*J84*L84*M84)/12500000</f>
        <v/>
      </c>
      <c r="R84" s="6">
        <f>(O84+P84+Q84)/3</f>
        <v/>
      </c>
      <c r="S84" t="n">
        <v>2400</v>
      </c>
    </row>
    <row r="85">
      <c r="A85" t="inlineStr">
        <is>
          <t>WarCraft</t>
        </is>
      </c>
      <c r="B85" t="inlineStr">
        <is>
          <t>Knight</t>
        </is>
      </c>
      <c r="D85" t="n">
        <v>167500</v>
      </c>
      <c r="E85" t="n">
        <v>115</v>
      </c>
      <c r="F85" s="7">
        <f>(S85*37500000/(L85*M85*D85*E85*K85*J85)-((500/(K85*J85))+(2500000000/(D85*E85*K85*J85)*(D85/100000+E85/100+J85/200))))/(1+5000000/(D85*E85)+(500000000/(D85*E85*J85)))</f>
        <v/>
      </c>
      <c r="G85" t="n">
        <v>16000</v>
      </c>
      <c r="H85" t="n">
        <v>1</v>
      </c>
      <c r="I85" t="n">
        <v>12</v>
      </c>
      <c r="J85" s="6">
        <f>G85/I85*H85</f>
        <v/>
      </c>
      <c r="K85" t="n">
        <v>1</v>
      </c>
      <c r="L85" t="n">
        <v>1</v>
      </c>
      <c r="M85" s="4" t="n">
        <v>0.75</v>
      </c>
      <c r="N85" s="6">
        <f>D85/J85</f>
        <v/>
      </c>
      <c r="O85" s="6">
        <f>(D85/100000+E85/100+F85*K85/5+J85/200)*200*L85*M85</f>
        <v/>
      </c>
      <c r="P85" s="6">
        <f>((D85*E85/25000)+(F85*K85*J85/2.5))*L85*M85</f>
        <v/>
      </c>
      <c r="Q85" s="6">
        <f>(D85*E85*F85*K85*J85*L85*M85)/12500000</f>
        <v/>
      </c>
      <c r="R85" s="6">
        <f>(O85+P85+Q85)/3</f>
        <v/>
      </c>
      <c r="S85" t="n">
        <v>1600</v>
      </c>
    </row>
    <row r="86">
      <c r="B86" t="inlineStr">
        <is>
          <t>Knight2</t>
        </is>
      </c>
      <c r="D86" t="n">
        <v>180000</v>
      </c>
      <c r="E86" t="n">
        <v>120</v>
      </c>
      <c r="F86" s="7">
        <f>(S86*37500000/(L86*M86*D86*E86*K86*J86)-((500/(K86*J86))+(2500000000/(D86*E86*K86*J86)*(D86/100000+E86/100+J86/200))))/(1+5000000/(D86*E86)+(500000000/(D86*E86*J86)))</f>
        <v/>
      </c>
      <c r="G86" t="n">
        <v>24000</v>
      </c>
      <c r="H86" t="n">
        <v>1</v>
      </c>
      <c r="I86" t="n">
        <v>15</v>
      </c>
      <c r="J86" s="6">
        <f>G86/I86*H86</f>
        <v/>
      </c>
      <c r="K86" t="n">
        <v>1</v>
      </c>
      <c r="L86" t="n">
        <v>1</v>
      </c>
      <c r="M86" s="4" t="n">
        <v>0.75</v>
      </c>
      <c r="N86" s="6">
        <f>D86/J86</f>
        <v/>
      </c>
      <c r="O86" s="6">
        <f>(D86/100000+E86/100+F86*K86/5+J86/200)*200*L86*M86</f>
        <v/>
      </c>
      <c r="P86" s="6">
        <f>((D86*E86/25000)+(F86*K86*J86/2.5))*L86*M86</f>
        <v/>
      </c>
      <c r="Q86" s="6">
        <f>(D86*E86*F86*K86*J86*L86*M86)/12500000</f>
        <v/>
      </c>
      <c r="R86" s="6">
        <f>(O86+P86+Q86)/3</f>
        <v/>
      </c>
      <c r="S86" t="n">
        <v>2200</v>
      </c>
    </row>
    <row r="87">
      <c r="B87" t="inlineStr">
        <is>
          <t>Ogre</t>
        </is>
      </c>
      <c r="D87" t="n">
        <v>200000</v>
      </c>
      <c r="E87" t="n">
        <v>85</v>
      </c>
      <c r="F87" s="7">
        <f>(S87*37500000/(L87*M87*D87*E87*K87*J87)-((500/(K87*J87))+(2500000000/(D87*E87*K87*J87)*(D87/100000+E87/100+J87/200))))/(1+5000000/(D87*E87)+(500000000/(D87*E87*J87)))</f>
        <v/>
      </c>
      <c r="G87" t="n">
        <v>30000</v>
      </c>
      <c r="H87" t="n">
        <v>1</v>
      </c>
      <c r="I87" t="n">
        <v>20</v>
      </c>
      <c r="J87" s="6">
        <f>G87/I87*H87</f>
        <v/>
      </c>
      <c r="K87" t="n">
        <v>1</v>
      </c>
      <c r="L87" t="n">
        <v>1</v>
      </c>
      <c r="M87" s="4" t="n">
        <v>0.75</v>
      </c>
      <c r="N87" s="6">
        <f>D87/J87</f>
        <v/>
      </c>
      <c r="O87" s="6">
        <f>(D87/100000+E87/100+F87*K87/5+J87/200)*200*L87*M87</f>
        <v/>
      </c>
      <c r="P87" s="6">
        <f>((D87*E87/25000)+(F87*K87*J87/2.5))*L87*M87</f>
        <v/>
      </c>
      <c r="Q87" s="6">
        <f>(D87*E87*F87*K87*J87*L87*M87)/12500000</f>
        <v/>
      </c>
      <c r="R87" s="6">
        <f>(O87+P87+Q87)/3</f>
        <v/>
      </c>
      <c r="S87" t="n">
        <v>1800</v>
      </c>
    </row>
    <row r="89">
      <c r="A89" t="inlineStr">
        <is>
          <t>RA2</t>
        </is>
      </c>
    </row>
    <row r="90">
      <c r="B90" s="5" t="inlineStr">
        <is>
          <t>Mirage Tank</t>
        </is>
      </c>
      <c r="C90" s="3" t="n"/>
      <c r="D90" t="n">
        <v>120000</v>
      </c>
      <c r="E90" t="n">
        <v>90</v>
      </c>
      <c r="F90" s="7">
        <f>(S90*37500000/(L90*M90*D90*E90*K90*J90)-((500/(K90*J90))+(2500000000/(D90*E90*K90*J90)*(D90/100000+E90/100+J90/200))))/(1+5000000/(D90*E90)+(500000000/(D90*E90*J90)))</f>
        <v/>
      </c>
      <c r="G90" t="n">
        <v>24000</v>
      </c>
      <c r="H90" t="n">
        <v>1</v>
      </c>
      <c r="I90" t="n">
        <v>39</v>
      </c>
      <c r="J90" s="6">
        <f>G90/I90*H90</f>
        <v/>
      </c>
      <c r="K90" t="n">
        <v>1</v>
      </c>
      <c r="L90" t="n">
        <v>1</v>
      </c>
      <c r="M90" t="n">
        <v>0.75</v>
      </c>
      <c r="N90" s="6">
        <f>D90/J90</f>
        <v/>
      </c>
      <c r="O90" s="6">
        <f>(D90/100000+E90/100+F90*K90/5+J90/200)*200*L90*M90</f>
        <v/>
      </c>
      <c r="P90" s="6">
        <f>((D90*E90/25000)+(F90*K90*J90/2.5))*L90*M90</f>
        <v/>
      </c>
      <c r="Q90" s="6">
        <f>(D90*E90*F90*K90*J90*L90*M90)/12500000</f>
        <v/>
      </c>
      <c r="R90" s="6">
        <f>(O90+P90+Q90)/3</f>
        <v/>
      </c>
      <c r="S90" t="n">
        <v>1600</v>
      </c>
    </row>
    <row r="91">
      <c r="B91" s="5" t="inlineStr">
        <is>
          <t>Heavy Mirage Tank</t>
        </is>
      </c>
      <c r="C91" s="3" t="n"/>
      <c r="D91" t="n">
        <v>240000</v>
      </c>
      <c r="E91" t="n">
        <v>60</v>
      </c>
      <c r="F91" s="7">
        <f>(S91*37500000/(L91*M91*D91*E91*K91*J91)-((500/(K91*J91))+(2500000000/(D91*E91*K91*J91)*(D91/100000+E91/100+J91/200))))/(1+5000000/(D91*E91)+(500000000/(D91*E91*J91)))</f>
        <v/>
      </c>
      <c r="G91" t="n">
        <v>32000</v>
      </c>
      <c r="H91" t="n">
        <v>1</v>
      </c>
      <c r="I91" t="n">
        <v>51</v>
      </c>
      <c r="J91" s="6">
        <f>G91/I91*H91</f>
        <v/>
      </c>
      <c r="K91" t="n">
        <v>1</v>
      </c>
      <c r="L91" t="n">
        <v>1</v>
      </c>
      <c r="M91" t="n">
        <v>0.75</v>
      </c>
      <c r="N91" s="6">
        <f>D91/J91</f>
        <v/>
      </c>
      <c r="O91" s="6">
        <f>(D91/100000+E91/100+F91*K91/5+J91/200)*200*L91*M91</f>
        <v/>
      </c>
      <c r="P91" s="6">
        <f>((D91*E91/25000)+(F91*K91*J91/2.5))*L91*M91</f>
        <v/>
      </c>
      <c r="Q91" s="6">
        <f>(D91*E91*F91*K91*J91*L91*M91)/12500000</f>
        <v/>
      </c>
      <c r="R91" s="6">
        <f>(O91+P91+Q91)/3</f>
        <v/>
      </c>
      <c r="S91" t="n">
        <v>2000</v>
      </c>
    </row>
    <row r="92">
      <c r="B92" s="5" t="inlineStr">
        <is>
          <t>Apocalypse Tank</t>
        </is>
      </c>
      <c r="C92" s="3" t="n"/>
      <c r="D92" t="n">
        <v>350000</v>
      </c>
      <c r="E92" t="n">
        <v>55</v>
      </c>
      <c r="F92" s="7">
        <f>(S92*37500000/(L92*M92*D92*E92*K92*J92)-((500/(K92*J92))+(2500000000/(D92*E92*K92*J92)*(D92/100000+E92/100+J92/200))))/(1+5000000/(D92*E92)+(500000000/(D92*E92*J92)))</f>
        <v/>
      </c>
      <c r="G92" t="n">
        <v>24000</v>
      </c>
      <c r="H92" t="n">
        <v>1</v>
      </c>
      <c r="I92" t="n">
        <v>68</v>
      </c>
      <c r="J92" s="6">
        <f>G92/I92*H92</f>
        <v/>
      </c>
      <c r="K92" t="n">
        <v>1</v>
      </c>
      <c r="L92" t="n">
        <v>1</v>
      </c>
      <c r="M92" t="n">
        <v>0.75</v>
      </c>
      <c r="N92" s="6">
        <f>D92/J92</f>
        <v/>
      </c>
      <c r="O92" s="6">
        <f>(D92/100000+E92/100+F92*K92/5+J92/200)*200*L92*M92</f>
        <v/>
      </c>
      <c r="P92" s="6">
        <f>((D92*E92/25000)+(F92*K92*J92/2.5))*L92*M92</f>
        <v/>
      </c>
      <c r="Q92" s="6">
        <f>(D92*E92*F92*K92*J92*L92*M92)/12500000</f>
        <v/>
      </c>
      <c r="R92" s="6">
        <f>(O92+P92+Q92)/3</f>
        <v/>
      </c>
      <c r="S92" t="n">
        <v>1750</v>
      </c>
    </row>
    <row r="93">
      <c r="A93" t="inlineStr">
        <is>
          <t>RA2 Modded</t>
        </is>
      </c>
      <c r="B93" t="inlineStr">
        <is>
          <t>Pulverizer Mecha</t>
        </is>
      </c>
      <c r="D93" t="n">
        <v>285000</v>
      </c>
      <c r="E93" t="n">
        <v>55</v>
      </c>
      <c r="F93" s="7">
        <f>(S93*37500000/(L93*M93*D93*E93*K93*J93)-((500/(K93*J93))+(2500000000/(D93*E93*K93*J93)*(D93/100000+E93/100+J93/200))))/(1+5000000/(D93*E93)+(500000000/(D93*E93*J93)))</f>
        <v/>
      </c>
      <c r="G93" t="n">
        <v>10000</v>
      </c>
      <c r="H93" t="n">
        <v>1</v>
      </c>
      <c r="I93" t="n">
        <v>15</v>
      </c>
      <c r="J93" s="6">
        <f>G93/I93*H93</f>
        <v/>
      </c>
      <c r="K93" t="n">
        <v>1.25</v>
      </c>
      <c r="L93" t="n">
        <v>1</v>
      </c>
      <c r="M93" t="n">
        <v>0.75</v>
      </c>
      <c r="N93" s="6">
        <f>D93/J93</f>
        <v/>
      </c>
      <c r="O93" s="6">
        <f>(D93/100000+E93/100+F93*K93/5+J93/200)*200*L93*M93</f>
        <v/>
      </c>
      <c r="P93" s="6">
        <f>((D93*E93/25000)+(F93*K93*J93/2.5))*L93*M93</f>
        <v/>
      </c>
      <c r="Q93" s="6">
        <f>(D93*E93*F93*K93*J93*L93*M93)/12500000</f>
        <v/>
      </c>
      <c r="R93" s="6">
        <f>(O93+P93+Q93)/3</f>
        <v/>
      </c>
      <c r="S93" t="n">
        <v>3000</v>
      </c>
    </row>
    <row r="94">
      <c r="B94" t="inlineStr">
        <is>
          <t>Shotgun Attack Robot</t>
        </is>
      </c>
      <c r="D94" t="n">
        <v>55000</v>
      </c>
      <c r="E94" t="n">
        <v>55</v>
      </c>
      <c r="F94" s="7">
        <f>(S94*37500000/(L94*M94*D94*E94*K94*J94)-((500/(K94*J94))+(2500000000/(D94*E94*K94*J94)*(D94/100000+E94/100+J94/200))))/(1+5000000/(D94*E94)+(500000000/(D94*E94*J94)))</f>
        <v/>
      </c>
      <c r="G94" t="n">
        <v>12000</v>
      </c>
      <c r="H94" t="n">
        <v>0.875</v>
      </c>
      <c r="I94" t="n">
        <v>55</v>
      </c>
      <c r="J94" s="6">
        <f>G94/I94*H94</f>
        <v/>
      </c>
      <c r="K94" t="n">
        <v>1</v>
      </c>
      <c r="L94" t="n">
        <v>1</v>
      </c>
      <c r="M94" t="n">
        <v>0.75</v>
      </c>
      <c r="N94" s="6">
        <f>D94/J94</f>
        <v/>
      </c>
      <c r="O94" s="6">
        <f>(D94/100000+E94/100+F94*K94/5+J94/200)*200*L94*M94</f>
        <v/>
      </c>
      <c r="P94" s="6">
        <f>((D94*E94/25000)+(F94*K94*J94/2.5))*L94*M94</f>
        <v/>
      </c>
      <c r="Q94" s="6">
        <f>(D94*E94*F94*K94*J94*L94*M94)/12500000</f>
        <v/>
      </c>
      <c r="R94" s="6">
        <f>(O94+P94+Q94)/3</f>
        <v/>
      </c>
      <c r="S94" t="n">
        <v>300</v>
      </c>
    </row>
    <row r="95">
      <c r="B95" t="inlineStr">
        <is>
          <t>Gatling Super Mech</t>
        </is>
      </c>
      <c r="D95" t="n">
        <v>320000</v>
      </c>
      <c r="E95" t="n">
        <v>35</v>
      </c>
      <c r="F95" s="7">
        <f>(S95*37500000/(L95*M95*D95*E95*K95*J95)-((500/(K95*J95))+(2500000000/(D95*E95*K95*J95)*(D95/100000+E95/100+J95/200))))/(1+5000000/(D95*E95)+(500000000/(D95*E95*J95)))</f>
        <v/>
      </c>
      <c r="G95" t="n">
        <v>8000</v>
      </c>
      <c r="H95" t="n">
        <v>0.875</v>
      </c>
      <c r="I95" t="n">
        <v>12</v>
      </c>
      <c r="J95" s="6">
        <f>G95/I95*H95</f>
        <v/>
      </c>
      <c r="K95" t="n">
        <v>1.25</v>
      </c>
      <c r="L95" t="n">
        <v>1</v>
      </c>
      <c r="M95" t="n">
        <v>0.75</v>
      </c>
      <c r="N95" s="6">
        <f>D95/J95</f>
        <v/>
      </c>
      <c r="O95" s="6">
        <f>(D95/100000+E95/100+F95*K95/5+J95/200)*200*L95*M95</f>
        <v/>
      </c>
      <c r="P95" s="6">
        <f>((D95*E95/25000)+(F95*K95*J95/2.5))*L95*M95</f>
        <v/>
      </c>
      <c r="Q95" s="6">
        <f>(D95*E95*F95*K95*J95*L95*M95)/12500000</f>
        <v/>
      </c>
      <c r="R95" s="6">
        <f>(O95+P95+Q95)/3</f>
        <v/>
      </c>
      <c r="S95" t="n">
        <v>2500</v>
      </c>
    </row>
    <row r="96">
      <c r="B96" t="inlineStr">
        <is>
          <t>Plasma Super Mech</t>
        </is>
      </c>
      <c r="D96" t="n">
        <v>240000</v>
      </c>
      <c r="E96" t="n">
        <v>40</v>
      </c>
      <c r="F96" s="7">
        <f>(S96*37500000/(L96*M96*D96*E96*K96*J96)-((500/(K96*J96))+(2500000000/(D96*E96*K96*J96)*(D96/100000+E96/100+J96/200))))/(1+5000000/(D96*E96)+(500000000/(D96*E96*J96)))</f>
        <v/>
      </c>
      <c r="G96" t="n">
        <v>60000</v>
      </c>
      <c r="H96" t="n">
        <v>1</v>
      </c>
      <c r="I96" t="n">
        <v>60</v>
      </c>
      <c r="J96" s="6">
        <f>G96/I96*H96</f>
        <v/>
      </c>
      <c r="K96" t="n">
        <v>1</v>
      </c>
      <c r="L96" t="n">
        <v>1</v>
      </c>
      <c r="M96" t="n">
        <v>0.75</v>
      </c>
      <c r="N96" s="6">
        <f>D96/J96</f>
        <v/>
      </c>
      <c r="O96" s="6">
        <f>(D96/100000+E96/100+F96*K96/5+J96/200)*200*L96*M96</f>
        <v/>
      </c>
      <c r="P96" s="6">
        <f>((D96*E96/25000)+(F96*K96*J96/2.5))*L96*M96</f>
        <v/>
      </c>
      <c r="Q96" s="6">
        <f>(D96*E96*F96*K96*J96*L96*M96)/12500000</f>
        <v/>
      </c>
      <c r="R96" s="6">
        <f>(O96+P96+Q96)/3</f>
        <v/>
      </c>
      <c r="S96" t="n">
        <v>2600</v>
      </c>
    </row>
    <row r="97">
      <c r="B97" s="5" t="inlineStr">
        <is>
          <t>Robot Tank</t>
        </is>
      </c>
      <c r="C97" s="3" t="n"/>
      <c r="D97" t="n">
        <v>50000</v>
      </c>
      <c r="E97" t="n">
        <v>130</v>
      </c>
      <c r="F97" s="7">
        <f>(S97*37500000/(L97*M97*D97*E97*K97*J97)-((500/(K97*J97))+(2500000000/(D97*E97*K97*J97)*(D97/100000+E97/100+J97/200))))/(1+5000000/(D97*E97)+(500000000/(D97*E97*J97)))</f>
        <v/>
      </c>
      <c r="G97" t="n">
        <v>24000</v>
      </c>
      <c r="H97" t="n">
        <v>1.25</v>
      </c>
      <c r="I97" t="n">
        <v>48</v>
      </c>
      <c r="J97" s="6">
        <f>G97/I97*H97</f>
        <v/>
      </c>
      <c r="K97" t="n">
        <v>1</v>
      </c>
      <c r="L97" t="n">
        <v>1</v>
      </c>
      <c r="M97" t="n">
        <v>0.75</v>
      </c>
      <c r="N97" s="6">
        <f>D97/J97</f>
        <v/>
      </c>
      <c r="O97" s="6">
        <f>(D97/100000+E97/100+F97*K97/5+J97/200)*200*L97*M97</f>
        <v/>
      </c>
      <c r="P97" s="6">
        <f>((D97*E97/25000)+(F97*K97*J97/2.5))*L97*M97</f>
        <v/>
      </c>
      <c r="Q97" s="6">
        <f>(D97*E97*F97*K97*J97*L97*M97)/12500000</f>
        <v/>
      </c>
      <c r="R97" s="6">
        <f>(O97+P97+Q97)/3</f>
        <v/>
      </c>
      <c r="S97" t="n">
        <v>1200</v>
      </c>
    </row>
    <row r="98">
      <c r="B98" s="5" t="inlineStr">
        <is>
          <t>Megalodon</t>
        </is>
      </c>
      <c r="C98" s="3" t="n"/>
      <c r="D98" t="n">
        <v>450000</v>
      </c>
      <c r="E98" t="n">
        <v>65</v>
      </c>
      <c r="F98" s="7">
        <f>(S98*37500000/(L98*M98*D98*E98*K98*J98)-((500/(K98*J98))+(2500000000/(D98*E98*K98*J98)*(D98/100000+E98/100+J98/200))))/(1+5000000/(D98*E98)+(500000000/(D98*E98*J98)))</f>
        <v/>
      </c>
      <c r="G98" t="n">
        <v>60000</v>
      </c>
      <c r="H98" t="n">
        <v>1.25</v>
      </c>
      <c r="I98" t="n">
        <v>25</v>
      </c>
      <c r="J98" s="6">
        <f>G98/I98*H98</f>
        <v/>
      </c>
      <c r="K98" t="n">
        <v>1</v>
      </c>
      <c r="L98" t="n">
        <v>1</v>
      </c>
      <c r="M98" t="n">
        <v>0.75</v>
      </c>
      <c r="N98" s="6">
        <f>D98/J98</f>
        <v/>
      </c>
      <c r="O98" s="6">
        <f>(D98/100000+E98/100+F98*K98/5+J98/200)*200*L98*M98</f>
        <v/>
      </c>
      <c r="P98" s="6">
        <f>((D98*E98/25000)+(F98*K98*J98/2.5))*L98*M98</f>
        <v/>
      </c>
      <c r="Q98" s="6">
        <f>(D98*E98*F98*K98*J98*L98*M98)/12500000</f>
        <v/>
      </c>
      <c r="R98" s="6">
        <f>(O98+P98+Q98)/3</f>
        <v/>
      </c>
      <c r="S98" t="n">
        <v>4600</v>
      </c>
    </row>
    <row r="99">
      <c r="B99" s="5" t="inlineStr">
        <is>
          <t>Katy Tank</t>
        </is>
      </c>
      <c r="C99" s="3" t="n"/>
      <c r="D99" t="n">
        <v>275000</v>
      </c>
      <c r="E99" t="n">
        <v>45</v>
      </c>
      <c r="F99" s="7">
        <f>(S99*37500000/(L99*M99*D99*E99*K99*J99)-((500/(K99*J99))+(2500000000/(D99*E99*K99*J99)*(D99/100000+E99/100+J99/200))))/(1+5000000/(D99*E99)+(500000000/(D99*E99*J99)))</f>
        <v/>
      </c>
      <c r="G99" t="n">
        <v>60000</v>
      </c>
      <c r="H99" t="n">
        <v>1</v>
      </c>
      <c r="I99" t="n">
        <v>60</v>
      </c>
      <c r="J99" s="6">
        <f>G99/I99*H99</f>
        <v/>
      </c>
      <c r="K99" t="n">
        <v>1.25</v>
      </c>
      <c r="L99" t="n">
        <v>1</v>
      </c>
      <c r="M99" t="n">
        <v>0.75</v>
      </c>
      <c r="N99" s="6">
        <f>D99/J99</f>
        <v/>
      </c>
      <c r="O99" s="6">
        <f>(D99/100000+E99/100+F99*K99/5+J99/200)*200*L99*M99</f>
        <v/>
      </c>
      <c r="P99" s="6">
        <f>((D99*E99/25000)+(F99*K99*J99/2.5))*L99*M99</f>
        <v/>
      </c>
      <c r="Q99" s="6">
        <f>(D99*E99*F99*K99*J99*L99*M99)/12500000</f>
        <v/>
      </c>
      <c r="R99" s="6">
        <f>(O99+P99+Q99)/3</f>
        <v/>
      </c>
      <c r="S99" t="n">
        <v>3800</v>
      </c>
    </row>
    <row r="100">
      <c r="B100" s="5" t="inlineStr">
        <is>
          <t>Defender Bot</t>
        </is>
      </c>
      <c r="C100" s="3" t="n"/>
      <c r="D100" t="n">
        <v>210000</v>
      </c>
      <c r="E100" t="n">
        <v>70</v>
      </c>
      <c r="F100" s="7">
        <f>(S100*37500000/(L100*M100*D100*E100*K100*J100)-((500/(K100*J100))+(2500000000/(D100*E100*K100*J100)*(D100/100000+E100/100+J100/200))))/(1+5000000/(D100*E100)+(500000000/(D100*E100*J100)))</f>
        <v/>
      </c>
      <c r="G100" t="n">
        <v>32000</v>
      </c>
      <c r="H100" t="n">
        <v>1</v>
      </c>
      <c r="I100" t="n">
        <v>48</v>
      </c>
      <c r="J100" s="6">
        <f>G100/I100*H100</f>
        <v/>
      </c>
      <c r="K100" t="n">
        <v>1.25</v>
      </c>
      <c r="L100" t="n">
        <v>1</v>
      </c>
      <c r="M100" t="n">
        <v>0.75</v>
      </c>
      <c r="N100" s="6">
        <f>D100/J100</f>
        <v/>
      </c>
      <c r="O100" s="6">
        <f>(D100/100000+E100/100+F100*K100/5+J100/200)*200*L100*M100</f>
        <v/>
      </c>
      <c r="P100" s="6">
        <f>((D100*E100/25000)+(F100*K100*J100/2.5))*L100*M100</f>
        <v/>
      </c>
      <c r="Q100" s="6">
        <f>(D100*E100*F100*K100*J100*L100*M100)/12500000</f>
        <v/>
      </c>
      <c r="R100" s="6">
        <f>(O100+P100+Q100)/3</f>
        <v/>
      </c>
      <c r="S100" t="n">
        <v>3200</v>
      </c>
    </row>
    <row r="101">
      <c r="B101" s="5" t="inlineStr">
        <is>
          <t>Beholder</t>
        </is>
      </c>
      <c r="C101" s="3" t="n"/>
      <c r="D101" t="n">
        <v>125000</v>
      </c>
      <c r="E101" t="n">
        <v>125</v>
      </c>
      <c r="F101" s="7">
        <f>(S101*37500000/(L101*M101*D101*E101*K101*J101)-((500/(K101*J101))+(2500000000/(D101*E101*K101*J101)*(D101/100000+E101/100+J101/200))))/(1+5000000/(D101*E101)+(500000000/(D101*E101*J101)))</f>
        <v/>
      </c>
      <c r="G101" t="n">
        <v>80000</v>
      </c>
      <c r="H101" t="n">
        <v>1.25</v>
      </c>
      <c r="I101" t="n">
        <v>55</v>
      </c>
      <c r="J101" s="6">
        <f>G101/I101*H101</f>
        <v/>
      </c>
      <c r="K101" t="n">
        <v>1</v>
      </c>
      <c r="L101" t="n">
        <v>1</v>
      </c>
      <c r="M101" t="n">
        <v>0.75</v>
      </c>
      <c r="N101" s="6">
        <f>D101/J101</f>
        <v/>
      </c>
      <c r="O101" s="6">
        <f>(D101/100000+E101/100+F101*K101/5+J101/200)*200*L101*M101</f>
        <v/>
      </c>
      <c r="P101" s="6">
        <f>((D101*E101/25000)+(F101*K101*J101/2.5))*L101*M101</f>
        <v/>
      </c>
      <c r="Q101" s="6">
        <f>(D101*E101*F101*K101*J101*L101*M101)/12500000</f>
        <v/>
      </c>
      <c r="R101" s="6">
        <f>(O101+P101+Q101)/3</f>
        <v/>
      </c>
      <c r="S101" t="n">
        <v>2500</v>
      </c>
    </row>
    <row r="102">
      <c r="B102" t="inlineStr">
        <is>
          <t>Tortuga Tank</t>
        </is>
      </c>
      <c r="D102" t="n">
        <v>875000</v>
      </c>
      <c r="E102" t="n">
        <v>45</v>
      </c>
      <c r="F102" s="7">
        <f>(S102*37500000/(L102*M102*D102*E102*K102*J102)-((500/(K102*J102))+(2500000000/(D102*E102*K102*J102)*(D102/100000+E102/100+J102/200))))/(1+5000000/(D102*E102)+(500000000/(D102*E102*J102)))</f>
        <v/>
      </c>
      <c r="G102" t="n">
        <v>40000</v>
      </c>
      <c r="H102" t="n">
        <v>0.875</v>
      </c>
      <c r="I102" t="n">
        <v>55</v>
      </c>
      <c r="J102" s="6">
        <f>G102/I102*H102</f>
        <v/>
      </c>
      <c r="K102" t="n">
        <v>1</v>
      </c>
      <c r="L102" t="n">
        <v>1</v>
      </c>
      <c r="M102" t="n">
        <v>0.5</v>
      </c>
      <c r="O102" s="6">
        <f>(D102/100000+E102/100+F102*K102/5+J102/200)*200*L102*M102</f>
        <v/>
      </c>
      <c r="P102" s="6">
        <f>((D102*E102/25000)+(F102*K102*J102/2.5))*L102*M102</f>
        <v/>
      </c>
      <c r="Q102" s="6">
        <f>(D102*E102*F102*K102*J102*L102*M102)/12500000</f>
        <v/>
      </c>
      <c r="R102" s="6">
        <f>(O102+P102+Q102)/3</f>
        <v/>
      </c>
      <c r="S102" t="n">
        <v>3000</v>
      </c>
    </row>
    <row r="103">
      <c r="B103" s="5" t="inlineStr">
        <is>
          <t>Orion Tank</t>
        </is>
      </c>
      <c r="D103" t="n">
        <v>180000</v>
      </c>
      <c r="E103" t="n">
        <v>60</v>
      </c>
      <c r="F103" s="7">
        <f>(S103*37500000/(L103*M103*D103*E103*K103*J103)-((500/(K103*J103))+(2500000000/(D103*E103*K103*J103)*(D103/100000+E103/100+J103/200))))/(1+5000000/(D103*E103)+(500000000/(D103*E103*J103)))</f>
        <v/>
      </c>
      <c r="G103" t="n">
        <v>60000</v>
      </c>
      <c r="H103" t="n">
        <v>1.25</v>
      </c>
      <c r="I103" t="n">
        <v>60</v>
      </c>
      <c r="J103" s="6">
        <f>G103/I103*H103</f>
        <v/>
      </c>
      <c r="K103" t="n">
        <v>1</v>
      </c>
      <c r="L103" t="n">
        <v>1</v>
      </c>
      <c r="M103" t="n">
        <v>0.75</v>
      </c>
      <c r="N103" s="6">
        <f>D103/J103</f>
        <v/>
      </c>
      <c r="O103" s="6">
        <f>(D103/100000+E103/100+F103*K103/5+J103/200)*200*L103*M103</f>
        <v/>
      </c>
      <c r="P103" s="6">
        <f>((D103*E103/25000)+(F103*K103*J103/2.5))*L103*M103</f>
        <v/>
      </c>
      <c r="Q103" s="6">
        <f>(D103*E103*F103*K103*J103*L103*M103)/12500000</f>
        <v/>
      </c>
      <c r="R103" s="6">
        <f>(O103+P103+Q103)/3</f>
        <v/>
      </c>
      <c r="S103" t="n">
        <v>3600</v>
      </c>
    </row>
    <row r="105">
      <c r="B105" s="5" t="inlineStr">
        <is>
          <t>Federation Cobra</t>
        </is>
      </c>
      <c r="C105" s="3" t="n"/>
      <c r="D105" t="n">
        <v>325000</v>
      </c>
      <c r="E105" t="n">
        <v>55</v>
      </c>
      <c r="F105" s="7">
        <f>(S105*37500000/(L105*M105*D105*E105*K105*J105)-((500/(K105*J105))+(2500000000/(D105*E105*K105*J105)*(D105/100000+E105/100+J105/200))))/(1+5000000/(D105*E105)+(500000000/(D105*E105*J105)))</f>
        <v/>
      </c>
      <c r="G105" t="n">
        <v>20000</v>
      </c>
      <c r="H105" t="n">
        <v>1.25</v>
      </c>
      <c r="I105" t="n">
        <v>35</v>
      </c>
      <c r="J105" s="6">
        <f>G105/I105*H105</f>
        <v/>
      </c>
      <c r="K105" t="n">
        <v>1</v>
      </c>
      <c r="L105" t="n">
        <v>1</v>
      </c>
      <c r="M105" t="n">
        <v>0.75</v>
      </c>
      <c r="O105" s="6">
        <f>(D105/100000+E105/100+F105*K105/5+J105/200)*200*L105*M105</f>
        <v/>
      </c>
      <c r="P105" s="6">
        <f>((D105*E105/25000)+(F105*K105*J105/2.5))*L105*M105</f>
        <v/>
      </c>
      <c r="Q105" s="6">
        <f>(D105*E105*F105*K105*J105*L105*M105)/12500000</f>
        <v/>
      </c>
      <c r="R105" s="6">
        <f>(O105+P105+Q105)/3</f>
        <v/>
      </c>
      <c r="S105" t="n">
        <v>3600</v>
      </c>
    </row>
    <row r="107">
      <c r="B107" t="inlineStr">
        <is>
          <t>Epic Units</t>
        </is>
      </c>
      <c r="D107" t="inlineStr">
        <is>
          <t>HP</t>
        </is>
      </c>
      <c r="E107" t="inlineStr">
        <is>
          <t>Speed</t>
        </is>
      </c>
      <c r="F107" s="7" t="inlineStr">
        <is>
          <t>Range</t>
        </is>
      </c>
      <c r="G107" t="inlineStr">
        <is>
          <t>Damage</t>
        </is>
      </c>
      <c r="H107" t="inlineStr">
        <is>
          <t>Weapon Class</t>
        </is>
      </c>
      <c r="I107" t="inlineStr">
        <is>
          <t>Reload Delay</t>
        </is>
      </c>
      <c r="J107" s="6" t="inlineStr">
        <is>
          <t>DPS</t>
        </is>
      </c>
      <c r="K107" t="inlineStr">
        <is>
          <t>Special</t>
        </is>
      </c>
      <c r="L107" t="inlineStr">
        <is>
          <t>Unit Class</t>
        </is>
      </c>
      <c r="M107" t="inlineStr">
        <is>
          <t>Tech Tier</t>
        </is>
      </c>
      <c r="N107" t="inlineStr">
        <is>
          <t>HP/DPS</t>
        </is>
      </c>
      <c r="S107" t="inlineStr">
        <is>
          <t>Cost</t>
        </is>
      </c>
    </row>
    <row r="109">
      <c r="A109" t="inlineStr">
        <is>
          <t>TD</t>
        </is>
      </c>
      <c r="B109" t="inlineStr">
        <is>
          <t>Experimental Exosuit</t>
        </is>
      </c>
      <c r="D109" t="n">
        <v>200000</v>
      </c>
      <c r="E109" t="n">
        <v>100</v>
      </c>
      <c r="F109" s="7">
        <f>(S109*37500000/(L109*M109*D109*E109*K109*J109)-((500/(K109*J109))+(2500000000/(D109*E109*K109*J109)*(D109/100000+E109/100+J109/200))))/(1+5000000/(D109*E109)+(500000000/(D109*E109*J109)))</f>
        <v/>
      </c>
      <c r="G109" t="n">
        <v>320000</v>
      </c>
      <c r="H109" t="n">
        <v>1.25</v>
      </c>
      <c r="I109" t="n">
        <v>84</v>
      </c>
      <c r="J109" s="6">
        <f>G109/I109*H109</f>
        <v/>
      </c>
      <c r="K109" t="n">
        <v>1</v>
      </c>
      <c r="L109" t="n">
        <v>0.4</v>
      </c>
      <c r="M109" t="n">
        <v>0.75</v>
      </c>
      <c r="N109" s="6">
        <f>D109/J109</f>
        <v/>
      </c>
      <c r="O109" s="6">
        <f>(D109/100000+E109/100+F109*K109/5+J109/200)*200*L109*M109</f>
        <v/>
      </c>
      <c r="P109" s="6">
        <f>((D109*E109/25000)+(F109*K109*J109/2.5))*L109*M109</f>
        <v/>
      </c>
      <c r="Q109" s="6">
        <f>(D109*E109*F109*K109*J109*L109*M109)/12500000</f>
        <v/>
      </c>
      <c r="R109" s="6">
        <f>(O109+P109+Q109)/3</f>
        <v/>
      </c>
      <c r="S109" t="n">
        <v>7000</v>
      </c>
    </row>
    <row r="110">
      <c r="B110" t="inlineStr">
        <is>
          <t>GDI Rig (Phalanx)</t>
        </is>
      </c>
      <c r="D110" t="n">
        <v>400000</v>
      </c>
      <c r="E110" t="n">
        <v>60</v>
      </c>
      <c r="F110" s="7">
        <f>(S110*37500000/(L110*M110*D110*E110*K110*J110)-((500/(K110*J110))+(2500000000/(D110*E110*K110*J110)*(D110/100000+E110/100+J110/200))))/(1+5000000/(D110*E110)+(500000000/(D110*E110*J110)))</f>
        <v/>
      </c>
      <c r="G110" t="n">
        <v>12000</v>
      </c>
      <c r="H110" t="n">
        <v>0.875</v>
      </c>
      <c r="I110" t="n">
        <v>4</v>
      </c>
      <c r="J110" s="6">
        <f>G110/I110*H110</f>
        <v/>
      </c>
      <c r="K110" t="n">
        <v>1.25</v>
      </c>
      <c r="L110" t="n">
        <v>0.4</v>
      </c>
      <c r="M110" t="n">
        <v>0.75</v>
      </c>
      <c r="N110" s="6">
        <f>D110/J110</f>
        <v/>
      </c>
      <c r="O110" s="6">
        <f>(D110/100000+E110/100+F110*K110/5+J110/200)*200*L110*M110</f>
        <v/>
      </c>
      <c r="P110" s="6">
        <f>((D110*E110/25000)+(F110*K110*J110/2.5))*L110*M110</f>
        <v/>
      </c>
      <c r="Q110" s="6">
        <f>(D110*E110*F110*K110*J110*L110*M110)/12500000</f>
        <v/>
      </c>
      <c r="R110" s="6">
        <f>(O110+P110+Q110)/3</f>
        <v/>
      </c>
      <c r="S110" t="n">
        <v>5000</v>
      </c>
    </row>
    <row r="111">
      <c r="B111" t="inlineStr">
        <is>
          <t>GDI Rig (Railgun)</t>
        </is>
      </c>
      <c r="D111" t="n">
        <v>400000</v>
      </c>
      <c r="E111" t="n">
        <v>60</v>
      </c>
      <c r="F111" s="7">
        <f>(S111*37500000/(L111*M111*D111*E111*K111*J111)-((500/(K111*J111))+(2500000000/(D111*E111*K111*J111)*(D111/100000+E111/100+J111/200))))/(1+5000000/(D111*E111)+(500000000/(D111*E111*J111)))</f>
        <v/>
      </c>
      <c r="G111" t="n">
        <v>12000</v>
      </c>
      <c r="H111" t="n">
        <v>0.875</v>
      </c>
      <c r="I111" t="n">
        <v>4</v>
      </c>
      <c r="J111" s="6">
        <f>G111/I111*H111</f>
        <v/>
      </c>
      <c r="K111" t="n">
        <v>1.25</v>
      </c>
      <c r="L111" t="n">
        <v>0.4</v>
      </c>
      <c r="M111" t="n">
        <v>0.75</v>
      </c>
      <c r="N111" s="6">
        <f>D111/J111</f>
        <v/>
      </c>
      <c r="O111" s="6">
        <f>(D111/100000+E111/100+F111*K111/5+J111/200)*200*L111*M111</f>
        <v/>
      </c>
      <c r="P111" s="6">
        <f>((D111*E111/25000)+(F111*K111*J111/2.5))*L111*M111</f>
        <v/>
      </c>
      <c r="Q111" s="6">
        <f>(D111*E111*F111*K111*J111*L111*M111)/12500000</f>
        <v/>
      </c>
      <c r="R111" s="6">
        <f>(O111+P111+Q111)/3</f>
        <v/>
      </c>
      <c r="S111" t="n">
        <v>5000</v>
      </c>
    </row>
    <row r="112">
      <c r="B112" t="inlineStr">
        <is>
          <t>GDI Rig (Missiles)</t>
        </is>
      </c>
      <c r="D112" t="n">
        <v>400000</v>
      </c>
      <c r="E112" t="n">
        <v>60</v>
      </c>
      <c r="F112" s="7">
        <f>(S112*37500000/(L112*M112*D112*E112*K112*J112)-((500/(K112*J112))+(2500000000/(D112*E112*K112*J112)*(D112/100000+E112/100+J112/200))))/(1+5000000/(D112*E112)+(500000000/(D112*E112*J112)))</f>
        <v/>
      </c>
      <c r="G112" t="n">
        <v>12000</v>
      </c>
      <c r="H112" t="n">
        <v>0.875</v>
      </c>
      <c r="I112" t="n">
        <v>4</v>
      </c>
      <c r="J112" s="6">
        <f>G112/I112*H112</f>
        <v/>
      </c>
      <c r="K112" t="n">
        <v>1.25</v>
      </c>
      <c r="L112" t="n">
        <v>0.4</v>
      </c>
      <c r="M112" t="n">
        <v>0.75</v>
      </c>
      <c r="N112" s="6">
        <f>D112/J112</f>
        <v/>
      </c>
      <c r="O112" s="6">
        <f>(D112/100000+E112/100+F112*K112/5+J112/200)*200*L112*M112</f>
        <v/>
      </c>
      <c r="P112" s="6">
        <f>((D112*E112/25000)+(F112*K112*J112/2.5))*L112*M112</f>
        <v/>
      </c>
      <c r="Q112" s="6">
        <f>(D112*E112*F112*K112*J112*L112*M112)/12500000</f>
        <v/>
      </c>
      <c r="R112" s="6">
        <f>(O112+P112+Q112)/3</f>
        <v/>
      </c>
      <c r="S112" t="n">
        <v>5000</v>
      </c>
    </row>
    <row r="113">
      <c r="A113" t="inlineStr">
        <is>
          <t>RA1</t>
        </is>
      </c>
      <c r="B113" t="inlineStr">
        <is>
          <t>Chrono Tank</t>
        </is>
      </c>
      <c r="D113" t="n">
        <v>75000</v>
      </c>
      <c r="E113" t="n">
        <v>100</v>
      </c>
      <c r="F113" s="7">
        <f>(S113*37500000/(L113*M113*D113*E113*K113*J113)-((500/(K113*J113))+(2500000000/(D113*E113*K113*J113)*(D113/100000+E113/100+J113/200))))/(1+5000000/(D113*E113)+(500000000/(D113*E113*J113)))</f>
        <v/>
      </c>
      <c r="G113" t="n">
        <v>80000</v>
      </c>
      <c r="H113" t="n">
        <v>1.125</v>
      </c>
      <c r="I113" t="n">
        <v>63</v>
      </c>
      <c r="J113" s="6">
        <f>G113/I113*H113</f>
        <v/>
      </c>
      <c r="K113" t="n">
        <v>2</v>
      </c>
      <c r="L113" t="n">
        <v>0.4</v>
      </c>
      <c r="M113" t="n">
        <v>0.75</v>
      </c>
      <c r="N113" s="6">
        <f>D113/J113</f>
        <v/>
      </c>
      <c r="O113" s="6">
        <f>(D113/100000+E113/100+F113*K113/5+J113/200)*200*L113*M113</f>
        <v/>
      </c>
      <c r="P113" s="6">
        <f>((D113*E113/25000)+(F113*K113*J113/2.5))*L113*M113</f>
        <v/>
      </c>
      <c r="Q113" s="6">
        <f>(D113*E113*F113*K113*J113*L113*M113)/12500000</f>
        <v/>
      </c>
      <c r="R113" s="6">
        <f>(O113+P113+Q113)/3</f>
        <v/>
      </c>
      <c r="S113" t="n">
        <v>2000</v>
      </c>
    </row>
    <row r="114">
      <c r="B114" t="inlineStr">
        <is>
          <t>Monster Tank</t>
        </is>
      </c>
      <c r="D114" t="n">
        <v>1000000</v>
      </c>
      <c r="E114" t="n">
        <v>45</v>
      </c>
      <c r="F114" s="7">
        <f>(S114*37500000/(L114*M114*D114*E114*K114*J114)-((500/(K114*J114))+(2500000000/(D114*E114*K114*J114)*(D114/100000+E114/100+J114/200))))/(1+5000000/(D114*E114)+(500000000/(D114*E114*J114)))</f>
        <v/>
      </c>
      <c r="G114" t="n">
        <v>320000</v>
      </c>
      <c r="H114" t="n">
        <v>1.25</v>
      </c>
      <c r="I114" t="n">
        <v>135</v>
      </c>
      <c r="J114" s="6">
        <f>G114/I114*H114</f>
        <v/>
      </c>
      <c r="K114" t="n">
        <v>1</v>
      </c>
      <c r="L114" t="n">
        <v>0.4</v>
      </c>
      <c r="M114" t="n">
        <v>0.75</v>
      </c>
      <c r="N114" s="6">
        <f>D114/J114</f>
        <v/>
      </c>
      <c r="O114" s="6">
        <f>(D114/100000+E114/100+F114*K114/5+J114/200)*200*L114*M114</f>
        <v/>
      </c>
      <c r="P114" s="6">
        <f>((D114*E114/25000)+(F114*K114*J114/2.5))*L114*M114</f>
        <v/>
      </c>
      <c r="Q114" s="6">
        <f>(D114*E114*F114*K114*J114*L114*M114)/12500000</f>
        <v/>
      </c>
      <c r="R114" s="6">
        <f>(O114+P114+Q114)/3</f>
        <v/>
      </c>
      <c r="S114" t="n">
        <v>10000</v>
      </c>
    </row>
    <row r="115">
      <c r="B115" s="5" t="inlineStr">
        <is>
          <t>Exorcist OI Tank</t>
        </is>
      </c>
      <c r="C115" s="3" t="n"/>
      <c r="D115" t="n">
        <v>750000</v>
      </c>
      <c r="E115" t="n">
        <v>50</v>
      </c>
      <c r="F115" s="7" t="n">
        <v>5.39366515837104</v>
      </c>
      <c r="G115" t="n">
        <v>193000</v>
      </c>
      <c r="H115" t="n">
        <v>1.125</v>
      </c>
      <c r="I115" t="n">
        <v>50</v>
      </c>
      <c r="J115" s="6">
        <f>G115/I115*H115</f>
        <v/>
      </c>
      <c r="K115" t="n">
        <v>1.25</v>
      </c>
      <c r="L115" t="n">
        <v>0.4</v>
      </c>
      <c r="M115" t="n">
        <v>0.75</v>
      </c>
      <c r="N115" s="6">
        <f>D115/J115</f>
        <v/>
      </c>
      <c r="O115" s="6">
        <f>(D115/100000+E115/100+F115*K115/5+J115/200)*200*L115*M115</f>
        <v/>
      </c>
      <c r="P115" s="6">
        <f>((D115*E115/25000)+(F115*K115*J115/2.5))*L115*M115</f>
        <v/>
      </c>
      <c r="Q115" s="6">
        <f>(D115*E115*F115*K115*J115*L115*M115)/12500000</f>
        <v/>
      </c>
      <c r="R115" s="6">
        <f>(O115+P115+Q115)/3</f>
        <v/>
      </c>
      <c r="S115" t="n">
        <v>7000</v>
      </c>
    </row>
    <row r="116">
      <c r="B116" s="5" t="inlineStr">
        <is>
          <t>Shogun Executioner</t>
        </is>
      </c>
      <c r="C116" s="3" t="n"/>
      <c r="D116" t="n">
        <v>3000000</v>
      </c>
      <c r="E116" t="n">
        <v>65</v>
      </c>
      <c r="F116" s="7">
        <f>(S116*37500000/(L116*M116*D116*E116*K116*J116)-((500/(K116*J116))+(2500000000/(D116*E116*K116*J116)*(D116/100000+E116/100+J116/200))))/(1+5000000/(D116*E116)+(500000000/(D116*E116*J116)))</f>
        <v/>
      </c>
      <c r="G116" t="n">
        <v>600000</v>
      </c>
      <c r="H116" t="n">
        <v>1</v>
      </c>
      <c r="I116" t="n">
        <v>300</v>
      </c>
      <c r="J116" s="6">
        <f>G116/I116*H116</f>
        <v/>
      </c>
      <c r="K116" t="n">
        <v>1.25</v>
      </c>
      <c r="L116" t="n">
        <v>0.4</v>
      </c>
      <c r="M116" t="n">
        <v>0.75</v>
      </c>
      <c r="N116" s="6">
        <f>D116/J116</f>
        <v/>
      </c>
      <c r="O116" s="6">
        <f>(D116/100000+E116/100+F116*K116/5+J116/200)*200*L116*M116</f>
        <v/>
      </c>
      <c r="P116" s="6">
        <f>((D116*E116/25000)+(F116*K116*J116/2.5))*L116*M116</f>
        <v/>
      </c>
      <c r="Q116" s="6">
        <f>(D116*E116*F116*K116*J116*L116*M116)/12500000</f>
        <v/>
      </c>
      <c r="R116" s="6">
        <f>(O116+P116+Q116)/3</f>
        <v/>
      </c>
      <c r="S116" t="n">
        <v>10000</v>
      </c>
    </row>
    <row r="117">
      <c r="A117" t="inlineStr">
        <is>
          <t>StarCraft</t>
        </is>
      </c>
      <c r="B117" s="5" t="inlineStr">
        <is>
          <t>Hermit</t>
        </is>
      </c>
      <c r="D117" t="n">
        <v>375000</v>
      </c>
      <c r="E117" t="n">
        <v>50</v>
      </c>
      <c r="F117" s="7">
        <f>(S117*37500000/(L117*M117*D117*E117*K117*J117)-((500/(K117*J117))+(2500000000/(D117*E117*K117*J117)*(D117/100000+E117/100+J117/200))))/(1+5000000/(D117*E117)+(500000000/(D117*E117*J117)))</f>
        <v/>
      </c>
      <c r="G117" t="n">
        <v>120000</v>
      </c>
      <c r="H117" t="n">
        <v>1</v>
      </c>
      <c r="I117" t="n">
        <v>30</v>
      </c>
      <c r="J117" s="6">
        <f>G117/I117*H117</f>
        <v/>
      </c>
      <c r="K117" t="n">
        <v>1</v>
      </c>
      <c r="L117" t="n">
        <v>0.4</v>
      </c>
      <c r="M117" t="n">
        <v>0.75</v>
      </c>
      <c r="N117" s="6">
        <f>D117/J117</f>
        <v/>
      </c>
      <c r="O117" s="6">
        <f>(D117/100000+E117/100+F117*K117/5+J117/200)*200*L117*M117</f>
        <v/>
      </c>
      <c r="P117" s="6">
        <f>((D117*E117/25000)+(F117*K117*J117/2.5))*L117*M117</f>
        <v/>
      </c>
      <c r="Q117" s="6">
        <f>(D117*E117*F117*K117*J117*L117*M117)/12500000</f>
        <v/>
      </c>
      <c r="R117" s="6">
        <f>(O117+P117+Q117)/3</f>
        <v/>
      </c>
      <c r="S117" t="n">
        <v>6000</v>
      </c>
    </row>
    <row r="118">
      <c r="B118" s="8" t="inlineStr">
        <is>
          <t>Idol</t>
        </is>
      </c>
      <c r="D118" t="n">
        <v>350000</v>
      </c>
      <c r="E118" t="n">
        <v>40</v>
      </c>
      <c r="F118" s="7">
        <f>(S118*37500000/(L118*M118*D118*E118*K118*J118)-((500/(K118*J118))+(2500000000/(D118*E118*K118*J118)*(D118/100000+E118/100+J118/200))))/(1+5000000/(D118*E118)+(500000000/(D118*E118*J118)))</f>
        <v/>
      </c>
      <c r="G118" t="n">
        <v>134000</v>
      </c>
      <c r="H118" t="n">
        <v>1.25</v>
      </c>
      <c r="I118" t="n">
        <v>120</v>
      </c>
      <c r="J118" s="6">
        <f>G118/I118*H118</f>
        <v/>
      </c>
      <c r="K118" t="n">
        <v>1.25</v>
      </c>
      <c r="L118" t="n">
        <v>0.4</v>
      </c>
      <c r="M118" s="4" t="n">
        <v>0.75</v>
      </c>
      <c r="N118" s="6">
        <f>D118/J118</f>
        <v/>
      </c>
      <c r="O118" s="6">
        <f>(D118/100000+E118/100+F118*K118/5+J118/200)*200*L118*M118</f>
        <v/>
      </c>
      <c r="P118" s="6">
        <f>((D118*E118/25000)+(F118*K118*J118/2.5))*L118*M118</f>
        <v/>
      </c>
      <c r="Q118" s="6">
        <f>(D118*E118*F118*K118*J118*L118*M118)/12500000</f>
        <v/>
      </c>
      <c r="R118" s="6">
        <f>(O118+P118+Q118)/3</f>
        <v/>
      </c>
      <c r="S118" t="n">
        <v>2800</v>
      </c>
    </row>
    <row r="119">
      <c r="A119" t="inlineStr">
        <is>
          <t>Naxis</t>
        </is>
      </c>
      <c r="B119" t="inlineStr">
        <is>
          <t>Ratte</t>
        </is>
      </c>
      <c r="D119" t="n">
        <v>2000000</v>
      </c>
      <c r="E119" t="n">
        <v>35</v>
      </c>
      <c r="F119" s="7">
        <f>(S119*37500000/(L119*M119*D119*E119*K119*J119)-((500/(K119*J119))+(2500000000/(D119*E119*K119*J119)*(D119/100000+E119/100+J119/200))))/(1+5000000/(D119*E119)+(500000000/(D119*E119*J119)))</f>
        <v/>
      </c>
      <c r="G119" t="n">
        <v>300000</v>
      </c>
      <c r="H119" t="n">
        <v>1</v>
      </c>
      <c r="I119" t="n">
        <v>155</v>
      </c>
      <c r="J119" s="6">
        <f>G119/I119*H119</f>
        <v/>
      </c>
      <c r="K119" t="n">
        <v>1</v>
      </c>
      <c r="L119" t="n">
        <v>0.4</v>
      </c>
      <c r="M119" t="n">
        <v>0.75</v>
      </c>
      <c r="N119" s="6">
        <f>D119/J119</f>
        <v/>
      </c>
      <c r="O119" s="6">
        <f>(D119/100000+E119/100+F119*K119/5+J119/200)*200*L119*M119</f>
        <v/>
      </c>
      <c r="P119" s="6">
        <f>((D119*E119/25000)+(F119*K119*J119/2.5))*L119*M119</f>
        <v/>
      </c>
      <c r="Q119" s="6">
        <f>(D119*E119*F119*K119*J119*L119*M119)/12500000</f>
        <v/>
      </c>
      <c r="R119" s="6">
        <f>(O119+P119+Q119)/3</f>
        <v/>
      </c>
      <c r="S119" t="n">
        <v>8000</v>
      </c>
    </row>
    <row r="120">
      <c r="B120" s="5" t="inlineStr">
        <is>
          <t>Dalek</t>
        </is>
      </c>
      <c r="D120" t="n">
        <v>325000</v>
      </c>
      <c r="E120" t="n">
        <v>65</v>
      </c>
      <c r="F120" s="7">
        <f>(S120*37500000/(L120*M120*D120*E120*K120*J120)-((500/(K120*J120))+(2500000000/(D120*E120*K120*J120)*(D120/100000+E120/100+J120/200))))/(1+5000000/(D120*E120)+(500000000/(D120*E120*J120)))</f>
        <v/>
      </c>
      <c r="G120" t="n">
        <v>300000</v>
      </c>
      <c r="H120" t="n">
        <v>1.25</v>
      </c>
      <c r="I120" t="n">
        <v>76</v>
      </c>
      <c r="J120" s="6">
        <f>G120/I120*H120</f>
        <v/>
      </c>
      <c r="K120" t="n">
        <v>1</v>
      </c>
      <c r="L120" t="n">
        <v>0.4</v>
      </c>
      <c r="M120" t="n">
        <v>0.75</v>
      </c>
      <c r="N120" s="6">
        <f>D120/J120</f>
        <v/>
      </c>
      <c r="O120" s="6">
        <f>(D120/100000+E120/100+F120*K120/5+J120/200)*200*L120*M120</f>
        <v/>
      </c>
      <c r="P120" s="6">
        <f>((D120*E120/25000)+(F120*K120*J120/2.5))*L120*M120</f>
        <v/>
      </c>
      <c r="Q120" s="6">
        <f>(D120*E120*F120*K120*J120*L120*M120)/12500000</f>
        <v/>
      </c>
      <c r="R120" s="6">
        <f>(O120+P120+Q120)/3</f>
        <v/>
      </c>
      <c r="S120" t="n">
        <v>9000</v>
      </c>
    </row>
    <row r="121">
      <c r="A121" t="inlineStr">
        <is>
          <t>RA2 Modded</t>
        </is>
      </c>
      <c r="B121" s="5" t="inlineStr">
        <is>
          <t>Future Tank</t>
        </is>
      </c>
      <c r="D121" t="n">
        <v>650000</v>
      </c>
      <c r="E121" t="n">
        <v>45</v>
      </c>
      <c r="F121" s="7">
        <f>(S121*37500000/(L121*M121*D121*E121*K121*J121)-((500/(K121*J121))+(2500000000/(D121*E121*K121*J121)*(D121/100000+E121/100+J121/200))))/(1+5000000/(D121*E121)+(500000000/(D121*E121*J121)))</f>
        <v/>
      </c>
      <c r="G121" t="n">
        <v>300000</v>
      </c>
      <c r="H121" t="n">
        <v>1.125</v>
      </c>
      <c r="I121" t="n">
        <v>75</v>
      </c>
      <c r="J121" s="6">
        <f>G121/I121*H121</f>
        <v/>
      </c>
      <c r="K121" t="n">
        <v>1</v>
      </c>
      <c r="L121" t="n">
        <v>0.4</v>
      </c>
      <c r="M121" t="n">
        <v>0.75</v>
      </c>
      <c r="N121" s="6">
        <f>D121/J121</f>
        <v/>
      </c>
      <c r="O121" s="6">
        <f>(D121/100000+E121/100+F121*K121/5+J121/200)*200*L121*M121</f>
        <v/>
      </c>
      <c r="P121" s="6">
        <f>((D121*E121/25000)+(F121*K121*J121/2.5))*L121*M121</f>
        <v/>
      </c>
      <c r="Q121" s="6">
        <f>(D121*E121*F121*K121*J121*L121*M121)/12500000</f>
        <v/>
      </c>
      <c r="R121" s="6">
        <f>(O121+P121+Q121)/3</f>
        <v/>
      </c>
      <c r="S121" t="n">
        <v>10000</v>
      </c>
    </row>
    <row r="122">
      <c r="N122" s="6" t="n"/>
    </row>
  </sheetData>
  <pageMargins left="0.7" right="0.7" top="0.787401575" bottom="0.7874015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S258"/>
  <sheetViews>
    <sheetView topLeftCell="A205" workbookViewId="0">
      <selection activeCell="U142" sqref="U142"/>
    </sheetView>
  </sheetViews>
  <sheetFormatPr baseColWidth="10" defaultRowHeight="15"/>
  <cols>
    <col width="12.28515625" bestFit="1" customWidth="1" min="1" max="1"/>
    <col width="36.85546875" bestFit="1" customWidth="1" min="2" max="2"/>
  </cols>
  <sheetData>
    <row r="2">
      <c r="B2" t="inlineStr">
        <is>
          <t>Scout Vehicles</t>
        </is>
      </c>
      <c r="D2" t="inlineStr">
        <is>
          <t>HP</t>
        </is>
      </c>
      <c r="E2" t="inlineStr">
        <is>
          <t>Speed</t>
        </is>
      </c>
      <c r="F2" t="inlineStr">
        <is>
          <t>Range</t>
        </is>
      </c>
      <c r="G2" t="inlineStr">
        <is>
          <t>Damage</t>
        </is>
      </c>
      <c r="H2" t="inlineStr">
        <is>
          <t>Weapon Class</t>
        </is>
      </c>
      <c r="I2" t="inlineStr">
        <is>
          <t>Reload Delay</t>
        </is>
      </c>
      <c r="J2" s="6" t="inlineStr">
        <is>
          <t>DPS</t>
        </is>
      </c>
      <c r="K2" t="inlineStr">
        <is>
          <t>Special</t>
        </is>
      </c>
      <c r="L2" t="inlineStr">
        <is>
          <t>Unit Class</t>
        </is>
      </c>
      <c r="M2" t="inlineStr">
        <is>
          <t>Tech Tier</t>
        </is>
      </c>
      <c r="O2" s="6" t="n"/>
      <c r="P2" s="6" t="n"/>
      <c r="Q2" s="6" t="n"/>
      <c r="R2" s="6" t="n"/>
      <c r="S2" t="inlineStr">
        <is>
          <t>Cost</t>
        </is>
      </c>
    </row>
    <row r="4">
      <c r="A4" t="inlineStr">
        <is>
          <t>TD</t>
        </is>
      </c>
      <c r="B4" t="inlineStr">
        <is>
          <t>Nod Buggy</t>
        </is>
      </c>
      <c r="D4" t="n">
        <v>20000</v>
      </c>
      <c r="E4" t="n">
        <v>200</v>
      </c>
      <c r="F4" s="7">
        <f>(S4*37500000/(L4*M4*D4*E4*K4*J4)-((500/(K4*J4))+(2500000000/(D4*E4*K4*J4)*(D4/100000+E4/100+J4/200))))/(1+5000000/(D4*E4)+(500000000/(D4*E4*J4)))</f>
        <v/>
      </c>
      <c r="G4" t="n">
        <v>12000</v>
      </c>
      <c r="H4" t="n">
        <v>0.75</v>
      </c>
      <c r="I4" t="n">
        <v>20</v>
      </c>
      <c r="J4" s="6">
        <f>G4/I4*H4</f>
        <v/>
      </c>
      <c r="K4" t="n">
        <v>1</v>
      </c>
      <c r="L4" t="n">
        <v>0.333</v>
      </c>
      <c r="M4" t="n">
        <v>1</v>
      </c>
      <c r="O4" s="6">
        <f>(D4/100000+E4/100+F4*K4/5+J4/200)*200*L4*M4</f>
        <v/>
      </c>
      <c r="P4" s="6">
        <f>((D4*E4/25000)+(F4*K4*J4/2.5))*L4*M4</f>
        <v/>
      </c>
      <c r="Q4" s="6">
        <f>(D4*E4*F4*K4*J4*L4*M4)/12500000</f>
        <v/>
      </c>
      <c r="R4" s="6">
        <f>(O4+P4+Q4)/3</f>
        <v/>
      </c>
      <c r="S4" t="n">
        <v>300</v>
      </c>
    </row>
    <row r="5">
      <c r="B5" t="inlineStr">
        <is>
          <t>GDI Humvee</t>
        </is>
      </c>
      <c r="D5" t="n">
        <v>27500</v>
      </c>
      <c r="E5" t="n">
        <v>150</v>
      </c>
      <c r="F5" s="7">
        <f>(S5*37500000/(L5*M5*D5*E5*K5*J5)-((500/(K5*J5))+(2500000000/(D5*E5*K5*J5)*(D5/100000+E5/100+J5/200))))/(1+5000000/(D5*E5)+(500000000/(D5*E5*J5)))</f>
        <v/>
      </c>
      <c r="G5" t="n">
        <v>18000</v>
      </c>
      <c r="H5" t="n">
        <v>0.75</v>
      </c>
      <c r="I5" t="n">
        <v>21</v>
      </c>
      <c r="J5" s="6">
        <f>G5/I5*H5</f>
        <v/>
      </c>
      <c r="K5" t="n">
        <v>1</v>
      </c>
      <c r="L5" t="n">
        <v>0.333</v>
      </c>
      <c r="M5" t="n">
        <v>1</v>
      </c>
      <c r="O5" s="6">
        <f>(D5/100000+E5/100+F5*K5/5+J5/200)*200*L5*M5</f>
        <v/>
      </c>
      <c r="P5" s="6">
        <f>((D5*E5/25000)+(F5*K5*J5/2.5))*L5*M5</f>
        <v/>
      </c>
      <c r="Q5" s="6">
        <f>(D5*E5*F5*K5*J5*L5*M5)/12500000</f>
        <v/>
      </c>
      <c r="R5" s="6">
        <f>(O5+P5+Q5)/3</f>
        <v/>
      </c>
      <c r="S5" t="n">
        <v>400</v>
      </c>
    </row>
    <row r="6">
      <c r="A6" t="inlineStr">
        <is>
          <t>RA1</t>
        </is>
      </c>
      <c r="B6" t="inlineStr">
        <is>
          <t>Ranger</t>
        </is>
      </c>
      <c r="D6" t="n">
        <v>22500</v>
      </c>
      <c r="E6" t="n">
        <v>175</v>
      </c>
      <c r="F6" s="7">
        <f>(S6*37500000/(L6*M6*D6*E6*K6*J6)-((500/(K6*J6))+(2500000000/(D6*E6*K6*J6)*(D6/100000+E6/100+J6/200))))/(1+5000000/(D6*E6)+(500000000/(D6*E6*J6)))</f>
        <v/>
      </c>
      <c r="G6" t="n">
        <v>16000</v>
      </c>
      <c r="H6" t="n">
        <v>0.75</v>
      </c>
      <c r="I6" t="n">
        <v>25</v>
      </c>
      <c r="J6" s="6">
        <f>G6/I6*H6</f>
        <v/>
      </c>
      <c r="K6" t="n">
        <v>1</v>
      </c>
      <c r="L6" t="n">
        <v>0.333</v>
      </c>
      <c r="M6" t="n">
        <v>1</v>
      </c>
      <c r="O6" s="6">
        <f>(D6/100000+E6/100+F6*K6/5+J6/200)*200*L6*M6</f>
        <v/>
      </c>
      <c r="P6" s="6">
        <f>((D6*E6/25000)+(F6*K6*J6/2.5))*L6*M6</f>
        <v/>
      </c>
      <c r="Q6" s="6">
        <f>(D6*E6*F6*K6*J6*L6*M6)/12500000</f>
        <v/>
      </c>
      <c r="R6" s="6">
        <f>(O6+P6+Q6)/3</f>
        <v/>
      </c>
      <c r="S6" t="n">
        <v>300</v>
      </c>
    </row>
    <row r="7">
      <c r="B7" t="inlineStr">
        <is>
          <t>Scout Car</t>
        </is>
      </c>
      <c r="D7" t="n">
        <v>25000</v>
      </c>
      <c r="E7" t="n">
        <v>160</v>
      </c>
      <c r="F7" s="7">
        <f>(S7*37500000/(L7*M7*D7*E7*K7*J7)-((500/(K7*J7))+(2500000000/(D7*E7*K7*J7)*(D7/100000+E7/100+J7/200))))/(1+5000000/(D7*E7)+(500000000/(D7*E7*J7)))</f>
        <v/>
      </c>
      <c r="G7" t="n">
        <v>20000</v>
      </c>
      <c r="H7" t="n">
        <v>0.75</v>
      </c>
      <c r="I7" t="n">
        <v>35</v>
      </c>
      <c r="J7" s="6">
        <f>G7/I7*H7</f>
        <v/>
      </c>
      <c r="K7" t="n">
        <v>1</v>
      </c>
      <c r="L7" t="n">
        <v>0.333</v>
      </c>
      <c r="M7" t="n">
        <v>1</v>
      </c>
      <c r="O7" s="6">
        <f>(D7/100000+E7/100+F7*K7/5+J7/200)*200*L7*M7</f>
        <v/>
      </c>
      <c r="P7" s="6">
        <f>((D7*E7/25000)+(F7*K7*J7/2.5))*L7*M7</f>
        <v/>
      </c>
      <c r="Q7" s="6">
        <f>(D7*E7*F7*K7*J7*L7*M7)/12500000</f>
        <v/>
      </c>
      <c r="R7" s="6">
        <f>(O7+P7+Q7)/3</f>
        <v/>
      </c>
      <c r="S7" t="n">
        <v>300</v>
      </c>
    </row>
    <row r="8">
      <c r="A8" t="inlineStr">
        <is>
          <t>RA2</t>
        </is>
      </c>
      <c r="B8" t="inlineStr">
        <is>
          <t>IFV (default)</t>
        </is>
      </c>
      <c r="D8" t="n">
        <v>25000</v>
      </c>
      <c r="E8" t="n">
        <v>150</v>
      </c>
      <c r="F8" s="7">
        <f>(S8*37500000/(L8*M8*D8*E8*K8*J8)-((500/(K8*J8))+(2500000000/(D8*E8*K8*J8)*(D8/100000+E8/100+J8/200))))/(1+5000000/(D8*E8)+(500000000/(D8*E8*J8)))</f>
        <v/>
      </c>
      <c r="G8" t="n">
        <v>24000</v>
      </c>
      <c r="H8" t="n">
        <v>0.75</v>
      </c>
      <c r="I8" t="n">
        <v>24</v>
      </c>
      <c r="J8" s="6">
        <f>G8/I8*H8</f>
        <v/>
      </c>
      <c r="K8" t="n">
        <v>1</v>
      </c>
      <c r="L8" t="n">
        <v>0.333</v>
      </c>
      <c r="M8" t="n">
        <v>1</v>
      </c>
      <c r="O8" s="6">
        <f>(D8/100000+E8/100+F8*K8/5+J8/200)*200*L8*M8</f>
        <v/>
      </c>
      <c r="P8" s="6">
        <f>((D8*E8/25000)+(F8*K8*J8/2.5))*L8*M8</f>
        <v/>
      </c>
      <c r="Q8" s="6">
        <f>(D8*E8*F8*K8*J8*L8*M8)/12500000</f>
        <v/>
      </c>
      <c r="R8" s="6">
        <f>(O8+P8+Q8)/3</f>
        <v/>
      </c>
      <c r="S8" t="n">
        <v>500</v>
      </c>
    </row>
    <row r="9">
      <c r="A9" t="inlineStr">
        <is>
          <t>RA2 Modded</t>
        </is>
      </c>
      <c r="B9" t="inlineStr">
        <is>
          <t>Salamander IFV</t>
        </is>
      </c>
      <c r="D9" t="n">
        <v>50000</v>
      </c>
      <c r="E9" t="n">
        <v>150</v>
      </c>
      <c r="F9" s="7">
        <f>(S9*37500000/(L9*M9*D9*E9*K9*J9)-((500/(K9*J9))+(2500000000/(D9*E9*K9*J9)*(D9/100000+E9/100+J9/200))))/(1+5000000/(D9*E9)+(500000000/(D9*E9*J9)))</f>
        <v/>
      </c>
      <c r="G9" t="n">
        <v>36000</v>
      </c>
      <c r="H9" t="n">
        <v>0.75</v>
      </c>
      <c r="I9" t="n">
        <v>24</v>
      </c>
      <c r="J9" s="6">
        <f>G9/I9*H9</f>
        <v/>
      </c>
      <c r="K9" t="n">
        <v>1</v>
      </c>
      <c r="L9" t="n">
        <v>0.333</v>
      </c>
      <c r="M9" t="n">
        <v>1</v>
      </c>
      <c r="O9" s="6">
        <f>(D9/100000+E9/100+F9*K9/5+J9/200)*200*L9*M9</f>
        <v/>
      </c>
      <c r="P9" s="6">
        <f>((D9*E9/25000)+(F9*K9*J9/2.5))*L9*M9</f>
        <v/>
      </c>
      <c r="Q9" s="6">
        <f>(D9*E9*F9*K9*J9*L9*M9)/12500000</f>
        <v/>
      </c>
      <c r="R9" s="6">
        <f>(O9+P9+Q9)/3</f>
        <v/>
      </c>
      <c r="S9" t="n">
        <v>950</v>
      </c>
    </row>
    <row r="10">
      <c r="A10" t="inlineStr">
        <is>
          <t>TS</t>
        </is>
      </c>
      <c r="B10" t="inlineStr">
        <is>
          <t>Attack Buggy</t>
        </is>
      </c>
      <c r="D10" t="n">
        <v>30000</v>
      </c>
      <c r="E10" t="n">
        <v>160</v>
      </c>
      <c r="F10" s="7">
        <f>(S10*37500000/(L10*M10*D10*E10*K10*J10)-((500/(K10*J10))+(2500000000/(D10*E10*K10*J10)*(D10/100000+E10/100+J10/200))))/(1+5000000/(D10*E10)+(500000000/(D10*E10*J10)))</f>
        <v/>
      </c>
      <c r="G10" t="n">
        <v>24000</v>
      </c>
      <c r="H10" t="n">
        <v>0.75</v>
      </c>
      <c r="I10" t="n">
        <v>26</v>
      </c>
      <c r="J10" s="6">
        <f>G10/I10*H10</f>
        <v/>
      </c>
      <c r="K10" t="n">
        <v>1</v>
      </c>
      <c r="L10" t="n">
        <v>0.333</v>
      </c>
      <c r="M10" t="n">
        <v>1</v>
      </c>
      <c r="O10" s="6">
        <f>(D10/100000+E10/100+F10*K10/5+J10/200)*200*L10*M10</f>
        <v/>
      </c>
      <c r="P10" s="6">
        <f>((D10*E10/25000)+(F10*K10*J10/2.5))*L10*M10</f>
        <v/>
      </c>
      <c r="Q10" s="6">
        <f>(D10*E10*F10*K10*J10*L10*M10)/12500000</f>
        <v/>
      </c>
      <c r="R10" s="6">
        <f>(O10+P10+Q10)/3</f>
        <v/>
      </c>
      <c r="S10" t="n">
        <v>450</v>
      </c>
    </row>
    <row r="11">
      <c r="A11" t="inlineStr">
        <is>
          <t>Outpost 2</t>
        </is>
      </c>
      <c r="B11" t="inlineStr">
        <is>
          <t>Eden Scout</t>
        </is>
      </c>
      <c r="D11" t="n">
        <v>32500</v>
      </c>
      <c r="E11" t="n">
        <v>140</v>
      </c>
      <c r="F11" s="7">
        <f>(S11*37500000/(L11*M11*D11*E11*K11*J11)-((500/(K11*J11))+(2500000000/(D11*E11*K11*J11)*(D11/100000+E11/100+J11/200))))/(1+5000000/(D11*E11)+(500000000/(D11*E11*J11)))</f>
        <v/>
      </c>
      <c r="G11" t="n">
        <v>12000</v>
      </c>
      <c r="H11" t="n">
        <v>0.75</v>
      </c>
      <c r="I11" t="n">
        <v>19</v>
      </c>
      <c r="J11" s="6">
        <f>G11/I11*H11</f>
        <v/>
      </c>
      <c r="K11" t="n">
        <v>1</v>
      </c>
      <c r="L11" t="n">
        <v>0.333</v>
      </c>
      <c r="M11" t="n">
        <v>1</v>
      </c>
      <c r="O11" s="6">
        <f>(D11/100000+E11/100+F11*K11/5+J11/200)*200*L11*M11</f>
        <v/>
      </c>
      <c r="P11" s="6">
        <f>((D11*E11/25000)+(F11*K11*J11/2.5))*L11*M11</f>
        <v/>
      </c>
      <c r="Q11" s="6">
        <f>(D11*E11*F11*K11*J11*L11*M11)/12500000</f>
        <v/>
      </c>
      <c r="R11" s="6">
        <f>(O11+P11+Q11)/3</f>
        <v/>
      </c>
      <c r="S11" t="n">
        <v>300</v>
      </c>
    </row>
    <row r="12">
      <c r="B12" t="inlineStr">
        <is>
          <t>Plymouth Scout</t>
        </is>
      </c>
      <c r="D12" t="n">
        <v>35000</v>
      </c>
      <c r="E12" t="n">
        <v>135</v>
      </c>
      <c r="F12" s="7">
        <f>(S12*37500000/(L12*M12*D12*E12*K12*J12)-((500/(K12*J12))+(2500000000/(D12*E12*K12*J12)*(D12/100000+E12/100+J12/200))))/(1+5000000/(D12*E12)+(500000000/(D12*E12*J12)))</f>
        <v/>
      </c>
      <c r="G12" t="n">
        <v>28000</v>
      </c>
      <c r="H12" t="n">
        <v>0.75</v>
      </c>
      <c r="I12" t="n">
        <v>38</v>
      </c>
      <c r="J12" s="6">
        <f>G12/I12*H12</f>
        <v/>
      </c>
      <c r="K12" t="n">
        <v>1</v>
      </c>
      <c r="L12" t="n">
        <v>0.333</v>
      </c>
      <c r="M12" t="n">
        <v>1</v>
      </c>
      <c r="O12" s="6">
        <f>(D12/100000+E12/100+F12*K12/5+J12/200)*200*L12*M12</f>
        <v/>
      </c>
      <c r="P12" s="6">
        <f>((D12*E12/25000)+(F12*K12*J12/2.5))*L12*M12</f>
        <v/>
      </c>
      <c r="Q12" s="6">
        <f>(D12*E12*F12*K12*J12*L12*M12)/12500000</f>
        <v/>
      </c>
      <c r="R12" s="6">
        <f>(O12+P12+Q12)/3</f>
        <v/>
      </c>
      <c r="S12" t="n">
        <v>350</v>
      </c>
    </row>
    <row r="13">
      <c r="A13" t="inlineStr">
        <is>
          <t>D2K</t>
        </is>
      </c>
      <c r="B13" t="inlineStr">
        <is>
          <t>Ordos Raider Buggy</t>
        </is>
      </c>
      <c r="D13" t="n">
        <v>60000</v>
      </c>
      <c r="E13" t="n">
        <v>180</v>
      </c>
      <c r="F13" s="7">
        <f>(S13*37500000/(L13*M13*D13*E13*K13*J13)-((500/(K13*J13))+(2500000000/(D13*E13*K13*J13)*(D13/100000+E13/100+J13/200))))/(1+5000000/(D13*E13)+(500000000/(D13*E13*J13)))</f>
        <v/>
      </c>
      <c r="G13" t="n">
        <v>36000</v>
      </c>
      <c r="H13" t="n">
        <v>0.75</v>
      </c>
      <c r="I13" t="n">
        <v>24</v>
      </c>
      <c r="J13" s="6">
        <f>G13/I13*H13</f>
        <v/>
      </c>
      <c r="K13" t="n">
        <v>1</v>
      </c>
      <c r="L13" t="n">
        <v>0.333</v>
      </c>
      <c r="M13" t="n">
        <v>1</v>
      </c>
      <c r="O13" s="6">
        <f>(D13/100000+E13/100+F13*K13/5+J13/200)*200*L13*M13</f>
        <v/>
      </c>
      <c r="P13" s="6">
        <f>((D13*E13/25000)+(F13*K13*J13/2.5))*L13*M13</f>
        <v/>
      </c>
      <c r="Q13" s="6">
        <f>(D13*E13*F13*K13*J13*L13*M13)/12500000</f>
        <v/>
      </c>
      <c r="R13" s="6">
        <f>(O13+P13+Q13)/3</f>
        <v/>
      </c>
      <c r="S13" t="n">
        <v>1200</v>
      </c>
    </row>
    <row r="18">
      <c r="B18" t="inlineStr">
        <is>
          <t>Advanced Scout Vehicles</t>
        </is>
      </c>
      <c r="D18" t="inlineStr">
        <is>
          <t>HP</t>
        </is>
      </c>
      <c r="E18" t="inlineStr">
        <is>
          <t>Speed</t>
        </is>
      </c>
      <c r="F18" t="inlineStr">
        <is>
          <t>Range</t>
        </is>
      </c>
      <c r="G18" t="inlineStr">
        <is>
          <t>Damage</t>
        </is>
      </c>
      <c r="H18" t="inlineStr">
        <is>
          <t>Weapon Class</t>
        </is>
      </c>
      <c r="I18" t="inlineStr">
        <is>
          <t>Reload Delay</t>
        </is>
      </c>
      <c r="J18" s="6" t="inlineStr">
        <is>
          <t>DPS</t>
        </is>
      </c>
      <c r="K18" t="inlineStr">
        <is>
          <t>Special</t>
        </is>
      </c>
      <c r="L18" t="inlineStr">
        <is>
          <t>Unit Class</t>
        </is>
      </c>
      <c r="M18" t="inlineStr">
        <is>
          <t>Tech Tier</t>
        </is>
      </c>
      <c r="O18" s="6" t="n"/>
      <c r="P18" s="6" t="n"/>
      <c r="Q18" s="6" t="n"/>
      <c r="R18" s="6" t="n"/>
      <c r="S18" t="inlineStr">
        <is>
          <t>Cost</t>
        </is>
      </c>
    </row>
    <row r="20">
      <c r="A20" t="inlineStr">
        <is>
          <t>TD</t>
        </is>
      </c>
      <c r="B20" t="inlineStr">
        <is>
          <t>Recon Bike</t>
        </is>
      </c>
      <c r="D20" t="n">
        <v>17500</v>
      </c>
      <c r="E20" t="n">
        <v>200</v>
      </c>
      <c r="F20" s="7">
        <f>(S20*37500000/(L20*M20*D20*E20*K20*J20)-((500/(K20*J20))+(2500000000/(D20*E20*K20*J20)*(D20/100000+E20/100+J20/200))))/(1+5000000/(D20*E20)+(500000000/(D20*E20*J20)))</f>
        <v/>
      </c>
      <c r="G20" t="n">
        <v>32000</v>
      </c>
      <c r="H20" t="n">
        <v>0.875</v>
      </c>
      <c r="I20" t="n">
        <v>65</v>
      </c>
      <c r="J20" s="6">
        <f>G20/I20*H20</f>
        <v/>
      </c>
      <c r="K20" t="n">
        <v>1</v>
      </c>
      <c r="L20" t="n">
        <v>0.5</v>
      </c>
      <c r="M20" t="n">
        <v>1</v>
      </c>
      <c r="O20" s="6">
        <f>(D20/100000+E20/100+F20*K20/5+J20/200)*200*L20*M20</f>
        <v/>
      </c>
      <c r="P20" s="6">
        <f>((D20*E20/25000)+(F20*K20*J20/2.5))*L20*M20</f>
        <v/>
      </c>
      <c r="Q20" s="6">
        <f>(D20*E20*F20*K20*J20*L20*M20)/12500000</f>
        <v/>
      </c>
      <c r="R20" s="6">
        <f>(O20+P20+Q20)/3</f>
        <v/>
      </c>
      <c r="S20" t="n">
        <v>500</v>
      </c>
    </row>
    <row r="21">
      <c r="B21" t="inlineStr">
        <is>
          <t>Chemical Attack Bike</t>
        </is>
      </c>
      <c r="D21" t="n">
        <v>22500</v>
      </c>
      <c r="E21" t="n">
        <v>175</v>
      </c>
      <c r="F21" s="7">
        <f>(S21*37500000/(L21*M21*D21*E21*K21*J21)-((500/(K21*J21))+(2500000000/(D21*E21*K21*J21)*(D21/100000+E21/100+J21/200))))/(1+5000000/(D21*E21)+(500000000/(D21*E21*J21)))</f>
        <v/>
      </c>
      <c r="G21" t="n">
        <v>64000</v>
      </c>
      <c r="H21" t="n">
        <v>0.875</v>
      </c>
      <c r="I21" t="n">
        <v>80</v>
      </c>
      <c r="J21" s="6">
        <f>G21/I21*H21</f>
        <v/>
      </c>
      <c r="K21" t="n">
        <v>1</v>
      </c>
      <c r="L21" t="n">
        <v>0.5</v>
      </c>
      <c r="M21" t="n">
        <v>1</v>
      </c>
      <c r="O21" s="6">
        <f>(D21/100000+E21/100+F21*K21/5+J21/200)*200*L21*M21</f>
        <v/>
      </c>
      <c r="P21" s="6">
        <f>((D21*E21/25000)+(F21*K21*J21/2.5))*L21*M21</f>
        <v/>
      </c>
      <c r="Q21" s="6">
        <f>(D21*E21*F21*K21*J21*L21*M21)/12500000</f>
        <v/>
      </c>
      <c r="R21" s="6">
        <f>(O21+P21+Q21)/3</f>
        <v/>
      </c>
      <c r="S21" t="n">
        <v>750</v>
      </c>
    </row>
    <row r="22">
      <c r="A22" t="inlineStr">
        <is>
          <t>RA1</t>
        </is>
      </c>
      <c r="B22" t="inlineStr">
        <is>
          <t>Recon Ranger</t>
        </is>
      </c>
      <c r="D22" t="n">
        <v>25000</v>
      </c>
      <c r="E22" t="n">
        <v>160</v>
      </c>
      <c r="F22" s="7">
        <f>(S22*37500000/(L22*M22*D22*E22*K22*J22)-((500/(K22*J22))+(2500000000/(D22*E22*K22*J22)*(D22/100000+E22/100+J22/200))))/(1+5000000/(D22*E22)+(500000000/(D22*E22*J22)))</f>
        <v/>
      </c>
      <c r="G22" t="n">
        <v>32000</v>
      </c>
      <c r="H22" t="n">
        <v>1</v>
      </c>
      <c r="I22" t="n">
        <v>64</v>
      </c>
      <c r="J22" s="6">
        <f>G22/I22*H22</f>
        <v/>
      </c>
      <c r="K22" t="n">
        <v>1</v>
      </c>
      <c r="L22" t="n">
        <v>0.5</v>
      </c>
      <c r="M22" t="n">
        <v>1</v>
      </c>
      <c r="O22" s="6">
        <f>(D22/100000+E22/100+F22*K22/5+J22/200)*200*L22*M22</f>
        <v/>
      </c>
      <c r="P22" s="6">
        <f>((D22*E22/25000)+(F22*K22*J22/2.5))*L22*M22</f>
        <v/>
      </c>
      <c r="Q22" s="6">
        <f>(D22*E22*F22*K22*J22*L22*M22)/12500000</f>
        <v/>
      </c>
      <c r="R22" s="6">
        <f>(O22+P22+Q22)/3</f>
        <v/>
      </c>
      <c r="S22" t="n">
        <v>500</v>
      </c>
    </row>
    <row r="23">
      <c r="B23" t="inlineStr">
        <is>
          <t>Grenade Buggy</t>
        </is>
      </c>
      <c r="D23" t="n">
        <v>60000</v>
      </c>
      <c r="E23" t="n">
        <v>120</v>
      </c>
      <c r="F23" s="7">
        <f>(S23*37500000/(L23*M23*D23*E23*K23*J23)-((500/(K23*J23))+(2500000000/(D23*E23*K23*J23)*(D23/100000+E23/100+J23/200))))/(1+5000000/(D23*E23)+(500000000/(D23*E23*J23)))</f>
        <v/>
      </c>
      <c r="G23" t="n">
        <v>60000</v>
      </c>
      <c r="H23" t="n">
        <v>0.75</v>
      </c>
      <c r="I23" t="n">
        <v>60</v>
      </c>
      <c r="J23" s="6">
        <f>G23/I23*H23</f>
        <v/>
      </c>
      <c r="K23" t="n">
        <v>1</v>
      </c>
      <c r="L23" t="n">
        <v>0.5</v>
      </c>
      <c r="M23" t="n">
        <v>1</v>
      </c>
      <c r="O23" s="6">
        <f>(D23/100000+E23/100+F23*K23/5+J23/200)*200*L23*M23</f>
        <v/>
      </c>
      <c r="P23" s="6">
        <f>((D23*E23/25000)+(F23*K23*J23/2.5))*L23*M23</f>
        <v/>
      </c>
      <c r="Q23" s="6">
        <f>(D23*E23*F23*K23*J23*L23*M23)/12500000</f>
        <v/>
      </c>
      <c r="R23" s="6">
        <f>(O23+P23+Q23)/3</f>
        <v/>
      </c>
      <c r="S23" t="n">
        <v>900</v>
      </c>
    </row>
    <row r="24">
      <c r="A24" t="inlineStr">
        <is>
          <t>StarCraft</t>
        </is>
      </c>
      <c r="B24" s="8" t="inlineStr">
        <is>
          <t>Vulture</t>
        </is>
      </c>
      <c r="D24" t="n">
        <v>75000</v>
      </c>
      <c r="E24" t="n">
        <v>125</v>
      </c>
      <c r="F24" s="7">
        <f>(S24*37500000/(L24*M24*D24*E24*K24*J24)-((500/(K24*J24))+(2500000000/(D24*E24*K24*J24)*(D24/100000+E24/100+J24/200))))/(1+5000000/(D24*E24)+(500000000/(D24*E24*J24)))</f>
        <v/>
      </c>
      <c r="G24" t="n">
        <v>20000</v>
      </c>
      <c r="H24" t="n">
        <v>0.85</v>
      </c>
      <c r="I24" t="n">
        <v>25</v>
      </c>
      <c r="J24" s="6">
        <f>G24/I24*H24</f>
        <v/>
      </c>
      <c r="K24" t="n">
        <v>1</v>
      </c>
      <c r="L24" t="n">
        <v>0.5</v>
      </c>
      <c r="M24" t="n">
        <v>1</v>
      </c>
      <c r="O24" s="6">
        <f>(D24/100000+E24/100+F24*K24/5+J24/200)*200*L24*M24</f>
        <v/>
      </c>
      <c r="P24" s="6">
        <f>((D24*E24/25000)+(F24*K24*J24/2.5))*L24*M24</f>
        <v/>
      </c>
      <c r="Q24" s="6">
        <f>(D24*E24*F24*K24*J24*L24*M24)/12500000</f>
        <v/>
      </c>
      <c r="R24" s="6">
        <f>(O24+P24+Q24)/3</f>
        <v/>
      </c>
      <c r="S24" t="n">
        <v>900</v>
      </c>
    </row>
    <row r="25">
      <c r="B25" s="8" t="inlineStr">
        <is>
          <t>Positron</t>
        </is>
      </c>
      <c r="D25" t="n">
        <v>60000</v>
      </c>
      <c r="E25" t="n">
        <v>120</v>
      </c>
      <c r="F25" s="7">
        <f>(S25*37500000/(L25*M25*D25*E25*K25*J25)-((500/(K25*J25))+(2500000000/(D25*E25*K25*J25)*(D25/100000+E25/100+J25/200))))/(1+5000000/(D25*E25)+(500000000/(D25*E25*J25)))</f>
        <v/>
      </c>
      <c r="G25" t="n">
        <v>20000</v>
      </c>
      <c r="H25" t="n">
        <v>0.85</v>
      </c>
      <c r="I25" t="n">
        <v>30</v>
      </c>
      <c r="J25" s="6">
        <f>G25/I25*H25</f>
        <v/>
      </c>
      <c r="K25" t="n">
        <v>2</v>
      </c>
      <c r="L25" t="n">
        <v>0.5</v>
      </c>
      <c r="M25" t="n">
        <v>1</v>
      </c>
      <c r="O25" s="6">
        <f>(D25/100000+E25/100+F25*K25/5+J25/200)*200*L25*M25</f>
        <v/>
      </c>
      <c r="P25" s="6">
        <f>((D25*E25/25000)+(F25*K25*J25/2.5))*L25*M25</f>
        <v/>
      </c>
      <c r="Q25" s="6">
        <f>(D25*E25*F25*K25*J25*L25*M25)/12500000</f>
        <v/>
      </c>
      <c r="R25" s="6">
        <f>(O25+P25+Q25)/3</f>
        <v/>
      </c>
      <c r="S25" t="n">
        <v>1200</v>
      </c>
    </row>
    <row r="26">
      <c r="A26" t="inlineStr">
        <is>
          <t>RA2</t>
        </is>
      </c>
      <c r="B26" t="inlineStr">
        <is>
          <t>IFV (MG)</t>
        </is>
      </c>
      <c r="D26" t="n">
        <v>25000</v>
      </c>
      <c r="E26" t="n">
        <v>150</v>
      </c>
      <c r="F26" s="7">
        <f>(S26*37500000/(L26*M26*D26*E26*K26*J26)-((500/(K26*J26))+(2500000000/(D26*E26*K26*J26)*(D26/100000+E26/100+J26/200))))/(1+5000000/(D26*E26)+(500000000/(D26*E26*J26)))</f>
        <v/>
      </c>
      <c r="G26" t="n">
        <v>16000</v>
      </c>
      <c r="H26" t="n">
        <v>0.875</v>
      </c>
      <c r="I26" t="n">
        <v>20</v>
      </c>
      <c r="J26" s="6">
        <f>G26/I26*H26</f>
        <v/>
      </c>
      <c r="K26" t="n">
        <v>1</v>
      </c>
      <c r="L26" t="n">
        <v>0.5</v>
      </c>
      <c r="M26" t="n">
        <v>1</v>
      </c>
      <c r="O26" s="6">
        <f>(D26/100000+E26/100+F26*K26/5+J26/200)*200*L26*M26</f>
        <v/>
      </c>
      <c r="P26" s="6">
        <f>((D26*E26/25000)+(F26*K26*J26/2.5))*L26*M26</f>
        <v/>
      </c>
      <c r="Q26" s="6">
        <f>(D26*E26*F26*K26*J26*L26*M26)/12500000</f>
        <v/>
      </c>
      <c r="R26" s="6">
        <f>(O26+P26+Q26)/3</f>
        <v/>
      </c>
      <c r="S26" t="n">
        <v>700</v>
      </c>
    </row>
    <row r="27">
      <c r="B27" t="inlineStr">
        <is>
          <t>IFV (Rockets)</t>
        </is>
      </c>
      <c r="D27" t="n">
        <v>25000</v>
      </c>
      <c r="E27" t="n">
        <v>150</v>
      </c>
      <c r="F27" s="7">
        <f>(S27*37500000/(L27*M27*D27*E27*K27*J27)-((500/(K27*J27))+(2500000000/(D27*E27*K27*J27)*(D27/100000+E27/100+J27/200))))/(1+5000000/(D27*E27)+(500000000/(D27*E27*J27)))</f>
        <v/>
      </c>
      <c r="G27" t="n">
        <v>32000</v>
      </c>
      <c r="H27" t="n">
        <v>0.875</v>
      </c>
      <c r="I27" t="n">
        <v>32</v>
      </c>
      <c r="J27" s="6">
        <f>G27/I27*H27</f>
        <v/>
      </c>
      <c r="K27" t="n">
        <v>1</v>
      </c>
      <c r="L27" t="n">
        <v>0.5</v>
      </c>
      <c r="M27" t="n">
        <v>1</v>
      </c>
      <c r="O27" s="6">
        <f>(D27/100000+E27/100+F27*K27/5+J27/200)*200*L27*M27</f>
        <v/>
      </c>
      <c r="P27" s="6">
        <f>((D27*E27/25000)+(F27*K27*J27/2.5))*L27*M27</f>
        <v/>
      </c>
      <c r="Q27" s="6">
        <f>(D27*E27*F27*K27*J27*L27*M27)/12500000</f>
        <v/>
      </c>
      <c r="R27" s="6">
        <f>(O27+P27+Q27)/3</f>
        <v/>
      </c>
      <c r="S27" t="n">
        <v>900</v>
      </c>
    </row>
    <row r="28">
      <c r="B28" t="inlineStr">
        <is>
          <t>IFV (HMG)</t>
        </is>
      </c>
      <c r="D28" t="n">
        <v>25000</v>
      </c>
      <c r="E28" t="n">
        <v>150</v>
      </c>
      <c r="F28" s="7">
        <f>(S28*37500000/(L28*M28*D28*E28*K28*J28)-((500/(K28*J28))+(2500000000/(D28*E28*K28*J28)*(D28/100000+E28/100+J28/200))))/(1+5000000/(D28*E28)+(500000000/(D28*E28*J28)))</f>
        <v/>
      </c>
      <c r="G28" t="n">
        <v>36000</v>
      </c>
      <c r="H28" t="n">
        <v>1</v>
      </c>
      <c r="I28" t="n">
        <v>20</v>
      </c>
      <c r="J28" s="6">
        <f>G28/I28*H28</f>
        <v/>
      </c>
      <c r="K28" t="n">
        <v>1</v>
      </c>
      <c r="L28" t="n">
        <v>0.5</v>
      </c>
      <c r="M28" t="n">
        <v>1</v>
      </c>
      <c r="O28" s="6">
        <f>(D28/100000+E28/100+F28*K28/5+J28/200)*200*L28*M28</f>
        <v/>
      </c>
      <c r="P28" s="6">
        <f>((D28*E28/25000)+(F28*K28*J28/2.5))*L28*M28</f>
        <v/>
      </c>
      <c r="Q28" s="6">
        <f>(D28*E28*F28*K28*J28*L28*M28)/12500000</f>
        <v/>
      </c>
      <c r="R28" s="6">
        <f>(O28+P28+Q28)/3</f>
        <v/>
      </c>
      <c r="S28" t="n">
        <v>1400</v>
      </c>
    </row>
    <row r="29">
      <c r="B29" t="inlineStr">
        <is>
          <t>IFV (Engineer)</t>
        </is>
      </c>
      <c r="D29" t="n">
        <v>25000</v>
      </c>
      <c r="E29" t="n">
        <v>150</v>
      </c>
      <c r="F29" s="7">
        <f>(S29*37500000/(L29*M29*D29*E29*K29*J29)-((500/(K29*J29))+(2500000000/(D29*E29*K29*J29)*(D29/100000+E29/100+J29/200))))/(1+5000000/(D29*E29)+(500000000/(D29*E29*J29)))</f>
        <v/>
      </c>
      <c r="G29" t="n">
        <v>20000</v>
      </c>
      <c r="H29" t="n">
        <v>1.5</v>
      </c>
      <c r="I29" t="n">
        <v>50</v>
      </c>
      <c r="J29" s="6">
        <f>G29/I29*H29</f>
        <v/>
      </c>
      <c r="K29" t="n">
        <v>2</v>
      </c>
      <c r="L29" t="n">
        <v>0.5</v>
      </c>
      <c r="M29" t="n">
        <v>1</v>
      </c>
      <c r="O29" s="6">
        <f>(D29/100000+E29/100+F29*K29/5+J29/200)*200*L29*M29</f>
        <v/>
      </c>
      <c r="P29" s="6">
        <f>((D29*E29/25000)+(F29*K29*J29/2.5))*L29*M29</f>
        <v/>
      </c>
      <c r="Q29" s="6">
        <f>(D29*E29*F29*K29*J29*L29*M29)/12500000</f>
        <v/>
      </c>
      <c r="R29" s="6">
        <f>(O29+P29+Q29)/3</f>
        <v/>
      </c>
      <c r="S29" t="n">
        <v>1000</v>
      </c>
    </row>
    <row r="30">
      <c r="A30" t="inlineStr">
        <is>
          <t>RA2 Modded</t>
        </is>
      </c>
      <c r="B30" t="inlineStr">
        <is>
          <t>Syndicate Buggy (MG)</t>
        </is>
      </c>
      <c r="D30" t="n">
        <v>37500</v>
      </c>
      <c r="E30" t="n">
        <v>115</v>
      </c>
      <c r="F30" s="7">
        <f>(S30*37500000/(L30*M30*D30*E30*K30*J30)-((500/(K30*J30))+(2500000000/(D30*E30*K30*J30)*(D30/100000+E30/100+J30/200))))/(1+5000000/(D30*E30)+(500000000/(D30*E30*J30)))</f>
        <v/>
      </c>
      <c r="G30" t="n">
        <v>40000</v>
      </c>
      <c r="H30" t="n">
        <v>0.875</v>
      </c>
      <c r="I30" t="n">
        <v>55</v>
      </c>
      <c r="J30" s="6">
        <f>G30/I30*H30</f>
        <v/>
      </c>
      <c r="K30" t="n">
        <v>1</v>
      </c>
      <c r="L30" t="n">
        <v>0.5</v>
      </c>
      <c r="M30" t="n">
        <v>1</v>
      </c>
      <c r="O30" s="6">
        <f>(D30/100000+E30/100+F30*K30/5+J30/200)*200*L30*M30</f>
        <v/>
      </c>
      <c r="P30" s="6">
        <f>((D30*E30/25000)+(F30*K30*J30/2.5))*L30*M30</f>
        <v/>
      </c>
      <c r="Q30" s="6">
        <f>(D30*E30*F30*K30*J30*L30*M30)/12500000</f>
        <v/>
      </c>
      <c r="R30" s="6">
        <f>(O30+P30+Q30)/3</f>
        <v/>
      </c>
      <c r="S30" t="n">
        <v>700</v>
      </c>
    </row>
    <row r="31">
      <c r="B31" t="inlineStr">
        <is>
          <t>Syndicate Buggy (Rockets)</t>
        </is>
      </c>
      <c r="D31" t="n">
        <v>37500</v>
      </c>
      <c r="E31" t="n">
        <v>115</v>
      </c>
      <c r="F31" s="7">
        <f>(S31*37500000/(L31*M31*D31*E31*K31*J31)-((500/(K31*J31))+(2500000000/(D31*E31*K31*J31)*(D31/100000+E31/100+J31/200))))/(1+5000000/(D31*E31)+(500000000/(D31*E31*J31)))</f>
        <v/>
      </c>
      <c r="G31" t="n">
        <v>40000</v>
      </c>
      <c r="H31" t="n">
        <v>0.875</v>
      </c>
      <c r="I31" t="n">
        <v>55</v>
      </c>
      <c r="J31" s="6">
        <f>G31/I31*H31</f>
        <v/>
      </c>
      <c r="K31" t="n">
        <v>1</v>
      </c>
      <c r="L31" t="n">
        <v>0.5</v>
      </c>
      <c r="M31" t="n">
        <v>1</v>
      </c>
      <c r="O31" s="6">
        <f>(D31/100000+E31/100+F31*K31/5+J31/200)*200*L31*M31</f>
        <v/>
      </c>
      <c r="P31" s="6">
        <f>((D31*E31/25000)+(F31*K31*J31/2.5))*L31*M31</f>
        <v/>
      </c>
      <c r="Q31" s="6">
        <f>(D31*E31*F31*K31*J31*L31*M31)/12500000</f>
        <v/>
      </c>
      <c r="R31" s="6">
        <f>(O31+P31+Q31)/3</f>
        <v/>
      </c>
      <c r="S31" t="n">
        <v>700</v>
      </c>
    </row>
    <row r="32">
      <c r="B32" t="inlineStr">
        <is>
          <t>Syndicate Buggy (Chaingun)</t>
        </is>
      </c>
      <c r="D32" t="n">
        <v>37500</v>
      </c>
      <c r="E32" t="n">
        <v>115</v>
      </c>
      <c r="F32" s="7">
        <f>(S32*37500000/(L32*M32*D32*E32*K32*J32)-((500/(K32*J32))+(2500000000/(D32*E32*K32*J32)*(D32/100000+E32/100+J32/200))))/(1+5000000/(D32*E32)+(500000000/(D32*E32*J32)))</f>
        <v/>
      </c>
      <c r="G32" t="n">
        <v>8000</v>
      </c>
      <c r="H32" t="n">
        <v>0.875</v>
      </c>
      <c r="I32" t="n">
        <v>11</v>
      </c>
      <c r="J32" s="6">
        <f>G32/I32*H32</f>
        <v/>
      </c>
      <c r="K32" t="n">
        <v>1</v>
      </c>
      <c r="L32" t="n">
        <v>0.5</v>
      </c>
      <c r="M32" t="n">
        <v>1</v>
      </c>
      <c r="O32" s="6">
        <f>(D32/100000+E32/100+F32*K32/5+J32/200)*200*L32*M32</f>
        <v/>
      </c>
      <c r="P32" s="6">
        <f>((D32*E32/25000)+(F32*K32*J32/2.5))*L32*M32</f>
        <v/>
      </c>
      <c r="Q32" s="6">
        <f>(D32*E32*F32*K32*J32*L32*M32)/12500000</f>
        <v/>
      </c>
      <c r="R32" s="6">
        <f>(O32+P32+Q32)/3</f>
        <v/>
      </c>
      <c r="S32" t="n">
        <v>700</v>
      </c>
    </row>
    <row r="33">
      <c r="B33" t="inlineStr">
        <is>
          <t>Engineering Armor</t>
        </is>
      </c>
      <c r="D33" t="n">
        <v>50000</v>
      </c>
      <c r="E33" t="n">
        <v>40</v>
      </c>
      <c r="F33" s="7">
        <f>(S33*37500000/(L33*M33*D33*E33*K33*J33)-((500/(K33*J33))+(2500000000/(D33*E33*K33*J33)*(D33/100000+E33/100+J33/200))))/(1+5000000/(D33*E33)+(500000000/(D33*E33*J33)))</f>
        <v/>
      </c>
      <c r="G33" t="n">
        <v>20000</v>
      </c>
      <c r="H33" t="n">
        <v>1.5</v>
      </c>
      <c r="I33" t="n">
        <v>50</v>
      </c>
      <c r="J33" s="6">
        <f>G33/I33*H33</f>
        <v/>
      </c>
      <c r="K33" t="n">
        <v>2</v>
      </c>
      <c r="L33" t="n">
        <v>0.5</v>
      </c>
      <c r="M33" t="n">
        <v>1</v>
      </c>
      <c r="O33" s="6">
        <f>(D33/100000+E33/100+F33*K33/5+J33/200)*200*L33*M33</f>
        <v/>
      </c>
      <c r="P33" s="6">
        <f>((D33*E33/25000)+(F33*K33*J33/2.5))*L33*M33</f>
        <v/>
      </c>
      <c r="Q33" s="6">
        <f>(D33*E33*F33*K33*J33*L33*M33)/12500000</f>
        <v/>
      </c>
      <c r="R33" s="6">
        <f>(O33+P33+Q33)/3</f>
        <v/>
      </c>
      <c r="S33" t="n">
        <v>800</v>
      </c>
    </row>
    <row r="34">
      <c r="B34" t="inlineStr">
        <is>
          <t>Engineering Truck</t>
        </is>
      </c>
      <c r="D34" t="n">
        <v>50000</v>
      </c>
      <c r="E34" t="n">
        <v>75</v>
      </c>
      <c r="F34" s="7">
        <f>(S34*37500000/(L34*M34*D34*E34*K34*J34)-((500/(K34*J34))+(2500000000/(D34*E34*K34*J34)*(D34/100000+E34/100+J34/200))))/(1+5000000/(D34*E34)+(500000000/(D34*E34*J34)))</f>
        <v/>
      </c>
      <c r="G34" t="n">
        <v>20000</v>
      </c>
      <c r="H34" t="n">
        <v>1.5</v>
      </c>
      <c r="I34" t="n">
        <v>50</v>
      </c>
      <c r="J34" s="6">
        <f>G34/I34*H34</f>
        <v/>
      </c>
      <c r="K34" t="n">
        <v>2</v>
      </c>
      <c r="L34" t="n">
        <v>0.5</v>
      </c>
      <c r="M34" t="n">
        <v>1</v>
      </c>
      <c r="O34" s="6">
        <f>(D34/100000+E34/100+F34*K34/5+J34/200)*200*L34*M34</f>
        <v/>
      </c>
      <c r="P34" s="6">
        <f>((D34*E34/25000)+(F34*K34*J34/2.5))*L34*M34</f>
        <v/>
      </c>
      <c r="Q34" s="6">
        <f>(D34*E34*F34*K34*J34*L34*M34)/12500000</f>
        <v/>
      </c>
      <c r="R34" s="6">
        <f>(O34+P34+Q34)/3</f>
        <v/>
      </c>
      <c r="S34" t="n">
        <v>1000</v>
      </c>
    </row>
    <row r="35">
      <c r="B35" t="inlineStr">
        <is>
          <t>Scout Robot</t>
        </is>
      </c>
      <c r="D35" t="n">
        <v>30000</v>
      </c>
      <c r="E35" t="n">
        <v>70</v>
      </c>
      <c r="F35" s="7">
        <f>(S35*37500000/(L35*M35*D35*E35*K35*J35)-((500/(K35*J35))+(2500000000/(D35*E35*K35*J35)*(D35/100000+E35/100+J35/200))))/(1+5000000/(D35*E35)+(500000000/(D35*E35*J35)))</f>
        <v/>
      </c>
      <c r="G35" t="n">
        <v>8000</v>
      </c>
      <c r="H35" t="n">
        <v>0.875</v>
      </c>
      <c r="I35" t="n">
        <v>44</v>
      </c>
      <c r="J35" s="6">
        <f>G35/I35*H35</f>
        <v/>
      </c>
      <c r="K35" t="n">
        <v>1</v>
      </c>
      <c r="L35" t="n">
        <v>0.5</v>
      </c>
      <c r="M35" t="n">
        <v>1</v>
      </c>
      <c r="O35" s="6">
        <f>(D35/100000+E35/100+F35*K35/5+J35/200)*200*L35*M35</f>
        <v/>
      </c>
      <c r="P35" s="6">
        <f>((D35*E35/25000)+(F35*K35*J35/2.5))*L35*M35</f>
        <v/>
      </c>
      <c r="Q35" s="6">
        <f>(D35*E35*F35*K35*J35*L35*M35)/12500000</f>
        <v/>
      </c>
      <c r="R35" s="6">
        <f>(O35+P35+Q35)/3</f>
        <v/>
      </c>
      <c r="S35" t="n">
        <v>200</v>
      </c>
    </row>
    <row r="36">
      <c r="A36" t="inlineStr">
        <is>
          <t>TS</t>
        </is>
      </c>
      <c r="B36" t="inlineStr">
        <is>
          <t>Attack Cycle</t>
        </is>
      </c>
      <c r="D36" t="n">
        <v>20000</v>
      </c>
      <c r="E36" t="n">
        <v>170</v>
      </c>
      <c r="F36" s="7">
        <f>(S36*37500000/(L36*M36*D36*E36*K36*J36)-((500/(K36*J36))+(2500000000/(D36*E36*K36*J36)*(D36/100000+E36/100+J36/200))))/(1+5000000/(D36*E36)+(500000000/(D36*E36*J36)))</f>
        <v/>
      </c>
      <c r="G36" t="n">
        <v>24000</v>
      </c>
      <c r="H36" t="n">
        <v>0.875</v>
      </c>
      <c r="I36" t="n">
        <v>45</v>
      </c>
      <c r="J36" s="6">
        <f>G36/I36*H36</f>
        <v/>
      </c>
      <c r="K36" t="n">
        <v>1</v>
      </c>
      <c r="L36" t="n">
        <v>0.5</v>
      </c>
      <c r="M36" t="n">
        <v>1</v>
      </c>
      <c r="O36" s="6">
        <f>(D36/100000+E36/100+F36*K36/5+J36/200)*200*L36*M36</f>
        <v/>
      </c>
      <c r="P36" s="6">
        <f>((D36*E36/25000)+(F36*K36*J36/2.5))*L36*M36</f>
        <v/>
      </c>
      <c r="Q36" s="6">
        <f>(D36*E36*F36*K36*J36*L36*M36)/12500000</f>
        <v/>
      </c>
      <c r="R36" s="6">
        <f>(O36+P36+Q36)/3</f>
        <v/>
      </c>
      <c r="S36" t="n">
        <v>550</v>
      </c>
    </row>
    <row r="42">
      <c r="B42" t="inlineStr">
        <is>
          <t>Transport Support Vehicles</t>
        </is>
      </c>
      <c r="D42" t="inlineStr">
        <is>
          <t>HP</t>
        </is>
      </c>
      <c r="E42" t="inlineStr">
        <is>
          <t>Speed</t>
        </is>
      </c>
      <c r="F42" t="inlineStr">
        <is>
          <t>Range</t>
        </is>
      </c>
      <c r="G42" t="inlineStr">
        <is>
          <t>Damage</t>
        </is>
      </c>
      <c r="H42" t="inlineStr">
        <is>
          <t>Weapon Class</t>
        </is>
      </c>
      <c r="I42" t="inlineStr">
        <is>
          <t>Reload Delay</t>
        </is>
      </c>
      <c r="J42" s="6" t="inlineStr">
        <is>
          <t>DPS</t>
        </is>
      </c>
      <c r="K42" t="inlineStr">
        <is>
          <t>Special</t>
        </is>
      </c>
      <c r="L42" t="inlineStr">
        <is>
          <t>Unit Class</t>
        </is>
      </c>
      <c r="M42" t="inlineStr">
        <is>
          <t>Tech Tier</t>
        </is>
      </c>
      <c r="O42" s="6" t="n"/>
      <c r="P42" s="6" t="n"/>
      <c r="Q42" s="6" t="n"/>
      <c r="R42" s="6" t="n"/>
      <c r="S42" t="inlineStr">
        <is>
          <t>Cost</t>
        </is>
      </c>
    </row>
    <row r="43">
      <c r="J43" s="6" t="n"/>
      <c r="O43" s="6" t="n"/>
      <c r="P43" s="6" t="n"/>
      <c r="Q43" s="6" t="n"/>
      <c r="R43" s="6" t="n"/>
    </row>
    <row r="44">
      <c r="A44" t="inlineStr">
        <is>
          <t>TD</t>
        </is>
      </c>
      <c r="B44" t="inlineStr">
        <is>
          <t>APC (GDI)</t>
        </is>
      </c>
      <c r="D44" t="n">
        <v>47500</v>
      </c>
      <c r="E44" t="n">
        <v>100</v>
      </c>
      <c r="F44" s="7">
        <f>(S44*37500000/(L44*M44*D44*E44*K44*J44)-((500/(K44*J44))+(2500000000/(D44*E44*K44*J44)*(D44/100000+E44/100+J44/200))))/(1+5000000/(D44*E44)+(500000000/(D44*E44*J44)))</f>
        <v/>
      </c>
      <c r="G44" t="n">
        <v>4000</v>
      </c>
      <c r="H44" t="n">
        <v>1</v>
      </c>
      <c r="I44" t="n">
        <v>10</v>
      </c>
      <c r="J44" s="6">
        <f>G44/I44*H44</f>
        <v/>
      </c>
      <c r="K44" t="n">
        <v>1</v>
      </c>
      <c r="L44" t="n">
        <v>1.25</v>
      </c>
      <c r="M44" t="n">
        <v>1</v>
      </c>
      <c r="O44" s="6">
        <f>(D44/100000+E44/100+F44*K44/5+J44/200)*200*L44*M44</f>
        <v/>
      </c>
      <c r="P44" s="6">
        <f>((D44*E44/25000)+(F44*K44*J44/2.5))*L44*M44</f>
        <v/>
      </c>
      <c r="Q44" s="6">
        <f>(D44*E44*F44*K44*J44*L44*M44)/12500000</f>
        <v/>
      </c>
      <c r="R44" s="6">
        <f>(O44+P44+Q44)/3</f>
        <v/>
      </c>
      <c r="S44" t="n">
        <v>1200</v>
      </c>
    </row>
    <row r="45">
      <c r="B45" t="inlineStr">
        <is>
          <t>Nod Buggy Mk2</t>
        </is>
      </c>
      <c r="D45" t="n">
        <v>25000</v>
      </c>
      <c r="E45" t="n">
        <v>120</v>
      </c>
      <c r="F45" s="7">
        <f>(S45*37500000/(L45*M45*D45*E45*K45*J45)-((500/(K45*J45))+(2500000000/(D45*E45*K45*J45)*(D45/100000+E45/100+J45/200))))/(1+5000000/(D45*E45)+(500000000/(D45*E45*J45)))</f>
        <v/>
      </c>
      <c r="G45" t="n">
        <v>9000</v>
      </c>
      <c r="H45" t="n">
        <v>1</v>
      </c>
      <c r="I45" t="n">
        <v>68</v>
      </c>
      <c r="J45" s="6">
        <f>G45/I45*H45</f>
        <v/>
      </c>
      <c r="K45" t="n">
        <v>1</v>
      </c>
      <c r="L45" t="n">
        <v>1.25</v>
      </c>
      <c r="M45" t="n">
        <v>1</v>
      </c>
      <c r="O45" s="6">
        <f>(D45/100000+E45/100+F45*K45/5+J45/200)*200*L45*M45</f>
        <v/>
      </c>
      <c r="P45" s="6">
        <f>((D45*E45/25000)+(F45*K45*J45/2.5))*L45*M45</f>
        <v/>
      </c>
      <c r="Q45" s="6">
        <f>(D45*E45*F45*K45*J45*L45*M45)/12500000</f>
        <v/>
      </c>
      <c r="R45" s="6">
        <f>(O45+P45+Q45)/3</f>
        <v/>
      </c>
      <c r="S45" t="n">
        <v>500</v>
      </c>
    </row>
    <row r="46">
      <c r="B46" t="inlineStr">
        <is>
          <t>Humvee Mk2</t>
        </is>
      </c>
      <c r="D46" t="n">
        <v>37500</v>
      </c>
      <c r="E46" t="n">
        <v>115</v>
      </c>
      <c r="F46" s="7">
        <f>(S46*37500000/(L46*M46*D46*E46*K46*J46)-((500/(K46*J46))+(2500000000/(D46*E46*K46*J46)*(D46/100000+E46/100+J46/200))))/(1+5000000/(D46*E46)+(500000000/(D46*E46*J46)))</f>
        <v/>
      </c>
      <c r="G46" t="n">
        <v>8000</v>
      </c>
      <c r="H46" t="n">
        <v>0.75</v>
      </c>
      <c r="I46" t="n">
        <v>42</v>
      </c>
      <c r="J46" s="6">
        <f>G46/I46*H46</f>
        <v/>
      </c>
      <c r="K46" t="n">
        <v>1</v>
      </c>
      <c r="L46" t="n">
        <v>1.25</v>
      </c>
      <c r="M46" t="n">
        <v>1</v>
      </c>
      <c r="O46" s="6">
        <f>(D46/100000+E46/100+F46*K46/5+J46/200)*200*L46*M46</f>
        <v/>
      </c>
      <c r="P46" s="6">
        <f>((D46*E46/25000)+(F46*K46*J46/2.5))*L46*M46</f>
        <v/>
      </c>
      <c r="Q46" s="6">
        <f>(D46*E46*F46*K46*J46*L46*M46)/12500000</f>
        <v/>
      </c>
      <c r="R46" s="6">
        <f>(O46+P46+Q46)/3</f>
        <v/>
      </c>
      <c r="S46" t="n">
        <v>600</v>
      </c>
    </row>
    <row r="47">
      <c r="B47" t="inlineStr">
        <is>
          <t>Assault APC</t>
        </is>
      </c>
      <c r="D47" t="n">
        <v>250000</v>
      </c>
      <c r="E47" t="n">
        <v>100</v>
      </c>
      <c r="F47" s="7">
        <f>(S47*37500000/(L47*M47*D47*E47*K47*J47)-((500/(K47*J47))+(2500000000/(D47*E47*K47*J47)*(D47/100000+E47/100+J47/200))))/(1+5000000/(D47*E47)+(500000000/(D47*E47*J47)))</f>
        <v/>
      </c>
      <c r="J47" s="6" t="n">
        <v>1080</v>
      </c>
      <c r="K47" t="n">
        <v>1</v>
      </c>
      <c r="L47" t="n">
        <v>1</v>
      </c>
      <c r="M47" t="n">
        <v>0.75</v>
      </c>
      <c r="O47" s="6">
        <f>(D47/100000+E47/100+F47*K47/5+J47/200)*200*L47*M47</f>
        <v/>
      </c>
      <c r="P47" s="6">
        <f>((D47*E47/25000)+(F47*K47*J47/2.5))*L47*M47</f>
        <v/>
      </c>
      <c r="Q47" s="6">
        <f>(D47*E47*F47*K47*J47*L47*M47)/12500000</f>
        <v/>
      </c>
      <c r="R47" s="6">
        <f>(O47+P47+Q47)/3</f>
        <v/>
      </c>
      <c r="S47" t="n">
        <v>4500</v>
      </c>
    </row>
    <row r="48">
      <c r="A48" t="inlineStr">
        <is>
          <t>RA1</t>
        </is>
      </c>
      <c r="B48" t="inlineStr">
        <is>
          <t>APC (Allies)</t>
        </is>
      </c>
      <c r="D48" t="n">
        <v>50000</v>
      </c>
      <c r="E48" t="n">
        <v>105</v>
      </c>
      <c r="F48" s="7">
        <f>(S48*37500000/(L48*M48*D48*E48*K48*J48)-((500/(K48*J48))+(2500000000/(D48*E48*K48*J48)*(D48/100000+E48/100+J48/200))))/(1+5000000/(D48*E48)+(500000000/(D48*E48*J48)))</f>
        <v/>
      </c>
      <c r="G48" t="n">
        <v>4000</v>
      </c>
      <c r="H48" t="n">
        <v>1</v>
      </c>
      <c r="I48" t="n">
        <v>10</v>
      </c>
      <c r="J48" s="6">
        <f>G48/I48*H48</f>
        <v/>
      </c>
      <c r="K48" t="n">
        <v>1</v>
      </c>
      <c r="L48" t="n">
        <v>1.25</v>
      </c>
      <c r="M48" t="n">
        <v>1</v>
      </c>
      <c r="O48" s="6">
        <f>(D48/100000+E48/100+F48*K48/5+J48/200)*200*L48*M48</f>
        <v/>
      </c>
      <c r="P48" s="6">
        <f>((D48*E48/25000)+(F48*K48*J48/2.5))*L48*M48</f>
        <v/>
      </c>
      <c r="Q48" s="6">
        <f>(D48*E48*F48*K48*J48*L48*M48)/12500000</f>
        <v/>
      </c>
      <c r="R48" s="6">
        <f>(O48+P48+Q48)/3</f>
        <v/>
      </c>
      <c r="S48" t="n">
        <v>1300</v>
      </c>
    </row>
    <row r="49">
      <c r="B49" t="inlineStr">
        <is>
          <t>Flak Truck</t>
        </is>
      </c>
      <c r="D49" t="n">
        <v>30000</v>
      </c>
      <c r="E49" t="n">
        <v>120</v>
      </c>
      <c r="F49" s="7">
        <f>(S49*37500000/(L49*M49*D49*E49*K49*J49)-((500/(K49*J49))+(2500000000/(D49*E49*K49*J49)*(D49/100000+E49/100+J49/200))))/(1+5000000/(D49*E49)+(500000000/(D49*E49*J49)))</f>
        <v/>
      </c>
      <c r="G49" t="n">
        <v>4000</v>
      </c>
      <c r="H49" t="n">
        <v>1</v>
      </c>
      <c r="I49" t="n">
        <v>15</v>
      </c>
      <c r="J49" s="6">
        <f>G49/I49*H49</f>
        <v/>
      </c>
      <c r="K49" t="n">
        <v>1</v>
      </c>
      <c r="L49" t="n">
        <v>1.25</v>
      </c>
      <c r="M49" t="n">
        <v>1</v>
      </c>
      <c r="O49" s="6">
        <f>(D49/100000+E49/100+F49*K49/5+J49/200)*200*L49*M49</f>
        <v/>
      </c>
      <c r="P49" s="6">
        <f>((D49*E49/25000)+(F49*K49*J49/2.5))*L49*M49</f>
        <v/>
      </c>
      <c r="Q49" s="6">
        <f>(D49*E49*F49*K49*J49*L49*M49)/12500000</f>
        <v/>
      </c>
      <c r="R49" s="6">
        <f>(O49+P49+Q49)/3</f>
        <v/>
      </c>
      <c r="S49" t="n">
        <v>800</v>
      </c>
    </row>
    <row r="50">
      <c r="B50" t="inlineStr">
        <is>
          <t>Japanese Hovercraft</t>
        </is>
      </c>
      <c r="D50" t="n">
        <v>65000</v>
      </c>
      <c r="E50" t="n">
        <v>130</v>
      </c>
      <c r="F50" s="7">
        <f>(S50*37500000/(L50*M50*D50*E50*K50*J50)-((500/(K50*J50))+(2500000000/(D50*E50*K50*J50)*(D50/100000+E50/100+J50/200))))/(1+5000000/(D50*E50)+(500000000/(D50*E50*J50)))</f>
        <v/>
      </c>
      <c r="G50" t="n">
        <v>12000</v>
      </c>
      <c r="H50" t="n">
        <v>0.875</v>
      </c>
      <c r="I50" t="n">
        <v>25</v>
      </c>
      <c r="J50" s="6">
        <f>G50/I50*H50</f>
        <v/>
      </c>
      <c r="K50" t="n">
        <v>1</v>
      </c>
      <c r="L50" t="n">
        <v>1.25</v>
      </c>
      <c r="M50" t="n">
        <v>1</v>
      </c>
      <c r="O50" s="6">
        <f>(D50/100000+E50/100+F50*K50/5+J50/200)*200*L50*M50</f>
        <v/>
      </c>
      <c r="P50" s="6">
        <f>((D50*E50/25000)+(F50*K50*J50/2.5))*L50*M50</f>
        <v/>
      </c>
      <c r="Q50" s="6">
        <f>(D50*E50*F50*K50*J50*L50*M50)/12500000</f>
        <v/>
      </c>
      <c r="R50" s="6">
        <f>(O50+P50+Q50)/3</f>
        <v/>
      </c>
      <c r="S50" t="n">
        <v>1500</v>
      </c>
    </row>
    <row r="51">
      <c r="B51" t="inlineStr">
        <is>
          <t>Japanese Hovercraft (Flak)</t>
        </is>
      </c>
      <c r="D51" t="n">
        <v>65000</v>
      </c>
      <c r="E51" t="n">
        <v>130</v>
      </c>
      <c r="F51" s="7">
        <f>(S51*37500000/(L51*M51*D51*E51*K51*J51)-((500/(K51*J51))+(2500000000/(D51*E51*K51*J51)*(D51/100000+E51/100+J51/200))))/(1+5000000/(D51*E51)+(500000000/(D51*E51*J51)))</f>
        <v/>
      </c>
      <c r="G51" t="n">
        <v>4000</v>
      </c>
      <c r="H51" t="n">
        <v>0.875</v>
      </c>
      <c r="I51" t="n">
        <v>8</v>
      </c>
      <c r="J51" s="6">
        <f>G51/I51*H51</f>
        <v/>
      </c>
      <c r="K51" t="n">
        <v>1</v>
      </c>
      <c r="L51" t="n">
        <v>1.25</v>
      </c>
      <c r="M51" t="n">
        <v>1</v>
      </c>
      <c r="O51" s="6">
        <f>(D51/100000+E51/100+F51*K51/5+J51/200)*200*L51*M51</f>
        <v/>
      </c>
      <c r="P51" s="6">
        <f>((D51*E51/25000)+(F51*K51*J51/2.5))*L51*M51</f>
        <v/>
      </c>
      <c r="Q51" s="6">
        <f>(D51*E51*F51*K51*J51*L51*M51)/12500000</f>
        <v/>
      </c>
      <c r="R51" s="6">
        <f>(O51+P51+Q51)/3</f>
        <v/>
      </c>
      <c r="S51" t="n">
        <v>1500</v>
      </c>
    </row>
    <row r="52">
      <c r="B52" t="inlineStr">
        <is>
          <t>Phase Transport</t>
        </is>
      </c>
      <c r="D52" t="n">
        <v>30000</v>
      </c>
      <c r="E52" t="n">
        <v>125</v>
      </c>
      <c r="F52" s="7">
        <f>(S52*37500000/(L52*M52*D52*E52*K52*J52)-((500/(K52*J52))+(2500000000/(D52*E52*K52*J52)*(D52/100000+E52/100+J52/200))))/(1+5000000/(D52*E52)+(500000000/(D52*E52*J52)))</f>
        <v/>
      </c>
      <c r="G52" t="n">
        <v>64000</v>
      </c>
      <c r="H52" t="n">
        <v>0.875</v>
      </c>
      <c r="I52" t="n">
        <v>60</v>
      </c>
      <c r="J52" s="6">
        <f>G52/I52*H52</f>
        <v/>
      </c>
      <c r="K52" t="n">
        <v>1.25</v>
      </c>
      <c r="L52" t="n">
        <v>1.25</v>
      </c>
      <c r="M52" t="n">
        <v>0.75</v>
      </c>
      <c r="O52" s="6">
        <f>(D52/100000+E52/100+F52*K52/5+J52/200)*200*L52*M52</f>
        <v/>
      </c>
      <c r="P52" s="6">
        <f>((D52*E52/25000)+(F52*K52*J52/2.5))*L52*M52</f>
        <v/>
      </c>
      <c r="Q52" s="6">
        <f>(D52*E52*F52*K52*J52*L52*M52)/12500000</f>
        <v/>
      </c>
      <c r="R52" s="6">
        <f>(O52+P52+Q52)/3</f>
        <v/>
      </c>
      <c r="S52" t="n">
        <v>1800</v>
      </c>
    </row>
    <row r="53">
      <c r="B53" t="inlineStr">
        <is>
          <t>BTR</t>
        </is>
      </c>
      <c r="D53" t="n">
        <v>90000</v>
      </c>
      <c r="E53" t="n">
        <v>90</v>
      </c>
      <c r="F53" s="7">
        <f>(S53*37500000/(L53*M53*D53*E53*K53*J53)-((500/(K53*J53))+(2500000000/(D53*E53*K53*J53)*(D53/100000+E53/100+J53/200))))/(1+5000000/(D53*E53)+(500000000/(D53*E53*J53)))</f>
        <v/>
      </c>
      <c r="G53" t="n">
        <v>16000</v>
      </c>
      <c r="H53" t="n">
        <v>0.875</v>
      </c>
      <c r="I53" t="n">
        <v>32</v>
      </c>
      <c r="J53" s="6">
        <f>G53/I53*H53</f>
        <v/>
      </c>
      <c r="K53" t="n">
        <v>1</v>
      </c>
      <c r="L53" t="n">
        <v>1.25</v>
      </c>
      <c r="M53" t="n">
        <v>1</v>
      </c>
      <c r="O53" s="6">
        <f>(D53/100000+E53/100+F53*K53/5+J53/200)*200*L53*M53</f>
        <v/>
      </c>
      <c r="P53" s="6">
        <f>((D53*E53/25000)+(F53*K53*J53/2.5))*L53*M53</f>
        <v/>
      </c>
      <c r="Q53" s="6">
        <f>(D53*E53*F53*K53*J53*L53*M53)/12500000</f>
        <v/>
      </c>
      <c r="R53" s="6">
        <f>(O53+P53+Q53)/3</f>
        <v/>
      </c>
      <c r="S53" t="n">
        <v>1600</v>
      </c>
    </row>
    <row r="54">
      <c r="B54" t="inlineStr">
        <is>
          <t>Armored Car</t>
        </is>
      </c>
      <c r="D54" t="n">
        <v>42500</v>
      </c>
      <c r="E54" t="n">
        <v>130</v>
      </c>
      <c r="F54" s="7">
        <f>(S54*37500000/(L54*M54*D54*E54*K54*J54)-((500/(K54*J54))+(2500000000/(D54*E54*K54*J54)*(D54/100000+E54/100+J54/200))))/(1+5000000/(D54*E54)+(500000000/(D54*E54*J54)))</f>
        <v/>
      </c>
      <c r="G54" t="n">
        <v>800</v>
      </c>
      <c r="H54" t="n">
        <v>0.875</v>
      </c>
      <c r="I54" t="n">
        <v>4</v>
      </c>
      <c r="J54" s="6">
        <f>G54/I54*H54</f>
        <v/>
      </c>
      <c r="K54" t="n">
        <v>1</v>
      </c>
      <c r="L54" t="n">
        <v>1.25</v>
      </c>
      <c r="M54" t="n">
        <v>1</v>
      </c>
      <c r="O54" s="6">
        <f>(D54/100000+E54/100+F54*K54/5+J54/200)*200*L54*M54</f>
        <v/>
      </c>
      <c r="P54" s="6">
        <f>((D54*E54/25000)+(F54*K54*J54/2.5))*L54*M54</f>
        <v/>
      </c>
      <c r="Q54" s="6">
        <f>(D54*E54*F54*K54*J54*L54*M54)/12500000</f>
        <v/>
      </c>
      <c r="R54" s="6">
        <f>(O54+P54+Q54)/3</f>
        <v/>
      </c>
      <c r="S54" t="n">
        <v>700</v>
      </c>
    </row>
    <row r="55">
      <c r="A55" t="inlineStr">
        <is>
          <t>D2K</t>
        </is>
      </c>
      <c r="B55" t="inlineStr">
        <is>
          <t>Ix Raider</t>
        </is>
      </c>
      <c r="D55" t="n">
        <v>25000</v>
      </c>
      <c r="E55" t="n">
        <v>160</v>
      </c>
      <c r="F55" s="7">
        <f>(S55*37500000/(L55*M55*D55*E55*K55*J55)-((500/(K55*J55))+(2500000000/(D55*E55*K55*J55)*(D55/100000+E55/100+J55/200))))/(1+5000000/(D55*E55)+(500000000/(D55*E55*J55)))</f>
        <v/>
      </c>
      <c r="G55" t="n">
        <v>6000</v>
      </c>
      <c r="H55" t="n">
        <v>1.25</v>
      </c>
      <c r="I55" t="n">
        <v>25</v>
      </c>
      <c r="J55" s="6">
        <f>G55/I55*H55</f>
        <v/>
      </c>
      <c r="K55" t="n">
        <v>1.25</v>
      </c>
      <c r="L55" t="n">
        <v>1.25</v>
      </c>
      <c r="M55" t="n">
        <v>1</v>
      </c>
      <c r="O55" s="6">
        <f>(D55/100000+E55/100+F55*K55/5+J55/200)*200*L55*M55</f>
        <v/>
      </c>
      <c r="P55" s="6">
        <f>((D55*E55/25000)+(F55*K55*J55/2.5))*L55*M55</f>
        <v/>
      </c>
      <c r="Q55" s="6">
        <f>(D55*E55*F55*K55*J55*L55*M55)/12500000</f>
        <v/>
      </c>
      <c r="R55" s="6">
        <f>(O55+P55+Q55)/3</f>
        <v/>
      </c>
      <c r="S55" t="n">
        <v>1200</v>
      </c>
    </row>
    <row r="56">
      <c r="B56" t="inlineStr">
        <is>
          <t>Heavy Ix Raider (Rockets)</t>
        </is>
      </c>
      <c r="D56" t="n">
        <v>85000</v>
      </c>
      <c r="E56" t="n">
        <v>140</v>
      </c>
      <c r="F56" s="7" t="n">
        <v>6.4</v>
      </c>
      <c r="G56" t="n">
        <v>6000</v>
      </c>
      <c r="H56" t="n">
        <v>1.25</v>
      </c>
      <c r="I56" t="n">
        <v>25</v>
      </c>
      <c r="J56" s="6">
        <f>G56/I56*H56</f>
        <v/>
      </c>
      <c r="K56" t="n">
        <v>1.25</v>
      </c>
      <c r="L56" t="n">
        <v>1.25</v>
      </c>
      <c r="M56" t="n">
        <v>1</v>
      </c>
      <c r="O56" s="6">
        <f>(D56/100000+E56/100+F56*K56/5+J56/200)*200*L56*M56</f>
        <v/>
      </c>
      <c r="P56" s="6">
        <f>((D56*E56/25000)+(F56*K56*J56/2.5))*L56*M56</f>
        <v/>
      </c>
      <c r="Q56" s="6">
        <f>(D56*E56*F56*K56*J56*L56*M56)/12500000</f>
        <v/>
      </c>
      <c r="R56" s="6">
        <f>(O56+P56+Q56)/3</f>
        <v/>
      </c>
      <c r="S56" t="n">
        <v>2000</v>
      </c>
    </row>
    <row r="57">
      <c r="B57" t="inlineStr">
        <is>
          <t>Heavy Ix Raider (Guns)</t>
        </is>
      </c>
      <c r="D57" t="n">
        <v>85000</v>
      </c>
      <c r="E57" t="n">
        <v>140</v>
      </c>
      <c r="F57" s="7" t="n">
        <v>6.4</v>
      </c>
      <c r="G57" t="n">
        <v>16000</v>
      </c>
      <c r="H57" t="n">
        <v>0.875</v>
      </c>
      <c r="I57" t="n">
        <v>46</v>
      </c>
      <c r="J57" s="6">
        <f>G57/I57*H57</f>
        <v/>
      </c>
      <c r="K57" t="n">
        <v>1.25</v>
      </c>
      <c r="L57" t="n">
        <v>1.25</v>
      </c>
      <c r="M57" t="n">
        <v>1</v>
      </c>
      <c r="O57" s="6">
        <f>(D57/100000+E57/100+F57*K57/5+J57/200)*200*L57*M57</f>
        <v/>
      </c>
      <c r="P57" s="6">
        <f>((D57*E57/25000)+(F57*K57*J57/2.5))*L57*M57</f>
        <v/>
      </c>
      <c r="Q57" s="6">
        <f>(D57*E57*F57*K57*J57*L57*M57)/12500000</f>
        <v/>
      </c>
      <c r="R57" s="6">
        <f>(O57+P57+Q57)/3</f>
        <v/>
      </c>
      <c r="S57" t="n">
        <v>2000</v>
      </c>
    </row>
    <row r="58">
      <c r="B58" t="inlineStr">
        <is>
          <t>Ordos Raider</t>
        </is>
      </c>
      <c r="D58" t="n">
        <v>35000</v>
      </c>
      <c r="E58" t="n">
        <v>135</v>
      </c>
      <c r="F58" s="7">
        <f>(S58*37500000/(L58*M58*D58*E58*K58*J58)-((500/(K58*J58))+(2500000000/(D58*E58*K58*J58)*(D58/100000+E58/100+J58/200))))/(1+5000000/(D58*E58)+(500000000/(D58*E58*J58)))</f>
        <v/>
      </c>
      <c r="G58" t="n">
        <v>16000</v>
      </c>
      <c r="H58" t="n">
        <v>1</v>
      </c>
      <c r="I58" t="n">
        <v>53</v>
      </c>
      <c r="J58" s="6">
        <f>G58/I58*H58</f>
        <v/>
      </c>
      <c r="K58" t="n">
        <v>1</v>
      </c>
      <c r="L58" t="n">
        <v>1.25</v>
      </c>
      <c r="M58" t="n">
        <v>1</v>
      </c>
      <c r="O58" s="6">
        <f>(D58/100000+E58/100+F58*K58/5+J58/200)*200*L58*M58</f>
        <v/>
      </c>
      <c r="P58" s="6">
        <f>((D58*E58/25000)+(F58*K58*J58/2.5))*L58*M58</f>
        <v/>
      </c>
      <c r="Q58" s="6">
        <f>(D58*E58*F58*K58*J58*L58*M58)/12500000</f>
        <v/>
      </c>
      <c r="R58" s="6">
        <f>(O58+P58+Q58)/3</f>
        <v/>
      </c>
      <c r="S58" t="n">
        <v>900</v>
      </c>
    </row>
    <row r="59">
      <c r="B59" t="inlineStr">
        <is>
          <t>Stealth Raider</t>
        </is>
      </c>
      <c r="D59" t="n">
        <v>35000</v>
      </c>
      <c r="E59" t="n">
        <v>135</v>
      </c>
      <c r="F59" s="7">
        <f>(S59*37500000/(L59*M59*D59*E59*K59*J59)-((500/(K59*J59))+(2500000000/(D59*E59*K59*J59)*(D59/100000+E59/100+J59/200))))/(1+5000000/(D59*E59)+(500000000/(D59*E59*J59)))</f>
        <v/>
      </c>
      <c r="G59" t="n">
        <v>16000</v>
      </c>
      <c r="H59" t="n">
        <v>1</v>
      </c>
      <c r="I59" t="n">
        <v>39</v>
      </c>
      <c r="J59" s="6">
        <f>G59/I59*H59</f>
        <v/>
      </c>
      <c r="K59" t="n">
        <v>1.25</v>
      </c>
      <c r="L59" t="n">
        <v>1.25</v>
      </c>
      <c r="M59" t="n">
        <v>1</v>
      </c>
      <c r="O59" s="6">
        <f>(D59/100000+E59/100+F59*K59/5+J59/200)*200*L59*M59</f>
        <v/>
      </c>
      <c r="P59" s="6">
        <f>((D59*E59/25000)+(F59*K59*J59/2.5))*L59*M59</f>
        <v/>
      </c>
      <c r="Q59" s="6">
        <f>(D59*E59*F59*K59*J59*L59*M59)/12500000</f>
        <v/>
      </c>
      <c r="R59" s="6">
        <f>(O59+P59+Q59)/3</f>
        <v/>
      </c>
      <c r="S59" t="n">
        <v>1300</v>
      </c>
    </row>
    <row r="60">
      <c r="B60" t="inlineStr">
        <is>
          <t>Ordos APC</t>
        </is>
      </c>
      <c r="D60" t="n">
        <v>67500</v>
      </c>
      <c r="E60" t="n">
        <v>105</v>
      </c>
      <c r="F60" s="7">
        <f>(S60*37500000/(L60*M60*D60*E60*K60*J60)-((500/(K60*J60))+(2500000000/(D60*E60*K60*J60)*(D60/100000+E60/100+J60/200))))/(1+5000000/(D60*E60)+(500000000/(D60*E60*J60)))</f>
        <v/>
      </c>
      <c r="G60" t="n">
        <v>24000</v>
      </c>
      <c r="H60" t="n">
        <v>1</v>
      </c>
      <c r="I60" t="n">
        <v>42</v>
      </c>
      <c r="J60" s="6">
        <f>G60/I60*H60</f>
        <v/>
      </c>
      <c r="K60" t="n">
        <v>1</v>
      </c>
      <c r="L60" t="n">
        <v>1.25</v>
      </c>
      <c r="M60" t="n">
        <v>1</v>
      </c>
      <c r="O60" s="6">
        <f>(D60/100000+E60/100+F60*K60/5+J60/200)*200*L60*M60</f>
        <v/>
      </c>
      <c r="P60" s="6">
        <f>((D60*E60/25000)+(F60*K60*J60/2.5))*L60*M60</f>
        <v/>
      </c>
      <c r="Q60" s="6">
        <f>(D60*E60*F60*K60*J60*L60*M60)/12500000</f>
        <v/>
      </c>
      <c r="R60" s="6">
        <f>(O60+P60+Q60)/3</f>
        <v/>
      </c>
      <c r="S60" t="n">
        <v>2100</v>
      </c>
    </row>
    <row r="61">
      <c r="B61" t="inlineStr">
        <is>
          <t>Laboratory Crawler</t>
        </is>
      </c>
      <c r="D61" t="n">
        <v>137500</v>
      </c>
      <c r="E61" t="n">
        <v>105</v>
      </c>
      <c r="F61" s="7">
        <f>(S61*37500000/(L61*M61*D61*E61*K61*J61)-((500/(K61*J61))+(2500000000/(D61*E61*K61*J61)*(D61/100000+E61/100+J61/200))))/(1+5000000/(D61*E61)+(500000000/(D61*E61*J61)))</f>
        <v/>
      </c>
      <c r="G61" t="n">
        <v>50000</v>
      </c>
      <c r="H61" t="n">
        <v>1</v>
      </c>
      <c r="I61" t="n">
        <v>42</v>
      </c>
      <c r="J61" s="6">
        <f>G61/I61*H61</f>
        <v/>
      </c>
      <c r="K61" t="n">
        <v>1</v>
      </c>
      <c r="L61" t="n">
        <v>1.25</v>
      </c>
      <c r="M61" t="n">
        <v>0.75</v>
      </c>
      <c r="O61" s="6">
        <f>(D61/100000+E61/100+F61*K61/5+J61/200)*200*L61*M61</f>
        <v/>
      </c>
      <c r="P61" s="6">
        <f>((D61*E61/25000)+(F61*K61*J61/2.5))*L61*M61</f>
        <v/>
      </c>
      <c r="Q61" s="6">
        <f>(D61*E61*F61*K61*J61*L61*M61)/12500000</f>
        <v/>
      </c>
      <c r="R61" s="6">
        <f>(O61+P61+Q61)/3</f>
        <v/>
      </c>
      <c r="S61" t="n">
        <v>4500</v>
      </c>
    </row>
    <row r="62">
      <c r="A62" t="inlineStr">
        <is>
          <t>Naxis</t>
        </is>
      </c>
      <c r="B62" t="inlineStr">
        <is>
          <t>Naxi Halftrack</t>
        </is>
      </c>
      <c r="D62" t="n">
        <v>115000</v>
      </c>
      <c r="E62" t="n">
        <v>115</v>
      </c>
      <c r="F62" s="7">
        <f>(S62*37500000/(L62*M62*D62*E62*K62*J62)-((500/(K62*J62))+(2500000000/(D62*E62*K62*J62)*(D62/100000+E62/100+J62/200))))/(1+5000000/(D62*E62)+(500000000/(D62*E62*J62)))</f>
        <v/>
      </c>
      <c r="G62" t="n">
        <v>48000</v>
      </c>
      <c r="H62" t="n">
        <v>0.875</v>
      </c>
      <c r="I62" t="n">
        <v>80</v>
      </c>
      <c r="J62" s="6">
        <f>G62/I62*H62</f>
        <v/>
      </c>
      <c r="K62" t="n">
        <v>1</v>
      </c>
      <c r="L62" t="n">
        <v>1.25</v>
      </c>
      <c r="M62" t="n">
        <v>1</v>
      </c>
      <c r="O62" s="6">
        <f>(D62/100000+E62/100+F62*K62/5+J62/200)*200*L62*M62</f>
        <v/>
      </c>
      <c r="P62" s="6">
        <f>((D62*E62/25000)+(F62*K62*J62/2.5))*L62*M62</f>
        <v/>
      </c>
      <c r="Q62" s="6">
        <f>(D62*E62*F62*K62*J62*L62*M62)/12500000</f>
        <v/>
      </c>
      <c r="R62" s="6">
        <f>(O62+P62+Q62)/3</f>
        <v/>
      </c>
      <c r="S62" t="n">
        <v>2500</v>
      </c>
    </row>
    <row r="63">
      <c r="A63" t="inlineStr">
        <is>
          <t>RA2</t>
        </is>
      </c>
      <c r="B63" t="inlineStr">
        <is>
          <t>Battle Fortress</t>
        </is>
      </c>
      <c r="D63" t="n">
        <v>320000</v>
      </c>
      <c r="E63" t="n">
        <v>60</v>
      </c>
      <c r="F63" s="7">
        <f>(S63*37500000/(L63*M63*D63*E63*K63*J63)-((500/(K63*J63))+(2500000000/(D63*E63*K63*J63)*(D63/100000+E63/100+J63/200))))/(1+5000000/(D63*E63)+(500000000/(D63*E63*J63)))</f>
        <v/>
      </c>
      <c r="G63" t="n">
        <v>48000</v>
      </c>
      <c r="H63" t="n">
        <v>0.75</v>
      </c>
      <c r="I63" t="n">
        <v>45</v>
      </c>
      <c r="J63" s="6">
        <f>G63/I63*H63</f>
        <v/>
      </c>
      <c r="K63" t="n">
        <v>1</v>
      </c>
      <c r="L63" t="n">
        <v>1.25</v>
      </c>
      <c r="M63" t="n">
        <v>0.75</v>
      </c>
      <c r="O63" s="6">
        <f>(D63/100000+E63/100+F63*K63/5+J63/200)*200*L63*M63</f>
        <v/>
      </c>
      <c r="P63" s="6">
        <f>((D63*E63/25000)+(F63*K63*J63/2.5))*L63*M63</f>
        <v/>
      </c>
      <c r="Q63" s="6">
        <f>(D63*E63*F63*K63*J63*L63*M63)/12500000</f>
        <v/>
      </c>
      <c r="R63" s="6">
        <f>(O63+P63+Q63)/3</f>
        <v/>
      </c>
      <c r="S63" t="n">
        <v>4000</v>
      </c>
    </row>
    <row r="64">
      <c r="B64" t="inlineStr">
        <is>
          <t>Flak Track</t>
        </is>
      </c>
      <c r="D64" t="n">
        <v>30000</v>
      </c>
      <c r="E64" t="n">
        <v>120</v>
      </c>
      <c r="F64" s="7">
        <f>(S64*37500000/(L64*M64*D64*E64*K64*J64)-((500/(K64*J64))+(2500000000/(D64*E64*K64*J64)*(D64/100000+E64/100+J64/200))))/(1+5000000/(D64*E64)+(500000000/(D64*E64*J64)))</f>
        <v/>
      </c>
      <c r="G64" t="n">
        <v>4000</v>
      </c>
      <c r="H64" t="n">
        <v>1</v>
      </c>
      <c r="I64" t="n">
        <v>15</v>
      </c>
      <c r="J64" s="6">
        <f>G64/I64*H64</f>
        <v/>
      </c>
      <c r="K64" t="n">
        <v>1</v>
      </c>
      <c r="L64" t="n">
        <v>1.25</v>
      </c>
      <c r="M64" t="n">
        <v>1</v>
      </c>
      <c r="O64" s="6">
        <f>(D64/100000+E64/100+F64*K64/5+J64/200)*200*L64*M64</f>
        <v/>
      </c>
      <c r="P64" s="6">
        <f>((D64*E64/25000)+(F64*K64*J64/2.5))*L64*M64</f>
        <v/>
      </c>
      <c r="Q64" s="6">
        <f>(D64*E64*F64*K64*J64*L64*M64)/12500000</f>
        <v/>
      </c>
      <c r="R64" s="6">
        <f>(O64+P64+Q64)/3</f>
        <v/>
      </c>
      <c r="S64" t="n">
        <v>800</v>
      </c>
    </row>
    <row r="65">
      <c r="B65" t="inlineStr">
        <is>
          <t>RA2 Flak Track</t>
        </is>
      </c>
      <c r="D65" t="n">
        <v>45000</v>
      </c>
      <c r="E65" t="n">
        <v>95</v>
      </c>
      <c r="F65" s="7">
        <f>(S65*37500000/(L65*M65*D65*E65*K65*J65)-((500/(K65*J65))+(2500000000/(D65*E65*K65*J65)*(D65/100000+E65/100+J65/200))))/(1+5000000/(D65*E65)+(500000000/(D65*E65*J65)))</f>
        <v/>
      </c>
      <c r="G65" t="n">
        <v>4000</v>
      </c>
      <c r="H65" t="n">
        <v>0.875</v>
      </c>
      <c r="I65" t="n">
        <v>18</v>
      </c>
      <c r="J65" s="6">
        <f>G65/I65*H65</f>
        <v/>
      </c>
      <c r="K65" t="n">
        <v>1</v>
      </c>
      <c r="L65" t="n">
        <v>1.25</v>
      </c>
      <c r="M65" t="n">
        <v>1</v>
      </c>
      <c r="O65" s="6">
        <f>(D65/100000+E65/100+F65*K65/5+J65/200)*200*L65*M65</f>
        <v/>
      </c>
      <c r="P65" s="6">
        <f>((D65*E65/25000)+(F65*K65*J65/2.5))*L65*M65</f>
        <v/>
      </c>
      <c r="Q65" s="6">
        <f>(D65*E65*F65*K65*J65*L65*M65)/12500000</f>
        <v/>
      </c>
      <c r="R65" s="6">
        <f>(O65+P65+Q65)/3</f>
        <v/>
      </c>
      <c r="S65" t="n">
        <v>700</v>
      </c>
    </row>
    <row r="66">
      <c r="B66" t="inlineStr">
        <is>
          <t>Kübelwagen</t>
        </is>
      </c>
      <c r="D66" t="n">
        <v>50000</v>
      </c>
      <c r="E66" t="n">
        <v>115</v>
      </c>
      <c r="F66" s="7">
        <f>(S66*37500000/(L66*M66*D66*E66*K66*J66)-((500/(K66*J66))+(2500000000/(D66*E66*K66*J66)*(D66/100000+E66/100+J66/200))))/(1+5000000/(D66*E66)+(500000000/(D66*E66*J66)))</f>
        <v/>
      </c>
      <c r="G66" t="n">
        <v>24000</v>
      </c>
      <c r="H66" t="n">
        <v>0.875</v>
      </c>
      <c r="I66" t="n">
        <v>100</v>
      </c>
      <c r="J66" s="6">
        <f>G66/I66*H66</f>
        <v/>
      </c>
      <c r="K66" t="n">
        <v>1</v>
      </c>
      <c r="L66" t="n">
        <v>1.25</v>
      </c>
      <c r="M66" t="n">
        <v>1</v>
      </c>
      <c r="O66" s="6">
        <f>(D66/100000+E66/100+F66*K66/5+J66/200)*200*L66*M66</f>
        <v/>
      </c>
      <c r="P66" s="6">
        <f>((D66*E66/25000)+(F66*K66*J66/2.5))*L66*M66</f>
        <v/>
      </c>
      <c r="Q66" s="6">
        <f>(D66*E66*F66*K66*J66*L66*M66)/12500000</f>
        <v/>
      </c>
      <c r="R66" s="6">
        <f>(O66+P66+Q66)/3</f>
        <v/>
      </c>
      <c r="S66" t="n">
        <v>850</v>
      </c>
    </row>
    <row r="71">
      <c r="A71" t="inlineStr">
        <is>
          <t>RA2 Modded</t>
        </is>
      </c>
      <c r="B71" t="inlineStr">
        <is>
          <t>Dragonfly</t>
        </is>
      </c>
      <c r="D71" t="n">
        <v>32500</v>
      </c>
      <c r="E71" t="n">
        <v>100</v>
      </c>
      <c r="F71" s="7">
        <f>(S71*37500000/(L71*M71*D71*E71*K71*J71)-((500/(K71*J71))+(2500000000/(D71*E71*K71*J71)*(D71/100000+E71/100+J71/200))))/(1+5000000/(D71*E71)+(500000000/(D71*E71*J71)))</f>
        <v/>
      </c>
      <c r="G71" t="n">
        <v>34000</v>
      </c>
      <c r="H71" t="n">
        <v>0.75</v>
      </c>
      <c r="I71" t="n">
        <v>75</v>
      </c>
      <c r="J71" s="6">
        <f>G71/I71*H71</f>
        <v/>
      </c>
      <c r="K71" t="n">
        <v>1.25</v>
      </c>
      <c r="L71" t="n">
        <v>1.25</v>
      </c>
      <c r="M71" t="n">
        <v>1</v>
      </c>
      <c r="O71" s="6">
        <f>(D71/100000+E71/100+F71*K71/5+J71/200)*200*L71*M71</f>
        <v/>
      </c>
      <c r="P71" s="6">
        <f>((D71*E71/25000)+(F71*K71*J71/2.5))*L71*M71</f>
        <v/>
      </c>
      <c r="Q71" s="6">
        <f>(D71*E71*F71*K71*J71*L71*M71)/12500000</f>
        <v/>
      </c>
      <c r="R71" s="6">
        <f>(O71+P71+Q71)/3</f>
        <v/>
      </c>
      <c r="S71" t="n">
        <v>1200</v>
      </c>
    </row>
    <row r="72">
      <c r="B72" t="inlineStr">
        <is>
          <t>War Turtle</t>
        </is>
      </c>
      <c r="D72" t="n">
        <v>250000</v>
      </c>
      <c r="E72" t="n">
        <v>75</v>
      </c>
      <c r="F72" s="7">
        <f>(S72*37500000/(L72*M72*D72*E72*K72*J72)-((500/(K72*J72))+(2500000000/(D72*E72*K72*J72)*(D72/100000+E72/100+J72/200))))/(1+5000000/(D72*E72)+(500000000/(D72*E72*J72)))</f>
        <v/>
      </c>
      <c r="J72" s="6" t="n">
        <v>1230</v>
      </c>
      <c r="K72" t="n">
        <v>1</v>
      </c>
      <c r="L72" t="n">
        <v>1.25</v>
      </c>
      <c r="M72" t="n">
        <v>0.75</v>
      </c>
      <c r="O72" s="6">
        <f>(D72/100000+E72/100+F72*K72/5+J72/200)*200*L72*M72</f>
        <v/>
      </c>
      <c r="P72" s="6">
        <f>((D72*E72/25000)+(F72*K72*J72/2.5))*L72*M72</f>
        <v/>
      </c>
      <c r="Q72" s="6">
        <f>(D72*E72*F72*K72*J72*L72*M72)/12500000</f>
        <v/>
      </c>
      <c r="R72" s="6">
        <f>(O72+P72+Q72)/3</f>
        <v/>
      </c>
      <c r="S72" t="n">
        <v>5000</v>
      </c>
    </row>
    <row r="73">
      <c r="J73" s="6" t="n"/>
      <c r="O73" s="6" t="n"/>
      <c r="P73" s="6" t="n"/>
      <c r="Q73" s="6" t="n"/>
      <c r="R73" s="6" t="n"/>
    </row>
    <row r="74">
      <c r="E74" t="inlineStr">
        <is>
          <t>Militia</t>
        </is>
      </c>
      <c r="F74" t="n">
        <v>4.567</v>
      </c>
      <c r="G74" t="n">
        <v>6000</v>
      </c>
      <c r="H74" t="n">
        <v>0.75</v>
      </c>
      <c r="I74" t="n">
        <v>52</v>
      </c>
      <c r="J74" s="6">
        <f>G74/I74*H74</f>
        <v/>
      </c>
    </row>
    <row r="75">
      <c r="E75" t="inlineStr">
        <is>
          <t>Tank Killer</t>
        </is>
      </c>
      <c r="F75" t="n">
        <v>6.46</v>
      </c>
      <c r="G75" t="n">
        <v>34000</v>
      </c>
      <c r="H75" t="n">
        <v>0.75</v>
      </c>
      <c r="I75" t="n">
        <v>75</v>
      </c>
      <c r="J75" s="6">
        <f>G75/I75*H75</f>
        <v/>
      </c>
    </row>
    <row r="76">
      <c r="E76" t="inlineStr">
        <is>
          <t>Plasma Trooper</t>
        </is>
      </c>
      <c r="F76" s="7" t="n">
        <v>4.836</v>
      </c>
      <c r="G76" t="n">
        <v>16000</v>
      </c>
      <c r="H76" t="n">
        <v>1</v>
      </c>
      <c r="I76" t="n">
        <v>32</v>
      </c>
      <c r="J76" s="6">
        <f>G76/I76*H76</f>
        <v/>
      </c>
    </row>
    <row r="77">
      <c r="E77" t="inlineStr">
        <is>
          <t>Flame Trooper</t>
        </is>
      </c>
      <c r="F77" s="7" t="n">
        <v>4.444</v>
      </c>
      <c r="G77" t="n">
        <v>24000</v>
      </c>
      <c r="H77" t="n">
        <v>0.75</v>
      </c>
      <c r="I77" t="n">
        <v>53</v>
      </c>
      <c r="J77" s="6">
        <f>G77/I77*H77</f>
        <v/>
      </c>
    </row>
    <row r="78">
      <c r="E78" t="inlineStr">
        <is>
          <t>Fanatic</t>
        </is>
      </c>
      <c r="F78" s="7" t="n">
        <v>4.985</v>
      </c>
      <c r="G78" t="n">
        <v>8000</v>
      </c>
      <c r="H78" t="n">
        <v>0.875</v>
      </c>
      <c r="I78" t="n">
        <v>50</v>
      </c>
      <c r="J78" s="6">
        <f>G78/I78*H78</f>
        <v/>
      </c>
    </row>
    <row r="79">
      <c r="E79" t="inlineStr">
        <is>
          <t>Archer</t>
        </is>
      </c>
      <c r="F79" s="7" t="n">
        <v>6.74</v>
      </c>
      <c r="G79" t="n">
        <v>36000</v>
      </c>
      <c r="H79" t="n">
        <v>1</v>
      </c>
      <c r="I79" t="n">
        <v>68</v>
      </c>
      <c r="J79" s="6">
        <f>G79/I79*H79</f>
        <v/>
      </c>
    </row>
    <row r="80">
      <c r="E80" t="inlineStr">
        <is>
          <t>ASDF</t>
        </is>
      </c>
      <c r="F80" s="7" t="n">
        <v>7.25</v>
      </c>
      <c r="G80" t="n">
        <v>12000</v>
      </c>
      <c r="H80" t="n">
        <v>0.875</v>
      </c>
      <c r="I80" t="n">
        <v>20</v>
      </c>
      <c r="J80" s="6">
        <f>G80/I80*H80</f>
        <v/>
      </c>
    </row>
    <row r="81">
      <c r="F81" s="6">
        <f>AVERAGE(F74:F80)</f>
        <v/>
      </c>
      <c r="J81" s="6">
        <f>SUM(J74:J80)/2</f>
        <v/>
      </c>
    </row>
    <row r="83">
      <c r="B83" t="inlineStr">
        <is>
          <t>Syndicate APC</t>
        </is>
      </c>
      <c r="D83" t="n">
        <v>180000</v>
      </c>
      <c r="E83" t="n">
        <v>90</v>
      </c>
      <c r="F83" s="7">
        <f>(S83*37500000/(L83*M83*D83*E83*K83*J83)-((500/(K83*J83))+(2500000000/(D83*E83*K83*J83)*(D83/100000+E83/100+J83/200))))/(1+5000000/(D83*E83)+(500000000/(D83*E83*J83)))</f>
        <v/>
      </c>
      <c r="G83" t="n">
        <v>8000</v>
      </c>
      <c r="H83" t="n">
        <v>0.875</v>
      </c>
      <c r="I83" t="n">
        <v>12</v>
      </c>
      <c r="J83" s="6">
        <f>G83/I83*H83</f>
        <v/>
      </c>
      <c r="K83" t="n">
        <v>1</v>
      </c>
      <c r="L83" t="n">
        <v>1.25</v>
      </c>
      <c r="M83" t="n">
        <v>0.75</v>
      </c>
      <c r="O83" s="6">
        <f>(D83/100000+E83/100+F83*K83/5+J83/200)*200*L83*M83</f>
        <v/>
      </c>
      <c r="P83" s="6">
        <f>((D83*E83/25000)+(F83*K83*J83/2.5))*L83*M83</f>
        <v/>
      </c>
      <c r="Q83" s="6">
        <f>(D83*E83*F83*K83*J83*L83*M83)/12500000</f>
        <v/>
      </c>
      <c r="R83" s="6">
        <f>(O83+P83+Q83)/3</f>
        <v/>
      </c>
      <c r="S83" t="n">
        <v>2400</v>
      </c>
    </row>
    <row r="84">
      <c r="B84" t="inlineStr">
        <is>
          <t>Syndicate APC</t>
        </is>
      </c>
      <c r="D84" t="n">
        <v>180000</v>
      </c>
      <c r="E84" t="n">
        <v>90</v>
      </c>
      <c r="F84" s="7">
        <f>(S84*37500000/(L84*M84*D84*E84*K84*J84)-((500/(K84*J84))+(2500000000/(D84*E84*K84*J84)*(D84/100000+E84/100+J84/200))))/(1+5000000/(D84*E84)+(500000000/(D84*E84*J84)))</f>
        <v/>
      </c>
      <c r="G84" t="n">
        <v>4000</v>
      </c>
      <c r="H84" t="n">
        <v>0.875</v>
      </c>
      <c r="I84" t="n">
        <v>6</v>
      </c>
      <c r="J84" s="6">
        <f>G84/I84*H84</f>
        <v/>
      </c>
      <c r="K84" t="n">
        <v>1</v>
      </c>
      <c r="L84" t="n">
        <v>1.25</v>
      </c>
      <c r="M84" t="n">
        <v>0.75</v>
      </c>
      <c r="O84" s="6">
        <f>(D84/100000+E84/100+F84*K84/5+J84/200)*200*L84*M84</f>
        <v/>
      </c>
      <c r="P84" s="6">
        <f>((D84*E84/25000)+(F84*K84*J84/2.5))*L84*M84</f>
        <v/>
      </c>
      <c r="Q84" s="6">
        <f>(D84*E84*F84*K84*J84*L84*M84)/12500000</f>
        <v/>
      </c>
      <c r="R84" s="6">
        <f>(O84+P84+Q84)/3</f>
        <v/>
      </c>
      <c r="S84" t="n">
        <v>2400</v>
      </c>
    </row>
    <row r="85">
      <c r="B85" t="inlineStr">
        <is>
          <t>Syndicate APC (Missiles)</t>
        </is>
      </c>
      <c r="D85" t="n">
        <v>180000</v>
      </c>
      <c r="E85" t="n">
        <v>90</v>
      </c>
      <c r="F85" s="7">
        <f>(S85*37500000/(L85*M85*D85*E85*K85*J85)-((500/(K85*J85))+(2500000000/(D85*E85*K85*J85)*(D85/100000+E85/100+J85/200))))/(1+5000000/(D85*E85)+(500000000/(D85*E85*J85)))</f>
        <v/>
      </c>
      <c r="G85" t="n">
        <v>32000</v>
      </c>
      <c r="H85" t="n">
        <v>1.125</v>
      </c>
      <c r="I85" t="n">
        <v>62</v>
      </c>
      <c r="J85" s="6">
        <f>G85/I85*H85</f>
        <v/>
      </c>
      <c r="K85" t="n">
        <v>1</v>
      </c>
      <c r="L85" t="n">
        <v>1.25</v>
      </c>
      <c r="M85" t="n">
        <v>0.75</v>
      </c>
      <c r="O85" s="6">
        <f>(D85/100000+E85/100+F85*K85/5+J85/200)*200*L85*M85</f>
        <v/>
      </c>
      <c r="P85" s="6">
        <f>((D85*E85/25000)+(F85*K85*J85/2.5))*L85*M85</f>
        <v/>
      </c>
      <c r="Q85" s="6">
        <f>(D85*E85*F85*K85*J85*L85*M85)/12500000</f>
        <v/>
      </c>
      <c r="R85" s="6">
        <f>(O85+P85+Q85)/3</f>
        <v/>
      </c>
      <c r="S85" t="n">
        <v>2400</v>
      </c>
    </row>
    <row r="86">
      <c r="B86" t="inlineStr">
        <is>
          <t>Narco Hummer</t>
        </is>
      </c>
      <c r="D86" t="n">
        <v>97500</v>
      </c>
      <c r="E86" t="n">
        <v>110</v>
      </c>
      <c r="F86" s="7">
        <f>(S86*37500000/(L86*M86*D86*E86*K86*J86)-((500/(K86*J86))+(2500000000/(D86*E86*K86*J86)*(D86/100000+E86/100+J86/200))))/(1+5000000/(D86*E86)+(500000000/(D86*E86*J86)))</f>
        <v/>
      </c>
      <c r="J86" s="6" t="n">
        <v>1028</v>
      </c>
      <c r="K86" t="n">
        <v>1</v>
      </c>
      <c r="L86" t="n">
        <v>1.25</v>
      </c>
      <c r="M86" t="n">
        <v>0.75</v>
      </c>
      <c r="O86" s="6">
        <f>(D86/100000+E86/100+F86*K86/5+J86/200)*200*L86*M86</f>
        <v/>
      </c>
      <c r="P86" s="6">
        <f>((D86*E86/25000)+(F86*K86*J86/2.5))*L86*M86</f>
        <v/>
      </c>
      <c r="Q86" s="6">
        <f>(D86*E86*F86*K86*J86*L86*M86)/12500000</f>
        <v/>
      </c>
      <c r="R86" s="6">
        <f>(O86+P86+Q86)/3</f>
        <v/>
      </c>
      <c r="S86" t="n">
        <v>3000</v>
      </c>
    </row>
    <row r="87">
      <c r="B87" t="inlineStr">
        <is>
          <t>Cartel Truck</t>
        </is>
      </c>
      <c r="D87" t="n">
        <v>167500</v>
      </c>
      <c r="E87" t="n">
        <v>70</v>
      </c>
      <c r="F87" s="7">
        <f>(S87*37500000/(L87*M87*D87*E87*K87*J87)-((500/(K87*J87))+(2500000000/(D87*E87*K87*J87)*(D87/100000+E87/100+J87/200))))/(1+5000000/(D87*E87)+(500000000/(D87*E87*J87)))</f>
        <v/>
      </c>
      <c r="J87" s="6" t="n">
        <v>2056</v>
      </c>
      <c r="K87" t="n">
        <v>1</v>
      </c>
      <c r="L87" t="n">
        <v>1.25</v>
      </c>
      <c r="M87" t="n">
        <v>0.75</v>
      </c>
      <c r="O87" s="6">
        <f>(D87/100000+E87/100+F87*K87/5+J87/200)*200*L87*M87</f>
        <v/>
      </c>
      <c r="P87" s="6">
        <f>((D87*E87/25000)+(F87*K87*J87/2.5))*L87*M87</f>
        <v/>
      </c>
      <c r="Q87" s="6">
        <f>(D87*E87*F87*K87*J87*L87*M87)/12500000</f>
        <v/>
      </c>
      <c r="R87" s="6">
        <f>(O87+P87+Q87)/3</f>
        <v/>
      </c>
      <c r="S87" t="n">
        <v>6000</v>
      </c>
    </row>
    <row r="88">
      <c r="E88" t="inlineStr">
        <is>
          <t>Militia</t>
        </is>
      </c>
      <c r="F88" s="7" t="n">
        <v>4.36</v>
      </c>
      <c r="G88" t="n">
        <v>16000</v>
      </c>
      <c r="H88" t="n">
        <v>0.875</v>
      </c>
      <c r="I88" t="n">
        <v>93</v>
      </c>
      <c r="J88" s="6">
        <f>G88/I88*H88</f>
        <v/>
      </c>
    </row>
    <row r="89">
      <c r="E89" t="inlineStr">
        <is>
          <t>Tank Killer</t>
        </is>
      </c>
      <c r="F89" s="7" t="n">
        <v>6.677</v>
      </c>
      <c r="G89" t="n">
        <v>26000</v>
      </c>
      <c r="H89" t="n">
        <v>0.75</v>
      </c>
      <c r="I89" t="n">
        <v>66</v>
      </c>
      <c r="J89" s="6">
        <f>G89/I89*H89</f>
        <v/>
      </c>
    </row>
    <row r="90">
      <c r="E90" t="inlineStr">
        <is>
          <t>Grenade Monkey</t>
        </is>
      </c>
      <c r="F90" s="7" t="n">
        <v>6.184</v>
      </c>
      <c r="G90" t="n">
        <v>30000</v>
      </c>
      <c r="H90" t="n">
        <v>1</v>
      </c>
      <c r="I90" t="n">
        <v>60</v>
      </c>
      <c r="J90" s="6">
        <f>G90/I90*H90</f>
        <v/>
      </c>
    </row>
    <row r="91">
      <c r="E91" t="inlineStr">
        <is>
          <t>Flame Trooper</t>
        </is>
      </c>
      <c r="F91" s="7" t="n">
        <v>5.491</v>
      </c>
      <c r="G91" t="n">
        <v>24000</v>
      </c>
      <c r="H91" t="n">
        <v>1</v>
      </c>
      <c r="I91" t="n">
        <v>56</v>
      </c>
      <c r="J91" s="6">
        <f>G91/I91*H91</f>
        <v/>
      </c>
    </row>
    <row r="92">
      <c r="E92" t="inlineStr">
        <is>
          <t>Narco</t>
        </is>
      </c>
      <c r="F92" s="7" t="n">
        <v>6.3</v>
      </c>
      <c r="G92" t="n">
        <v>20000</v>
      </c>
      <c r="H92" t="n">
        <v>0.75</v>
      </c>
      <c r="I92" t="n">
        <v>22</v>
      </c>
      <c r="J92" s="6">
        <f>G92/I92*H92</f>
        <v/>
      </c>
    </row>
    <row r="93">
      <c r="F93" s="6">
        <f>AVERAGE(F88:F92)</f>
        <v/>
      </c>
      <c r="G93" s="6">
        <f>AVERAGE(G88:G92)</f>
        <v/>
      </c>
      <c r="H93" s="6">
        <f>AVERAGE(H88:H92)</f>
        <v/>
      </c>
      <c r="I93" s="6">
        <f>AVERAGE(I88:I92)</f>
        <v/>
      </c>
      <c r="J93" s="6">
        <f>SUM(J88:J92)/2</f>
        <v/>
      </c>
    </row>
    <row r="95">
      <c r="B95" t="inlineStr">
        <is>
          <t>Poseidon Tank</t>
        </is>
      </c>
      <c r="D95" t="n">
        <v>125000</v>
      </c>
      <c r="E95" t="n">
        <v>50</v>
      </c>
      <c r="F95" s="7">
        <f>(S95*37500000/(L95*M95*D95*E95*K95*J95)-((500/(K95*J95))+(2500000000/(D95*E95*K95*J95)*(D95/100000+E95/100+J95/200))))/(1+5000000/(D95*E95)+(500000000/(D95*E95*J95)))</f>
        <v/>
      </c>
      <c r="J95" s="6" t="n">
        <v>1786</v>
      </c>
      <c r="K95" t="n">
        <v>1</v>
      </c>
      <c r="L95" t="n">
        <v>1.25</v>
      </c>
      <c r="M95" t="n">
        <v>0.75</v>
      </c>
      <c r="O95" s="6">
        <f>(D95/100000+E95/100+F95*K95/5+J95/200)*200*L95*M95</f>
        <v/>
      </c>
      <c r="P95" s="6">
        <f>((D95*E95/25000)+(F95*K95*J95/2.5))*L95*M95</f>
        <v/>
      </c>
      <c r="Q95" s="6">
        <f>(D95*E95*F95*K95*J95*L95*M95)/12500000</f>
        <v/>
      </c>
      <c r="R95" s="6">
        <f>(O95+P95+Q95)/3</f>
        <v/>
      </c>
      <c r="S95" t="n">
        <v>4000</v>
      </c>
    </row>
    <row r="96">
      <c r="E96" t="inlineStr">
        <is>
          <t>Clone Trooper</t>
        </is>
      </c>
      <c r="F96" s="7" t="n">
        <v>5</v>
      </c>
      <c r="G96" t="n">
        <v>6000</v>
      </c>
      <c r="H96" t="n">
        <v>1</v>
      </c>
      <c r="I96" t="n">
        <v>25</v>
      </c>
      <c r="J96" s="6">
        <f>G96/I96*H96</f>
        <v/>
      </c>
    </row>
    <row r="97">
      <c r="E97" t="inlineStr">
        <is>
          <t>Hover Grenadier</t>
        </is>
      </c>
      <c r="F97" s="7" t="n">
        <v>6</v>
      </c>
      <c r="G97" t="n">
        <v>44000</v>
      </c>
      <c r="H97" s="4" t="n">
        <v>1</v>
      </c>
      <c r="I97" s="4" t="n">
        <v>50</v>
      </c>
      <c r="J97" s="6">
        <f>G97/I97*H97</f>
        <v/>
      </c>
    </row>
    <row r="98">
      <c r="E98" t="inlineStr">
        <is>
          <t>Quantum Missile</t>
        </is>
      </c>
      <c r="F98" s="7" t="n">
        <v>8</v>
      </c>
      <c r="G98" t="n">
        <v>32000</v>
      </c>
      <c r="H98" t="n">
        <v>1</v>
      </c>
      <c r="I98" t="n">
        <v>48</v>
      </c>
      <c r="J98" s="6">
        <f>G98/I98*H98</f>
        <v/>
      </c>
    </row>
    <row r="99">
      <c r="F99" s="6">
        <f>AVERAGE(F96:F98)</f>
        <v/>
      </c>
      <c r="G99" s="6">
        <f>AVERAGE(G96:G98)</f>
        <v/>
      </c>
      <c r="H99" s="6">
        <f>AVERAGE(H96:H98)</f>
        <v/>
      </c>
      <c r="I99" s="6">
        <f>AVERAGE(I96:I98)</f>
        <v/>
      </c>
      <c r="J99" s="6">
        <f>SUM(J96:J98)</f>
        <v/>
      </c>
    </row>
    <row r="100">
      <c r="B100" t="inlineStr">
        <is>
          <t>Riptide ACV</t>
        </is>
      </c>
      <c r="D100" t="n">
        <v>65000</v>
      </c>
      <c r="E100" t="n">
        <v>105</v>
      </c>
      <c r="F100" s="7">
        <f>(S100*37500000/(L100*M100*D100*E100*K100*J100)-((500/(K100*J100))+(2500000000/(D100*E100*K100*J100)*(D100/100000+E100/100+J100/200))))/(1+5000000/(D100*E100)+(500000000/(D100*E100*J100)))</f>
        <v/>
      </c>
      <c r="G100" t="n">
        <v>16000</v>
      </c>
      <c r="H100" t="n">
        <v>0.875</v>
      </c>
      <c r="I100" t="n">
        <v>27</v>
      </c>
      <c r="J100" s="6">
        <f>G100/I100*H100</f>
        <v/>
      </c>
      <c r="K100" t="n">
        <v>1</v>
      </c>
      <c r="L100" t="n">
        <v>1.25</v>
      </c>
      <c r="M100" t="n">
        <v>1</v>
      </c>
      <c r="O100" s="6">
        <f>(D100/100000+E100/100+F100*K100/5+J100/200)*200*L100*M100</f>
        <v/>
      </c>
      <c r="P100" s="6">
        <f>((D100*E100/25000)+(F100*K100*J100/2.5))*L100*M100</f>
        <v/>
      </c>
      <c r="Q100" s="6">
        <f>(D100*E100*F100*K100*J100*L100*M100)/12500000</f>
        <v/>
      </c>
      <c r="R100" s="6">
        <f>(O100+P100+Q100)/3</f>
        <v/>
      </c>
      <c r="S100" t="n">
        <v>1700</v>
      </c>
    </row>
    <row r="103">
      <c r="B103" t="inlineStr">
        <is>
          <t>Anti Air Support Vehicles</t>
        </is>
      </c>
      <c r="D103" t="inlineStr">
        <is>
          <t>HP</t>
        </is>
      </c>
      <c r="E103" t="inlineStr">
        <is>
          <t>Speed</t>
        </is>
      </c>
      <c r="F103" t="inlineStr">
        <is>
          <t>Range</t>
        </is>
      </c>
      <c r="G103" t="inlineStr">
        <is>
          <t>Damage</t>
        </is>
      </c>
      <c r="H103" t="inlineStr">
        <is>
          <t>Weapon Class</t>
        </is>
      </c>
      <c r="I103" t="inlineStr">
        <is>
          <t>Reload Delay</t>
        </is>
      </c>
      <c r="J103" s="6" t="inlineStr">
        <is>
          <t>DPS</t>
        </is>
      </c>
      <c r="K103" t="inlineStr">
        <is>
          <t>Special</t>
        </is>
      </c>
      <c r="L103" t="inlineStr">
        <is>
          <t>Unit Class</t>
        </is>
      </c>
      <c r="M103" t="inlineStr">
        <is>
          <t>Tech Tier</t>
        </is>
      </c>
      <c r="O103" s="6" t="n"/>
      <c r="P103" s="6" t="n"/>
      <c r="Q103" s="6" t="n"/>
      <c r="R103" s="6" t="n"/>
      <c r="S103" t="inlineStr">
        <is>
          <t>Cost</t>
        </is>
      </c>
    </row>
    <row r="105">
      <c r="A105" t="inlineStr">
        <is>
          <t>TD</t>
        </is>
      </c>
      <c r="B105" t="inlineStr">
        <is>
          <t>Boxer</t>
        </is>
      </c>
      <c r="D105" t="n">
        <v>110000</v>
      </c>
      <c r="E105" t="n">
        <v>80</v>
      </c>
      <c r="F105" s="7">
        <f>(S105*37500000/(L105*M105*D105*E105*K105*J105)-((500/(K105*J105))+(2500000000/(D105*E105*K105*J105)*(D105/100000+E105/100+J105/200))))/(1+5000000/(D105*E105)+(500000000/(D105*E105*J105)))</f>
        <v/>
      </c>
      <c r="G105" t="n">
        <v>6000</v>
      </c>
      <c r="H105" t="n">
        <v>0.875</v>
      </c>
      <c r="I105" t="n">
        <v>11</v>
      </c>
      <c r="J105" s="6">
        <f>G105/I105*H105</f>
        <v/>
      </c>
      <c r="K105" t="n">
        <v>1.25</v>
      </c>
      <c r="L105" t="n">
        <v>1</v>
      </c>
      <c r="M105" t="n">
        <v>1</v>
      </c>
      <c r="O105" s="6">
        <f>(D105/100000+E105/100+F105*K105/5+J105/200)*200*L105*M105</f>
        <v/>
      </c>
      <c r="P105" s="6">
        <f>((D105*E105/25000)+(F105*K105*J105/2.5))*L105*M105</f>
        <v/>
      </c>
      <c r="Q105" s="6">
        <f>(D105*E105*F105*K105*J105*L105*M105)/12500000</f>
        <v/>
      </c>
      <c r="R105" s="6">
        <f>(O105+P105+Q105)/3</f>
        <v/>
      </c>
      <c r="S105" t="n">
        <v>1550</v>
      </c>
    </row>
    <row r="106">
      <c r="A106" t="inlineStr">
        <is>
          <t>RA1</t>
        </is>
      </c>
      <c r="B106" t="inlineStr">
        <is>
          <t>Allied Heavy AA Tank</t>
        </is>
      </c>
      <c r="D106" t="n">
        <v>125000</v>
      </c>
      <c r="E106" t="n">
        <v>75</v>
      </c>
      <c r="F106" s="7">
        <f>(S106*37500000/(L106*M106*D106*E106*K106*J106)-((500/(K106*J106))+(2500000000/(D106*E106*K106*J106)*(D106/100000+E106/100+J106/200))))/(1+5000000/(D106*E106)+(500000000/(D106*E106*J106)))</f>
        <v/>
      </c>
      <c r="G106" t="n">
        <v>4000</v>
      </c>
      <c r="H106" t="n">
        <v>0.875</v>
      </c>
      <c r="I106" t="n">
        <v>10</v>
      </c>
      <c r="J106" s="6">
        <f>G106/I106*H106</f>
        <v/>
      </c>
      <c r="K106" t="n">
        <v>1.25</v>
      </c>
      <c r="L106" t="n">
        <v>1</v>
      </c>
      <c r="M106" t="n">
        <v>1</v>
      </c>
      <c r="O106" s="6">
        <f>(D106/100000+E106/100+F106*K106/5+J106/200)*200*L106*M106</f>
        <v/>
      </c>
      <c r="P106" s="6">
        <f>((D106*E106/25000)+(F106*K106*J106/2.5))*L106*M106</f>
        <v/>
      </c>
      <c r="Q106" s="6">
        <f>(D106*E106*F106*K106*J106*L106*M106)/12500000</f>
        <v/>
      </c>
      <c r="R106" s="6">
        <f>(O106+P106+Q106)/3</f>
        <v/>
      </c>
      <c r="S106" t="n">
        <v>1250</v>
      </c>
    </row>
    <row r="107">
      <c r="B107" t="inlineStr">
        <is>
          <t>Soviet Gatling Tank</t>
        </is>
      </c>
      <c r="D107" t="n">
        <v>75000</v>
      </c>
      <c r="E107" t="n">
        <v>75</v>
      </c>
      <c r="F107" s="7">
        <f>(S107*37500000/(L107*M107*D107*E107*K107*J107)-((500/(K107*J107))+(2500000000/(D107*E107*K107*J107)*(D107/100000+E107/100+J107/200))))/(1+5000000/(D107*E107)+(500000000/(D107*E107*J107)))</f>
        <v/>
      </c>
      <c r="G107" t="n">
        <v>2000</v>
      </c>
      <c r="H107" t="n">
        <v>1</v>
      </c>
      <c r="I107" t="n">
        <v>5</v>
      </c>
      <c r="J107" s="6">
        <f>G107/I107*H107</f>
        <v/>
      </c>
      <c r="K107" t="n">
        <v>1.25</v>
      </c>
      <c r="L107" t="n">
        <v>1</v>
      </c>
      <c r="M107" t="n">
        <v>1</v>
      </c>
      <c r="O107" s="6">
        <f>(D107/100000+E107/100+F107*K107/5+J107/200)*200*L107*M107</f>
        <v/>
      </c>
      <c r="P107" s="6">
        <f>((D107*E107/25000)+(F107*K107*J107/2.5))*L107*M107</f>
        <v/>
      </c>
      <c r="Q107" s="6">
        <f>(D107*E107*F107*K107*J107*L107*M107)/12500000</f>
        <v/>
      </c>
      <c r="R107" s="6">
        <f>(O107+P107+Q107)/3</f>
        <v/>
      </c>
      <c r="S107" t="n">
        <v>1100</v>
      </c>
    </row>
    <row r="108">
      <c r="A108" t="inlineStr">
        <is>
          <t>StarCraft</t>
        </is>
      </c>
      <c r="B108" t="inlineStr">
        <is>
          <t>Manifold</t>
        </is>
      </c>
      <c r="D108" t="n">
        <v>25000</v>
      </c>
      <c r="E108" t="n">
        <v>75</v>
      </c>
      <c r="F108" s="7">
        <f>(S108*37500000/(L108*M108*D108*E108*K108*J108)-((500/(K108*J108))+(2500000000/(D108*E108*K108*J108)*(D108/100000+E108/100+J108/200))))/(1+5000000/(D108*E108)+(500000000/(D108*E108*J108)))</f>
        <v/>
      </c>
      <c r="G108" t="n">
        <v>6000</v>
      </c>
      <c r="H108" t="n">
        <v>1</v>
      </c>
      <c r="I108" t="n">
        <v>20</v>
      </c>
      <c r="J108" s="6">
        <f>G108/I108*H108</f>
        <v/>
      </c>
      <c r="K108" t="n">
        <v>1.25</v>
      </c>
      <c r="L108" t="n">
        <v>1</v>
      </c>
      <c r="M108" t="n">
        <v>1</v>
      </c>
      <c r="O108" s="6">
        <f>(D108/100000+E108/100+F108*K108/5+J108/200)*200*L108*M108</f>
        <v/>
      </c>
      <c r="P108" s="6">
        <f>((D108*E108/25000)+(F108*K108*J108/2.5))*L108*M108</f>
        <v/>
      </c>
      <c r="Q108" s="6">
        <f>(D108*E108*F108*K108*J108*L108*M108)/12500000</f>
        <v/>
      </c>
      <c r="R108" s="6">
        <f>(O108+P108+Q108)/3</f>
        <v/>
      </c>
      <c r="S108" t="n">
        <v>600</v>
      </c>
    </row>
    <row r="109">
      <c r="A109" t="inlineStr">
        <is>
          <t>RA2</t>
        </is>
      </c>
      <c r="B109" t="inlineStr">
        <is>
          <t>Yuri Gatling Tank</t>
        </is>
      </c>
      <c r="D109" t="n">
        <v>45000</v>
      </c>
      <c r="E109" t="n">
        <v>90</v>
      </c>
      <c r="F109" s="7">
        <f>(S109*37500000/(L109*M109*D109*E109*K109*J109)-((500/(K109*J109))+(2500000000/(D109*E109*K109*J109)*(D109/100000+E109/100+J109/200))))/(1+5000000/(D109*E109)+(500000000/(D109*E109*J109)))</f>
        <v/>
      </c>
      <c r="G109" t="n">
        <v>3000</v>
      </c>
      <c r="H109" t="n">
        <v>0.875</v>
      </c>
      <c r="I109" t="n">
        <v>6</v>
      </c>
      <c r="J109" s="6">
        <f>G109/I109*H109</f>
        <v/>
      </c>
      <c r="K109" t="n">
        <v>1.25</v>
      </c>
      <c r="L109" t="n">
        <v>1</v>
      </c>
      <c r="M109" t="n">
        <v>1</v>
      </c>
      <c r="O109" s="6">
        <f>(D109/100000+E109/100+F109*K109/5+J109/200)*200*L109*M109</f>
        <v/>
      </c>
      <c r="P109" s="6">
        <f>((D109*E109/25000)+(F109*K109*J109/2.5))*L109*M109</f>
        <v/>
      </c>
      <c r="Q109" s="6">
        <f>(D109*E109*F109*K109*J109*L109*M109)/12500000</f>
        <v/>
      </c>
      <c r="R109" s="6">
        <f>(O109+P109+Q109)/3</f>
        <v/>
      </c>
      <c r="S109" t="n">
        <v>1100</v>
      </c>
    </row>
    <row r="110">
      <c r="A110" t="inlineStr">
        <is>
          <t>RA2 Modded</t>
        </is>
      </c>
      <c r="B110" t="inlineStr">
        <is>
          <t>Quasar</t>
        </is>
      </c>
      <c r="D110" t="n">
        <v>55000</v>
      </c>
      <c r="E110" t="n">
        <v>125</v>
      </c>
      <c r="F110" s="7">
        <f>(S110*37500000/(L110*M110*D110*E110*K110*J110)-((500/(K110*J110))+(2500000000/(D110*E110*K110*J110)*(D110/100000+E110/100+J110/200))))/(1+5000000/(D110*E110)+(500000000/(D110*E110*J110)))</f>
        <v/>
      </c>
      <c r="G110" t="n">
        <v>8000</v>
      </c>
      <c r="H110" t="n">
        <v>1.125</v>
      </c>
      <c r="I110" t="n">
        <v>33</v>
      </c>
      <c r="J110" s="6">
        <f>G110/I110*H110</f>
        <v/>
      </c>
      <c r="K110" t="n">
        <v>1</v>
      </c>
      <c r="L110" t="n">
        <v>1</v>
      </c>
      <c r="M110" t="n">
        <v>1</v>
      </c>
      <c r="O110" s="6">
        <f>(D110/100000+E110/100+F110*K110/5+J110/200)*200*L110*M110</f>
        <v/>
      </c>
      <c r="P110" s="6">
        <f>((D110*E110/25000)+(F110*K110*J110/2.5))*L110*M110</f>
        <v/>
      </c>
      <c r="Q110" s="6">
        <f>(D110*E110*F110*K110*J110*L110*M110)/12500000</f>
        <v/>
      </c>
      <c r="R110" s="6">
        <f>(O110+P110+Q110)/3</f>
        <v/>
      </c>
      <c r="S110" t="n">
        <v>900</v>
      </c>
    </row>
    <row r="111">
      <c r="B111" t="inlineStr">
        <is>
          <t>Diablo</t>
        </is>
      </c>
      <c r="D111" t="n">
        <v>45000</v>
      </c>
      <c r="E111" t="n">
        <v>125</v>
      </c>
      <c r="F111" s="7">
        <f>(S111*37500000/(L111*M111*D111*E111*K111*J111)-((500/(K111*J111))+(2500000000/(D111*E111*K111*J111)*(D111/100000+E111/100+J111/200))))/(1+5000000/(D111*E111)+(500000000/(D111*E111*J111)))</f>
        <v/>
      </c>
      <c r="G111" t="n">
        <v>8000</v>
      </c>
      <c r="H111" t="n">
        <v>0.875</v>
      </c>
      <c r="I111" t="n">
        <v>16</v>
      </c>
      <c r="J111" s="6">
        <f>G111/I111*H111</f>
        <v/>
      </c>
      <c r="K111" t="n">
        <v>1</v>
      </c>
      <c r="L111" t="n">
        <v>1</v>
      </c>
      <c r="M111" t="n">
        <v>1</v>
      </c>
      <c r="O111" s="6">
        <f>(D111/100000+E111/100+F111*K111/5+J111/200)*200*L111*M111</f>
        <v/>
      </c>
      <c r="P111" s="6">
        <f>((D111*E111/25000)+(F111*K111*J111/2.5))*L111*M111</f>
        <v/>
      </c>
      <c r="Q111" s="6">
        <f>(D111*E111*F111*K111*J111*L111*M111)/12500000</f>
        <v/>
      </c>
      <c r="R111" s="6">
        <f>(O111+P111+Q111)/3</f>
        <v/>
      </c>
      <c r="S111" t="n">
        <v>1200</v>
      </c>
    </row>
    <row r="112">
      <c r="A112" t="inlineStr">
        <is>
          <t>Naxis</t>
        </is>
      </c>
      <c r="B112" t="inlineStr">
        <is>
          <t>Wirbelwind</t>
        </is>
      </c>
      <c r="D112" t="n">
        <v>87500</v>
      </c>
      <c r="E112" t="n">
        <v>85</v>
      </c>
      <c r="F112" s="7">
        <f>(S112*37500000/(L112*M112*D112*E112*K112*J112)-((500/(K112*J112))+(2500000000/(D112*E112*K112*J112)*(D112/100000+E112/100+J112/200))))/(1+5000000/(D112*E112)+(500000000/(D112*E112*J112)))</f>
        <v/>
      </c>
      <c r="G112" t="n">
        <v>48000</v>
      </c>
      <c r="H112" t="n">
        <v>1</v>
      </c>
      <c r="I112" t="n">
        <v>67</v>
      </c>
      <c r="J112" s="6">
        <f>G112/I112*H112</f>
        <v/>
      </c>
      <c r="K112" t="n">
        <v>1</v>
      </c>
      <c r="L112" t="n">
        <v>1</v>
      </c>
      <c r="M112" t="n">
        <v>1</v>
      </c>
      <c r="O112" s="6">
        <f>(D112/100000+E112/100+F112*K112/5+J112/200)*200*L112*M112</f>
        <v/>
      </c>
      <c r="P112" s="6">
        <f>((D112*E112/25000)+(F112*K112*J112/2.5))*L112*M112</f>
        <v/>
      </c>
      <c r="Q112" s="6">
        <f>(D112*E112*F112*K112*J112*L112*M112)/12500000</f>
        <v/>
      </c>
      <c r="R112" s="6">
        <f>(O112+P112+Q112)/3</f>
        <v/>
      </c>
      <c r="S112" t="n">
        <v>1800</v>
      </c>
    </row>
    <row r="113">
      <c r="A113" t="inlineStr">
        <is>
          <t>Naxis</t>
        </is>
      </c>
      <c r="B113" t="inlineStr">
        <is>
          <t>Laser Beetle</t>
        </is>
      </c>
      <c r="D113" t="n">
        <v>47500</v>
      </c>
      <c r="E113" t="n">
        <v>85</v>
      </c>
      <c r="F113" s="7">
        <f>(S113*37500000/(L113*M113*D113*E113*K113*J113)-((500/(K113*J113))+(2500000000/(D113*E113*K113*J113)*(D113/100000+E113/100+J113/200))))/(1+5000000/(D113*E113)+(500000000/(D113*E113*J113)))</f>
        <v/>
      </c>
      <c r="G113" t="n">
        <v>16000</v>
      </c>
      <c r="H113" t="n">
        <v>1</v>
      </c>
      <c r="I113" t="n">
        <v>64</v>
      </c>
      <c r="J113" s="6">
        <f>G113/I113*H113</f>
        <v/>
      </c>
      <c r="K113" t="n">
        <v>1</v>
      </c>
      <c r="L113" t="n">
        <v>1</v>
      </c>
      <c r="M113" t="n">
        <v>1</v>
      </c>
      <c r="O113" s="6">
        <f>(D113/100000+E113/100+F113*K113/5+J113/200)*200*L113*M113</f>
        <v/>
      </c>
      <c r="P113" s="6">
        <f>((D113*E113/25000)+(F113*K113*J113/2.5))*L113*M113</f>
        <v/>
      </c>
      <c r="Q113" s="6">
        <f>(D113*E113*F113*K113*J113*L113*M113)/12500000</f>
        <v/>
      </c>
      <c r="R113" s="6">
        <f>(O113+P113+Q113)/3</f>
        <v/>
      </c>
      <c r="S113" t="n">
        <v>700</v>
      </c>
    </row>
    <row r="114">
      <c r="B114" t="inlineStr">
        <is>
          <t>Laser Tank</t>
        </is>
      </c>
      <c r="D114" t="n">
        <v>100000</v>
      </c>
      <c r="E114" t="n">
        <v>70</v>
      </c>
      <c r="F114" s="7">
        <f>(S114*37500000/(L114*M114*D114*E114*K114*J114)-((500/(K114*J114))+(2500000000/(D114*E114*K114*J114)*(D114/100000+E114/100+J114/200))))/(1+5000000/(D114*E114)+(500000000/(D114*E114*J114)))</f>
        <v/>
      </c>
      <c r="G114" t="n">
        <v>32000</v>
      </c>
      <c r="H114" t="n">
        <v>1</v>
      </c>
      <c r="I114" t="n">
        <v>64</v>
      </c>
      <c r="J114" s="6">
        <f>G114/I114*H114</f>
        <v/>
      </c>
      <c r="K114" t="n">
        <v>1</v>
      </c>
      <c r="L114" t="n">
        <v>1</v>
      </c>
      <c r="M114" t="n">
        <v>1</v>
      </c>
      <c r="O114" s="6">
        <f>(D114/100000+E114/100+F114*K114/5+J114/200)*200*L114*M114</f>
        <v/>
      </c>
      <c r="P114" s="6">
        <f>((D114*E114/25000)+(F114*K114*J114/2.5))*L114*M114</f>
        <v/>
      </c>
      <c r="Q114" s="6">
        <f>(D114*E114*F114*K114*J114*L114*M114)/12500000</f>
        <v/>
      </c>
      <c r="R114" s="6">
        <f>(O114+P114+Q114)/3</f>
        <v/>
      </c>
      <c r="S114" t="n">
        <v>1500</v>
      </c>
    </row>
    <row r="115">
      <c r="B115" t="inlineStr">
        <is>
          <t>Manta</t>
        </is>
      </c>
      <c r="D115" t="n">
        <v>27500</v>
      </c>
      <c r="E115" t="n">
        <v>115</v>
      </c>
      <c r="F115" s="7">
        <f>(S115*37500000/(L115*M115*D115*E115*K115*J115)-((500/(K115*J115))+(2500000000/(D115*E115*K115*J115)*(D115/100000+E115/100+J115/200))))/(1+5000000/(D115*E115)+(500000000/(D115*E115*J115)))</f>
        <v/>
      </c>
      <c r="G115" t="n">
        <v>8000</v>
      </c>
      <c r="H115" t="n">
        <v>0.875</v>
      </c>
      <c r="I115" t="n">
        <v>20</v>
      </c>
      <c r="J115" s="6">
        <f>G115/I115*H115</f>
        <v/>
      </c>
      <c r="K115" t="n">
        <v>1</v>
      </c>
      <c r="L115" t="n">
        <v>1</v>
      </c>
      <c r="M115" t="n">
        <v>1</v>
      </c>
      <c r="O115" s="6">
        <f>(D115/100000+E115/100+F115*K115/5+J115/200)*200*L115*M115</f>
        <v/>
      </c>
      <c r="P115" s="6">
        <f>((D115*E115/25000)+(F115*K115*J115/2.5))*L115*M115</f>
        <v/>
      </c>
      <c r="Q115" s="6">
        <f>(D115*E115*F115*K115*J115*L115*M115)/12500000</f>
        <v/>
      </c>
      <c r="R115" s="6">
        <f>(O115+P115+Q115)/3</f>
        <v/>
      </c>
      <c r="S115" t="n">
        <v>850</v>
      </c>
    </row>
    <row r="116">
      <c r="B116" t="inlineStr">
        <is>
          <t>Barracuda</t>
        </is>
      </c>
      <c r="D116" t="n">
        <v>40000</v>
      </c>
      <c r="E116" t="n">
        <v>80</v>
      </c>
      <c r="F116" s="7">
        <f>(S116*37500000/(L116*M116*D116*E116*K116*J116)-((500/(K116*J116))+(2500000000/(D116*E116*K116*J116)*(D116/100000+E116/100+J116/200))))/(1+5000000/(D116*E116)+(500000000/(D116*E116*J116)))</f>
        <v/>
      </c>
      <c r="G116" t="n">
        <v>4000</v>
      </c>
      <c r="H116" t="n">
        <v>1</v>
      </c>
      <c r="I116" t="n">
        <v>8</v>
      </c>
      <c r="J116" s="6">
        <f>G116/I116*H116</f>
        <v/>
      </c>
      <c r="K116" t="n">
        <v>1</v>
      </c>
      <c r="L116" t="n">
        <v>1</v>
      </c>
      <c r="M116" t="n">
        <v>1</v>
      </c>
      <c r="O116" s="6">
        <f>(D116/100000+E116/100+F116*K116/5+J116/200)*200*L116*M116</f>
        <v/>
      </c>
      <c r="P116" s="6">
        <f>((D116*E116/25000)+(F116*K116*J116/2.5))*L116*M116</f>
        <v/>
      </c>
      <c r="Q116" s="6">
        <f>(D116*E116*F116*K116*J116*L116*M116)/12500000</f>
        <v/>
      </c>
      <c r="R116" s="6">
        <f>(O116+P116+Q116)/3</f>
        <v/>
      </c>
      <c r="S116" t="n">
        <v>1100</v>
      </c>
    </row>
    <row r="117">
      <c r="B117" t="inlineStr">
        <is>
          <t>Laser Tank</t>
        </is>
      </c>
      <c r="D117" t="n">
        <v>70000</v>
      </c>
      <c r="E117" t="n">
        <v>60</v>
      </c>
      <c r="F117" s="7">
        <f>(S117*37500000/(L117*M117*D117*E117*K117*J117)-((500/(K117*J117))+(2500000000/(D117*E117*K117*J117)*(D117/100000+E117/100+J117/200))))/(1+5000000/(D117*E117)+(500000000/(D117*E117*J117)))</f>
        <v/>
      </c>
      <c r="G117" t="n">
        <v>64000</v>
      </c>
      <c r="H117" t="n">
        <v>1</v>
      </c>
      <c r="I117" t="n">
        <v>64</v>
      </c>
      <c r="J117" s="6">
        <f>G117/I117*H117</f>
        <v/>
      </c>
      <c r="K117" t="n">
        <v>1</v>
      </c>
      <c r="L117" t="n">
        <v>1</v>
      </c>
      <c r="M117" t="n">
        <v>1</v>
      </c>
      <c r="O117" s="6">
        <f>(D117/100000+E117/100+F117*K117/5+J117/200)*200*L117*M117</f>
        <v/>
      </c>
      <c r="P117" s="6">
        <f>((D117*E117/25000)+(F117*K117*J117/2.5))*L117*M117</f>
        <v/>
      </c>
      <c r="Q117" s="6">
        <f>(D117*E117*F117*K117*J117*L117*M117)/12500000</f>
        <v/>
      </c>
      <c r="R117" s="6">
        <f>(O117+P117+Q117)/3</f>
        <v/>
      </c>
      <c r="S117" t="n">
        <v>2500</v>
      </c>
    </row>
    <row r="118">
      <c r="A118" t="inlineStr">
        <is>
          <t>Outpost 2</t>
        </is>
      </c>
      <c r="B118" t="inlineStr">
        <is>
          <t>Eden EMP Lynx</t>
        </is>
      </c>
      <c r="D118" t="n">
        <v>50000</v>
      </c>
      <c r="E118" t="n">
        <v>85</v>
      </c>
      <c r="F118" s="7">
        <f>(S118*37500000/(L118*M118*D118*E118*K118*J118)-((500/(K118*J118))+(2500000000/(D118*E118*K118*J118)*(D118/100000+E118/100+J118/200))))/(1+5000000/(D118*E118)+(500000000/(D118*E118*J118)))</f>
        <v/>
      </c>
      <c r="G118" t="n">
        <v>16000</v>
      </c>
      <c r="H118" t="n">
        <v>1.125</v>
      </c>
      <c r="I118" t="n">
        <v>45</v>
      </c>
      <c r="J118" s="6">
        <f>G118/I118*H118</f>
        <v/>
      </c>
      <c r="K118" t="n">
        <v>1.25</v>
      </c>
      <c r="L118" t="n">
        <v>1</v>
      </c>
      <c r="M118" t="n">
        <v>1</v>
      </c>
      <c r="N118" s="6">
        <f>D118/J118</f>
        <v/>
      </c>
      <c r="O118" s="6">
        <f>(D118/100000+E118/100+F118*K118/5+J118/200)*200*L118*M118</f>
        <v/>
      </c>
      <c r="P118" s="6">
        <f>((D118*E118/25000)+(F118*K118*J118/2.5))*L118*M118</f>
        <v/>
      </c>
      <c r="Q118" s="6">
        <f>(D118*E118*F118*K118*J118*L118*M118)/12500000</f>
        <v/>
      </c>
      <c r="R118" s="6">
        <f>(O118+P118+Q118)/3</f>
        <v/>
      </c>
      <c r="S118" t="n">
        <v>1050</v>
      </c>
    </row>
    <row r="119">
      <c r="B119" t="inlineStr">
        <is>
          <t>Eden EMP Tiger</t>
        </is>
      </c>
      <c r="D119" t="n">
        <v>100000</v>
      </c>
      <c r="E119" t="n">
        <v>70</v>
      </c>
      <c r="F119" s="7">
        <f>(S119*37500000/(L119*M119*D119*E119*K119*J119)-((500/(K119*J119))+(2500000000/(D119*E119*K119*J119)*(D119/100000+E119/100+J119/200))))/(1+5000000/(D119*E119)+(500000000/(D119*E119*J119)))</f>
        <v/>
      </c>
      <c r="G119" t="n">
        <v>32000</v>
      </c>
      <c r="H119" t="n">
        <v>1.125</v>
      </c>
      <c r="I119" t="n">
        <v>41</v>
      </c>
      <c r="J119" s="6">
        <f>G119/I119*H119</f>
        <v/>
      </c>
      <c r="K119" t="n">
        <v>1</v>
      </c>
      <c r="L119" t="n">
        <v>1</v>
      </c>
      <c r="M119" t="n">
        <v>0.75</v>
      </c>
      <c r="N119" s="6">
        <f>D119/J119</f>
        <v/>
      </c>
      <c r="O119" s="6">
        <f>(D119/100000+E119/100+F119*K119/5+J119/200)*200*L119*M119</f>
        <v/>
      </c>
      <c r="P119" s="6">
        <f>((D119*E119/25000)+(F119*K119*J119/2.5))*L119*M119</f>
        <v/>
      </c>
      <c r="Q119" s="6">
        <f>(D119*E119*F119*K119*J119*L119*M119)/12500000</f>
        <v/>
      </c>
      <c r="R119" s="6">
        <f>(O119+P119+Q119)/3</f>
        <v/>
      </c>
      <c r="S119" t="n">
        <v>1700</v>
      </c>
    </row>
    <row r="121">
      <c r="B121" t="inlineStr">
        <is>
          <t>Fire Supports</t>
        </is>
      </c>
      <c r="D121" t="inlineStr">
        <is>
          <t>HP</t>
        </is>
      </c>
      <c r="E121" t="inlineStr">
        <is>
          <t>Speed</t>
        </is>
      </c>
      <c r="F121" t="inlineStr">
        <is>
          <t>Range</t>
        </is>
      </c>
      <c r="G121" t="inlineStr">
        <is>
          <t>Damage</t>
        </is>
      </c>
      <c r="H121" t="inlineStr">
        <is>
          <t>Weapon Class</t>
        </is>
      </c>
      <c r="I121" t="inlineStr">
        <is>
          <t>Reload Delay</t>
        </is>
      </c>
      <c r="J121" s="6" t="inlineStr">
        <is>
          <t>DPS</t>
        </is>
      </c>
      <c r="K121" t="inlineStr">
        <is>
          <t>Special</t>
        </is>
      </c>
      <c r="L121" t="inlineStr">
        <is>
          <t>Unit Class</t>
        </is>
      </c>
      <c r="M121" t="inlineStr">
        <is>
          <t>Tech Tier</t>
        </is>
      </c>
      <c r="N121" t="inlineStr">
        <is>
          <t>HP/DPS</t>
        </is>
      </c>
      <c r="O121" s="6" t="n"/>
      <c r="P121" s="6" t="n"/>
      <c r="Q121" s="6" t="n"/>
      <c r="R121" s="6" t="n"/>
      <c r="S121" t="inlineStr">
        <is>
          <t>Cost</t>
        </is>
      </c>
    </row>
    <row r="123">
      <c r="A123" t="inlineStr">
        <is>
          <t>TD</t>
        </is>
      </c>
      <c r="B123" t="inlineStr">
        <is>
          <t>Recon Bike</t>
        </is>
      </c>
      <c r="D123" t="n">
        <v>10000</v>
      </c>
      <c r="E123" t="n">
        <v>200</v>
      </c>
      <c r="F123" s="7">
        <f>(S123*37500000/(L123*M123*D123*E123*K123*J123)-((500/(K123*J123))+(2500000000/(D123*E123*K123*J123)*(D123/100000+E123/100+J123/200))))/(1+5000000/(D123*E123)+(500000000/(D123*E123*J123)))</f>
        <v/>
      </c>
      <c r="G123" t="n">
        <v>16000</v>
      </c>
      <c r="H123" t="n">
        <v>0.875</v>
      </c>
      <c r="I123" t="n">
        <v>104</v>
      </c>
      <c r="J123" s="6">
        <f>G123/I123*H123</f>
        <v/>
      </c>
      <c r="K123" t="n">
        <v>1</v>
      </c>
      <c r="L123" t="n">
        <v>1</v>
      </c>
      <c r="M123" t="n">
        <v>1</v>
      </c>
      <c r="N123" s="6">
        <f>D123/J123</f>
        <v/>
      </c>
      <c r="O123" s="6">
        <f>(D123/100000+E123/100+F123*K123/5+J123/200)*200*L123*M123</f>
        <v/>
      </c>
      <c r="P123" s="6">
        <f>((D123*E123/25000)+(F123*K123*J123/2.5))*L123*M123</f>
        <v/>
      </c>
      <c r="Q123" s="6">
        <f>(D123*E123*F123*K123*J123*L123*M123)/12500000</f>
        <v/>
      </c>
      <c r="R123" s="6">
        <f>(O123+P123+Q123)/3</f>
        <v/>
      </c>
      <c r="S123" t="n">
        <v>500</v>
      </c>
    </row>
    <row r="124">
      <c r="B124" t="inlineStr">
        <is>
          <t>GDI MLRS</t>
        </is>
      </c>
      <c r="D124" t="n">
        <v>25000</v>
      </c>
      <c r="E124" t="n">
        <v>80</v>
      </c>
      <c r="F124" s="7">
        <f>(S124*37500000/(L124*M124*D124*E124*K124*J124)-((500/(K124*J124))+(2500000000/(D124*E124*K124*J124)*(D124/100000+E124/100+J124/200))))/(1+5000000/(D124*E124)+(500000000/(D124*E124*J124)))</f>
        <v/>
      </c>
      <c r="G124" t="n">
        <v>48000</v>
      </c>
      <c r="H124" t="n">
        <v>1</v>
      </c>
      <c r="I124" t="n">
        <v>136</v>
      </c>
      <c r="J124" s="6">
        <f>G124/I124*H124</f>
        <v/>
      </c>
      <c r="K124" t="n">
        <v>1</v>
      </c>
      <c r="L124" t="n">
        <v>1</v>
      </c>
      <c r="M124" t="n">
        <v>1</v>
      </c>
      <c r="N124" s="6">
        <f>D124/J124</f>
        <v/>
      </c>
      <c r="O124" s="6">
        <f>(D124/100000+E124/100+F124*K124/5+J124/200)*200*L124*M124</f>
        <v/>
      </c>
      <c r="P124" s="6">
        <f>((D124*E124/25000)+(F124*K124*J124/2.5))*L124*M124</f>
        <v/>
      </c>
      <c r="Q124" s="6">
        <f>(D124*E124*F124*K124*J124*L124*M124)/12500000</f>
        <v/>
      </c>
      <c r="R124" s="6">
        <f>(O124+P124+Q124)/3</f>
        <v/>
      </c>
      <c r="S124" t="n">
        <v>1000</v>
      </c>
    </row>
    <row r="125">
      <c r="B125" t="inlineStr">
        <is>
          <t>SSM Launcher</t>
        </is>
      </c>
      <c r="D125" t="n">
        <v>20000</v>
      </c>
      <c r="E125" t="n">
        <v>100</v>
      </c>
      <c r="F125" s="7">
        <f>(S125*37500000/(L125*M125*D125*E125*K125*J125)-((500/(K125*J125))+(2500000000/(D125*E125*K125*J125)*(D125/100000+E125/100+J125/200))))/(1+5000000/(D125*E125)+(500000000/(D125*E125*J125)))</f>
        <v/>
      </c>
      <c r="G125" t="n">
        <v>100000</v>
      </c>
      <c r="H125" t="n">
        <v>1.05</v>
      </c>
      <c r="I125" t="n">
        <v>250</v>
      </c>
      <c r="J125" s="6">
        <f>G125/I125*H125</f>
        <v/>
      </c>
      <c r="K125" t="n">
        <v>1</v>
      </c>
      <c r="L125" t="n">
        <v>1</v>
      </c>
      <c r="M125" t="n">
        <v>0.75</v>
      </c>
      <c r="N125" s="6">
        <f>D125/J125</f>
        <v/>
      </c>
      <c r="O125" s="6">
        <f>(D125/100000+E125/100+F125*K125/5+J125/200)*200*L125*M125</f>
        <v/>
      </c>
      <c r="P125" s="6">
        <f>((D125*E125/25000)+(F125*K125*J125/2.5))*L125*M125</f>
        <v/>
      </c>
      <c r="Q125" s="6">
        <f>(D125*E125*F125*K125*J125*L125*M125)/12500000</f>
        <v/>
      </c>
      <c r="R125" s="6">
        <f>(O125+P125+Q125)/3</f>
        <v/>
      </c>
      <c r="S125" t="n">
        <v>800</v>
      </c>
    </row>
    <row r="126">
      <c r="B126" t="inlineStr">
        <is>
          <t>Stealth Tank</t>
        </is>
      </c>
      <c r="D126" t="n">
        <v>25000</v>
      </c>
      <c r="E126" t="n">
        <v>150</v>
      </c>
      <c r="F126" s="7">
        <f>(S126*37500000/(L126*M126*D126*E126*K126*J126)-((500/(K126*J126))+(2500000000/(D126*E126*K126*J126)*(D126/100000+E126/100+J126/200))))/(1+5000000/(D126*E126)+(500000000/(D126*E126*J126)))</f>
        <v/>
      </c>
      <c r="G126" t="n">
        <v>24000</v>
      </c>
      <c r="H126" t="n">
        <v>1</v>
      </c>
      <c r="I126" t="n">
        <v>66</v>
      </c>
      <c r="J126" s="6">
        <f>G126/I126*H126</f>
        <v/>
      </c>
      <c r="K126" t="n">
        <v>1.25</v>
      </c>
      <c r="L126" t="n">
        <v>1</v>
      </c>
      <c r="M126" t="n">
        <v>0.75</v>
      </c>
      <c r="N126" s="6">
        <f>D126/J126</f>
        <v/>
      </c>
      <c r="O126" s="6">
        <f>(D126/100000+E126/100+F126*K126/5+J126/200)*200*L126*M126</f>
        <v/>
      </c>
      <c r="P126" s="6">
        <f>((D126*E126/25000)+(F126*K126*J126/2.5))*L126*M126</f>
        <v/>
      </c>
      <c r="Q126" s="6">
        <f>(D126*E126*F126*K126*J126*L126*M126)/12500000</f>
        <v/>
      </c>
      <c r="R126" s="6">
        <f>(O126+P126+Q126)/3</f>
        <v/>
      </c>
      <c r="S126" t="n">
        <v>900</v>
      </c>
    </row>
    <row r="127">
      <c r="B127" t="inlineStr">
        <is>
          <t>Chemical Attack Bike</t>
        </is>
      </c>
      <c r="D127" t="n">
        <v>12500</v>
      </c>
      <c r="E127" t="n">
        <v>175</v>
      </c>
      <c r="F127" s="7">
        <f>(S127*37500000/(L127*M127*D127*E127*K127*J127)-((500/(K127*J127))+(2500000000/(D127*E127*K127*J127)*(D127/100000+E127/100+J127/200))))/(1+5000000/(D127*E127)+(500000000/(D127*E127*J127)))</f>
        <v/>
      </c>
      <c r="G127" t="n">
        <v>32000</v>
      </c>
      <c r="H127" t="n">
        <v>0.875</v>
      </c>
      <c r="I127" t="n">
        <v>100</v>
      </c>
      <c r="J127" s="6">
        <f>G127/I127*H127</f>
        <v/>
      </c>
      <c r="K127" t="n">
        <v>1</v>
      </c>
      <c r="L127" t="n">
        <v>1</v>
      </c>
      <c r="M127" t="n">
        <v>1</v>
      </c>
      <c r="N127" s="6">
        <f>D127/J127</f>
        <v/>
      </c>
      <c r="O127" s="6">
        <f>(D127/100000+E127/100+F127*K127/5+J127/200)*200*L127*M127</f>
        <v/>
      </c>
      <c r="P127" s="6">
        <f>((D127*E127/25000)+(F127*K127*J127/2.5))*L127*M127</f>
        <v/>
      </c>
      <c r="Q127" s="6">
        <f>(D127*E127*F127*K127*J127*L127*M127)/12500000</f>
        <v/>
      </c>
      <c r="R127" s="6">
        <f>(O127+P127+Q127)/3</f>
        <v/>
      </c>
      <c r="S127" t="n">
        <v>750</v>
      </c>
    </row>
    <row r="128">
      <c r="B128" t="inlineStr">
        <is>
          <t>Experimental Exosuit</t>
        </is>
      </c>
      <c r="D128" t="n">
        <v>50000</v>
      </c>
      <c r="E128" t="n">
        <v>100</v>
      </c>
      <c r="F128" s="7">
        <f>(S128*37500000/(L128*M128*D128*E128*K128*J128)-((500/(K128*J128))+(2500000000/(D128*E128*K128*J128)*(D128/100000+E128/100+J128/200))))/(1+5000000/(D128*E128)+(500000000/(D128*E128*J128)))</f>
        <v/>
      </c>
      <c r="G128" t="n">
        <v>40000</v>
      </c>
      <c r="H128" t="n">
        <v>1.25</v>
      </c>
      <c r="I128" t="n">
        <v>80</v>
      </c>
      <c r="J128" s="6">
        <f>G128/I128*H128</f>
        <v/>
      </c>
      <c r="K128" t="n">
        <v>1</v>
      </c>
      <c r="L128" t="n">
        <v>1</v>
      </c>
      <c r="M128" t="n">
        <v>0.75</v>
      </c>
      <c r="N128" s="6">
        <f>D128/J128</f>
        <v/>
      </c>
      <c r="O128" s="6">
        <f>(D128/100000+E128/100+F128*K128/5+J128/200)*200*L128*M128</f>
        <v/>
      </c>
      <c r="P128" s="6">
        <f>((D128*E128/25000)+(F128*K128*J128/2.5))*L128*M128</f>
        <v/>
      </c>
      <c r="Q128" s="6">
        <f>(D128*E128*F128*K128*J128*L128*M128)/12500000</f>
        <v/>
      </c>
      <c r="R128" s="6">
        <f>(O128+P128+Q128)/3</f>
        <v/>
      </c>
      <c r="S128" t="n">
        <v>1200</v>
      </c>
    </row>
    <row r="129">
      <c r="A129" t="inlineStr">
        <is>
          <t>RA1</t>
        </is>
      </c>
      <c r="B129" t="inlineStr">
        <is>
          <t>Tesla Tank</t>
        </is>
      </c>
      <c r="D129" t="n">
        <v>40000</v>
      </c>
      <c r="E129" t="n">
        <v>80</v>
      </c>
      <c r="F129" s="7">
        <f>(S129*37500000/(L129*M129*D129*E129*K129*J129)-((500/(K129*J129))+(2500000000/(D129*E129*K129*J129)*(D129/100000+E129/100+J129/200))))/(1+5000000/(D129*E129)+(500000000/(D129*E129*J129)))</f>
        <v/>
      </c>
      <c r="G129" t="n">
        <v>40000</v>
      </c>
      <c r="H129" t="n">
        <v>1.25</v>
      </c>
      <c r="I129" t="n">
        <v>80</v>
      </c>
      <c r="J129" s="6">
        <f>G129/I129*H129</f>
        <v/>
      </c>
      <c r="K129" t="n">
        <v>1.25</v>
      </c>
      <c r="L129" t="n">
        <v>1</v>
      </c>
      <c r="M129" t="n">
        <v>1</v>
      </c>
      <c r="N129" s="6">
        <f>D129/J129</f>
        <v/>
      </c>
      <c r="O129" s="6">
        <f>(D129/100000+E129/100+F129*K129/5+J129/200)*200*L129*M129</f>
        <v/>
      </c>
      <c r="P129" s="6">
        <f>((D129*E129/25000)+(F129*K129*J129/2.5))*L129*M129</f>
        <v/>
      </c>
      <c r="Q129" s="6">
        <f>(D129*E129*F129*K129*J129*L129*M129)/12500000</f>
        <v/>
      </c>
      <c r="R129" s="6">
        <f>(O129+P129+Q129)/3</f>
        <v/>
      </c>
      <c r="S129" t="n">
        <v>1700</v>
      </c>
    </row>
    <row r="130">
      <c r="B130" t="inlineStr">
        <is>
          <t>Heatray Tank</t>
        </is>
      </c>
      <c r="D130" t="n">
        <v>60000</v>
      </c>
      <c r="E130" t="n">
        <v>60</v>
      </c>
      <c r="F130" s="7">
        <f>(S130*37500000/(L130*M130*D130*E130*K130*J130)-((500/(K130*J130))+(2500000000/(D130*E130*K130*J130)*(D130/100000+E130/100+J130/200))))/(1+5000000/(D130*E130)+(500000000/(D130*E130*J130)))</f>
        <v/>
      </c>
      <c r="G130" t="n">
        <v>6000</v>
      </c>
      <c r="H130" t="n">
        <v>1</v>
      </c>
      <c r="I130" t="n">
        <v>8</v>
      </c>
      <c r="J130" s="6">
        <f>G130/I130*H130</f>
        <v/>
      </c>
      <c r="K130" t="n">
        <v>1</v>
      </c>
      <c r="L130" t="n">
        <v>1</v>
      </c>
      <c r="M130" t="n">
        <v>1</v>
      </c>
      <c r="N130" s="6">
        <f>D130/J130</f>
        <v/>
      </c>
      <c r="O130" s="6">
        <f>(D130/100000+E130/100+F130*K130/5+J130/200)*200*L130*M130</f>
        <v/>
      </c>
      <c r="P130" s="6">
        <f>((D130*E130/25000)+(F130*K130*J130/2.5))*L130*M130</f>
        <v/>
      </c>
      <c r="Q130" s="6">
        <f>(D130*E130*F130*K130*J130*L130*M130)/12500000</f>
        <v/>
      </c>
      <c r="R130" s="6">
        <f>(O130+P130+Q130)/3</f>
        <v/>
      </c>
      <c r="S130" t="n">
        <v>1900</v>
      </c>
    </row>
    <row r="131">
      <c r="B131" t="inlineStr">
        <is>
          <t>Nanodrone Buggy</t>
        </is>
      </c>
      <c r="D131" t="n">
        <v>37500</v>
      </c>
      <c r="E131" t="n">
        <v>77</v>
      </c>
      <c r="F131" t="n">
        <v>7.777</v>
      </c>
      <c r="G131" t="n">
        <v>31108</v>
      </c>
      <c r="H131" t="n">
        <v>1</v>
      </c>
      <c r="I131" t="n">
        <v>77</v>
      </c>
      <c r="J131" s="6">
        <f>G131/I131*H131</f>
        <v/>
      </c>
      <c r="K131" t="n">
        <v>1.25</v>
      </c>
      <c r="L131" t="n">
        <v>1</v>
      </c>
      <c r="M131" t="n">
        <v>1</v>
      </c>
      <c r="N131" s="6">
        <f>D131/J131</f>
        <v/>
      </c>
      <c r="O131" s="6">
        <f>(D131/100000+E131/100+F131*K131/5+J131/200)*200*L131*M131</f>
        <v/>
      </c>
      <c r="P131" s="6">
        <f>((D131*E131/25000)+(F131*K131*J131/2.5))*L131*M131</f>
        <v/>
      </c>
      <c r="Q131" s="6">
        <f>(D131*E131*F131*K131*J131*L131*M131)/12500000</f>
        <v/>
      </c>
      <c r="R131" s="6">
        <f>(O131+P131+Q131)/3</f>
        <v/>
      </c>
      <c r="S131" t="n">
        <v>900</v>
      </c>
    </row>
    <row r="132">
      <c r="B132" t="inlineStr">
        <is>
          <t>Allied Tank Destroyer</t>
        </is>
      </c>
      <c r="D132" t="n">
        <v>120000</v>
      </c>
      <c r="E132" t="n">
        <v>60</v>
      </c>
      <c r="F132" s="7">
        <f>(S132*37500000/(L132*M132*D132*E132*K132*J132)-((500/(K132*J132))+(2500000000/(D132*E132*K132*J132)*(D132/100000+E132/100+J132/200))))/(1+5000000/(D132*E132)+(500000000/(D132*E132*J132)))</f>
        <v/>
      </c>
      <c r="G132" t="n">
        <v>24000</v>
      </c>
      <c r="H132" t="n">
        <v>0.875</v>
      </c>
      <c r="I132" t="n">
        <v>60</v>
      </c>
      <c r="J132" s="6">
        <f>G132/I132*H132</f>
        <v/>
      </c>
      <c r="K132" t="n">
        <v>1</v>
      </c>
      <c r="L132" t="n">
        <v>1</v>
      </c>
      <c r="M132" t="n">
        <v>1</v>
      </c>
      <c r="N132" s="6">
        <f>D132/J132</f>
        <v/>
      </c>
      <c r="O132" s="6">
        <f>(D132/100000+E132/100+F132*K132/5+J132/200)*200*L132*M132</f>
        <v/>
      </c>
      <c r="P132" s="6">
        <f>((D132*E132/25000)+(F132*K132*J132/2.5))*L132*M132</f>
        <v/>
      </c>
      <c r="Q132" s="6">
        <f>(D132*E132*F132*K132*J132*L132*M132)/12500000</f>
        <v/>
      </c>
      <c r="R132" s="6">
        <f>(O132+P132+Q132)/3</f>
        <v/>
      </c>
      <c r="S132" t="n">
        <v>1200</v>
      </c>
    </row>
    <row r="133">
      <c r="B133" t="inlineStr">
        <is>
          <t>Waveforce Tank</t>
        </is>
      </c>
      <c r="D133" t="n">
        <v>60000</v>
      </c>
      <c r="E133" t="n">
        <v>60</v>
      </c>
      <c r="F133" s="7">
        <f>(S133*37500000/(L133*M133*D133*E133*K133*J133)-((500/(K133*J133))+(2500000000/(D133*E133*K133*J133)*(D133/100000+E133/100+J133/200))))/(1+5000000/(D133*E133)+(500000000/(D133*E133*J133)))</f>
        <v/>
      </c>
      <c r="G133" t="n">
        <v>30000</v>
      </c>
      <c r="H133" t="n">
        <v>1.25</v>
      </c>
      <c r="I133" t="n">
        <v>60</v>
      </c>
      <c r="J133" s="6">
        <f>G133/I133*H133</f>
        <v/>
      </c>
      <c r="K133" t="n">
        <v>1</v>
      </c>
      <c r="L133" t="n">
        <v>1</v>
      </c>
      <c r="M133" t="n">
        <v>1</v>
      </c>
      <c r="N133" s="6">
        <f>D133/J133</f>
        <v/>
      </c>
      <c r="O133" s="6">
        <f>(D133/100000+E133/100+F133*K133/5+J133/200)*200*L133*M133</f>
        <v/>
      </c>
      <c r="P133" s="6">
        <f>((D133*E133/25000)+(F133*K133*J133/2.5))*L133*M133</f>
        <v/>
      </c>
      <c r="Q133" s="6">
        <f>(D133*E133*F133*K133*J133*L133*M133)/12500000</f>
        <v/>
      </c>
      <c r="R133" s="6">
        <f>(O133+P133+Q133)/3</f>
        <v/>
      </c>
      <c r="S133" t="n">
        <v>1800</v>
      </c>
    </row>
    <row r="134">
      <c r="B134" t="inlineStr">
        <is>
          <t>Waveforce Artillery</t>
        </is>
      </c>
      <c r="D134" t="n">
        <v>50000</v>
      </c>
      <c r="E134" t="n">
        <v>55</v>
      </c>
      <c r="F134" t="n">
        <v>11.111</v>
      </c>
      <c r="G134" t="n">
        <v>80000</v>
      </c>
      <c r="H134" t="n">
        <v>1.25</v>
      </c>
      <c r="I134" t="n">
        <v>111</v>
      </c>
      <c r="J134" s="6">
        <f>G134/I134*H134</f>
        <v/>
      </c>
      <c r="K134" t="n">
        <v>1.25</v>
      </c>
      <c r="L134" t="n">
        <v>1</v>
      </c>
      <c r="M134" t="n">
        <v>0.75</v>
      </c>
      <c r="N134" s="6">
        <f>D134/J134</f>
        <v/>
      </c>
      <c r="O134" s="6">
        <f>(D134/100000+E134/100+F134*K134/5+J134/200)*200*L134*M134</f>
        <v/>
      </c>
      <c r="P134" s="6">
        <f>((D134*E134/25000)+(F134*K134*J134/2.5))*L134*M134</f>
        <v/>
      </c>
      <c r="Q134" s="6">
        <f>(D134*E134*F134*K134*J134*L134*M134)/12500000</f>
        <v/>
      </c>
      <c r="R134" s="6">
        <f>(O134+P134+Q134)/3</f>
        <v/>
      </c>
      <c r="S134" t="n">
        <v>2500</v>
      </c>
    </row>
    <row r="135">
      <c r="A135" t="inlineStr">
        <is>
          <t>D2K</t>
        </is>
      </c>
      <c r="B135" t="inlineStr">
        <is>
          <t>Shock Raider</t>
        </is>
      </c>
      <c r="D135" t="n">
        <v>40000</v>
      </c>
      <c r="E135" t="n">
        <v>120</v>
      </c>
      <c r="F135" s="7">
        <f>(S135*37500000/(L135*M135*D135*E135*K135*J135)-((500/(K135*J135))+(2500000000/(D135*E135*K135*J135)*(D135/100000+E135/100+J135/200))))/(1+5000000/(D135*E135)+(500000000/(D135*E135*J135)))</f>
        <v/>
      </c>
      <c r="G135" t="n">
        <v>40000</v>
      </c>
      <c r="H135" t="n">
        <v>1.25</v>
      </c>
      <c r="I135" t="n">
        <v>100</v>
      </c>
      <c r="J135" s="6">
        <f>G135/I135*H135</f>
        <v/>
      </c>
      <c r="K135" t="n">
        <v>1.25</v>
      </c>
      <c r="L135" t="n">
        <v>1</v>
      </c>
      <c r="M135" t="n">
        <v>0.75</v>
      </c>
      <c r="N135" s="6">
        <f>D135/J135</f>
        <v/>
      </c>
      <c r="O135" s="6">
        <f>(D135/100000+E135/100+F135*K135/5+J135/200)*200*L135*M135</f>
        <v/>
      </c>
      <c r="P135" s="6">
        <f>((D135*E135/25000)+(F135*K135*J135/2.5))*L135*M135</f>
        <v/>
      </c>
      <c r="Q135" s="6">
        <f>(D135*E135*F135*K135*J135*L135*M135)/12500000</f>
        <v/>
      </c>
      <c r="R135" s="6">
        <f>(O135+P135+Q135)/3</f>
        <v/>
      </c>
      <c r="S135" t="n">
        <v>1300</v>
      </c>
    </row>
    <row r="136">
      <c r="B136" t="inlineStr">
        <is>
          <t>Storm Raider</t>
        </is>
      </c>
      <c r="D136" t="n">
        <v>60000</v>
      </c>
      <c r="E136" t="n">
        <v>95</v>
      </c>
      <c r="F136" s="7">
        <f>(S136*37500000/(L136*M136*D136*E136*K136*J136)-((500/(K136*J136))+(2500000000/(D136*E136*K136*J136)*(D136/100000+E136/100+J136/200))))/(1+5000000/(D136*E136)+(500000000/(D136*E136*J136)))</f>
        <v/>
      </c>
      <c r="G136" t="n">
        <v>60000</v>
      </c>
      <c r="H136" t="n">
        <v>1.25</v>
      </c>
      <c r="I136" t="n">
        <v>100</v>
      </c>
      <c r="J136" s="6">
        <f>G136/I136*H136</f>
        <v/>
      </c>
      <c r="K136" t="n">
        <v>1.5</v>
      </c>
      <c r="L136" t="n">
        <v>1</v>
      </c>
      <c r="M136" t="n">
        <v>0.75</v>
      </c>
      <c r="N136" s="6">
        <f>D136/J136</f>
        <v/>
      </c>
      <c r="O136" s="6">
        <f>(D136/100000+E136/100+F136*K136/5+J136/200)*200*L136*M136</f>
        <v/>
      </c>
      <c r="P136" s="6">
        <f>((D136*E136/25000)+(F136*K136*J136/2.5))*L136*M136</f>
        <v/>
      </c>
      <c r="Q136" s="6">
        <f>(D136*E136*F136*K136*J136*L136*M136)/12500000</f>
        <v/>
      </c>
      <c r="R136" s="6">
        <f>(O136+P136+Q136)/3</f>
        <v/>
      </c>
      <c r="S136" t="n">
        <v>2200</v>
      </c>
    </row>
    <row r="137">
      <c r="B137" t="inlineStr">
        <is>
          <t>Ix Combat Siege</t>
        </is>
      </c>
      <c r="D137" t="n">
        <v>80000</v>
      </c>
      <c r="E137" t="n">
        <v>80</v>
      </c>
      <c r="F137" s="7">
        <f>(S137*37500000/(L137*M137*D137*E137*K137*J137)-((500/(K137*J137))+(2500000000/(D137*E137*K137*J137)*(D137/100000+E137/100+J137/200))))/(1+5000000/(D137*E137)+(500000000/(D137*E137*J137)))</f>
        <v/>
      </c>
      <c r="G137" t="n">
        <v>24000</v>
      </c>
      <c r="H137" t="n">
        <v>1</v>
      </c>
      <c r="I137" t="n">
        <v>80</v>
      </c>
      <c r="J137" s="6">
        <f>G137/I137*H137</f>
        <v/>
      </c>
      <c r="K137" t="n">
        <v>1</v>
      </c>
      <c r="L137" t="n">
        <v>1</v>
      </c>
      <c r="M137" t="n">
        <v>1</v>
      </c>
      <c r="N137" s="6">
        <f>D137/J137</f>
        <v/>
      </c>
      <c r="O137" s="6">
        <f>(D137/100000+E137/100+F137*K137/5+J137/200)*200*L137*M137</f>
        <v/>
      </c>
      <c r="P137" s="6">
        <f>((D137*E137/25000)+(F137*K137*J137/2.5))*L137*M137</f>
        <v/>
      </c>
      <c r="Q137" s="6">
        <f>(D137*E137*F137*K137*J137*L137*M137)/12500000</f>
        <v/>
      </c>
      <c r="R137" s="6">
        <f>(O137+P137+Q137)/3</f>
        <v/>
      </c>
      <c r="S137" t="n">
        <v>1200</v>
      </c>
    </row>
    <row r="138">
      <c r="B138" t="inlineStr">
        <is>
          <t>Ix Missile Tank</t>
        </is>
      </c>
      <c r="D138" t="n">
        <v>50000</v>
      </c>
      <c r="E138" t="n">
        <v>50</v>
      </c>
      <c r="F138" s="7">
        <f>(S138*37500000/(L138*M138*D138*E138*K138*J138)-((500/(K138*J138))+(2500000000/(D138*E138*K138*J138)*(D138/100000+E138/100+J138/200))))/(1+5000000/(D138*E138)+(500000000/(D138*E138*J138)))</f>
        <v/>
      </c>
      <c r="G138" t="n">
        <v>24000</v>
      </c>
      <c r="H138" t="n">
        <v>1</v>
      </c>
      <c r="I138" t="n">
        <v>25</v>
      </c>
      <c r="J138" s="6">
        <f>G138/I138*H138</f>
        <v/>
      </c>
      <c r="K138" t="n">
        <v>1.25</v>
      </c>
      <c r="L138" t="n">
        <v>1</v>
      </c>
      <c r="M138" t="n">
        <v>0.75</v>
      </c>
      <c r="N138" s="6">
        <f>D138/J138</f>
        <v/>
      </c>
      <c r="O138" s="6">
        <f>(D138/100000+E138/100+F138*K138/5+J138/200)*200*L138*M138</f>
        <v/>
      </c>
      <c r="P138" s="6">
        <f>((D138*E138/25000)+(F138*K138*J138/2.5))*L138*M138</f>
        <v/>
      </c>
      <c r="Q138" s="6">
        <f>(D138*E138*F138*K138*J138*L138*M138)/12500000</f>
        <v/>
      </c>
      <c r="R138" s="6">
        <f>(O138+P138+Q138)/3</f>
        <v/>
      </c>
      <c r="S138" t="n">
        <v>2250</v>
      </c>
    </row>
    <row r="139">
      <c r="B139" t="inlineStr">
        <is>
          <t>Ordos Tank Destroyer</t>
        </is>
      </c>
      <c r="D139" t="n">
        <v>80000</v>
      </c>
      <c r="E139" t="n">
        <v>90</v>
      </c>
      <c r="F139" s="7">
        <f>(S139*37500000/(L139*M139*D139*E139*K139*J139)-((500/(K139*J139))+(2500000000/(D139*E139*K139*J139)*(D139/100000+E139/100+J139/200))))/(1+5000000/(D139*E139)+(500000000/(D139*E139*J139)))</f>
        <v/>
      </c>
      <c r="G139" t="n">
        <v>56000</v>
      </c>
      <c r="H139" t="n">
        <v>0.875</v>
      </c>
      <c r="I139" t="n">
        <v>72</v>
      </c>
      <c r="J139" s="6">
        <f>G139/I139*H139</f>
        <v/>
      </c>
      <c r="K139" t="n">
        <v>1.25</v>
      </c>
      <c r="L139" t="n">
        <v>1</v>
      </c>
      <c r="M139" t="n">
        <v>0.75</v>
      </c>
      <c r="N139" s="6">
        <f>D139/J139</f>
        <v/>
      </c>
      <c r="O139" s="6">
        <f>(D139/100000+E139/100+F139*K139/5+J139/200)*200*L139*M139</f>
        <v/>
      </c>
      <c r="P139" s="6">
        <f>((D139*E139/25000)+(F139*K139*J139/2.5))*L139*M139</f>
        <v/>
      </c>
      <c r="Q139" s="6">
        <f>(D139*E139*F139*K139*J139*L139*M139)/12500000</f>
        <v/>
      </c>
      <c r="R139" s="6">
        <f>(O139+P139+Q139)/3</f>
        <v/>
      </c>
      <c r="S139" t="n">
        <v>2200</v>
      </c>
    </row>
    <row r="140">
      <c r="B140" t="inlineStr">
        <is>
          <t>Dust Drone</t>
        </is>
      </c>
      <c r="D140" t="n">
        <v>32500</v>
      </c>
      <c r="E140" t="n">
        <v>145</v>
      </c>
      <c r="F140" s="7">
        <f>(S140*37500000/(L140*M140*D140*E140*K140*J140)-((500/(K140*J140))+(2500000000/(D140*E140*K140*J140)*(D140/100000+E140/100+J140/200))))/(1+5000000/(D140*E140)+(500000000/(D140*E140*J140)))</f>
        <v/>
      </c>
      <c r="G140" t="n">
        <v>24000</v>
      </c>
      <c r="H140" t="n">
        <v>1</v>
      </c>
      <c r="I140" t="n">
        <v>42</v>
      </c>
      <c r="J140" s="6">
        <f>G140/I140*H140</f>
        <v/>
      </c>
      <c r="K140" t="n">
        <v>1</v>
      </c>
      <c r="L140" t="n">
        <v>1</v>
      </c>
      <c r="M140" t="n">
        <v>1</v>
      </c>
      <c r="N140" s="6">
        <f>D140/J140</f>
        <v/>
      </c>
      <c r="O140" s="6">
        <f>(D140/100000+E140/100+F140*K140/5+J140/200)*200*L140*M140</f>
        <v/>
      </c>
      <c r="P140" s="6">
        <f>((D140*E140/25000)+(F140*K140*J140/2.5))*L140*M140</f>
        <v/>
      </c>
      <c r="Q140" s="6">
        <f>(D140*E140*F140*K140*J140*L140*M140)/12500000</f>
        <v/>
      </c>
      <c r="R140" s="6">
        <f>(O140+P140+Q140)/3</f>
        <v/>
      </c>
      <c r="S140" t="n">
        <v>1400</v>
      </c>
    </row>
    <row r="141">
      <c r="A141" t="inlineStr">
        <is>
          <t>Naxis</t>
        </is>
      </c>
      <c r="B141" t="inlineStr">
        <is>
          <t>Hetzer</t>
        </is>
      </c>
      <c r="D141" t="n">
        <v>75000</v>
      </c>
      <c r="E141" t="n">
        <v>75</v>
      </c>
      <c r="F141" s="7">
        <f>(S141*37500000/(L141*M141*D141*E141*K141*J141)-((500/(K141*J141))+(2500000000/(D141*E141*K141*J141)*(D141/100000+E141/100+J141/200))))/(1+5000000/(D141*E141)+(500000000/(D141*E141*J141)))</f>
        <v/>
      </c>
      <c r="G141" t="n">
        <v>40000</v>
      </c>
      <c r="H141" t="n">
        <v>0.875</v>
      </c>
      <c r="I141" t="n">
        <v>80</v>
      </c>
      <c r="J141" s="6">
        <f>G141/I141*H141</f>
        <v/>
      </c>
      <c r="K141" t="n">
        <v>1</v>
      </c>
      <c r="L141" t="n">
        <v>1</v>
      </c>
      <c r="M141" t="n">
        <v>1</v>
      </c>
      <c r="N141" s="6">
        <f>D141/J141</f>
        <v/>
      </c>
      <c r="O141" s="6">
        <f>(D141/100000+E141/100+F141*K141/5+J141/200)*200*L141*M141</f>
        <v/>
      </c>
      <c r="P141" s="6">
        <f>((D141*E141/25000)+(F141*K141*J141/2.5))*L141*M141</f>
        <v/>
      </c>
      <c r="Q141" s="6">
        <f>(D141*E141*F141*K141*J141*L141*M141)/12500000</f>
        <v/>
      </c>
      <c r="R141" s="6">
        <f>(O141+P141+Q141)/3</f>
        <v/>
      </c>
      <c r="S141" t="n">
        <v>1300</v>
      </c>
    </row>
    <row r="142">
      <c r="B142" t="inlineStr">
        <is>
          <t>Jagdpanzer</t>
        </is>
      </c>
      <c r="D142" t="n">
        <v>125000</v>
      </c>
      <c r="E142" t="n">
        <v>50</v>
      </c>
      <c r="F142" s="7">
        <f>(S142*37500000/(L142*M142*D142*E142*K142*J142)-((500/(K142*J142))+(2500000000/(D142*E142*K142*J142)*(D142/100000+E142/100+J142/200))))/(1+5000000/(D142*E142)+(500000000/(D142*E142*J142)))</f>
        <v/>
      </c>
      <c r="G142" t="n">
        <v>60000</v>
      </c>
      <c r="H142" t="n">
        <v>1</v>
      </c>
      <c r="I142" t="n">
        <v>90</v>
      </c>
      <c r="J142" s="6">
        <f>G142/I142*H142</f>
        <v/>
      </c>
      <c r="K142" t="n">
        <v>1</v>
      </c>
      <c r="L142" t="n">
        <v>1</v>
      </c>
      <c r="M142" t="n">
        <v>1</v>
      </c>
      <c r="N142" s="6">
        <f>D142/J142</f>
        <v/>
      </c>
      <c r="O142" s="6">
        <f>(D142/100000+E142/100+F142*K142/5+J142/200)*200*L142*M142</f>
        <v/>
      </c>
      <c r="P142" s="6">
        <f>((D142*E142/25000)+(F142*K142*J142/2.5))*L142*M142</f>
        <v/>
      </c>
      <c r="Q142" s="6">
        <f>(D142*E142*F142*K142*J142*L142*M142)/12500000</f>
        <v/>
      </c>
      <c r="R142" s="6">
        <f>(O142+P142+Q142)/3</f>
        <v/>
      </c>
      <c r="S142" t="n">
        <v>2000</v>
      </c>
    </row>
    <row r="143">
      <c r="B143" t="inlineStr">
        <is>
          <t>Anti Tank Cannon</t>
        </is>
      </c>
      <c r="D143" t="n">
        <v>17500</v>
      </c>
      <c r="E143" t="n">
        <v>30</v>
      </c>
      <c r="F143" s="7">
        <f>(S143*37500000/(L143*M143*D143*E143*K143*J143)-((500/(K143*J143))+(2500000000/(D143*E143*K143*J143)*(D143/100000+E143/100+J143/200))))/(1+5000000/(D143*E143)+(500000000/(D143*E143*J143)))</f>
        <v/>
      </c>
      <c r="G143" t="n">
        <v>28000</v>
      </c>
      <c r="H143" t="n">
        <v>0.875</v>
      </c>
      <c r="I143" t="n">
        <v>75</v>
      </c>
      <c r="J143" s="6">
        <f>G143/I143*H143</f>
        <v/>
      </c>
      <c r="K143" t="n">
        <v>1</v>
      </c>
      <c r="L143" t="n">
        <v>1</v>
      </c>
      <c r="M143" t="n">
        <v>1</v>
      </c>
      <c r="N143" s="6">
        <f>D143/J143</f>
        <v/>
      </c>
      <c r="O143" s="6">
        <f>(D143/100000+E143/100+F143*K143/5+J143/200)*200*L143*M143</f>
        <v/>
      </c>
      <c r="P143" s="6">
        <f>((D143*E143/25000)+(F143*K143*J143/2.5))*L143*M143</f>
        <v/>
      </c>
      <c r="Q143" s="6">
        <f>(D143*E143*F143*K143*J143*L143*M143)/12500000</f>
        <v/>
      </c>
      <c r="R143" s="6">
        <f>(O143+P143+Q143)/3</f>
        <v/>
      </c>
      <c r="S143" t="n">
        <v>600</v>
      </c>
    </row>
    <row r="144">
      <c r="B144" s="5" t="inlineStr">
        <is>
          <t>Korruptes Biest</t>
        </is>
      </c>
      <c r="D144" t="n">
        <v>240000</v>
      </c>
      <c r="E144" t="n">
        <v>40</v>
      </c>
      <c r="F144" s="7">
        <f>(S144*37500000/(L144*M144*D144*E144*K144*J144)-((500/(K144*J144))+(2500000000/(D144*E144*K144*J144)*(D144/100000+E144/100+J144/200))))/(1+5000000/(D144*E144)+(500000000/(D144*E144*J144)))</f>
        <v/>
      </c>
      <c r="G144" t="n">
        <v>48000</v>
      </c>
      <c r="H144" t="n">
        <v>1</v>
      </c>
      <c r="I144" t="n">
        <v>48</v>
      </c>
      <c r="J144" s="6">
        <f>G144/I144*H144</f>
        <v/>
      </c>
      <c r="K144" t="n">
        <v>1.25</v>
      </c>
      <c r="L144" t="n">
        <v>1</v>
      </c>
      <c r="M144" t="n">
        <v>0.75</v>
      </c>
      <c r="N144" s="6">
        <f>D144/J144</f>
        <v/>
      </c>
      <c r="O144" s="6">
        <f>(D144/100000+E144/100+F144*K144/5+J144/200)*200*L144*M144</f>
        <v/>
      </c>
      <c r="P144" s="6">
        <f>((D144*E144/25000)+(F144*K144*J144/2.5))*L144*M144</f>
        <v/>
      </c>
      <c r="Q144" s="6">
        <f>(D144*E144*F144*K144*J144*L144*M144)/12500000</f>
        <v/>
      </c>
      <c r="R144" s="6">
        <f>(O144+P144+Q144)/3</f>
        <v/>
      </c>
      <c r="S144" t="n">
        <v>3500</v>
      </c>
    </row>
    <row r="145">
      <c r="B145" s="5" t="inlineStr">
        <is>
          <t>Crystal Tank</t>
        </is>
      </c>
      <c r="D145" t="n">
        <v>400000</v>
      </c>
      <c r="E145" t="n">
        <v>60</v>
      </c>
      <c r="F145" s="7">
        <f>(S145*37500000/(L145*M145*D145*E145*K145*J145)-((500/(K145*J145))+(2500000000/(D145*E145*K145*J145)*(D145/100000+E145/100+J145/200))))/(1+5000000/(D145*E145)+(500000000/(D145*E145*J145)))</f>
        <v/>
      </c>
      <c r="G145" t="n">
        <v>20000</v>
      </c>
      <c r="H145" t="n">
        <v>1</v>
      </c>
      <c r="I145" t="n">
        <v>99</v>
      </c>
      <c r="J145" s="6">
        <f>G145/I145*H145</f>
        <v/>
      </c>
      <c r="K145" t="n">
        <v>1.25</v>
      </c>
      <c r="L145" t="n">
        <v>1</v>
      </c>
      <c r="M145" t="n">
        <v>0.75</v>
      </c>
      <c r="N145" s="6">
        <f>D145/J145</f>
        <v/>
      </c>
      <c r="O145" s="6">
        <f>(D145/100000+E145/100+F145*K145/5+J145/200)*200*L145*M145</f>
        <v/>
      </c>
      <c r="P145" s="6">
        <f>((D145*E145/25000)+(F145*K145*J145/2.5))*L145*M145</f>
        <v/>
      </c>
      <c r="Q145" s="6">
        <f>(D145*E145*F145*K145*J145*L145*M145)/12500000</f>
        <v/>
      </c>
      <c r="R145" s="6">
        <f>(O145+P145+Q145)/3</f>
        <v/>
      </c>
      <c r="S145" t="n">
        <v>1700</v>
      </c>
    </row>
    <row r="146">
      <c r="A146" t="inlineStr">
        <is>
          <t>StarCraft</t>
        </is>
      </c>
      <c r="B146" s="8" t="inlineStr">
        <is>
          <t>Cyclone</t>
        </is>
      </c>
      <c r="D146" t="n">
        <v>90000</v>
      </c>
      <c r="E146" t="n">
        <v>115</v>
      </c>
      <c r="F146" s="7">
        <f>(S146*37500000/(L146*M146*D146*E146*K146*J146)-((500/(K146*J146))+(2500000000/(D146*E146*K146*J146)*(D146/100000+E146/100+J146/200))))/(1+5000000/(D146*E146)+(500000000/(D146*E146*J146)))</f>
        <v/>
      </c>
      <c r="G146" t="n">
        <v>24000</v>
      </c>
      <c r="H146" t="n">
        <v>0.875</v>
      </c>
      <c r="I146" t="n">
        <v>45</v>
      </c>
      <c r="J146" s="6">
        <f>G146/I146*H146</f>
        <v/>
      </c>
      <c r="K146" t="n">
        <v>1.25</v>
      </c>
      <c r="L146" t="n">
        <v>1</v>
      </c>
      <c r="M146" t="n">
        <v>1</v>
      </c>
      <c r="N146" s="6">
        <f>D146/J146</f>
        <v/>
      </c>
      <c r="O146" s="6">
        <f>(D146/100000+E146/100+F146*K146/5+J146/200)*200*L146*M146</f>
        <v/>
      </c>
      <c r="P146" s="6">
        <f>((D146*E146/25000)+(F146*K146*J146/2.5))*L146*M146</f>
        <v/>
      </c>
      <c r="Q146" s="6">
        <f>(D146*E146*F146*K146*J146*L146*M146)/12500000</f>
        <v/>
      </c>
      <c r="R146" s="6">
        <f>(O146+P146+Q146)/3</f>
        <v/>
      </c>
      <c r="S146" t="n">
        <v>2300</v>
      </c>
    </row>
    <row r="147">
      <c r="B147" t="inlineStr">
        <is>
          <t>Lurker</t>
        </is>
      </c>
      <c r="D147" t="n">
        <v>125000</v>
      </c>
      <c r="E147" t="n">
        <v>90</v>
      </c>
      <c r="F147" s="7">
        <f>(S147*37500000/(L147*M147*D147*E147*K147*J147)-((500/(K147*J147))+(2500000000/(D147*E147*K147*J147)*(D147/100000+E147/100+J147/200))))/(1+5000000/(D147*E147)+(500000000/(D147*E147*J147)))</f>
        <v/>
      </c>
      <c r="G147" t="n">
        <v>15000</v>
      </c>
      <c r="H147" t="n">
        <v>1</v>
      </c>
      <c r="I147" t="n">
        <v>66</v>
      </c>
      <c r="J147" s="6">
        <f>G147/I147*H147</f>
        <v/>
      </c>
      <c r="K147" t="n">
        <v>1.25</v>
      </c>
      <c r="L147" t="n">
        <v>1</v>
      </c>
      <c r="M147" t="n">
        <v>1</v>
      </c>
      <c r="N147" s="6">
        <f>D147/J147</f>
        <v/>
      </c>
      <c r="O147" s="6">
        <f>(D147/100000+E147/100+F147*K147/5+J147/200)*200*L147*M147</f>
        <v/>
      </c>
      <c r="P147" s="6">
        <f>((D147*E147/25000)+(F147*K147*J147/2.5))*L147*M147</f>
        <v/>
      </c>
      <c r="Q147" s="6">
        <f>(D147*E147*F147*K147*J147*L147*M147)/12500000</f>
        <v/>
      </c>
      <c r="R147" s="6">
        <f>(O147+P147+Q147)/3</f>
        <v/>
      </c>
      <c r="S147" t="n">
        <v>1300</v>
      </c>
    </row>
    <row r="148">
      <c r="B148" t="inlineStr">
        <is>
          <t>Defiler</t>
        </is>
      </c>
      <c r="D148" t="n">
        <v>80000</v>
      </c>
      <c r="E148" t="n">
        <v>50</v>
      </c>
      <c r="F148" s="7">
        <f>(S148*37500000/(L148*M148*D148*E148*K148*J148)-((500/(K148*J148))+(2500000000/(D148*E148*K148*J148)*(D148/100000+E148/100+J148/200))))/(1+5000000/(D148*E148)+(500000000/(D148*E148*J148)))</f>
        <v/>
      </c>
      <c r="G148" t="n">
        <v>65000</v>
      </c>
      <c r="H148" t="n">
        <v>1</v>
      </c>
      <c r="I148" t="n">
        <v>175</v>
      </c>
      <c r="J148" s="6">
        <f>G148/I148*H148</f>
        <v/>
      </c>
      <c r="K148" t="n">
        <v>1.25</v>
      </c>
      <c r="L148" t="n">
        <v>1</v>
      </c>
      <c r="M148" t="n">
        <v>1</v>
      </c>
      <c r="N148" s="6">
        <f>D148/J148</f>
        <v/>
      </c>
      <c r="O148" s="6">
        <f>(D148/100000+E148/100+F148*K148/5+J148/200)*200*L148*M148</f>
        <v/>
      </c>
      <c r="P148" s="6">
        <f>((D148*E148/25000)+(F148*K148*J148/2.5))*L148*M148</f>
        <v/>
      </c>
      <c r="Q148" s="6">
        <f>(D148*E148*F148*K148*J148*L148*M148)/12500000</f>
        <v/>
      </c>
      <c r="R148" s="6">
        <f>(O148+P148+Q148)/3</f>
        <v/>
      </c>
      <c r="S148" t="n">
        <v>1400</v>
      </c>
    </row>
    <row r="149">
      <c r="B149" t="inlineStr">
        <is>
          <t>Sporemaw</t>
        </is>
      </c>
      <c r="D149" t="n">
        <v>25000</v>
      </c>
      <c r="E149" t="n">
        <v>80</v>
      </c>
      <c r="F149" s="7">
        <f>(S149*37500000/(L149*M149*D149*E149*K149*J149)-((500/(K149*J149))+(2500000000/(D149*E149*K149*J149)*(D149/100000+E149/100+J149/200))))/(1+5000000/(D149*E149)+(500000000/(D149*E149*J149)))</f>
        <v/>
      </c>
      <c r="G149" t="n">
        <v>18000</v>
      </c>
      <c r="H149" t="n">
        <v>1</v>
      </c>
      <c r="I149" t="n">
        <v>40</v>
      </c>
      <c r="J149" s="6">
        <f>G149/I149*H149</f>
        <v/>
      </c>
      <c r="K149" t="n">
        <v>1</v>
      </c>
      <c r="L149" t="n">
        <v>1</v>
      </c>
      <c r="M149" t="n">
        <v>1</v>
      </c>
      <c r="N149" s="6">
        <f>D149/J149</f>
        <v/>
      </c>
      <c r="O149" s="6">
        <f>(D149/100000+E149/100+F149*K149/5+J149/200)*200*L149*M149</f>
        <v/>
      </c>
      <c r="P149" s="6">
        <f>((D149*E149/25000)+(F149*K149*J149/2.5))*L149*M149</f>
        <v/>
      </c>
      <c r="Q149" s="6">
        <f>(D149*E149*F149*K149*J149*L149*M149)/12500000</f>
        <v/>
      </c>
      <c r="R149" s="6">
        <f>(O149+P149+Q149)/3</f>
        <v/>
      </c>
      <c r="S149" t="n">
        <v>1000</v>
      </c>
    </row>
    <row r="150">
      <c r="B150" t="inlineStr">
        <is>
          <t>Reaver</t>
        </is>
      </c>
      <c r="D150" t="n">
        <v>275000</v>
      </c>
      <c r="E150" t="n">
        <v>40</v>
      </c>
      <c r="F150" s="7">
        <f>(S150*37500000/(L150*M150*D150*E150*K150*J150)-((500/(K150*J150))+(2500000000/(D150*E150*K150*J150)*(D150/100000+E150/100+J150/200))))/(1+5000000/(D150*E150)+(500000000/(D150*E150*J150)))</f>
        <v/>
      </c>
      <c r="G150" t="n">
        <v>200000</v>
      </c>
      <c r="H150" t="n">
        <v>1.125</v>
      </c>
      <c r="I150" t="n">
        <v>360</v>
      </c>
      <c r="J150" s="6">
        <f>G150/I150*H150</f>
        <v/>
      </c>
      <c r="K150" t="n">
        <v>1</v>
      </c>
      <c r="L150" t="n">
        <v>1</v>
      </c>
      <c r="M150" t="n">
        <v>1</v>
      </c>
      <c r="N150" s="6">
        <f>D150/J150</f>
        <v/>
      </c>
      <c r="O150" s="6">
        <f>(D150/100000+E150/100+F150*K150/5+J150/200)*200*L150*M150</f>
        <v/>
      </c>
      <c r="P150" s="6">
        <f>((D150*E150/25000)+(F150*K150*J150/2.5))*L150*M150</f>
        <v/>
      </c>
      <c r="Q150" s="6">
        <f>(D150*E150*F150*K150*J150*L150*M150)/12500000</f>
        <v/>
      </c>
      <c r="R150" s="6">
        <f>(O150+P150+Q150)/3</f>
        <v/>
      </c>
      <c r="S150" t="n">
        <v>2700</v>
      </c>
    </row>
    <row r="151">
      <c r="A151" t="inlineStr">
        <is>
          <t>RA2</t>
        </is>
      </c>
      <c r="B151" t="inlineStr">
        <is>
          <t>RA2 Tank Destroyer</t>
        </is>
      </c>
      <c r="D151" t="n">
        <v>145000</v>
      </c>
      <c r="E151" t="n">
        <v>65</v>
      </c>
      <c r="F151" s="7">
        <f>(S151*37500000/(L151*M151*D151*E151*K151*J151)-((500/(K151*J151))+(2500000000/(D151*E151*K151*J151)*(D151/100000+E151/100+J151/200))))/(1+5000000/(D151*E151)+(500000000/(D151*E151*J151)))</f>
        <v/>
      </c>
      <c r="G151" t="n">
        <v>40000</v>
      </c>
      <c r="H151" t="n">
        <v>0.75</v>
      </c>
      <c r="I151" t="n">
        <v>80</v>
      </c>
      <c r="J151" s="6">
        <f>G151/I151*H151</f>
        <v/>
      </c>
      <c r="K151" t="n">
        <v>1</v>
      </c>
      <c r="L151" t="n">
        <v>1</v>
      </c>
      <c r="M151" t="n">
        <v>1</v>
      </c>
      <c r="N151" s="6">
        <f>D151/J151</f>
        <v/>
      </c>
      <c r="O151" s="6">
        <f>(D151/100000+E151/100+F151*K151/5+J151/200)*200*L151*M151</f>
        <v/>
      </c>
      <c r="P151" s="6">
        <f>((D151*E151/25000)+(F151*K151*J151/2.5))*L151*M151</f>
        <v/>
      </c>
      <c r="Q151" s="6">
        <f>(D151*E151*F151*K151*J151*L151*M151)/12500000</f>
        <v/>
      </c>
      <c r="R151" s="6">
        <f>(O151+P151+Q151)/3</f>
        <v/>
      </c>
      <c r="S151" t="n">
        <v>1500</v>
      </c>
    </row>
    <row r="152">
      <c r="B152" t="inlineStr">
        <is>
          <t>Prism Tank</t>
        </is>
      </c>
      <c r="D152" t="n">
        <v>60000</v>
      </c>
      <c r="E152" t="n">
        <v>60</v>
      </c>
      <c r="F152" s="7">
        <f>(S152*37500000/(L152*M152*D152*E152*K152*J152)-((500/(K152*J152))+(2500000000/(D152*E152*K152*J152)*(D152/100000+E152/100+J152/200))))/(1+5000000/(D152*E152)+(500000000/(D152*E152*J152)))</f>
        <v/>
      </c>
      <c r="G152" t="n">
        <v>60000</v>
      </c>
      <c r="H152" t="n">
        <v>1</v>
      </c>
      <c r="I152" t="n">
        <v>125</v>
      </c>
      <c r="J152" s="6">
        <f>G152/I152*H152</f>
        <v/>
      </c>
      <c r="K152" t="n">
        <v>1.25</v>
      </c>
      <c r="L152" t="n">
        <v>1</v>
      </c>
      <c r="M152" t="n">
        <v>1</v>
      </c>
      <c r="N152" s="6">
        <f>D152/J152</f>
        <v/>
      </c>
      <c r="O152" s="6">
        <f>(D152/100000+E152/100+F152*K152/5+J152/200)*200*L152*M152</f>
        <v/>
      </c>
      <c r="P152" s="6">
        <f>((D152*E152/25000)+(F152*K152*J152/2.5))*L152*M152</f>
        <v/>
      </c>
      <c r="Q152" s="6">
        <f>(D152*E152*F152*K152*J152*L152*M152)/12500000</f>
        <v/>
      </c>
      <c r="R152" s="6">
        <f>(O152+P152+Q152)/3</f>
        <v/>
      </c>
      <c r="S152" t="n">
        <v>2000</v>
      </c>
    </row>
    <row r="153">
      <c r="B153" t="inlineStr">
        <is>
          <t>RA2 Tesla Tank</t>
        </is>
      </c>
      <c r="D153" t="n">
        <v>75000</v>
      </c>
      <c r="E153" t="n">
        <v>75</v>
      </c>
      <c r="F153" s="7">
        <f>(S153*37500000/(L153*M153*D153*E153*K153*J153)-((500/(K153*J153))+(2500000000/(D153*E153*K153*J153)*(D153/100000+E153/100+J153/200))))/(1+5000000/(D153*E153)+(500000000/(D153*E153*J153)))</f>
        <v/>
      </c>
      <c r="G153" t="n">
        <v>24000</v>
      </c>
      <c r="H153" t="n">
        <v>1.25</v>
      </c>
      <c r="I153" t="n">
        <v>60</v>
      </c>
      <c r="J153" s="6">
        <f>G153/I153*H153</f>
        <v/>
      </c>
      <c r="K153" t="n">
        <v>1.25</v>
      </c>
      <c r="L153" t="n">
        <v>1</v>
      </c>
      <c r="M153" t="n">
        <v>1</v>
      </c>
      <c r="N153" s="6">
        <f>D153/J153</f>
        <v/>
      </c>
      <c r="O153" s="6">
        <f>(D153/100000+E153/100+F153*K153/5+J153/200)*200*L153*M153</f>
        <v/>
      </c>
      <c r="P153" s="6">
        <f>((D153*E153/25000)+(F153*K153*J153/2.5))*L153*M153</f>
        <v/>
      </c>
      <c r="Q153" s="6">
        <f>(D153*E153*F153*K153*J153*L153*M153)/12500000</f>
        <v/>
      </c>
      <c r="R153" s="6">
        <f>(O153+P153+Q153)/3</f>
        <v/>
      </c>
      <c r="S153" t="n">
        <v>1800</v>
      </c>
    </row>
    <row r="154">
      <c r="B154" t="inlineStr">
        <is>
          <t>Magnetron</t>
        </is>
      </c>
      <c r="D154" t="n">
        <v>65000</v>
      </c>
      <c r="E154" t="n">
        <v>65</v>
      </c>
      <c r="F154" s="7">
        <f>(S154*37500000/(L154*M154*D154*E154*K154*J154)-((500/(K154*J154))+(2500000000/(D154*E154*K154*J154)*(D154/100000+E154/100+J154/200))))/(1+5000000/(D154*E154)+(500000000/(D154*E154*J154)))</f>
        <v/>
      </c>
      <c r="G154" t="n">
        <v>100000</v>
      </c>
      <c r="H154" t="n">
        <v>1.25</v>
      </c>
      <c r="I154" t="n">
        <v>300</v>
      </c>
      <c r="J154" s="6">
        <f>G154/I154*H154</f>
        <v/>
      </c>
      <c r="K154" t="n">
        <v>1.25</v>
      </c>
      <c r="L154" t="n">
        <v>1</v>
      </c>
      <c r="M154" t="n">
        <v>1</v>
      </c>
      <c r="N154" s="6">
        <f>D154/J154</f>
        <v/>
      </c>
      <c r="O154" s="6">
        <f>(D154/100000+E154/100+F154*K154/5+J154/200)*200*L154*M154</f>
        <v/>
      </c>
      <c r="P154" s="6">
        <f>((D154*E154/25000)+(F154*K154*J154/2.5))*L154*M154</f>
        <v/>
      </c>
      <c r="Q154" s="6">
        <f>(D154*E154*F154*K154*J154*L154*M154)/12500000</f>
        <v/>
      </c>
      <c r="R154" s="6">
        <f>(O154+P154+Q154)/3</f>
        <v/>
      </c>
      <c r="S154" t="n">
        <v>1300</v>
      </c>
    </row>
    <row r="155">
      <c r="A155" t="inlineStr">
        <is>
          <t>RA2 Modded</t>
        </is>
      </c>
      <c r="B155" t="inlineStr">
        <is>
          <t>Pulverizer</t>
        </is>
      </c>
      <c r="D155" t="n">
        <v>85000</v>
      </c>
      <c r="E155" t="n">
        <v>65</v>
      </c>
      <c r="F155" s="7">
        <f>(S155*37500000/(L155*M155*D155*E155*K155*J155)-((500/(K155*J155))+(2500000000/(D155*E155*K155*J155)*(D155/100000+E155/100+J155/200))))/(1+5000000/(D155*E155)+(500000000/(D155*E155*J155)))</f>
        <v/>
      </c>
      <c r="G155" t="n">
        <v>6000</v>
      </c>
      <c r="H155" t="n">
        <v>1</v>
      </c>
      <c r="I155" t="n">
        <v>12</v>
      </c>
      <c r="J155" s="6">
        <f>G155/I155*H155</f>
        <v/>
      </c>
      <c r="K155" t="n">
        <v>1.25</v>
      </c>
      <c r="L155" t="n">
        <v>1</v>
      </c>
      <c r="M155" t="n">
        <v>1</v>
      </c>
      <c r="N155" s="6">
        <f>D155/J155</f>
        <v/>
      </c>
      <c r="O155" s="6">
        <f>(D155/100000+E155/100+F155*K155/5+J155/200)*200*L155*M155</f>
        <v/>
      </c>
      <c r="P155" s="6">
        <f>((D155*E155/25000)+(F155*K155*J155/2.5))*L155*M155</f>
        <v/>
      </c>
      <c r="Q155" s="6">
        <f>(D155*E155*F155*K155*J155*L155*M155)/12500000</f>
        <v/>
      </c>
      <c r="R155" s="6">
        <f>(O155+P155+Q155)/3</f>
        <v/>
      </c>
      <c r="S155" t="n">
        <v>1400</v>
      </c>
    </row>
    <row r="156">
      <c r="B156" t="inlineStr">
        <is>
          <t>AA Plasma Tank</t>
        </is>
      </c>
      <c r="D156" t="n">
        <v>130000</v>
      </c>
      <c r="E156" t="n">
        <v>50</v>
      </c>
      <c r="F156" s="7">
        <f>(S156*37500000/(L156*M156*D156*E156*K156*J156)-((500/(K156*J156))+(2500000000/(D156*E156*K156*J156)*(D156/100000+E156/100+J156/200))))/(1+5000000/(D156*E156)+(500000000/(D156*E156*J156)))</f>
        <v/>
      </c>
      <c r="G156" t="n">
        <v>32000</v>
      </c>
      <c r="H156" t="n">
        <v>1</v>
      </c>
      <c r="I156" t="n">
        <v>30</v>
      </c>
      <c r="J156" s="6">
        <f>G156/I156*H156</f>
        <v/>
      </c>
      <c r="K156" t="n">
        <v>1</v>
      </c>
      <c r="L156" t="n">
        <v>1</v>
      </c>
      <c r="M156" t="n">
        <v>0.75</v>
      </c>
      <c r="N156" s="6">
        <f>D156/J156</f>
        <v/>
      </c>
      <c r="O156" s="6">
        <f>(D156/100000+E156/100+F156*K156/5+J156/200)*200*L156*M156</f>
        <v/>
      </c>
      <c r="P156" s="6">
        <f>((D156*E156/25000)+(F156*K156*J156/2.5))*L156*M156</f>
        <v/>
      </c>
      <c r="Q156" s="6">
        <f>(D156*E156*F156*K156*J156*L156*M156)/12500000</f>
        <v/>
      </c>
      <c r="R156" s="6">
        <f>(O156+P156+Q156)/3</f>
        <v/>
      </c>
      <c r="S156" t="n">
        <v>2400</v>
      </c>
    </row>
    <row r="157">
      <c r="B157" t="inlineStr">
        <is>
          <t>Type 89 MLRS</t>
        </is>
      </c>
      <c r="D157" t="n">
        <v>40000</v>
      </c>
      <c r="E157" t="n">
        <v>80</v>
      </c>
      <c r="F157" s="7">
        <f>(S157*37500000/(L157*M157*D157*E157*K157*J157)-((500/(K157*J157))+(2500000000/(D157*E157*K157*J157)*(D157/100000+E157/100+J157/200))))/(1+5000000/(D157*E157)+(500000000/(D157*E157*J157)))</f>
        <v/>
      </c>
      <c r="G157" t="n">
        <v>8000</v>
      </c>
      <c r="H157" t="n">
        <v>1</v>
      </c>
      <c r="I157" t="n">
        <v>16</v>
      </c>
      <c r="J157" s="6">
        <f>G157/I157*H157</f>
        <v/>
      </c>
      <c r="K157" t="n">
        <v>1.25</v>
      </c>
      <c r="L157" t="n">
        <v>1</v>
      </c>
      <c r="M157" t="n">
        <v>0.75</v>
      </c>
      <c r="N157" s="6">
        <f>D157/J157</f>
        <v/>
      </c>
      <c r="O157" s="6">
        <f>(D157/100000+E157/100+F157*K157/5+J157/200)*200*L157*M157</f>
        <v/>
      </c>
      <c r="P157" s="6">
        <f>((D157*E157/25000)+(F157*K157*J157/2.5))*L157*M157</f>
        <v/>
      </c>
      <c r="Q157" s="6">
        <f>(D157*E157*F157*K157*J157*L157*M157)/12500000</f>
        <v/>
      </c>
      <c r="R157" s="6">
        <f>(O157+P157+Q157)/3</f>
        <v/>
      </c>
      <c r="S157" t="n">
        <v>1200</v>
      </c>
    </row>
    <row r="158">
      <c r="B158" t="inlineStr">
        <is>
          <t>AA Railgun Tank</t>
        </is>
      </c>
      <c r="D158" t="n">
        <v>160000</v>
      </c>
      <c r="E158" t="n">
        <v>65</v>
      </c>
      <c r="F158" s="7">
        <f>(S158*37500000/(L158*M158*D158*E158*K158*J158)-((500/(K158*J158))+(2500000000/(D158*E158*K158*J158)*(D158/100000+E158/100+J158/200))))/(1+5000000/(D158*E158)+(500000000/(D158*E158*J158)))</f>
        <v/>
      </c>
      <c r="G158" t="n">
        <v>24000</v>
      </c>
      <c r="H158" t="n">
        <v>1</v>
      </c>
      <c r="I158" t="n">
        <v>60</v>
      </c>
      <c r="J158" s="6">
        <f>G158/I158*H158</f>
        <v/>
      </c>
      <c r="K158" t="n">
        <v>1</v>
      </c>
      <c r="L158" t="n">
        <v>1</v>
      </c>
      <c r="M158" t="n">
        <v>0.75</v>
      </c>
      <c r="N158" s="6">
        <f>D158/J158</f>
        <v/>
      </c>
      <c r="O158" s="6">
        <f>(D158/100000+E158/100+F158*K158/5+J158/200)*200*L158*M158</f>
        <v/>
      </c>
      <c r="P158" s="6">
        <f>((D158*E158/25000)+(F158*K158*J158/2.5))*L158*M158</f>
        <v/>
      </c>
      <c r="Q158" s="6">
        <f>(D158*E158*F158*K158*J158*L158*M158)/12500000</f>
        <v/>
      </c>
      <c r="R158" s="6">
        <f>(O158+P158+Q158)/3</f>
        <v/>
      </c>
      <c r="S158" t="n">
        <v>1500</v>
      </c>
    </row>
    <row r="159">
      <c r="B159" t="inlineStr">
        <is>
          <t>AA Heavy Railgun Tank</t>
        </is>
      </c>
      <c r="D159" t="n">
        <v>250000</v>
      </c>
      <c r="E159" t="n">
        <v>50</v>
      </c>
      <c r="F159" s="7">
        <f>(S159*37500000/(L159*M159*D159*E159*K159*J159)-((500/(K159*J159))+(2500000000/(D159*E159*K159*J159)*(D159/100000+E159/100+J159/200))))/(1+5000000/(D159*E159)+(500000000/(D159*E159*J159)))</f>
        <v/>
      </c>
      <c r="G159" t="n">
        <v>36000</v>
      </c>
      <c r="H159" t="n">
        <v>1</v>
      </c>
      <c r="I159" t="n">
        <v>75</v>
      </c>
      <c r="J159" s="6">
        <f>G159/I159*H159</f>
        <v/>
      </c>
      <c r="K159" t="n">
        <v>1</v>
      </c>
      <c r="L159" t="n">
        <v>1</v>
      </c>
      <c r="M159" t="n">
        <v>0.75</v>
      </c>
      <c r="N159" s="6">
        <f>D159/J159</f>
        <v/>
      </c>
      <c r="O159" s="6">
        <f>(D159/100000+E159/100+F159*K159/5+J159/200)*200*L159*M159</f>
        <v/>
      </c>
      <c r="P159" s="6">
        <f>((D159*E159/25000)+(F159*K159*J159/2.5))*L159*M159</f>
        <v/>
      </c>
      <c r="Q159" s="6">
        <f>(D159*E159*F159*K159*J159*L159*M159)/12500000</f>
        <v/>
      </c>
      <c r="R159" s="6">
        <f>(O159+P159+Q159)/3</f>
        <v/>
      </c>
      <c r="S159" t="n">
        <v>2200</v>
      </c>
    </row>
    <row r="160">
      <c r="B160" t="inlineStr">
        <is>
          <t>Syndicate Missile Truck</t>
        </is>
      </c>
      <c r="D160" t="n">
        <v>30000</v>
      </c>
      <c r="E160" t="n">
        <v>75</v>
      </c>
      <c r="F160" s="7">
        <f>(S160*37500000/(L160*M160*D160*E160*K160*J160)-((500/(K160*J160))+(2500000000/(D160*E160*K160*J160)*(D160/100000+E160/100+J160/200))))/(1+5000000/(D160*E160)+(500000000/(D160*E160*J160)))</f>
        <v/>
      </c>
      <c r="G160" t="n">
        <v>64000</v>
      </c>
      <c r="H160" t="n">
        <v>0.875</v>
      </c>
      <c r="I160" t="n">
        <v>129</v>
      </c>
      <c r="J160" s="6">
        <f>G160/I160*H160</f>
        <v/>
      </c>
      <c r="K160" t="n">
        <v>1</v>
      </c>
      <c r="L160" t="n">
        <v>1</v>
      </c>
      <c r="M160" t="n">
        <v>1</v>
      </c>
      <c r="N160" s="6">
        <f>D160/J160</f>
        <v/>
      </c>
      <c r="O160" s="6">
        <f>(D160/100000+E160/100+F160*K160/5+J160/200)*200*L160*M160</f>
        <v/>
      </c>
      <c r="P160" s="6">
        <f>((D160*E160/25000)+(F160*K160*J160/2.5))*L160*M160</f>
        <v/>
      </c>
      <c r="Q160" s="6">
        <f>(D160*E160*F160*K160*J160*L160*M160)/12500000</f>
        <v/>
      </c>
      <c r="R160" s="6">
        <f>(O160+P160+Q160)/3</f>
        <v/>
      </c>
      <c r="S160" t="n">
        <v>1000</v>
      </c>
    </row>
    <row r="161">
      <c r="B161" t="inlineStr">
        <is>
          <t>LARS</t>
        </is>
      </c>
      <c r="D161" t="n">
        <v>47500</v>
      </c>
      <c r="E161" t="n">
        <v>70</v>
      </c>
      <c r="F161" s="7">
        <f>(S161*37500000/(L161*M161*D161*E161*K161*J161)-((500/(K161*J161))+(2500000000/(D161*E161*K161*J161)*(D161/100000+E161/100+J161/200))))/(1+5000000/(D161*E161)+(500000000/(D161*E161*J161)))</f>
        <v/>
      </c>
      <c r="G161" t="n">
        <v>100000</v>
      </c>
      <c r="H161" t="n">
        <v>1</v>
      </c>
      <c r="I161" t="n">
        <v>175</v>
      </c>
      <c r="J161" s="6">
        <f>G161/I161*H161</f>
        <v/>
      </c>
      <c r="K161" t="n">
        <v>1</v>
      </c>
      <c r="L161" t="n">
        <v>1</v>
      </c>
      <c r="M161" t="n">
        <v>0.75</v>
      </c>
      <c r="N161" s="6">
        <f>D161/J161</f>
        <v/>
      </c>
      <c r="O161" s="6">
        <f>(D161/100000+E161/100+F161*K161/5+J161/200)*200*L161*M161</f>
        <v/>
      </c>
      <c r="P161" s="6">
        <f>((D161*E161/25000)+(F161*K161*J161/2.5))*L161*M161</f>
        <v/>
      </c>
      <c r="Q161" s="6">
        <f>(D161*E161*F161*K161*J161*L161*M161)/12500000</f>
        <v/>
      </c>
      <c r="R161" s="6">
        <f>(O161+P161+Q161)/3</f>
        <v/>
      </c>
      <c r="S161" t="n">
        <v>1300</v>
      </c>
    </row>
    <row r="162">
      <c r="B162" t="inlineStr">
        <is>
          <t>Missile Attack Robot</t>
        </is>
      </c>
      <c r="D162" t="n">
        <v>67500</v>
      </c>
      <c r="E162" t="n">
        <v>40</v>
      </c>
      <c r="F162" s="7">
        <f>(S162*37500000/(L162*M162*D162*E162*K162*J162)-((500/(K162*J162))+(2500000000/(D162*E162*K162*J162)*(D162/100000+E162/100+J162/200))))/(1+5000000/(D162*E162)+(500000000/(D162*E162*J162)))</f>
        <v/>
      </c>
      <c r="G162" t="n">
        <v>16000</v>
      </c>
      <c r="H162" t="n">
        <v>0.875</v>
      </c>
      <c r="I162" t="n">
        <v>55</v>
      </c>
      <c r="J162" s="6">
        <f>G162/I162*H162</f>
        <v/>
      </c>
      <c r="K162" t="n">
        <v>1</v>
      </c>
      <c r="L162" t="n">
        <v>1</v>
      </c>
      <c r="M162" t="n">
        <v>0.75</v>
      </c>
      <c r="N162" s="6">
        <f>D162/J162</f>
        <v/>
      </c>
      <c r="O162" s="6">
        <f>(D162/100000+E162/100+F162*K162/5+J162/200)*200*L162*M162</f>
        <v/>
      </c>
      <c r="P162" s="6">
        <f>((D162*E162/25000)+(F162*K162*J162/2.5))*L162*M162</f>
        <v/>
      </c>
      <c r="Q162" s="6">
        <f>(D162*E162*F162*K162*J162*L162*M162)/12500000</f>
        <v/>
      </c>
      <c r="R162" s="6">
        <f>(O162+P162+Q162)/3</f>
        <v/>
      </c>
      <c r="S162" t="n">
        <v>600</v>
      </c>
    </row>
    <row r="163">
      <c r="B163" t="inlineStr">
        <is>
          <t>Dagger</t>
        </is>
      </c>
      <c r="D163" t="n">
        <v>25000</v>
      </c>
      <c r="E163" t="n">
        <v>100</v>
      </c>
      <c r="F163" s="7">
        <f>(S163*37500000/(L163*M163*D163*E163*K163*J163)-((500/(K163*J163))+(2500000000/(D163*E163*K163*J163)*(D163/100000+E163/100+J163/200))))/(1+5000000/(D163*E163)+(500000000/(D163*E163*J163)))</f>
        <v/>
      </c>
      <c r="G163" t="n">
        <v>32000</v>
      </c>
      <c r="H163" t="n">
        <v>1</v>
      </c>
      <c r="I163" t="n">
        <v>100</v>
      </c>
      <c r="J163" s="6">
        <f>G163/I163*H163</f>
        <v/>
      </c>
      <c r="K163" t="n">
        <v>1</v>
      </c>
      <c r="L163" t="n">
        <v>1</v>
      </c>
      <c r="M163" t="n">
        <v>0.75</v>
      </c>
      <c r="N163" s="6">
        <f>D163/J163</f>
        <v/>
      </c>
      <c r="O163" s="6">
        <f>(D163/100000+E163/100+F163*K163/5+J163/200)*200*L163*M163</f>
        <v/>
      </c>
      <c r="P163" s="6">
        <f>((D163*E163/25000)+(F163*K163*J163/2.5))*L163*M163</f>
        <v/>
      </c>
      <c r="Q163" s="6">
        <f>(D163*E163*F163*K163*J163*L163*M163)/12500000</f>
        <v/>
      </c>
      <c r="R163" s="6">
        <f>(O163+P163+Q163)/3</f>
        <v/>
      </c>
      <c r="S163" t="n">
        <v>1300</v>
      </c>
    </row>
    <row r="164">
      <c r="A164" t="inlineStr">
        <is>
          <t>Outpost 2</t>
        </is>
      </c>
      <c r="B164" t="inlineStr">
        <is>
          <t>Eden Railgun Lynx</t>
        </is>
      </c>
      <c r="D164" t="n">
        <v>60000</v>
      </c>
      <c r="E164" t="n">
        <v>80</v>
      </c>
      <c r="F164" s="7">
        <f>(S164*37500000/(L164*M164*D164*E164*K164*J164)-((500/(K164*J164))+(2500000000/(D164*E164*K164*J164)*(D164/100000+E164/100+J164/200))))/(1+5000000/(D164*E164)+(500000000/(D164*E164*J164)))</f>
        <v/>
      </c>
      <c r="G164" t="n">
        <v>24000</v>
      </c>
      <c r="H164" t="n">
        <v>1</v>
      </c>
      <c r="I164" t="n">
        <v>80</v>
      </c>
      <c r="J164" s="6">
        <f>G164/I164*H164</f>
        <v/>
      </c>
      <c r="K164" t="n">
        <v>1</v>
      </c>
      <c r="L164" t="n">
        <v>1</v>
      </c>
      <c r="M164" t="n">
        <v>1</v>
      </c>
      <c r="N164" s="6">
        <f>D164/J164</f>
        <v/>
      </c>
      <c r="O164" s="6">
        <f>(D164/100000+E164/100+F164*K164/5+J164/200)*200*L164*M164</f>
        <v/>
      </c>
      <c r="P164" s="6">
        <f>((D164*E164/25000)+(F164*K164*J164/2.5))*L164*M164</f>
        <v/>
      </c>
      <c r="Q164" s="6">
        <f>(D164*E164*F164*K164*J164*L164*M164)/12500000</f>
        <v/>
      </c>
      <c r="R164" s="6">
        <f>(O164+P164+Q164)/3</f>
        <v/>
      </c>
      <c r="S164" t="n">
        <v>900</v>
      </c>
    </row>
    <row r="165">
      <c r="B165" t="inlineStr">
        <is>
          <t>Eden Laser Tiger</t>
        </is>
      </c>
      <c r="D165" t="n">
        <v>120000</v>
      </c>
      <c r="E165" t="n">
        <v>60</v>
      </c>
      <c r="F165" s="7">
        <f>(S165*37500000/(L165*M165*D165*E165*K165*J165)-((500/(K165*J165))+(2500000000/(D165*E165*K165*J165)*(D165/100000+E165/100+J165/200))))/(1+5000000/(D165*E165)+(500000000/(D165*E165*J165)))</f>
        <v/>
      </c>
      <c r="G165" t="n">
        <v>24000</v>
      </c>
      <c r="H165" t="n">
        <v>1</v>
      </c>
      <c r="I165" t="n">
        <v>40</v>
      </c>
      <c r="J165" s="6">
        <f>G165/I165*H165</f>
        <v/>
      </c>
      <c r="K165" t="n">
        <v>1</v>
      </c>
      <c r="L165" t="n">
        <v>1</v>
      </c>
      <c r="M165" t="n">
        <v>0.75</v>
      </c>
      <c r="N165" s="6">
        <f>D165/J165</f>
        <v/>
      </c>
      <c r="O165" s="6">
        <f>(D165/100000+E165/100+F165*K165/5+J165/200)*200*L165*M165</f>
        <v/>
      </c>
      <c r="P165" s="6">
        <f>((D165*E165/25000)+(F165*K165*J165/2.5))*L165*M165</f>
        <v/>
      </c>
      <c r="Q165" s="6">
        <f>(D165*E165*F165*K165*J165*L165*M165)/12500000</f>
        <v/>
      </c>
      <c r="R165" s="6">
        <f>(O165+P165+Q165)/3</f>
        <v/>
      </c>
      <c r="S165" t="n">
        <v>1600</v>
      </c>
    </row>
    <row r="166">
      <c r="B166" t="inlineStr">
        <is>
          <t>Eden ThorsHammer Lynx</t>
        </is>
      </c>
      <c r="D166" t="n">
        <v>80000</v>
      </c>
      <c r="E166" t="n">
        <v>90</v>
      </c>
      <c r="F166" s="7">
        <f>(S166*37500000/(L166*M166*D166*E166*K166*J166)-((500/(K166*J166))+(2500000000/(D166*E166*K166*J166)*(D166/100000+E166/100+J166/200))))/(1+5000000/(D166*E166)+(500000000/(D166*E166*J166)))</f>
        <v/>
      </c>
      <c r="G166" t="n">
        <v>6000</v>
      </c>
      <c r="H166" t="n">
        <v>1.25</v>
      </c>
      <c r="I166" t="n">
        <v>33</v>
      </c>
      <c r="J166" s="6">
        <f>G166/I166*H166</f>
        <v/>
      </c>
      <c r="K166" t="n">
        <v>1.25</v>
      </c>
      <c r="L166" t="n">
        <v>1</v>
      </c>
      <c r="M166" t="n">
        <v>1</v>
      </c>
      <c r="N166" s="6">
        <f>D166/J166</f>
        <v/>
      </c>
      <c r="O166" s="6">
        <f>(D166/100000+E166/100+F166*K166/5+J166/200)*200*L166*M166</f>
        <v/>
      </c>
      <c r="P166" s="6">
        <f>((D166*E166/25000)+(F166*K166*J166/2.5))*L166*M166</f>
        <v/>
      </c>
      <c r="Q166" s="6">
        <f>(D166*E166*F166*K166*J166*L166*M166)/12500000</f>
        <v/>
      </c>
      <c r="R166" s="6">
        <f>(O166+P166+Q166)/3</f>
        <v/>
      </c>
      <c r="S166" t="n">
        <v>1100</v>
      </c>
    </row>
    <row r="167">
      <c r="B167" t="inlineStr">
        <is>
          <t>Eden ThorsHammer Tiger</t>
        </is>
      </c>
      <c r="D167" t="n">
        <v>160000</v>
      </c>
      <c r="E167" t="n">
        <v>80</v>
      </c>
      <c r="F167" s="7">
        <f>(S167*37500000/(L167*M167*D167*E167*K167*J167)-((500/(K167*J167))+(2500000000/(D167*E167*K167*J167)*(D167/100000+E167/100+J167/200))))/(1+5000000/(D167*E167)+(500000000/(D167*E167*J167)))</f>
        <v/>
      </c>
      <c r="G167" t="n">
        <v>6000</v>
      </c>
      <c r="H167" t="n">
        <v>1.25</v>
      </c>
      <c r="I167" t="n">
        <v>19</v>
      </c>
      <c r="J167" s="6">
        <f>G167/I167*H167</f>
        <v/>
      </c>
      <c r="K167" t="n">
        <v>1.25</v>
      </c>
      <c r="L167" t="n">
        <v>1</v>
      </c>
      <c r="M167" t="n">
        <v>0.75</v>
      </c>
      <c r="N167" s="6">
        <f>D167/J167</f>
        <v/>
      </c>
      <c r="O167" s="6">
        <f>(D167/100000+E167/100+F167*K167/5+J167/200)*200*L167*M167</f>
        <v/>
      </c>
      <c r="P167" s="6">
        <f>((D167*E167/25000)+(F167*K167*J167/2.5))*L167*M167</f>
        <v/>
      </c>
      <c r="Q167" s="6">
        <f>(D167*E167*F167*K167*J167*L167*M167)/12500000</f>
        <v/>
      </c>
      <c r="R167" s="6">
        <f>(O167+P167+Q167)/3</f>
        <v/>
      </c>
      <c r="S167" t="n">
        <v>2200</v>
      </c>
    </row>
    <row r="174">
      <c r="B174" t="inlineStr">
        <is>
          <t>Artilleries</t>
        </is>
      </c>
      <c r="D174" t="inlineStr">
        <is>
          <t>HP</t>
        </is>
      </c>
      <c r="E174" t="inlineStr">
        <is>
          <t>Speed</t>
        </is>
      </c>
      <c r="F174" t="inlineStr">
        <is>
          <t>Range</t>
        </is>
      </c>
      <c r="G174" t="inlineStr">
        <is>
          <t>Damage</t>
        </is>
      </c>
      <c r="H174" t="inlineStr">
        <is>
          <t>Weapon Class</t>
        </is>
      </c>
      <c r="I174" t="inlineStr">
        <is>
          <t>Reload Delay</t>
        </is>
      </c>
      <c r="J174" s="6" t="inlineStr">
        <is>
          <t>DPS</t>
        </is>
      </c>
      <c r="K174" t="inlineStr">
        <is>
          <t>Special</t>
        </is>
      </c>
      <c r="L174" t="inlineStr">
        <is>
          <t>Unit Class</t>
        </is>
      </c>
      <c r="M174" t="inlineStr">
        <is>
          <t>Tech Tier</t>
        </is>
      </c>
      <c r="N174" t="inlineStr">
        <is>
          <t>HP/DPS</t>
        </is>
      </c>
      <c r="O174" s="6" t="n"/>
      <c r="P174" s="6" t="n"/>
      <c r="Q174" s="6" t="n"/>
      <c r="R174" s="6" t="n"/>
      <c r="S174" t="inlineStr">
        <is>
          <t>Cost</t>
        </is>
      </c>
    </row>
    <row r="175">
      <c r="N175" s="6" t="n"/>
    </row>
    <row r="176">
      <c r="A176" t="inlineStr">
        <is>
          <t>TD</t>
        </is>
      </c>
      <c r="B176" t="inlineStr">
        <is>
          <t>Nod Artillery</t>
        </is>
      </c>
      <c r="D176" t="n">
        <v>17500</v>
      </c>
      <c r="E176" t="n">
        <v>55</v>
      </c>
      <c r="F176" s="7">
        <f>(S176*37500000/(L176*M176*D176*E176*K176*J176)-((500/(K176*J176))+(2500000000/(D176*E176*K176*J176)*(D176/100000+E176/100+J176/200))))/(1+5000000/(D176*E176)+(500000000/(D176*E176*J176)))</f>
        <v/>
      </c>
      <c r="G176" t="n">
        <v>32000</v>
      </c>
      <c r="H176" t="n">
        <v>0.875</v>
      </c>
      <c r="I176" t="n">
        <v>112</v>
      </c>
      <c r="J176" s="6">
        <f>G176/I176*H176</f>
        <v/>
      </c>
      <c r="K176" t="n">
        <v>1</v>
      </c>
      <c r="L176" t="n">
        <v>0.5</v>
      </c>
      <c r="M176" t="n">
        <v>1</v>
      </c>
      <c r="N176" s="6">
        <f>D176/J176</f>
        <v/>
      </c>
      <c r="O176" s="6">
        <f>(D176/100000+E176/100+F176*K176/5+J176/200)*200*L176*M176</f>
        <v/>
      </c>
      <c r="P176" s="6">
        <f>((D176*E176/25000)+(F176*K176*J176/2.5))*L176*M176</f>
        <v/>
      </c>
      <c r="Q176" s="6">
        <f>(D176*E176*F176*K176*J176*L176*M176)/12500000</f>
        <v/>
      </c>
      <c r="R176" s="6">
        <f>(O176+P176+Q176)/3</f>
        <v/>
      </c>
      <c r="S176" t="n">
        <v>400</v>
      </c>
    </row>
    <row r="177">
      <c r="B177" t="inlineStr">
        <is>
          <t>Archer Artillery</t>
        </is>
      </c>
      <c r="D177" t="n">
        <v>35000</v>
      </c>
      <c r="E177" t="n">
        <v>70</v>
      </c>
      <c r="F177" s="7">
        <f>(S177*37500000/(L177*M177*D177*E177*K177*J177)-((500/(K177*J177))+(2500000000/(D177*E177*K177*J177)*(D177/100000+E177/100+J177/200))))/(1+5000000/(D177*E177)+(500000000/(D177*E177*J177)))</f>
        <v/>
      </c>
      <c r="G177" t="n">
        <v>70000</v>
      </c>
      <c r="H177" t="n">
        <v>1.1</v>
      </c>
      <c r="I177" t="n">
        <v>140</v>
      </c>
      <c r="J177" s="6">
        <f>G177/I177*H177</f>
        <v/>
      </c>
      <c r="K177" t="n">
        <v>1</v>
      </c>
      <c r="L177" t="n">
        <v>0.5</v>
      </c>
      <c r="M177" t="n">
        <v>0.75</v>
      </c>
      <c r="N177" s="6">
        <f>D177/J177</f>
        <v/>
      </c>
      <c r="O177" s="6">
        <f>(D177/100000+E177/100+F177*K177/5+J177/200)*200*L177*M177</f>
        <v/>
      </c>
      <c r="P177" s="6">
        <f>((D177*E177/25000)+(F177*K177*J177/2.5))*L177*M177</f>
        <v/>
      </c>
      <c r="Q177" s="6">
        <f>(D177*E177*F177*K177*J177*L177*M177)/12500000</f>
        <v/>
      </c>
      <c r="R177" s="6">
        <f>(O177+P177+Q177)/3</f>
        <v/>
      </c>
      <c r="S177" t="n">
        <v>750</v>
      </c>
    </row>
    <row r="178">
      <c r="B178" t="inlineStr">
        <is>
          <t>Chemical SSM Launcher</t>
        </is>
      </c>
      <c r="D178" t="n">
        <v>32500</v>
      </c>
      <c r="E178" t="n">
        <v>75</v>
      </c>
      <c r="F178" s="7">
        <f>(S178*37500000/(L178*M178*D178*E178*K178*J178)-((500/(K178*J178))+(2500000000/(D178*E178*K178*J178)*(D178/100000+E178/100+J178/200))))/(1+5000000/(D178*E178)+(500000000/(D178*E178*J178)))</f>
        <v/>
      </c>
      <c r="G178" t="n">
        <v>120000</v>
      </c>
      <c r="H178" t="n">
        <v>1.25</v>
      </c>
      <c r="I178" t="n">
        <v>142</v>
      </c>
      <c r="J178" s="6">
        <f>G178/I178*H178</f>
        <v/>
      </c>
      <c r="K178" t="n">
        <v>1</v>
      </c>
      <c r="L178" t="n">
        <v>0.5</v>
      </c>
      <c r="M178" t="n">
        <v>0.75</v>
      </c>
      <c r="N178" s="6">
        <f>D178/J178</f>
        <v/>
      </c>
      <c r="O178" s="6">
        <f>(D178/100000+E178/100+F178*K178/5+J178/200)*200*L178*M178</f>
        <v/>
      </c>
      <c r="P178" s="6">
        <f>((D178*E178/25000)+(F178*K178*J178/2.5))*L178*M178</f>
        <v/>
      </c>
      <c r="Q178" s="6">
        <f>(D178*E178*F178*K178*J178*L178*M178)/12500000</f>
        <v/>
      </c>
      <c r="R178" s="6">
        <f>(O178+P178+Q178)/3</f>
        <v/>
      </c>
      <c r="S178" t="n">
        <v>1200</v>
      </c>
    </row>
    <row r="179">
      <c r="B179" t="inlineStr">
        <is>
          <t>Specter</t>
        </is>
      </c>
      <c r="D179" t="n">
        <v>22500</v>
      </c>
      <c r="E179" t="n">
        <v>100</v>
      </c>
      <c r="F179" s="7">
        <f>(S179*37500000/(L179*M179*D179*E179*K179*J179)-((500/(K179*J179))+(2500000000/(D179*E179*K179*J179)*(D179/100000+E179/100+J179/200))))/(1+5000000/(D179*E179)+(500000000/(D179*E179*J179)))</f>
        <v/>
      </c>
      <c r="G179" t="n">
        <v>48000</v>
      </c>
      <c r="H179" t="n">
        <v>0.875</v>
      </c>
      <c r="I179" t="n">
        <v>117</v>
      </c>
      <c r="J179" s="6">
        <f>G179/I179*H179</f>
        <v/>
      </c>
      <c r="K179" t="n">
        <v>1.5</v>
      </c>
      <c r="L179" t="n">
        <v>0.5</v>
      </c>
      <c r="M179" t="n">
        <v>1</v>
      </c>
      <c r="N179" s="6">
        <f>D179/J179</f>
        <v/>
      </c>
      <c r="O179" s="6">
        <f>(D179/100000+E179/100+F179*K179/5+J179/200)*200*L179*M179</f>
        <v/>
      </c>
      <c r="P179" s="6">
        <f>((D179*E179/25000)+(F179*K179*J179/2.5))*L179*M179</f>
        <v/>
      </c>
      <c r="Q179" s="6">
        <f>(D179*E179*F179*K179*J179*L179*M179)/12500000</f>
        <v/>
      </c>
      <c r="R179" s="6">
        <f>(O179+P179+Q179)/3</f>
        <v/>
      </c>
      <c r="S179" t="n">
        <v>900</v>
      </c>
    </row>
    <row r="180">
      <c r="A180" t="inlineStr">
        <is>
          <t>RA1</t>
        </is>
      </c>
      <c r="B180" t="inlineStr">
        <is>
          <t>V1 Rocket Truck</t>
        </is>
      </c>
      <c r="D180" t="n">
        <v>25000</v>
      </c>
      <c r="E180" t="n">
        <v>100</v>
      </c>
      <c r="F180" s="7">
        <f>(S180*37500000/(L180*M180*D180*E180*K180*J180)-((500/(K180*J180))+(2500000000/(D180*E180*K180*J180)*(D180/100000+E180/100+J180/200))))/(1+5000000/(D180*E180)+(500000000/(D180*E180*J180)))</f>
        <v/>
      </c>
      <c r="G180" t="n">
        <v>96000</v>
      </c>
      <c r="H180" t="n">
        <v>0.875</v>
      </c>
      <c r="I180" t="n">
        <v>130</v>
      </c>
      <c r="J180" s="6">
        <f>G180/I180*H180</f>
        <v/>
      </c>
      <c r="K180" t="n">
        <v>1</v>
      </c>
      <c r="L180" t="n">
        <v>0.5</v>
      </c>
      <c r="M180" t="n">
        <v>1</v>
      </c>
      <c r="N180" s="6">
        <f>D180/J180</f>
        <v/>
      </c>
      <c r="O180" s="6">
        <f>(D180/100000+E180/100+F180*K180/5+J180/200)*200*L180*M180</f>
        <v/>
      </c>
      <c r="P180" s="6">
        <f>((D180*E180/25000)+(F180*K180*J180/2.5))*L180*M180</f>
        <v/>
      </c>
      <c r="Q180" s="6">
        <f>(D180*E180*F180*K180*J180*L180*M180)/12500000</f>
        <v/>
      </c>
      <c r="R180" s="6">
        <f>(O180+P180+Q180)/3</f>
        <v/>
      </c>
      <c r="S180" t="n">
        <v>850</v>
      </c>
    </row>
    <row r="181">
      <c r="B181" t="inlineStr">
        <is>
          <t>V2 Rocket Launcher</t>
        </is>
      </c>
      <c r="D181" t="n">
        <v>30000</v>
      </c>
      <c r="E181" t="n">
        <v>85</v>
      </c>
      <c r="F181" s="7">
        <f>(S181*37500000/(L181*M181*D181*E181*K181*J181)-((500/(K181*J181))+(2500000000/(D181*E181*K181*J181)*(D181/100000+E181/100+J181/200))))/(1+5000000/(D181*E181)+(500000000/(D181*E181*J181)))</f>
        <v/>
      </c>
      <c r="G181" t="n">
        <v>120000</v>
      </c>
      <c r="H181" t="n">
        <v>1.25</v>
      </c>
      <c r="I181" t="n">
        <v>120</v>
      </c>
      <c r="J181" s="6">
        <f>G181/I181*H181</f>
        <v/>
      </c>
      <c r="K181" t="n">
        <v>1</v>
      </c>
      <c r="L181" t="n">
        <v>0.5</v>
      </c>
      <c r="M181" t="n">
        <v>0.75</v>
      </c>
      <c r="N181" s="6">
        <f>D181/J181</f>
        <v/>
      </c>
      <c r="O181" s="6">
        <f>(D181/100000+E181/100+F181*K181/5+J181/200)*200*L181*M181</f>
        <v/>
      </c>
      <c r="P181" s="6">
        <f>((D181*E181/25000)+(F181*K181*J181/2.5))*L181*M181</f>
        <v/>
      </c>
      <c r="Q181" s="6">
        <f>(D181*E181*F181*K181*J181*L181*M181)/12500000</f>
        <v/>
      </c>
      <c r="R181" s="6">
        <f>(O181+P181+Q181)/3</f>
        <v/>
      </c>
      <c r="S181" t="n">
        <v>1600</v>
      </c>
    </row>
    <row r="182">
      <c r="B182" t="inlineStr">
        <is>
          <t>V2 Nuclear Rocket Launcher</t>
        </is>
      </c>
      <c r="D182" t="n">
        <v>40000</v>
      </c>
      <c r="E182" t="n">
        <v>80</v>
      </c>
      <c r="F182" s="7">
        <f>(S182*37500000/(L182*M182*D182*E182*K182*J182)-((500/(K182*J182))+(2500000000/(D182*E182*K182*J182)*(D182/100000+E182/100+J182/200))))/(1+5000000/(D182*E182)+(500000000/(D182*E182*J182)))</f>
        <v/>
      </c>
      <c r="G182" t="n">
        <v>300000</v>
      </c>
      <c r="H182" t="n">
        <v>1</v>
      </c>
      <c r="I182" t="n">
        <v>158</v>
      </c>
      <c r="J182" s="6">
        <f>G182/I182*H182</f>
        <v/>
      </c>
      <c r="K182" t="n">
        <v>1</v>
      </c>
      <c r="L182" t="n">
        <v>0.5</v>
      </c>
      <c r="M182" t="n">
        <v>0.75</v>
      </c>
      <c r="N182" s="6">
        <f>D182/J182</f>
        <v/>
      </c>
      <c r="O182" s="6">
        <f>(D182/100000+E182/100+F182*K182/5+J182/200)*200*L182*M182</f>
        <v/>
      </c>
      <c r="P182" s="6">
        <f>((D182*E182/25000)+(F182*K182*J182/2.5))*L182*M182</f>
        <v/>
      </c>
      <c r="Q182" s="6">
        <f>(D182*E182*F182*K182*J182*L182*M182)/12500000</f>
        <v/>
      </c>
      <c r="R182" s="6">
        <f>(O182+P182+Q182)/3</f>
        <v/>
      </c>
      <c r="S182" t="n">
        <v>2300</v>
      </c>
    </row>
    <row r="183">
      <c r="B183" t="inlineStr">
        <is>
          <t>Grad</t>
        </is>
      </c>
      <c r="D183" t="n">
        <v>50000</v>
      </c>
      <c r="E183" t="n">
        <v>75</v>
      </c>
      <c r="F183" s="7">
        <f>(S183*37500000/(L183*M183*D183*E183*K183*J183)-((500/(K183*J183))+(2500000000/(D183*E183*K183*J183)*(D183/100000+E183/100+J183/200))))/(1+5000000/(D183*E183)+(500000000/(D183*E183*J183)))</f>
        <v/>
      </c>
      <c r="G183" t="n">
        <v>128000</v>
      </c>
      <c r="H183" t="n">
        <v>1.125</v>
      </c>
      <c r="I183" t="n">
        <v>150</v>
      </c>
      <c r="J183" s="6">
        <f>G183/I183*H183</f>
        <v/>
      </c>
      <c r="K183" t="n">
        <v>1</v>
      </c>
      <c r="L183" t="n">
        <v>0.5</v>
      </c>
      <c r="M183" t="n">
        <v>0.75</v>
      </c>
      <c r="N183" s="6">
        <f>D183/J183</f>
        <v/>
      </c>
      <c r="O183" s="6">
        <f>(D183/100000+E183/100+F183*K183/5+J183/200)*200*L183*M183</f>
        <v/>
      </c>
      <c r="P183" s="6">
        <f>((D183*E183/25000)+(F183*K183*J183/2.5))*L183*M183</f>
        <v/>
      </c>
      <c r="Q183" s="6">
        <f>(D183*E183*F183*K183*J183*L183*M183)/12500000</f>
        <v/>
      </c>
      <c r="R183" s="6">
        <f>(O183+P183+Q183)/3</f>
        <v/>
      </c>
      <c r="S183" t="n">
        <v>1400</v>
      </c>
    </row>
    <row r="184">
      <c r="B184" t="inlineStr">
        <is>
          <t>Allied Artillery</t>
        </is>
      </c>
      <c r="D184" t="n">
        <v>20000</v>
      </c>
      <c r="E184" t="n">
        <v>60</v>
      </c>
      <c r="F184" s="7">
        <f>(S184*37500000/(L184*M184*D184*E184*K184*J184)-((500/(K184*J184))+(2500000000/(D184*E184*K184*J184)*(D184/100000+E184/100+J184/200))))/(1+5000000/(D184*E184)+(500000000/(D184*E184*J184)))</f>
        <v/>
      </c>
      <c r="G184" t="n">
        <v>30000</v>
      </c>
      <c r="H184" t="n">
        <v>1</v>
      </c>
      <c r="I184" t="n">
        <v>80</v>
      </c>
      <c r="J184" s="6">
        <f>G184/I184*H184</f>
        <v/>
      </c>
      <c r="K184" t="n">
        <v>1</v>
      </c>
      <c r="L184" t="n">
        <v>0.5</v>
      </c>
      <c r="M184" t="n">
        <v>1</v>
      </c>
      <c r="N184" s="6">
        <f>D184/J184</f>
        <v/>
      </c>
      <c r="O184" s="6">
        <f>(D184/100000+E184/100+F184*K184/5+J184/200)*200*L184*M184</f>
        <v/>
      </c>
      <c r="P184" s="6">
        <f>((D184*E184/25000)+(F184*K184*J184/2.5))*L184*M184</f>
        <v/>
      </c>
      <c r="Q184" s="6">
        <f>(D184*E184*F184*K184*J184*L184*M184)/12500000</f>
        <v/>
      </c>
      <c r="R184" s="6">
        <f>(O184+P184+Q184)/3</f>
        <v/>
      </c>
      <c r="S184" t="n">
        <v>600</v>
      </c>
    </row>
    <row r="185">
      <c r="B185" t="inlineStr">
        <is>
          <t>Ballista</t>
        </is>
      </c>
      <c r="D185" t="n">
        <v>65000</v>
      </c>
      <c r="E185" t="n">
        <v>65</v>
      </c>
      <c r="F185" s="7">
        <f>(S185*37500000/(L185*M185*D185*E185*K185*J185)-((500/(K185*J185))+(2500000000/(D185*E185*K185*J185)*(D185/100000+E185/100+J185/200))))/(1+5000000/(D185*E185)+(500000000/(D185*E185*J185)))</f>
        <v/>
      </c>
      <c r="G185" t="n">
        <v>200000</v>
      </c>
      <c r="H185" t="n">
        <v>0.75</v>
      </c>
      <c r="I185" t="n">
        <v>200</v>
      </c>
      <c r="J185" s="6">
        <f>G185/I185*H185</f>
        <v/>
      </c>
      <c r="K185" t="n">
        <v>1</v>
      </c>
      <c r="L185" t="n">
        <v>0.5</v>
      </c>
      <c r="M185" t="n">
        <v>0.75</v>
      </c>
      <c r="N185" s="6">
        <f>D185/J185</f>
        <v/>
      </c>
      <c r="O185" s="6">
        <f>(D185/100000+E185/100+F185*K185/5+J185/200)*200*L185*M185</f>
        <v/>
      </c>
      <c r="P185" s="6">
        <f>((D185*E185/25000)+(F185*K185*J185/2.5))*L185*M185</f>
        <v/>
      </c>
      <c r="Q185" s="6">
        <f>(D185*E185*F185*K185*J185*L185*M185)/12500000</f>
        <v/>
      </c>
      <c r="R185" s="6">
        <f>(O185+P185+Q185)/3</f>
        <v/>
      </c>
      <c r="S185" t="n">
        <v>1150</v>
      </c>
    </row>
    <row r="186">
      <c r="A186" t="inlineStr">
        <is>
          <t>D2K</t>
        </is>
      </c>
      <c r="B186" t="inlineStr">
        <is>
          <t>Ix Siege Tank</t>
        </is>
      </c>
      <c r="D186" t="n">
        <v>60000</v>
      </c>
      <c r="E186" t="n">
        <v>60</v>
      </c>
      <c r="F186" s="7">
        <f>(S186*37500000/(L186*M186*D186*E186*K186*J186)-((500/(K186*J186))+(2500000000/(D186*E186*K186*J186)*(D186/100000+E186/100+J186/200))))/(1+5000000/(D186*E186)+(500000000/(D186*E186*J186)))</f>
        <v/>
      </c>
      <c r="G186" t="n">
        <v>144000</v>
      </c>
      <c r="H186" t="n">
        <v>1</v>
      </c>
      <c r="I186" t="n">
        <v>144</v>
      </c>
      <c r="J186" s="6">
        <f>G186/I186*H186</f>
        <v/>
      </c>
      <c r="K186" t="n">
        <v>1.25</v>
      </c>
      <c r="L186" t="n">
        <v>0.5</v>
      </c>
      <c r="M186" t="n">
        <v>1</v>
      </c>
      <c r="N186" s="6">
        <f>D186/J186</f>
        <v/>
      </c>
      <c r="O186" s="6">
        <f>(D186/100000+E186/100+F186*K186/5+J186/200)*200*L186*M186</f>
        <v/>
      </c>
      <c r="P186" s="6">
        <f>((D186*E186/25000)+(F186*K186*J186/2.5))*L186*M186</f>
        <v/>
      </c>
      <c r="Q186" s="6">
        <f>(D186*E186*F186*K186*J186*L186*M186)/12500000</f>
        <v/>
      </c>
      <c r="R186" s="6">
        <f>(O186+P186+Q186)/3</f>
        <v/>
      </c>
      <c r="S186" t="n">
        <v>2050</v>
      </c>
    </row>
    <row r="187">
      <c r="B187" t="inlineStr">
        <is>
          <t>Cobra</t>
        </is>
      </c>
      <c r="D187" t="n">
        <v>45000</v>
      </c>
      <c r="E187" t="n">
        <v>45</v>
      </c>
      <c r="F187" s="7">
        <f>(S187*37500000/(L187*M187*D187*E187*K187*J187)-((500/(K187*J187))+(2500000000/(D187*E187*K187*J187)*(D187/100000+E187/100+J187/200))))/(1+5000000/(D187*E187)+(500000000/(D187*E187*J187)))</f>
        <v/>
      </c>
      <c r="G187" t="n">
        <v>120000</v>
      </c>
      <c r="H187" t="n">
        <v>0.875</v>
      </c>
      <c r="I187" t="n">
        <v>80</v>
      </c>
      <c r="J187" s="6">
        <f>G187/I187*H187</f>
        <v/>
      </c>
      <c r="K187" t="n">
        <v>1.25</v>
      </c>
      <c r="L187" t="n">
        <v>0.5</v>
      </c>
      <c r="M187" t="n">
        <v>1</v>
      </c>
      <c r="N187" s="6">
        <f>D187/J187</f>
        <v/>
      </c>
      <c r="O187" s="6">
        <f>(D187/100000+E187/100+F187*K187/5+J187/200)*200*L187*M187</f>
        <v/>
      </c>
      <c r="P187" s="6">
        <f>((D187*E187/25000)+(F187*K187*J187/2.5))*L187*M187</f>
        <v/>
      </c>
      <c r="Q187" s="6">
        <f>(D187*E187*F187*K187*J187*L187*M187)/12500000</f>
        <v/>
      </c>
      <c r="R187" s="6">
        <f>(O187+P187+Q187)/3</f>
        <v/>
      </c>
      <c r="S187" t="n">
        <v>1500</v>
      </c>
    </row>
    <row r="188">
      <c r="B188" t="inlineStr">
        <is>
          <t>Python</t>
        </is>
      </c>
      <c r="D188" t="n">
        <v>70000</v>
      </c>
      <c r="E188" t="n">
        <v>40</v>
      </c>
      <c r="F188" s="7">
        <f>(S188*37500000/(L188*M188*D188*E188*K188*J188)-((500/(K188*J188))+(2500000000/(D188*E188*K188*J188)*(D188/100000+E188/100+J188/200))))/(1+5000000/(D188*E188)+(500000000/(D188*E188*J188)))</f>
        <v/>
      </c>
      <c r="G188" t="n">
        <v>240000</v>
      </c>
      <c r="H188" t="n">
        <v>0.875</v>
      </c>
      <c r="I188" t="n">
        <v>123</v>
      </c>
      <c r="J188" s="6">
        <f>G188/I188*H188</f>
        <v/>
      </c>
      <c r="K188" t="n">
        <v>1.25</v>
      </c>
      <c r="L188" t="n">
        <v>0.5</v>
      </c>
      <c r="M188" t="n">
        <v>1</v>
      </c>
      <c r="N188" s="6">
        <f>D188/J188</f>
        <v/>
      </c>
      <c r="O188" s="6">
        <f>(D188/100000+E188/100+F188*K188/5+J188/200)*200*L188*M188</f>
        <v/>
      </c>
      <c r="P188" s="6">
        <f>((D188*E188/25000)+(F188*K188*J188/2.5))*L188*M188</f>
        <v/>
      </c>
      <c r="Q188" s="6">
        <f>(D188*E188*F188*K188*J188*L188*M188)/12500000</f>
        <v/>
      </c>
      <c r="R188" s="6">
        <f>(O188+P188+Q188)/3</f>
        <v/>
      </c>
      <c r="S188" t="n">
        <v>2500</v>
      </c>
    </row>
    <row r="189">
      <c r="B189" s="5" t="inlineStr">
        <is>
          <t>Deviator Artillery</t>
        </is>
      </c>
      <c r="D189" t="n">
        <v>55000</v>
      </c>
      <c r="E189" t="n">
        <v>55</v>
      </c>
      <c r="F189" s="7">
        <f>(S189*37500000/(L189*M189*D189*E189*K189*J189)-((500/(K189*J189))+(2500000000/(D189*E189*K189*J189)*(D189/100000+E189/100+J189/200))))/(1+5000000/(D189*E189)+(500000000/(D189*E189*J189)))</f>
        <v/>
      </c>
      <c r="G189" t="n">
        <v>180000</v>
      </c>
      <c r="H189" t="n">
        <v>1.125</v>
      </c>
      <c r="I189" t="n">
        <v>200</v>
      </c>
      <c r="J189" s="6">
        <f>G189/I189*H189</f>
        <v/>
      </c>
      <c r="K189" t="n">
        <v>1.25</v>
      </c>
      <c r="L189" t="n">
        <v>0.5</v>
      </c>
      <c r="M189" t="n">
        <v>0.75</v>
      </c>
      <c r="N189" s="6">
        <f>D189/J189</f>
        <v/>
      </c>
      <c r="O189" s="6">
        <f>(D189/100000+E189/100+F189*K189/5+J189/200)*200*L189*M189</f>
        <v/>
      </c>
      <c r="P189" s="6">
        <f>((D189*E189/25000)+(F189*K189*J189/2.5))*L189*M189</f>
        <v/>
      </c>
      <c r="Q189" s="6">
        <f>(D189*E189*F189*K189*J189*L189*M189)/12500000</f>
        <v/>
      </c>
      <c r="R189" s="6">
        <f>(O189+P189+Q189)/3</f>
        <v/>
      </c>
      <c r="S189" t="n">
        <v>1250</v>
      </c>
    </row>
    <row r="190">
      <c r="A190" t="inlineStr">
        <is>
          <t>Naxis</t>
        </is>
      </c>
      <c r="B190" t="inlineStr">
        <is>
          <t>Grille</t>
        </is>
      </c>
      <c r="D190" t="n">
        <v>40000</v>
      </c>
      <c r="E190" t="n">
        <v>80</v>
      </c>
      <c r="F190" s="7">
        <f>(S190*37500000/(L190*M190*D190*E190*K190*J190)-((500/(K190*J190))+(2500000000/(D190*E190*K190*J190)*(D190/100000+E190/100+J190/200))))/(1+5000000/(D190*E190)+(500000000/(D190*E190*J190)))</f>
        <v/>
      </c>
      <c r="G190" t="n">
        <v>48000</v>
      </c>
      <c r="H190" t="n">
        <v>1</v>
      </c>
      <c r="I190" t="n">
        <v>111</v>
      </c>
      <c r="J190" s="6">
        <f>G190/I190*H190</f>
        <v/>
      </c>
      <c r="K190" t="n">
        <v>1</v>
      </c>
      <c r="L190" t="n">
        <v>0.5</v>
      </c>
      <c r="M190" t="n">
        <v>1</v>
      </c>
      <c r="N190" s="6">
        <f>D190/J190</f>
        <v/>
      </c>
      <c r="O190" s="6">
        <f>(D190/100000+E190/100+F190*K190/5+J190/200)*200*L190*M190</f>
        <v/>
      </c>
      <c r="P190" s="6">
        <f>((D190*E190/25000)+(F190*K190*J190/2.5))*L190*M190</f>
        <v/>
      </c>
      <c r="Q190" s="6">
        <f>(D190*E190*F190*K190*J190*L190*M190)/12500000</f>
        <v/>
      </c>
      <c r="R190" s="6">
        <f>(O190+P190+Q190)/3</f>
        <v/>
      </c>
      <c r="S190" t="n">
        <v>800</v>
      </c>
    </row>
    <row r="191">
      <c r="B191" t="inlineStr">
        <is>
          <t>Brummbär</t>
        </is>
      </c>
      <c r="D191" t="n">
        <v>90000</v>
      </c>
      <c r="E191" t="n">
        <v>60</v>
      </c>
      <c r="F191" s="7">
        <f>(S191*37500000/(L191*M191*D191*E191*K191*J191)-((500/(K191*J191))+(2500000000/(D191*E191*K191*J191)*(D191/100000+E191/100+J191/200))))/(1+5000000/(D191*E191)+(500000000/(D191*E191*J191)))</f>
        <v/>
      </c>
      <c r="G191" t="n">
        <v>56000</v>
      </c>
      <c r="H191" t="n">
        <v>1.125</v>
      </c>
      <c r="I191" t="n">
        <v>140</v>
      </c>
      <c r="J191" s="6">
        <f>G191/I191*H191</f>
        <v/>
      </c>
      <c r="K191" t="n">
        <v>1</v>
      </c>
      <c r="L191" t="n">
        <v>0.5</v>
      </c>
      <c r="M191" t="n">
        <v>1</v>
      </c>
      <c r="N191" s="6">
        <f>D191/J191</f>
        <v/>
      </c>
      <c r="O191" s="6">
        <f>(D191/100000+E191/100+F191*K191/5+J191/200)*200*L191*M191</f>
        <v/>
      </c>
      <c r="P191" s="6">
        <f>((D191*E191/25000)+(F191*K191*J191/2.5))*L191*M191</f>
        <v/>
      </c>
      <c r="Q191" s="6">
        <f>(D191*E191*F191*K191*J191*L191*M191)/12500000</f>
        <v/>
      </c>
      <c r="R191" s="6">
        <f>(O191+P191+Q191)/3</f>
        <v/>
      </c>
      <c r="S191" t="n">
        <v>1100</v>
      </c>
    </row>
    <row r="192">
      <c r="B192" t="inlineStr">
        <is>
          <t>Lunar Grille</t>
        </is>
      </c>
      <c r="D192" t="n">
        <v>62500</v>
      </c>
      <c r="E192" t="n">
        <v>90</v>
      </c>
      <c r="F192" s="7">
        <f>(S192*37500000/(L192*M192*D192*E192*K192*J192)-((500/(K192*J192))+(2500000000/(D192*E192*K192*J192)*(D192/100000+E192/100+J192/200))))/(1+5000000/(D192*E192)+(500000000/(D192*E192*J192)))</f>
        <v/>
      </c>
      <c r="G192" t="n">
        <v>32000</v>
      </c>
      <c r="H192" t="n">
        <v>0.875</v>
      </c>
      <c r="I192" t="n">
        <v>111</v>
      </c>
      <c r="J192" s="6">
        <f>G192/I192*H192</f>
        <v/>
      </c>
      <c r="K192" t="n">
        <v>1</v>
      </c>
      <c r="L192" t="n">
        <v>0.5</v>
      </c>
      <c r="M192" t="n">
        <v>1</v>
      </c>
      <c r="N192" s="6">
        <f>D192/J192</f>
        <v/>
      </c>
      <c r="O192" s="6">
        <f>(D192/100000+E192/100+F192*K192/5+J192/200)*200*L192*M192</f>
        <v/>
      </c>
      <c r="P192" s="6">
        <f>((D192*E192/25000)+(F192*K192*J192/2.5))*L192*M192</f>
        <v/>
      </c>
      <c r="Q192" s="6">
        <f>(D192*E192*F192*K192*J192*L192*M192)/12500000</f>
        <v/>
      </c>
      <c r="R192" s="6">
        <f>(O192+P192+Q192)/3</f>
        <v/>
      </c>
      <c r="S192" t="n">
        <v>600</v>
      </c>
    </row>
    <row r="193">
      <c r="B193" t="inlineStr">
        <is>
          <t>Donnerschlag</t>
        </is>
      </c>
      <c r="D193" t="n">
        <v>80000</v>
      </c>
      <c r="E193" t="n">
        <v>40</v>
      </c>
      <c r="F193" s="7">
        <f>(S193*37500000/(L193*M193*D193*E193*K193*J193)-((500/(K193*J193))+(2500000000/(D193*E193*K193*J193)*(D193/100000+E193/100+J193/200))))/(1+5000000/(D193*E193)+(500000000/(D193*E193*J193)))</f>
        <v/>
      </c>
      <c r="G193" t="n">
        <v>160000</v>
      </c>
      <c r="H193" t="n">
        <v>1</v>
      </c>
      <c r="I193" t="n">
        <v>180</v>
      </c>
      <c r="J193" s="6">
        <f>G193/I193*H193</f>
        <v/>
      </c>
      <c r="K193" t="n">
        <v>1</v>
      </c>
      <c r="L193" t="n">
        <v>0.5</v>
      </c>
      <c r="M193" t="n">
        <v>1</v>
      </c>
      <c r="N193" s="6">
        <f>D193/J193</f>
        <v/>
      </c>
      <c r="O193" s="6">
        <f>(D193/100000+E193/100+F193*K193/5+J193/200)*200*L193*M193</f>
        <v/>
      </c>
      <c r="P193" s="6">
        <f>((D193*E193/25000)+(F193*K193*J193/2.5))*L193*M193</f>
        <v/>
      </c>
      <c r="Q193" s="6">
        <f>(D193*E193*F193*K193*J193*L193*M193)/12500000</f>
        <v/>
      </c>
      <c r="R193" s="6">
        <f>(O193+P193+Q193)/3</f>
        <v/>
      </c>
      <c r="S193" t="n">
        <v>2300</v>
      </c>
    </row>
    <row r="194">
      <c r="A194" t="inlineStr">
        <is>
          <t>WarCraft</t>
        </is>
      </c>
      <c r="B194" t="inlineStr">
        <is>
          <t>Ballista</t>
        </is>
      </c>
      <c r="D194" t="n">
        <v>45000</v>
      </c>
      <c r="E194" t="n">
        <v>45</v>
      </c>
      <c r="F194" s="7">
        <f>(S194*37500000/(L194*M194*D194*E194*K194*J194)-((500/(K194*J194))+(2500000000/(D194*E194*K194*J194)*(D194/100000+E194/100+J194/200))))/(1+5000000/(D194*E194)+(500000000/(D194*E194*J194)))</f>
        <v/>
      </c>
      <c r="G194" t="n">
        <v>90000</v>
      </c>
      <c r="H194" t="n">
        <v>1</v>
      </c>
      <c r="I194" t="n">
        <v>180</v>
      </c>
      <c r="J194" s="6">
        <f>G194/I194*H194</f>
        <v/>
      </c>
      <c r="K194" t="n">
        <v>1</v>
      </c>
      <c r="L194" t="n">
        <v>0.5</v>
      </c>
      <c r="M194" t="n">
        <v>1</v>
      </c>
      <c r="N194" s="6">
        <f>D194/J194</f>
        <v/>
      </c>
      <c r="O194" s="6">
        <f>(D194/100000+E194/100+F194*K194/5+J194/200)*200*L194*M194</f>
        <v/>
      </c>
      <c r="P194" s="6">
        <f>((D194*E194/25000)+(F194*K194*J194/2.5))*L194*M194</f>
        <v/>
      </c>
      <c r="Q194" s="6">
        <f>(D194*E194*F194*K194*J194*L194*M194)/12500000</f>
        <v/>
      </c>
      <c r="R194" s="6">
        <f>(O194+P194+Q194)/3</f>
        <v/>
      </c>
      <c r="S194" t="n">
        <v>900</v>
      </c>
    </row>
    <row r="195">
      <c r="B195" t="inlineStr">
        <is>
          <t>Catapult</t>
        </is>
      </c>
      <c r="D195" t="n">
        <v>40000</v>
      </c>
      <c r="E195" t="n">
        <v>40</v>
      </c>
      <c r="F195" s="7">
        <f>(S195*37500000/(L195*M195*D195*E195*K195*J195)-((500/(K195*J195))+(2500000000/(D195*E195*K195*J195)*(D195/100000+E195/100+J195/200))))/(1+5000000/(D195*E195)+(500000000/(D195*E195*J195)))</f>
        <v/>
      </c>
      <c r="G195" t="n">
        <v>120000</v>
      </c>
      <c r="H195" t="n">
        <v>1</v>
      </c>
      <c r="I195" t="n">
        <v>240</v>
      </c>
      <c r="J195" s="6">
        <f>G195/I195*H195</f>
        <v/>
      </c>
      <c r="K195" t="n">
        <v>1</v>
      </c>
      <c r="L195" t="n">
        <v>0.5</v>
      </c>
      <c r="M195" t="n">
        <v>1</v>
      </c>
      <c r="N195" s="6">
        <f>D195/J195</f>
        <v/>
      </c>
      <c r="O195" s="6">
        <f>(D195/100000+E195/100+F195*K195/5+J195/200)*200*L195*M195</f>
        <v/>
      </c>
      <c r="P195" s="6">
        <f>((D195*E195/25000)+(F195*K195*J195/2.5))*L195*M195</f>
        <v/>
      </c>
      <c r="Q195" s="6">
        <f>(D195*E195*F195*K195*J195*L195*M195)/12500000</f>
        <v/>
      </c>
      <c r="R195" s="6">
        <f>(O195+P195+Q195)/3</f>
        <v/>
      </c>
      <c r="S195" t="n">
        <v>800</v>
      </c>
    </row>
    <row r="196">
      <c r="B196" t="inlineStr">
        <is>
          <t>Siege Engine</t>
        </is>
      </c>
      <c r="D196" t="n">
        <v>70000</v>
      </c>
      <c r="E196" t="n">
        <v>70</v>
      </c>
      <c r="F196" s="7">
        <f>(S196*37500000/(L196*M196*D196*E196*K196*J196)-((500/(K196*J196))+(2500000000/(D196*E196*K196*J196)*(D196/100000+E196/100+J196/200))))/(1+5000000/(D196*E196)+(500000000/(D196*E196*J196)))</f>
        <v/>
      </c>
      <c r="G196" t="n">
        <v>140000</v>
      </c>
      <c r="H196" t="n">
        <v>1</v>
      </c>
      <c r="I196" t="n">
        <v>140</v>
      </c>
      <c r="J196" s="6">
        <f>G196/I196*H196</f>
        <v/>
      </c>
      <c r="K196" t="n">
        <v>1</v>
      </c>
      <c r="L196" t="n">
        <v>0.5</v>
      </c>
      <c r="M196" t="n">
        <v>1</v>
      </c>
      <c r="N196" s="6">
        <f>D196/J196</f>
        <v/>
      </c>
      <c r="O196" s="6">
        <f>(D196/100000+E196/100+F196*K196/5+J196/200)*200*L196*M196</f>
        <v/>
      </c>
      <c r="P196" s="6">
        <f>((D196*E196/25000)+(F196*K196*J196/2.5))*L196*M196</f>
        <v/>
      </c>
      <c r="Q196" s="6">
        <f>(D196*E196*F196*K196*J196*L196*M196)/12500000</f>
        <v/>
      </c>
      <c r="R196" s="6">
        <f>(O196+P196+Q196)/3</f>
        <v/>
      </c>
      <c r="S196" t="n">
        <v>1800</v>
      </c>
    </row>
    <row r="197">
      <c r="A197" t="inlineStr">
        <is>
          <t>RA2</t>
        </is>
      </c>
      <c r="B197" t="inlineStr">
        <is>
          <t>V3 Rocket Launcher</t>
        </is>
      </c>
      <c r="D197" t="n">
        <v>37500</v>
      </c>
      <c r="E197" t="n">
        <v>75</v>
      </c>
      <c r="F197" s="7">
        <f>(S197*37500000/(L197*M197*D197*E197*K197*J197)-((500/(K197*J197))+(2500000000/(D197*E197*K197*J197)*(D197/100000+E197/100+J197/200))))/(1+5000000/(D197*E197)+(500000000/(D197*E197*J197)))</f>
        <v/>
      </c>
      <c r="G197" t="n">
        <v>90000</v>
      </c>
      <c r="H197" t="n">
        <v>1</v>
      </c>
      <c r="I197" t="n">
        <v>126</v>
      </c>
      <c r="J197" s="6">
        <f>G197/I197*H197</f>
        <v/>
      </c>
      <c r="K197" t="n">
        <v>1</v>
      </c>
      <c r="L197" t="n">
        <v>0.25</v>
      </c>
      <c r="M197" t="n">
        <v>1</v>
      </c>
      <c r="N197" s="6">
        <f>D197/J197</f>
        <v/>
      </c>
      <c r="O197" s="6">
        <f>(D197/100000+E197/100+F197*K197/5+J197/200)*200*L197*M197</f>
        <v/>
      </c>
      <c r="P197" s="6">
        <f>((D197*E197/25000)+(F197*K197*J197/2.5))*L197*M197</f>
        <v/>
      </c>
      <c r="Q197" s="6">
        <f>(D197*E197*F197*K197*J197*L197*M197)/12500000</f>
        <v/>
      </c>
      <c r="R197" s="6">
        <f>(O197+P197+Q197)/3</f>
        <v/>
      </c>
      <c r="S197" t="n">
        <v>900</v>
      </c>
    </row>
    <row r="198">
      <c r="A198" t="inlineStr">
        <is>
          <t>RA2 Modded</t>
        </is>
      </c>
      <c r="B198" t="inlineStr">
        <is>
          <t>AA Viper</t>
        </is>
      </c>
      <c r="D198" t="n">
        <v>25000</v>
      </c>
      <c r="E198" t="n">
        <v>125</v>
      </c>
      <c r="F198" s="7">
        <f>(S198*37500000/(L198*M198*D198*E198*K198*J198)-((500/(K198*J198))+(2500000000/(D198*E198*K198*J198)*(D198/100000+E198/100+J198/200))))/(1+5000000/(D198*E198)+(500000000/(D198*E198*J198)))</f>
        <v/>
      </c>
      <c r="G198" t="n">
        <v>24000</v>
      </c>
      <c r="H198" t="n">
        <v>1</v>
      </c>
      <c r="I198" t="n">
        <v>60</v>
      </c>
      <c r="J198" s="6">
        <f>G198/I198*H198</f>
        <v/>
      </c>
      <c r="K198" t="n">
        <v>1.25</v>
      </c>
      <c r="L198" t="n">
        <v>0.5</v>
      </c>
      <c r="M198" t="n">
        <v>1</v>
      </c>
      <c r="N198" s="6">
        <f>D198/J198</f>
        <v/>
      </c>
      <c r="O198" s="6">
        <f>(D198/100000+E198/100+F198*K198/5+J198/200)*200*L198*M198</f>
        <v/>
      </c>
      <c r="P198" s="6">
        <f>((D198*E198/25000)+(F198*K198*J198/2.5))*L198*M198</f>
        <v/>
      </c>
      <c r="Q198" s="6">
        <f>(D198*E198*F198*K198*J198*L198*M198)/12500000</f>
        <v/>
      </c>
      <c r="R198" s="6">
        <f>(O198+P198+Q198)/3</f>
        <v/>
      </c>
      <c r="S198" t="n">
        <v>700</v>
      </c>
    </row>
    <row r="199">
      <c r="B199" t="inlineStr">
        <is>
          <t>AA Howitzer</t>
        </is>
      </c>
      <c r="D199" t="n">
        <v>40000</v>
      </c>
      <c r="E199" t="n">
        <v>60</v>
      </c>
      <c r="F199" s="7">
        <f>(S199*37500000/(L199*M199*D199*E199*K199*J199)-((500/(K199*J199))+(2500000000/(D199*E199*K199*J199)*(D199/100000+E199/100+J199/200))))/(1+5000000/(D199*E199)+(500000000/(D199*E199*J199)))</f>
        <v/>
      </c>
      <c r="G199" t="n">
        <v>160000</v>
      </c>
      <c r="H199" t="n">
        <v>1.125</v>
      </c>
      <c r="I199" t="n">
        <v>160</v>
      </c>
      <c r="J199" s="6">
        <f>G199/I199*H199</f>
        <v/>
      </c>
      <c r="K199" t="n">
        <v>1</v>
      </c>
      <c r="L199" t="n">
        <v>0.5</v>
      </c>
      <c r="M199" t="n">
        <v>0.75</v>
      </c>
      <c r="N199" s="6">
        <f>D199/J199</f>
        <v/>
      </c>
      <c r="O199" s="6">
        <f>(D199/100000+E199/100+F199*K199/5+J199/200)*200*L199*M199</f>
        <v/>
      </c>
      <c r="P199" s="6">
        <f>((D199*E199/25000)+(F199*K199*J199/2.5))*L199*M199</f>
        <v/>
      </c>
      <c r="Q199" s="6">
        <f>(D199*E199*F199*K199*J199*L199*M199)/12500000</f>
        <v/>
      </c>
      <c r="R199" s="6">
        <f>(O199+P199+Q199)/3</f>
        <v/>
      </c>
      <c r="S199" t="n">
        <v>1600</v>
      </c>
    </row>
    <row r="200">
      <c r="B200" t="inlineStr">
        <is>
          <t>Burrito</t>
        </is>
      </c>
      <c r="D200" t="n">
        <v>35000</v>
      </c>
      <c r="E200" t="n">
        <v>80</v>
      </c>
      <c r="F200" s="7">
        <f>(S200*37500000/(L200*M200*D200*E200*K200*J200)-((500/(K200*J200))+(2500000000/(D200*E200*K200*J200)*(D200/100000+E200/100+J200/200))))/(1+5000000/(D200*E200)+(500000000/(D200*E200*J200)))</f>
        <v/>
      </c>
      <c r="G200" t="n">
        <v>240000</v>
      </c>
      <c r="H200" t="n">
        <v>1</v>
      </c>
      <c r="I200" t="n">
        <v>150</v>
      </c>
      <c r="J200" s="6">
        <f>G200/I200*H200</f>
        <v/>
      </c>
      <c r="K200" t="n">
        <v>1</v>
      </c>
      <c r="L200" t="n">
        <v>0.5</v>
      </c>
      <c r="M200" t="n">
        <v>0.75</v>
      </c>
      <c r="N200" s="6">
        <f>D200/J200</f>
        <v/>
      </c>
      <c r="O200" s="6">
        <f>(D200/100000+E200/100+F200*K200/5+J200/200)*200*L200*M200</f>
        <v/>
      </c>
      <c r="P200" s="6">
        <f>((D200*E200/25000)+(F200*K200*J200/2.5))*L200*M200</f>
        <v/>
      </c>
      <c r="Q200" s="6">
        <f>(D200*E200*F200*K200*J200*L200*M200)/12500000</f>
        <v/>
      </c>
      <c r="R200" s="6">
        <f>(O200+P200+Q200)/3</f>
        <v/>
      </c>
      <c r="S200" t="n">
        <v>1800</v>
      </c>
    </row>
    <row r="201">
      <c r="B201" t="inlineStr">
        <is>
          <t>TOPOL-M</t>
        </is>
      </c>
      <c r="D201" t="n">
        <v>100000</v>
      </c>
      <c r="E201" t="n">
        <v>75</v>
      </c>
      <c r="F201" s="7">
        <f>(S201*37500000/(L201*M201*D201*E201*K201*J201)-((500/(K201*J201))+(2500000000/(D201*E201*K201*J201)*(D201/100000+E201/100+J201/200))))/(1+5000000/(D201*E201)+(500000000/(D201*E201*J201)))</f>
        <v/>
      </c>
      <c r="G201" t="n">
        <v>120000</v>
      </c>
      <c r="H201" t="n">
        <v>5</v>
      </c>
      <c r="I201" t="n">
        <v>500</v>
      </c>
      <c r="J201" s="6">
        <f>G201/I201*H201</f>
        <v/>
      </c>
      <c r="K201" t="n">
        <v>1</v>
      </c>
      <c r="L201" t="n">
        <v>0.5</v>
      </c>
      <c r="M201" t="n">
        <v>0.75</v>
      </c>
      <c r="N201" s="6">
        <f>D201/J201</f>
        <v/>
      </c>
      <c r="O201" s="6">
        <f>(D201/100000+E201/100+F201*K201/5+J201/200)*200*L201*M201</f>
        <v/>
      </c>
      <c r="P201" s="6">
        <f>((D201*E201/25000)+(F201*K201*J201/2.5))*L201*M201</f>
        <v/>
      </c>
      <c r="Q201" s="6">
        <f>(D201*E201*F201*K201*J201*L201*M201)/12500000</f>
        <v/>
      </c>
      <c r="R201" s="6">
        <f>(O201+P201+Q201)/3</f>
        <v/>
      </c>
      <c r="S201" t="n">
        <v>6000</v>
      </c>
    </row>
    <row r="202">
      <c r="B202" t="inlineStr">
        <is>
          <t>Consortium Artillery Tank (undeployed)</t>
        </is>
      </c>
      <c r="D202" t="n">
        <v>52500</v>
      </c>
      <c r="E202" t="n">
        <v>100</v>
      </c>
      <c r="F202" s="7">
        <f>(S202*37500000/(L202*M202*D202*E202*K202*J202)-((500/(K202*J202))+(2500000000/(D202*E202*K202*J202)*(D202/100000+E202/100+J202/200))))/(1+5000000/(D202*E202)+(500000000/(D202*E202*J202)))</f>
        <v/>
      </c>
      <c r="G202" t="n">
        <v>24000</v>
      </c>
      <c r="H202" t="n">
        <v>1</v>
      </c>
      <c r="I202" t="n">
        <v>55</v>
      </c>
      <c r="J202" s="6">
        <f>G202/I202*H202</f>
        <v/>
      </c>
      <c r="K202" t="n">
        <v>1</v>
      </c>
      <c r="L202" t="n">
        <v>1</v>
      </c>
      <c r="M202" t="n">
        <v>1</v>
      </c>
      <c r="N202" s="6">
        <f>D202/J202</f>
        <v/>
      </c>
      <c r="O202" s="6">
        <f>(D202/100000+E202/100+F202*K202/5+J202/200)*200*L202*M202</f>
        <v/>
      </c>
      <c r="P202" s="6">
        <f>((D202*E202/25000)+(F202*K202*J202/2.5))*L202*M202</f>
        <v/>
      </c>
      <c r="Q202" s="6">
        <f>(D202*E202*F202*K202*J202*L202*M202)/12500000</f>
        <v/>
      </c>
      <c r="R202" s="6">
        <f>(O202+P202+Q202)/3</f>
        <v/>
      </c>
      <c r="S202" t="n">
        <v>1000</v>
      </c>
    </row>
    <row r="203">
      <c r="B203" t="inlineStr">
        <is>
          <t>Consortium Artillery Tank (deployed)</t>
        </is>
      </c>
      <c r="D203" t="n">
        <v>52500</v>
      </c>
      <c r="E203" t="n">
        <v>66</v>
      </c>
      <c r="F203" s="7">
        <f>(S203*37500000/(L203*M203*D203*E203*K203*J203)-((500/(K203*J203))+(2500000000/(D203*E203*K203*J203)*(D203/100000+E203/100+J203/200))))/(1+5000000/(D203*E203)+(500000000/(D203*E203*J203)))</f>
        <v/>
      </c>
      <c r="G203" t="n">
        <v>66666</v>
      </c>
      <c r="H203" t="n">
        <v>1</v>
      </c>
      <c r="I203" t="n">
        <v>111</v>
      </c>
      <c r="J203" s="6">
        <f>G203/I203*H203</f>
        <v/>
      </c>
      <c r="K203" t="n">
        <v>1</v>
      </c>
      <c r="L203" t="n">
        <v>0.5</v>
      </c>
      <c r="M203" t="n">
        <v>1</v>
      </c>
      <c r="N203" s="6">
        <f>D203/J203</f>
        <v/>
      </c>
      <c r="O203" s="6">
        <f>(D203/100000+E203/100+F203*K203/5+J203/200)*200*L203*M203</f>
        <v/>
      </c>
      <c r="P203" s="6">
        <f>((D203*E203/25000)+(F203*K203*J203/2.5))*L203*M203</f>
        <v/>
      </c>
      <c r="Q203" s="6">
        <f>(D203*E203*F203*K203*J203*L203*M203)/12500000</f>
        <v/>
      </c>
      <c r="R203" s="6">
        <f>(O203+P203+Q203)/3</f>
        <v/>
      </c>
      <c r="S203" t="n">
        <v>1000</v>
      </c>
    </row>
    <row r="204">
      <c r="B204" t="inlineStr">
        <is>
          <t>Athena Cannon</t>
        </is>
      </c>
      <c r="D204" t="n">
        <v>62500</v>
      </c>
      <c r="E204" t="n">
        <v>60</v>
      </c>
      <c r="F204" s="7">
        <f>(S204*37500000/(L204*M204*D204*E204*K204*J204)-((500/(K204*J204))+(2500000000/(D204*E204*K204*J204)*(D204/100000+E204/100+J204/200))))/(1+5000000/(D204*E204)+(500000000/(D204*E204*J204)))</f>
        <v/>
      </c>
      <c r="G204" t="n">
        <v>192000</v>
      </c>
      <c r="H204" t="n">
        <v>1</v>
      </c>
      <c r="I204" t="n">
        <v>200</v>
      </c>
      <c r="J204" s="6">
        <f>G204/I204*H204</f>
        <v/>
      </c>
      <c r="K204" t="n">
        <v>1</v>
      </c>
      <c r="L204" t="n">
        <v>0.5</v>
      </c>
      <c r="M204" t="n">
        <v>1</v>
      </c>
      <c r="N204" s="6">
        <f>D204/J204</f>
        <v/>
      </c>
      <c r="O204" s="6">
        <f>(D204/100000+E204/100+F204*K204/5+J204/200)*200*L204*M204</f>
        <v/>
      </c>
      <c r="P204" s="6">
        <f>((D204*E204/25000)+(F204*K204*J204/2.5))*L204*M204</f>
        <v/>
      </c>
      <c r="Q204" s="6">
        <f>(D204*E204*F204*K204*J204*L204*M204)/12500000</f>
        <v/>
      </c>
      <c r="R204" s="6">
        <f>(O204+P204+Q204)/3</f>
        <v/>
      </c>
      <c r="S204" t="n">
        <v>2200</v>
      </c>
    </row>
    <row r="206">
      <c r="B206" t="inlineStr">
        <is>
          <t>Assault APC (Sniper)</t>
        </is>
      </c>
      <c r="D206" t="n">
        <v>125000</v>
      </c>
      <c r="E206" t="n">
        <v>125</v>
      </c>
      <c r="F206" t="n">
        <v>7.5</v>
      </c>
      <c r="G206" t="n">
        <v>32000</v>
      </c>
      <c r="H206" t="n">
        <v>0.875</v>
      </c>
      <c r="I206" t="n">
        <v>75</v>
      </c>
      <c r="J206" s="6">
        <f>G206/I206*H206</f>
        <v/>
      </c>
      <c r="K206" t="n">
        <v>1</v>
      </c>
      <c r="L206" t="n">
        <v>1</v>
      </c>
      <c r="M206" t="n">
        <v>0.5</v>
      </c>
      <c r="O206" s="6">
        <f>(D206/100000+E206/100+F206*K206/5+J206/200)*200*L206*M206</f>
        <v/>
      </c>
      <c r="P206" s="6">
        <f>((D206*E206/25000)+(F206*K206*J206/2.5))*L206*M206</f>
        <v/>
      </c>
      <c r="Q206" s="6">
        <f>(D206*E206*F206*K206*J206*L206*M206)/12500000</f>
        <v/>
      </c>
      <c r="R206" s="6">
        <f>(O206+P206+Q206)/3</f>
        <v/>
      </c>
      <c r="S206" t="n">
        <v>1700</v>
      </c>
    </row>
    <row r="207">
      <c r="B207" t="inlineStr">
        <is>
          <t>Assault APC (Missile Soldier)</t>
        </is>
      </c>
      <c r="D207" t="n">
        <v>125000</v>
      </c>
      <c r="E207" t="n">
        <v>125</v>
      </c>
      <c r="F207" t="n">
        <v>7.5</v>
      </c>
      <c r="G207" t="n">
        <v>50000</v>
      </c>
      <c r="H207" t="n">
        <v>1</v>
      </c>
      <c r="I207" t="n">
        <v>75</v>
      </c>
      <c r="J207" s="6">
        <f>G207/I207*H207</f>
        <v/>
      </c>
      <c r="K207" t="n">
        <v>1</v>
      </c>
      <c r="L207" t="n">
        <v>1</v>
      </c>
      <c r="M207" t="n">
        <v>0.5</v>
      </c>
      <c r="O207" s="6">
        <f>(D207/100000+E207/100+F207*K207/5+J207/200)*200*L207*M207</f>
        <v/>
      </c>
      <c r="P207" s="6">
        <f>((D207*E207/25000)+(F207*K207*J207/2.5))*L207*M207</f>
        <v/>
      </c>
      <c r="Q207" s="6">
        <f>(D207*E207*F207*K207*J207*L207*M207)/12500000</f>
        <v/>
      </c>
      <c r="R207" s="6">
        <f>(O207+P207+Q207)/3</f>
        <v/>
      </c>
      <c r="S207" t="n">
        <v>2800</v>
      </c>
    </row>
    <row r="209">
      <c r="B209" t="inlineStr">
        <is>
          <t>Anti Air Support Vehicles</t>
        </is>
      </c>
    </row>
    <row r="210">
      <c r="J210" s="6" t="n"/>
      <c r="O210" s="6" t="n"/>
      <c r="P210" s="6" t="n"/>
      <c r="Q210" s="6" t="n"/>
      <c r="R210" s="6" t="n"/>
    </row>
    <row r="215">
      <c r="B215" t="inlineStr">
        <is>
          <t>Federation Hummer</t>
        </is>
      </c>
      <c r="D215" t="n">
        <v>45000</v>
      </c>
      <c r="E215" t="n">
        <v>110</v>
      </c>
      <c r="F215" t="n">
        <v>6.666</v>
      </c>
      <c r="G215" t="n">
        <v>32000</v>
      </c>
      <c r="H215" t="n">
        <v>0.75</v>
      </c>
      <c r="I215" t="n">
        <v>30</v>
      </c>
      <c r="J215" s="6">
        <f>G215/I215*H215</f>
        <v/>
      </c>
      <c r="K215" t="n">
        <v>1</v>
      </c>
      <c r="L215" t="n">
        <v>1</v>
      </c>
      <c r="M215" t="n">
        <v>1</v>
      </c>
      <c r="O215" s="6">
        <f>(D215/100000+E215/100+F215*K215/5+J215/200)*200*L215*M215</f>
        <v/>
      </c>
      <c r="P215" s="6">
        <f>((D215*E215/25000)+(F215*K215*J215/2.5))*L215*M215</f>
        <v/>
      </c>
      <c r="Q215" s="6">
        <f>(D215*E215*F215*K215*J215*L215*M215)/12500000</f>
        <v/>
      </c>
      <c r="R215" s="6">
        <f>(O215+P215+Q215)/3</f>
        <v/>
      </c>
      <c r="S215" t="n">
        <v>2000</v>
      </c>
    </row>
    <row r="216">
      <c r="B216" t="inlineStr">
        <is>
          <t>Federation Cougar</t>
        </is>
      </c>
      <c r="D216" t="n">
        <v>25000</v>
      </c>
      <c r="E216" t="n">
        <v>150</v>
      </c>
      <c r="F216" t="n">
        <v>6.666</v>
      </c>
      <c r="G216" t="n">
        <v>6000</v>
      </c>
      <c r="H216" t="n">
        <v>1</v>
      </c>
      <c r="I216" t="n">
        <v>10</v>
      </c>
      <c r="J216" s="6">
        <f>G216/I216*H216</f>
        <v/>
      </c>
      <c r="K216" t="n">
        <v>1</v>
      </c>
      <c r="L216" t="n">
        <v>1</v>
      </c>
      <c r="M216" t="n">
        <v>1</v>
      </c>
      <c r="O216" s="6">
        <f>(D216/100000+E216/100+F216*K216/5+J216/200)*200*L216*M216</f>
        <v/>
      </c>
      <c r="P216" s="6">
        <f>((D216*E216/25000)+(F216*K216*J216/2.5))*L216*M216</f>
        <v/>
      </c>
      <c r="Q216" s="6">
        <f>(D216*E216*F216*K216*J216*L216*M216)/12500000</f>
        <v/>
      </c>
      <c r="R216" s="6">
        <f>(O216+P216+Q216)/3</f>
        <v/>
      </c>
      <c r="S216" t="n">
        <v>1200</v>
      </c>
    </row>
    <row r="232">
      <c r="B232" t="inlineStr">
        <is>
          <t>AA Railgun Tank</t>
        </is>
      </c>
      <c r="D232" t="n">
        <v>115000</v>
      </c>
      <c r="E232" t="n">
        <v>65</v>
      </c>
      <c r="F232" t="n">
        <v>9</v>
      </c>
      <c r="G232" t="n">
        <v>24000</v>
      </c>
      <c r="H232" t="n">
        <v>1</v>
      </c>
      <c r="I232" t="n">
        <v>60</v>
      </c>
      <c r="J232" s="6">
        <f>G232/I232*H232</f>
        <v/>
      </c>
      <c r="K232" t="n">
        <v>1</v>
      </c>
      <c r="L232" t="n">
        <v>1</v>
      </c>
      <c r="M232" t="n">
        <v>1</v>
      </c>
      <c r="O232" s="6">
        <f>(D232/100000+E232/100+F232*K232/5+J232/200)*200*L232*M232</f>
        <v/>
      </c>
      <c r="P232" s="6">
        <f>((D232*E232/25000)+(F232*K232*J232/2.5))*L232*M232</f>
        <v/>
      </c>
      <c r="Q232" s="6">
        <f>(D232*E232*F232*K232*J232*L232*M232)/12500000</f>
        <v/>
      </c>
      <c r="R232" s="6">
        <f>(O232+P232+Q232)/3</f>
        <v/>
      </c>
      <c r="S232" t="n">
        <v>2000</v>
      </c>
    </row>
    <row r="233">
      <c r="B233" t="inlineStr">
        <is>
          <t>AA Heavy Railgun Tank</t>
        </is>
      </c>
      <c r="D233" t="n">
        <v>175000</v>
      </c>
      <c r="E233" t="n">
        <v>50</v>
      </c>
      <c r="F233" t="n">
        <v>10</v>
      </c>
      <c r="G233" t="n">
        <v>36000</v>
      </c>
      <c r="H233" t="n">
        <v>1</v>
      </c>
      <c r="I233" t="n">
        <v>75</v>
      </c>
      <c r="J233" s="6">
        <f>G233/I233*H233</f>
        <v/>
      </c>
      <c r="K233" t="n">
        <v>1</v>
      </c>
      <c r="L233" t="n">
        <v>1</v>
      </c>
      <c r="M233" t="n">
        <v>1</v>
      </c>
      <c r="O233" s="6">
        <f>(D233/100000+E233/100+F233*K233/5+J233/200)*200*L233*M233</f>
        <v/>
      </c>
      <c r="P233" s="6">
        <f>((D233*E233/25000)+(F233*K233*J233/2.5))*L233*M233</f>
        <v/>
      </c>
      <c r="Q233" s="6">
        <f>(D233*E233*F233*K233*J233*L233*M233)/12500000</f>
        <v/>
      </c>
      <c r="R233" s="6">
        <f>(O233+P233+Q233)/3</f>
        <v/>
      </c>
      <c r="S233" t="n">
        <v>3000</v>
      </c>
    </row>
    <row r="244">
      <c r="B244" t="inlineStr">
        <is>
          <t>Apparition</t>
        </is>
      </c>
      <c r="D244" t="n">
        <v>37500</v>
      </c>
      <c r="E244" t="n">
        <v>160</v>
      </c>
      <c r="F244" t="n">
        <v>3.333</v>
      </c>
      <c r="G244" t="n">
        <v>32000</v>
      </c>
      <c r="H244" t="n">
        <v>1</v>
      </c>
      <c r="I244" t="n">
        <v>25</v>
      </c>
      <c r="J244" s="6">
        <f>G244/I244*H244</f>
        <v/>
      </c>
      <c r="K244" t="n">
        <v>1</v>
      </c>
      <c r="L244" t="n">
        <v>1</v>
      </c>
      <c r="M244" t="n">
        <v>1</v>
      </c>
      <c r="O244" s="6">
        <f>(D244/100000+E244/100+F244*K244/5+J244/200)*200*L244*M244</f>
        <v/>
      </c>
      <c r="P244" s="6">
        <f>((D244*E244/25000)+(F244*K244*J244/2.5))*L244*M244</f>
        <v/>
      </c>
      <c r="Q244" s="6">
        <f>(D244*E244*F244*K244*J244*L244*M244)/12500000</f>
        <v/>
      </c>
      <c r="R244" s="6">
        <f>(O244+P244+Q244)/3</f>
        <v/>
      </c>
      <c r="S244" t="n">
        <v>2000</v>
      </c>
    </row>
    <row r="247">
      <c r="B247" t="inlineStr">
        <is>
          <t>Artilleries</t>
        </is>
      </c>
    </row>
    <row r="257">
      <c r="B257" t="inlineStr">
        <is>
          <t>Consortium Artillery Tank (undeployed)</t>
        </is>
      </c>
      <c r="D257" t="n">
        <v>42500</v>
      </c>
      <c r="E257" t="n">
        <v>100</v>
      </c>
      <c r="F257" t="n">
        <v>5</v>
      </c>
      <c r="G257" t="n">
        <v>8000</v>
      </c>
      <c r="H257" t="n">
        <v>3.33</v>
      </c>
      <c r="I257" t="n">
        <v>55</v>
      </c>
      <c r="J257" s="6">
        <f>G257/I257*H257</f>
        <v/>
      </c>
      <c r="K257" t="n">
        <v>1</v>
      </c>
      <c r="L257" t="n">
        <v>1</v>
      </c>
      <c r="M257" t="n">
        <v>1</v>
      </c>
      <c r="O257" s="6">
        <f>(D257/100000+E257/100+F257*K257/5+J257/200)*200*L257*M257</f>
        <v/>
      </c>
      <c r="P257" s="6">
        <f>((D257*E257/25000)+(F257*K257*J257/2.5))*L257*M257</f>
        <v/>
      </c>
      <c r="Q257" s="6">
        <f>(D257*E257*F257*K257*J257*L257*M257)/12500000</f>
        <v/>
      </c>
      <c r="R257" s="6">
        <f>(O257+P257+Q257)/3</f>
        <v/>
      </c>
      <c r="S257" t="n">
        <v>800</v>
      </c>
    </row>
    <row r="258">
      <c r="B258" t="inlineStr">
        <is>
          <t>Consortium Artillery Tank (deployed)</t>
        </is>
      </c>
      <c r="D258" t="n">
        <v>42500</v>
      </c>
      <c r="E258" t="n">
        <v>66</v>
      </c>
      <c r="F258" t="n">
        <v>11.111</v>
      </c>
      <c r="G258" t="n">
        <v>33333</v>
      </c>
      <c r="H258" t="n">
        <v>1</v>
      </c>
      <c r="I258" t="n">
        <v>111</v>
      </c>
      <c r="J258" s="6">
        <f>G258/I258*H258</f>
        <v/>
      </c>
      <c r="K258" t="n">
        <v>1</v>
      </c>
      <c r="L258" t="n">
        <v>1</v>
      </c>
      <c r="M258" t="n">
        <v>1</v>
      </c>
      <c r="O258" s="6">
        <f>(D258/100000+E258/100+F258*K258/5+J258/200)*200*L258*M258</f>
        <v/>
      </c>
      <c r="P258" s="6">
        <f>((D258*E258/25000)+(F258*K258*J258/2.5))*L258*M258</f>
        <v/>
      </c>
      <c r="Q258" s="6">
        <f>(D258*E258*F258*K258*J258*L258*M258)/12500000</f>
        <v/>
      </c>
      <c r="R258" s="6">
        <f>(O258+P258+Q258)/3</f>
        <v/>
      </c>
      <c r="S258" t="n">
        <v>800</v>
      </c>
    </row>
  </sheetData>
  <pageMargins left="0.7" right="0.7" top="0.787401575" bottom="0.7874015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S150"/>
  <sheetViews>
    <sheetView workbookViewId="0">
      <selection activeCell="O4" sqref="O4"/>
    </sheetView>
  </sheetViews>
  <sheetFormatPr baseColWidth="10" defaultRowHeight="15"/>
  <cols>
    <col width="23.28515625" bestFit="1" customWidth="1" min="1" max="1"/>
    <col width="23.5703125" bestFit="1" customWidth="1" min="2" max="2"/>
    <col width="17.28515625" bestFit="1" customWidth="1" min="3" max="3"/>
    <col width="8.85546875" customWidth="1" min="4" max="4"/>
    <col width="7" bestFit="1" customWidth="1" min="5" max="5"/>
    <col width="8.140625" bestFit="1" customWidth="1" min="6" max="6"/>
    <col width="12.5703125" bestFit="1" customWidth="1" min="7" max="7"/>
  </cols>
  <sheetData>
    <row r="2">
      <c r="B2" t="inlineStr">
        <is>
          <t>Helicopters</t>
        </is>
      </c>
      <c r="D2" t="inlineStr">
        <is>
          <t>HP</t>
        </is>
      </c>
      <c r="E2" t="inlineStr">
        <is>
          <t>Speed</t>
        </is>
      </c>
      <c r="F2" t="inlineStr">
        <is>
          <t>Range</t>
        </is>
      </c>
      <c r="G2" t="inlineStr">
        <is>
          <t>Damage</t>
        </is>
      </c>
      <c r="H2" t="inlineStr">
        <is>
          <t>Weapon Class</t>
        </is>
      </c>
      <c r="I2" t="inlineStr">
        <is>
          <t>Reload Delay</t>
        </is>
      </c>
      <c r="J2" s="6" t="inlineStr">
        <is>
          <t>DPS</t>
        </is>
      </c>
      <c r="K2" t="inlineStr">
        <is>
          <t>Special</t>
        </is>
      </c>
      <c r="L2" t="inlineStr">
        <is>
          <t>Unit Class</t>
        </is>
      </c>
      <c r="M2" t="inlineStr">
        <is>
          <t>Tech Tier</t>
        </is>
      </c>
      <c r="O2" s="6" t="n"/>
      <c r="P2" s="6" t="n"/>
      <c r="Q2" s="6" t="n"/>
      <c r="R2" s="6" t="n"/>
      <c r="S2" t="inlineStr">
        <is>
          <t>Cost</t>
        </is>
      </c>
    </row>
    <row r="3">
      <c r="J3" s="6" t="n"/>
      <c r="O3" s="6" t="n"/>
      <c r="P3" s="6" t="n"/>
      <c r="Q3" s="6" t="n"/>
      <c r="R3" s="6" t="n"/>
    </row>
    <row r="4">
      <c r="A4" t="inlineStr">
        <is>
          <t>TD</t>
        </is>
      </c>
      <c r="B4" t="inlineStr">
        <is>
          <t>Orca</t>
        </is>
      </c>
      <c r="D4" t="n">
        <v>32500</v>
      </c>
      <c r="E4" t="n">
        <v>175</v>
      </c>
      <c r="F4" s="7">
        <f>(S4*37500000/(L4*M4*D4*E4*K4*J4)-((500/(K4*J4))+(2500000000/(D4*E4*K4*J4)*(D4/100000+E4/100+J4/200))))/(1+5000000/(D4*E4)+(500000000/(D4*E4*J4)))</f>
        <v/>
      </c>
      <c r="G4" t="n">
        <v>12000</v>
      </c>
      <c r="H4" t="n">
        <v>1</v>
      </c>
      <c r="I4" t="n">
        <v>16</v>
      </c>
      <c r="J4" s="6">
        <f>G4/I4*H4</f>
        <v/>
      </c>
      <c r="K4" t="n">
        <v>1</v>
      </c>
      <c r="L4" t="n">
        <v>1</v>
      </c>
      <c r="M4" t="n">
        <v>1</v>
      </c>
      <c r="O4" s="6">
        <f>(D4/100000+E4/100+F4*K4/5+J4/200)*200*L4*M4</f>
        <v/>
      </c>
      <c r="P4" s="6">
        <f>((D4*E4/25000)+(F4*K4*J4/2.5))*L4*M4</f>
        <v/>
      </c>
      <c r="Q4" s="6">
        <f>(D4*E4*F4*K4*J4*L4*M4)/12500000</f>
        <v/>
      </c>
      <c r="R4" s="6">
        <f>(O4+P4+Q4)/3</f>
        <v/>
      </c>
      <c r="S4" t="n">
        <v>1700</v>
      </c>
    </row>
    <row r="5">
      <c r="B5" t="inlineStr">
        <is>
          <t>Apache</t>
        </is>
      </c>
      <c r="D5" t="n">
        <v>45000</v>
      </c>
      <c r="E5" t="n">
        <v>160</v>
      </c>
      <c r="F5" s="7">
        <f>(S5*37500000/(L5*M5*D5*E5*K5*J5)-((500/(K5*J5))+(2500000000/(D5*E5*K5*J5)*(D5/100000+E5/100+J5/200))))/(1+5000000/(D5*E5)+(500000000/(D5*E5*J5)))</f>
        <v/>
      </c>
      <c r="G5" t="n">
        <v>16000</v>
      </c>
      <c r="H5" t="n">
        <v>1</v>
      </c>
      <c r="I5" t="n">
        <v>22</v>
      </c>
      <c r="J5" s="6">
        <f>G5/I5*H5</f>
        <v/>
      </c>
      <c r="K5" t="n">
        <v>1</v>
      </c>
      <c r="L5" t="n">
        <v>1</v>
      </c>
      <c r="M5" t="n">
        <v>1</v>
      </c>
      <c r="O5" s="6">
        <f>(D5/100000+E5/100+F5*K5/5+J5/200)*200*L5*M5</f>
        <v/>
      </c>
      <c r="P5" s="6">
        <f>((D5*E5/25000)+(F5*K5*J5/2.5))*L5*M5</f>
        <v/>
      </c>
      <c r="Q5" s="6">
        <f>(D5*E5*F5*K5*J5*L5*M5)/12500000</f>
        <v/>
      </c>
      <c r="R5" s="6">
        <f>(O5+P5+Q5)/3</f>
        <v/>
      </c>
      <c r="S5" t="n">
        <v>1600</v>
      </c>
    </row>
    <row r="6">
      <c r="B6" t="inlineStr">
        <is>
          <t>Venom</t>
        </is>
      </c>
      <c r="D6" t="n">
        <v>27500</v>
      </c>
      <c r="E6" t="n">
        <v>200</v>
      </c>
      <c r="F6" s="7">
        <f>(S6*37500000/(L6*M6*D6*E6*K6*J6)-((500/(K6*J6))+(2500000000/(D6*E6*K6*J6)*(D6/100000+E6/100+J6/200))))/(1+5000000/(D6*E6)+(500000000/(D6*E6*J6)))</f>
        <v/>
      </c>
      <c r="G6" t="n">
        <v>8000</v>
      </c>
      <c r="H6" t="n">
        <v>1</v>
      </c>
      <c r="I6" t="n">
        <v>18</v>
      </c>
      <c r="J6" s="6">
        <f>G6/I6*H6</f>
        <v/>
      </c>
      <c r="K6" t="n">
        <v>1.5</v>
      </c>
      <c r="L6" t="n">
        <v>1</v>
      </c>
      <c r="M6" t="n">
        <v>0.75</v>
      </c>
      <c r="O6" s="6">
        <f>(D6/100000+E6/100+F6*K6/5+J6/200)*200*L6*M6</f>
        <v/>
      </c>
      <c r="P6" s="6">
        <f>((D6*E6/25000)+(F6*K6*J6/2.5))*L6*M6</f>
        <v/>
      </c>
      <c r="Q6" s="6">
        <f>(D6*E6*F6*K6*J6*L6*M6)/12500000</f>
        <v/>
      </c>
      <c r="R6" s="6">
        <f>(O6+P6+Q6)/3</f>
        <v/>
      </c>
      <c r="S6" t="n">
        <v>900</v>
      </c>
    </row>
    <row r="7">
      <c r="A7" t="inlineStr">
        <is>
          <t>RA1</t>
        </is>
      </c>
      <c r="B7" t="inlineStr">
        <is>
          <t>Hind</t>
        </is>
      </c>
      <c r="D7" t="n">
        <v>100000</v>
      </c>
      <c r="E7" t="n">
        <v>120</v>
      </c>
      <c r="F7" s="7">
        <f>(S7*37500000/(L7*M7*D7*E7*K7*J7)-((500/(K7*J7))+(2500000000/(D7*E7*K7*J7)*(D7/100000+E7/100+J7/200))))/(1+5000000/(D7*E7)+(500000000/(D7*E7*J7)))</f>
        <v/>
      </c>
      <c r="G7" t="n">
        <v>4000</v>
      </c>
      <c r="H7" t="n">
        <v>1</v>
      </c>
      <c r="I7" t="n">
        <v>8</v>
      </c>
      <c r="J7" s="6">
        <f>G7/I7*H7</f>
        <v/>
      </c>
      <c r="K7" t="n">
        <v>1</v>
      </c>
      <c r="L7" t="n">
        <v>1</v>
      </c>
      <c r="M7" t="n">
        <v>1</v>
      </c>
      <c r="O7" s="6">
        <f>(D7/100000+E7/100+F7*K7/5+J7/200)*200*L7*M7</f>
        <v/>
      </c>
      <c r="P7" s="6">
        <f>((D7*E7/25000)+(F7*K7*J7/2.5))*L7*M7</f>
        <v/>
      </c>
      <c r="Q7" s="6">
        <f>(D7*E7*F7*K7*J7*L7*M7)/12500000</f>
        <v/>
      </c>
      <c r="R7" s="6">
        <f>(O7+P7+Q7)/3</f>
        <v/>
      </c>
      <c r="S7" t="n">
        <v>1800</v>
      </c>
    </row>
    <row r="8">
      <c r="B8" t="inlineStr">
        <is>
          <t>Kamov</t>
        </is>
      </c>
      <c r="D8" t="n">
        <v>122500</v>
      </c>
      <c r="E8" t="n">
        <v>125</v>
      </c>
      <c r="F8" s="7">
        <f>(S8*37500000/(L8*M8*D8*E8*K8*J8)-((500/(K8*J8))+(2500000000/(D8*E8*K8*J8)*(D8/100000+E8/100+J8/200))))/(1+5000000/(D8*E8)+(500000000/(D8*E8*J8)))</f>
        <v/>
      </c>
      <c r="G8" t="n">
        <v>4000</v>
      </c>
      <c r="H8" t="n">
        <v>1</v>
      </c>
      <c r="I8" t="n">
        <v>8</v>
      </c>
      <c r="J8" s="6">
        <f>G8/I8*H8</f>
        <v/>
      </c>
      <c r="K8" t="n">
        <v>1</v>
      </c>
      <c r="L8" t="n">
        <v>1</v>
      </c>
      <c r="M8" t="n">
        <v>1</v>
      </c>
      <c r="O8" s="6">
        <f>(D8/100000+E8/100+F8*K8/5+J8/200)*200*L8*M8</f>
        <v/>
      </c>
      <c r="P8" s="6">
        <f>((D8*E8/25000)+(F8*K8*J8/2.5))*L8*M8</f>
        <v/>
      </c>
      <c r="Q8" s="6">
        <f>(D8*E8*F8*K8*J8*L8*M8)/12500000</f>
        <v/>
      </c>
      <c r="R8" s="6">
        <f>(O8+P8+Q8)/3</f>
        <v/>
      </c>
      <c r="S8" t="n">
        <v>2100</v>
      </c>
    </row>
    <row r="9">
      <c r="B9" t="inlineStr">
        <is>
          <t>Black Hawk</t>
        </is>
      </c>
      <c r="D9" t="n">
        <v>50000</v>
      </c>
      <c r="E9" t="n">
        <v>130</v>
      </c>
      <c r="F9" s="7">
        <f>(S9*37500000/(L9*M9*D9*E9*K9*J9)-((500/(K9*J9))+(2500000000/(D9*E9*K9*J9)*(D9/100000+E9/100+J9/200))))/(1+5000000/(D9*E9)+(500000000/(D9*E9*J9)))</f>
        <v/>
      </c>
      <c r="G9" t="n">
        <v>5000</v>
      </c>
      <c r="H9" t="n">
        <v>0.875</v>
      </c>
      <c r="I9" t="n">
        <v>8</v>
      </c>
      <c r="J9" s="6">
        <f>G9/I9*H9</f>
        <v/>
      </c>
      <c r="K9" t="n">
        <v>1</v>
      </c>
      <c r="L9" t="n">
        <v>1</v>
      </c>
      <c r="M9" t="n">
        <v>1</v>
      </c>
      <c r="O9" s="6">
        <f>(D9/100000+E9/100+F9*K9/5+J9/200)*200*L9*M9</f>
        <v/>
      </c>
      <c r="P9" s="6">
        <f>((D9*E9/25000)+(F9*K9*J9/2.5))*L9*M9</f>
        <v/>
      </c>
      <c r="Q9" s="6">
        <f>(D9*E9*F9*K9*J9*L9*M9)/12500000</f>
        <v/>
      </c>
      <c r="R9" s="6">
        <f>(O9+P9+Q9)/3</f>
        <v/>
      </c>
      <c r="S9" t="n">
        <v>1000</v>
      </c>
    </row>
    <row r="10">
      <c r="B10" t="inlineStr">
        <is>
          <t>Longbow</t>
        </is>
      </c>
      <c r="D10" t="n">
        <v>35000</v>
      </c>
      <c r="E10" t="n">
        <v>150</v>
      </c>
      <c r="F10" s="7">
        <f>(S10*37500000/(L10*M10*D10*E10*K10*J10)-((500/(K10*J10))+(2500000000/(D10*E10*K10*J10)*(D10/100000+E10/100+J10/200))))/(1+5000000/(D10*E10)+(500000000/(D10*E10*J10)))</f>
        <v/>
      </c>
      <c r="G10" t="n">
        <v>16000</v>
      </c>
      <c r="H10" t="n">
        <v>1.125</v>
      </c>
      <c r="I10" t="n">
        <v>16</v>
      </c>
      <c r="J10" s="6">
        <f>G10/I10*H10</f>
        <v/>
      </c>
      <c r="K10" t="n">
        <v>1</v>
      </c>
      <c r="L10" t="n">
        <v>1</v>
      </c>
      <c r="M10" t="n">
        <v>0.75</v>
      </c>
      <c r="O10" s="6">
        <f>(D10/100000+E10/100+F10*K10/5+J10/200)*200*L10*M10</f>
        <v/>
      </c>
      <c r="P10" s="6">
        <f>((D10*E10/25000)+(F10*K10*J10/2.5))*L10*M10</f>
        <v/>
      </c>
      <c r="Q10" s="6">
        <f>(D10*E10*F10*K10*J10*L10*M10)/12500000</f>
        <v/>
      </c>
      <c r="R10" s="6">
        <f>(O10+P10+Q10)/3</f>
        <v/>
      </c>
      <c r="S10" t="n">
        <v>2000</v>
      </c>
    </row>
    <row r="11">
      <c r="B11" t="inlineStr">
        <is>
          <t>Sky Hawk</t>
        </is>
      </c>
      <c r="D11" t="n">
        <v>75000</v>
      </c>
      <c r="E11" t="n">
        <v>125</v>
      </c>
      <c r="F11" s="7">
        <f>(S11*37500000/(L11*M11*D11*E11*K11*J11)-((500/(K11*J11))+(2500000000/(D11*E11*K11*J11)*(D11/100000+E11/100+J11/200))))/(1+5000000/(D11*E11)+(500000000/(D11*E11*J11)))</f>
        <v/>
      </c>
      <c r="G11" t="n">
        <v>12000</v>
      </c>
      <c r="H11" t="n">
        <v>0.875</v>
      </c>
      <c r="I11" t="n">
        <v>8</v>
      </c>
      <c r="J11" s="6">
        <f>G11/I11*H11</f>
        <v/>
      </c>
      <c r="K11" t="n">
        <v>1.25</v>
      </c>
      <c r="L11" t="n">
        <v>1</v>
      </c>
      <c r="M11" t="n">
        <v>0.75</v>
      </c>
      <c r="O11" s="6">
        <f>(D11/100000+E11/100+F11*K11/5+J11/200)*200*L11*M11</f>
        <v/>
      </c>
      <c r="P11" s="6">
        <f>((D11*E11/25000)+(F11*K11*J11/2.5))*L11*M11</f>
        <v/>
      </c>
      <c r="Q11" s="6">
        <f>(D11*E11*F11*K11*J11*L11*M11)/12500000</f>
        <v/>
      </c>
      <c r="R11" s="6">
        <f>(O11+P11+Q11)/3</f>
        <v/>
      </c>
      <c r="S11" t="n">
        <v>2000</v>
      </c>
    </row>
    <row r="12">
      <c r="B12" t="inlineStr">
        <is>
          <t>Rocket Angel</t>
        </is>
      </c>
      <c r="D12" t="n">
        <v>25000</v>
      </c>
      <c r="E12" t="n">
        <v>160</v>
      </c>
      <c r="F12" s="7">
        <f>(S12*37500000/(L12*M12*D12*E12*K12*J12)-((500/(K12*J12))+(2500000000/(D12*E12*K12*J12)*(D12/100000+E12/100+J12/200))))/(1+5000000/(D12*E12)+(500000000/(D12*E12*J12)))</f>
        <v/>
      </c>
      <c r="G12" t="n">
        <v>24000</v>
      </c>
      <c r="H12" t="n">
        <v>1</v>
      </c>
      <c r="I12" t="n">
        <v>34</v>
      </c>
      <c r="J12" s="6">
        <f>G12/I12*H12</f>
        <v/>
      </c>
      <c r="K12" t="n">
        <v>1.25</v>
      </c>
      <c r="L12" t="n">
        <v>1</v>
      </c>
      <c r="M12" t="n">
        <v>0.75</v>
      </c>
      <c r="O12" s="6">
        <f>(D12/100000+E12/100+F12*K12/5+J12/200)*200*L12*M12</f>
        <v/>
      </c>
      <c r="P12" s="6">
        <f>((D12*E12/25000)+(F12*K12*J12/2.5))*L12*M12</f>
        <v/>
      </c>
      <c r="Q12" s="6">
        <f>(D12*E12*F12*K12*J12*L12*M12)/12500000</f>
        <v/>
      </c>
      <c r="R12" s="6">
        <f>(O12+P12+Q12)/3</f>
        <v/>
      </c>
      <c r="S12" t="n">
        <v>900</v>
      </c>
    </row>
    <row r="13">
      <c r="A13" t="inlineStr">
        <is>
          <t>D2K</t>
        </is>
      </c>
      <c r="B13" t="inlineStr">
        <is>
          <t>Ix Drone</t>
        </is>
      </c>
      <c r="D13" t="n">
        <v>30000</v>
      </c>
      <c r="E13" t="n">
        <v>170</v>
      </c>
      <c r="F13" s="7">
        <f>(S13*37500000/(L13*M13*D13*E13*K13*J13)-((500/(K13*J13))+(2500000000/(D13*E13*K13*J13)*(D13/100000+E13/100+J13/200))))/(1+5000000/(D13*E13)+(500000000/(D13*E13*J13)))</f>
        <v/>
      </c>
      <c r="G13" t="n">
        <v>24000</v>
      </c>
      <c r="H13" t="n">
        <v>1</v>
      </c>
      <c r="I13" t="n">
        <v>24</v>
      </c>
      <c r="J13" s="6">
        <f>G13/I13*H13</f>
        <v/>
      </c>
      <c r="K13" t="n">
        <v>1.25</v>
      </c>
      <c r="L13" t="n">
        <v>1</v>
      </c>
      <c r="M13" t="n">
        <v>0.75</v>
      </c>
      <c r="O13" s="6">
        <f>(D13/100000+E13/100+F13*K13/5+J13/200)*200*L13*M13</f>
        <v/>
      </c>
      <c r="P13" s="6">
        <f>((D13*E13/25000)+(F13*K13*J13/2.5))*L13*M13</f>
        <v/>
      </c>
      <c r="Q13" s="6">
        <f>(D13*E13*F13*K13*J13*L13*M13)/12500000</f>
        <v/>
      </c>
      <c r="R13" s="6">
        <f>(O13+P13+Q13)/3</f>
        <v/>
      </c>
      <c r="S13" t="n">
        <v>2000</v>
      </c>
    </row>
    <row r="14">
      <c r="B14" t="inlineStr">
        <is>
          <t>Banshee</t>
        </is>
      </c>
      <c r="D14" t="n">
        <v>37500</v>
      </c>
      <c r="E14" t="n">
        <v>165</v>
      </c>
      <c r="F14" s="7">
        <f>(S14*37500000/(L14*M14*D14*E14*K14*J14)-((500/(K14*J14))+(2500000000/(D14*E14*K14*J14)*(D14/100000+E14/100+J14/200))))/(1+5000000/(D14*E14)+(500000000/(D14*E14*J14)))</f>
        <v/>
      </c>
      <c r="G14" t="n">
        <v>50000</v>
      </c>
      <c r="H14" t="n">
        <v>1</v>
      </c>
      <c r="I14" t="n">
        <v>42</v>
      </c>
      <c r="J14" s="6">
        <f>G14/I14*H14</f>
        <v/>
      </c>
      <c r="K14" t="n">
        <v>1</v>
      </c>
      <c r="L14" t="n">
        <v>1</v>
      </c>
      <c r="M14" t="n">
        <v>0.75</v>
      </c>
      <c r="O14" s="6">
        <f>(D14/100000+E14/100+F14*K14/5+J14/200)*200*L14*M14</f>
        <v/>
      </c>
      <c r="P14" s="6">
        <f>((D14*E14/25000)+(F14*K14*J14/2.5))*L14*M14</f>
        <v/>
      </c>
      <c r="Q14" s="6">
        <f>(D14*E14*F14*K14*J14*L14*M14)/12500000</f>
        <v/>
      </c>
      <c r="R14" s="6">
        <f>(O14+P14+Q14)/3</f>
        <v/>
      </c>
      <c r="S14" t="n">
        <v>2250</v>
      </c>
    </row>
    <row r="15">
      <c r="A15" t="inlineStr">
        <is>
          <t>RA2</t>
        </is>
      </c>
      <c r="B15" t="inlineStr">
        <is>
          <t>Siege Chopper</t>
        </is>
      </c>
      <c r="D15" t="n">
        <v>55000</v>
      </c>
      <c r="E15" t="n">
        <v>150</v>
      </c>
      <c r="F15" s="7">
        <f>(S15*37500000/(L15*M15*D15*E15*K15*J15)-((500/(K15*J15))+(2500000000/(D15*E15*K15*J15)*(D15/100000+E15/100+J15/200))))/(1+5000000/(D15*E15)+(500000000/(D15*E15*J15)))</f>
        <v/>
      </c>
      <c r="G15" t="n">
        <v>2000</v>
      </c>
      <c r="H15" t="n">
        <v>0.875</v>
      </c>
      <c r="I15" t="n">
        <v>3</v>
      </c>
      <c r="J15" s="6">
        <f>G15/I15*H15</f>
        <v/>
      </c>
      <c r="K15" t="n">
        <v>1</v>
      </c>
      <c r="L15" t="n">
        <v>1</v>
      </c>
      <c r="M15" t="n">
        <v>1</v>
      </c>
      <c r="O15" s="6">
        <f>(D15/100000+E15/100+F15*K15/5+J15/200)*200*L15*M15</f>
        <v/>
      </c>
      <c r="P15" s="6">
        <f>((D15*E15/25000)+(F15*K15*J15/2.5))*L15*M15</f>
        <v/>
      </c>
      <c r="Q15" s="6">
        <f>(D15*E15*F15*K15*J15*L15*M15)/12500000</f>
        <v/>
      </c>
      <c r="R15" s="6">
        <f>(O15+P15+Q15)/3</f>
        <v/>
      </c>
      <c r="S15" t="n">
        <v>1500</v>
      </c>
    </row>
    <row r="16">
      <c r="B16" t="inlineStr">
        <is>
          <t>Siege Chopper</t>
        </is>
      </c>
      <c r="D16" t="n">
        <v>55000</v>
      </c>
      <c r="E16" t="n">
        <v>150</v>
      </c>
      <c r="F16" s="7">
        <f>(S16*37500000/(L16*M16*D16*E16*K16*J16)-((500/(K16*J16))+(2500000000/(D16*E16*K16*J16)*(D16/100000+E16/100+J16/200))))/(1+5000000/(D16*E16)+(500000000/(D16*E16*J16)))</f>
        <v/>
      </c>
      <c r="G16" t="n">
        <v>60000</v>
      </c>
      <c r="H16" t="n">
        <v>0.875</v>
      </c>
      <c r="I16" t="n">
        <v>88</v>
      </c>
      <c r="J16" s="6">
        <f>G16/I16*H16</f>
        <v/>
      </c>
      <c r="K16" t="n">
        <v>1</v>
      </c>
      <c r="L16" t="n">
        <v>0.5</v>
      </c>
      <c r="M16" t="n">
        <v>1</v>
      </c>
      <c r="O16" s="6">
        <f>(D16/100000+E16/100+F16*K16/5+J16/200)*200*L16*M16</f>
        <v/>
      </c>
      <c r="P16" s="6">
        <f>((D16*E16/25000)+(F16*K16*J16/2.5))*L16*M16</f>
        <v/>
      </c>
      <c r="Q16" s="6">
        <f>(D16*E16*F16*K16*J16*L16*M16)/12500000</f>
        <v/>
      </c>
      <c r="R16" s="6">
        <f>(O16+P16+Q16)/3</f>
        <v/>
      </c>
      <c r="S16" t="n">
        <v>1500</v>
      </c>
    </row>
    <row r="17">
      <c r="B17" t="inlineStr">
        <is>
          <t>Night Hawk</t>
        </is>
      </c>
      <c r="D17" t="n">
        <v>87500</v>
      </c>
      <c r="E17" t="n">
        <v>120</v>
      </c>
      <c r="F17" s="7">
        <f>(S17*37500000/(L17*M17*D17*E17*K17*J17)-((500/(K17*J17))+(2500000000/(D17*E17*K17*J17)*(D17/100000+E17/100+J17/200))))/(1+5000000/(D17*E17)+(500000000/(D17*E17*J17)))</f>
        <v/>
      </c>
      <c r="G17" t="n">
        <v>2000</v>
      </c>
      <c r="H17" t="n">
        <v>0.875</v>
      </c>
      <c r="I17" t="n">
        <v>3</v>
      </c>
      <c r="J17" s="6">
        <f>G17/I17*H17</f>
        <v/>
      </c>
      <c r="K17" t="n">
        <v>1</v>
      </c>
      <c r="L17" t="n">
        <v>1.25</v>
      </c>
      <c r="M17" t="n">
        <v>1</v>
      </c>
      <c r="O17" s="6">
        <f>(D17/100000+E17/100+F17*K17/5+J17/200)*200*L17*M17</f>
        <v/>
      </c>
      <c r="P17" s="6">
        <f>((D17*E17/25000)+(F17*K17*J17/2.5))*L17*M17</f>
        <v/>
      </c>
      <c r="Q17" s="6">
        <f>(D17*E17*F17*K17*J17*L17*M17)/12500000</f>
        <v/>
      </c>
      <c r="R17" s="6">
        <f>(O17+P17+Q17)/3</f>
        <v/>
      </c>
      <c r="S17" t="n">
        <v>2100</v>
      </c>
    </row>
    <row r="18">
      <c r="B18" t="inlineStr">
        <is>
          <t>Rocketeer</t>
        </is>
      </c>
      <c r="D18" t="n">
        <v>18000</v>
      </c>
      <c r="E18" t="n">
        <v>180</v>
      </c>
      <c r="F18" s="7">
        <f>(S18*37500000/(L18*M18*D18*E18*K18*J18)-((500/(K18*J18))+(2500000000/(D18*E18*K18*J18)*(D18/100000+E18/100+J18/200))))/(1+5000000/(D18*E18)+(500000000/(D18*E18*J18)))</f>
        <v/>
      </c>
      <c r="G18" t="n">
        <v>4000</v>
      </c>
      <c r="H18" t="n">
        <v>0.875</v>
      </c>
      <c r="I18" t="n">
        <v>14</v>
      </c>
      <c r="J18" s="6">
        <f>G18/I18*H18</f>
        <v/>
      </c>
      <c r="K18" t="n">
        <v>1</v>
      </c>
      <c r="L18" t="n">
        <v>1</v>
      </c>
      <c r="M18" t="n">
        <v>1</v>
      </c>
      <c r="O18" s="6">
        <f>(D18/100000+E18/100+F18*K18/5+J18/200)*200*L18*M18</f>
        <v/>
      </c>
      <c r="P18" s="6">
        <f>((D18*E18/25000)+(F18*K18*J18/2.5))*L18*M18</f>
        <v/>
      </c>
      <c r="Q18" s="6">
        <f>(D18*E18*F18*K18*J18*L18*M18)/12500000</f>
        <v/>
      </c>
      <c r="R18" s="6">
        <f>(O18+P18+Q18)/3</f>
        <v/>
      </c>
      <c r="S18" t="n">
        <v>600</v>
      </c>
    </row>
    <row r="19">
      <c r="B19" t="inlineStr">
        <is>
          <t>Cosmonaut</t>
        </is>
      </c>
      <c r="D19" t="n">
        <v>28000</v>
      </c>
      <c r="E19" t="n">
        <v>165</v>
      </c>
      <c r="F19" s="7">
        <f>(S19*37500000/(L19*M19*D19*E19*K19*J19)-((500/(K19*J19))+(2500000000/(D19*E19*K19*J19)*(D19/100000+E19/100+J19/200))))/(1+5000000/(D19*E19)+(500000000/(D19*E19*J19)))</f>
        <v/>
      </c>
      <c r="G19" t="n">
        <v>6000</v>
      </c>
      <c r="H19" t="n">
        <v>1</v>
      </c>
      <c r="I19" t="n">
        <v>11</v>
      </c>
      <c r="J19" s="6">
        <f>G19/I19*H19</f>
        <v/>
      </c>
      <c r="K19" t="n">
        <v>1</v>
      </c>
      <c r="L19" t="n">
        <v>1</v>
      </c>
      <c r="M19" t="n">
        <v>1</v>
      </c>
      <c r="O19" s="6">
        <f>(D19/100000+E19/100+F19*K19/5+J19/200)*200*L19*M19</f>
        <v/>
      </c>
      <c r="P19" s="6">
        <f>((D19*E19/25000)+(F19*K19*J19/2.5))*L19*M19</f>
        <v/>
      </c>
      <c r="Q19" s="6">
        <f>(D19*E19*F19*K19*J19*L19*M19)/12500000</f>
        <v/>
      </c>
      <c r="R19" s="6">
        <f>(O19+P19+Q19)/3</f>
        <v/>
      </c>
      <c r="S19" t="n">
        <v>1100</v>
      </c>
    </row>
    <row r="20">
      <c r="B20" t="inlineStr">
        <is>
          <t>Transport Kirov</t>
        </is>
      </c>
      <c r="D20" t="n">
        <v>265000</v>
      </c>
      <c r="E20" t="n">
        <v>35</v>
      </c>
      <c r="F20" s="7">
        <f>(S20*37500000/(L20*M20*D20*E20*K20*J20)-((500/(K20*J20))+(2500000000/(D20*E20*K20*J20)*(D20/100000+E20/100+J20/200))))/(1+5000000/(D20*E20)+(500000000/(D20*E20*J20)))</f>
        <v/>
      </c>
      <c r="G20" t="n">
        <v>4000</v>
      </c>
      <c r="H20" t="n">
        <v>0.875</v>
      </c>
      <c r="I20" t="n">
        <v>3</v>
      </c>
      <c r="J20" s="6">
        <f>G20/I20*H20</f>
        <v/>
      </c>
      <c r="K20" t="n">
        <v>1</v>
      </c>
      <c r="L20" t="n">
        <v>1.25</v>
      </c>
      <c r="M20" t="n">
        <v>1</v>
      </c>
      <c r="O20" s="6">
        <f>(D20/100000+E20/100+F20*K20/5+J20/200)*200*L20*M20</f>
        <v/>
      </c>
      <c r="P20" s="6">
        <f>((D20*E20/25000)+(F20*K20*J20/2.5))*L20*M20</f>
        <v/>
      </c>
      <c r="Q20" s="6">
        <f>(D20*E20*F20*K20*J20*L20*M20)/12500000</f>
        <v/>
      </c>
      <c r="R20" s="6">
        <f>(O20+P20+Q20)/3</f>
        <v/>
      </c>
      <c r="S20" t="n">
        <v>3600</v>
      </c>
    </row>
    <row r="21">
      <c r="A21" t="inlineStr">
        <is>
          <t>Naxis</t>
        </is>
      </c>
      <c r="B21" t="inlineStr">
        <is>
          <t>Sky Mage</t>
        </is>
      </c>
      <c r="D21" t="n">
        <v>48000</v>
      </c>
      <c r="E21" t="n">
        <v>160</v>
      </c>
      <c r="F21" s="7">
        <f>(S21*37500000/(L21*M21*D21*E21*K21*J21)-((500/(K21*J21))+(2500000000/(D21*E21*K21*J21)*(D21/100000+E21/100+J21/200))))/(1+5000000/(D21*E21)+(500000000/(D21*E21*J21)))</f>
        <v/>
      </c>
      <c r="G21" t="n">
        <v>24000</v>
      </c>
      <c r="H21" t="n">
        <v>1</v>
      </c>
      <c r="I21" t="n">
        <v>46</v>
      </c>
      <c r="J21" s="6">
        <f>G21/I21*H21</f>
        <v/>
      </c>
      <c r="K21" t="n">
        <v>1.25</v>
      </c>
      <c r="L21" t="n">
        <v>1</v>
      </c>
      <c r="M21" t="n">
        <v>0.75</v>
      </c>
      <c r="O21" s="6">
        <f>(D21/100000+E21/100+F21*K21/5+J21/200)*200*L21*M21</f>
        <v/>
      </c>
      <c r="P21" s="6">
        <f>((D21*E21/25000)+(F21*K21*J21/2.5))*L21*M21</f>
        <v/>
      </c>
      <c r="Q21" s="6">
        <f>(D21*E21*F21*K21*J21*L21*M21)/12500000</f>
        <v/>
      </c>
      <c r="R21" s="6">
        <f>(O21+P21+Q21)/3</f>
        <v/>
      </c>
      <c r="S21" t="n">
        <v>1200</v>
      </c>
    </row>
    <row r="22">
      <c r="A22" t="inlineStr">
        <is>
          <t>StarCraft</t>
        </is>
      </c>
      <c r="B22" t="inlineStr">
        <is>
          <t>Wraith (Laser)</t>
        </is>
      </c>
      <c r="D22" t="n">
        <v>50000</v>
      </c>
      <c r="E22" t="n">
        <v>120</v>
      </c>
      <c r="F22" s="7">
        <f>(S22*37500000/(L22*M22*D22*E22*K22*J22)-((500/(K22*J22))+(2500000000/(D22*E22*K22*J22)*(D22/100000+E22/100+J22/200))))/(1+5000000/(D22*E22)+(500000000/(D22*E22*J22)))</f>
        <v/>
      </c>
      <c r="G22" t="n">
        <v>16000</v>
      </c>
      <c r="H22" t="n">
        <v>1.25</v>
      </c>
      <c r="I22" t="n">
        <v>32</v>
      </c>
      <c r="J22" s="6">
        <f>G22/I22*H22</f>
        <v/>
      </c>
      <c r="K22" t="n">
        <v>1</v>
      </c>
      <c r="L22" t="n">
        <v>1</v>
      </c>
      <c r="M22" t="n">
        <v>1</v>
      </c>
      <c r="O22" s="6">
        <f>(D22/100000+E22/100+F22*K22/5+J22/200)*200*L22*M22</f>
        <v/>
      </c>
      <c r="P22" s="6">
        <f>((D22*E22/25000)+(F22*K22*J22/2.5))*L22*M22</f>
        <v/>
      </c>
      <c r="Q22" s="6">
        <f>(D22*E22*F22*K22*J22*L22*M22)/12500000</f>
        <v/>
      </c>
      <c r="R22" s="6">
        <f>(O22+P22+Q22)/3</f>
        <v/>
      </c>
      <c r="S22" t="n">
        <v>1400</v>
      </c>
    </row>
    <row r="23">
      <c r="B23" t="inlineStr">
        <is>
          <t>Wraith (Rockets)</t>
        </is>
      </c>
      <c r="D23" t="n">
        <v>50000</v>
      </c>
      <c r="E23" t="n">
        <v>120</v>
      </c>
      <c r="F23" s="7">
        <f>(S23*37500000/(L23*M23*D23*E23*K23*J23)-((500/(K23*J23))+(2500000000/(D23*E23*K23*J23)*(D23/100000+E23/100+J23/200))))/(1+5000000/(D23*E23)+(500000000/(D23*E23*J23)))</f>
        <v/>
      </c>
      <c r="G23" t="n">
        <v>20000</v>
      </c>
      <c r="H23" t="n">
        <v>0.75</v>
      </c>
      <c r="I23" t="n">
        <v>24</v>
      </c>
      <c r="J23" s="6">
        <f>G23/I23*H23</f>
        <v/>
      </c>
      <c r="K23" t="n">
        <v>1</v>
      </c>
      <c r="L23" t="n">
        <v>1</v>
      </c>
      <c r="M23" t="n">
        <v>1</v>
      </c>
      <c r="O23" s="6">
        <f>(D23/100000+E23/100+F23*K23/5+J23/200)*200*L23*M23</f>
        <v/>
      </c>
      <c r="P23" s="6">
        <f>((D23*E23/25000)+(F23*K23*J23/2.5))*L23*M23</f>
        <v/>
      </c>
      <c r="Q23" s="6">
        <f>(D23*E23*F23*K23*J23*L23*M23)/12500000</f>
        <v/>
      </c>
      <c r="R23" s="6">
        <f>(O23+P23+Q23)/3</f>
        <v/>
      </c>
      <c r="S23" t="n">
        <v>1400</v>
      </c>
    </row>
    <row r="24">
      <c r="B24" t="inlineStr">
        <is>
          <t>Sun Dog (Laser)</t>
        </is>
      </c>
      <c r="D24" t="n">
        <v>160000</v>
      </c>
      <c r="E24" t="n">
        <v>120</v>
      </c>
      <c r="F24" s="7">
        <f>(S24*37500000/(L24*M24*D24*E24*K24*J24)-((500/(K24*J24))+(2500000000/(D24*E24*K24*J24)*(D24/100000+E24/100+J24/200))))/(1+5000000/(D24*E24)+(500000000/(D24*E24*J24)))</f>
        <v/>
      </c>
      <c r="G24" t="n">
        <v>16000</v>
      </c>
      <c r="H24" t="n">
        <v>1.25</v>
      </c>
      <c r="I24" t="n">
        <v>39</v>
      </c>
      <c r="J24" s="6">
        <f>G24/I24*H24</f>
        <v/>
      </c>
      <c r="K24" t="n">
        <v>1</v>
      </c>
      <c r="L24" t="n">
        <v>1</v>
      </c>
      <c r="M24" t="n">
        <v>1</v>
      </c>
      <c r="O24" s="6">
        <f>(D24/100000+E24/100+F24*K24/5+J24/200)*200*L24*M24</f>
        <v/>
      </c>
      <c r="P24" s="6">
        <f>((D24*E24/25000)+(F24*K24*J24/2.5))*L24*M24</f>
        <v/>
      </c>
      <c r="Q24" s="6">
        <f>(D24*E24*F24*K24*J24*L24*M24)/12500000</f>
        <v/>
      </c>
      <c r="R24" s="6">
        <f>(O24+P24+Q24)/3</f>
        <v/>
      </c>
      <c r="S24" t="n">
        <v>2700</v>
      </c>
    </row>
    <row r="25">
      <c r="B25" t="inlineStr">
        <is>
          <t>Sun Dog (Rockets)</t>
        </is>
      </c>
      <c r="D25" t="n">
        <v>160000</v>
      </c>
      <c r="E25" t="n">
        <v>120</v>
      </c>
      <c r="F25" s="7">
        <f>(S25*37500000/(L25*M25*D25*E25*K25*J25)-((500/(K25*J25))+(2500000000/(D25*E25*K25*J25)*(D25/100000+E25/100+J25/200))))/(1+5000000/(D25*E25)+(500000000/(D25*E25*J25)))</f>
        <v/>
      </c>
      <c r="G25" t="n">
        <v>20000</v>
      </c>
      <c r="H25" t="n">
        <v>1</v>
      </c>
      <c r="I25" t="n">
        <v>39</v>
      </c>
      <c r="J25" s="6">
        <f>G25/I25*H25</f>
        <v/>
      </c>
      <c r="K25" t="n">
        <v>1</v>
      </c>
      <c r="L25" t="n">
        <v>1</v>
      </c>
      <c r="M25" t="n">
        <v>1</v>
      </c>
      <c r="O25" s="6">
        <f>(D25/100000+E25/100+F25*K25/5+J25/200)*200*L25*M25</f>
        <v/>
      </c>
      <c r="P25" s="6">
        <f>((D25*E25/25000)+(F25*K25*J25/2.5))*L25*M25</f>
        <v/>
      </c>
      <c r="Q25" s="6">
        <f>(D25*E25*F25*K25*J25*L25*M25)/12500000</f>
        <v/>
      </c>
      <c r="R25" s="6">
        <f>(O25+P25+Q25)/3</f>
        <v/>
      </c>
      <c r="S25" t="n">
        <v>2700</v>
      </c>
    </row>
    <row r="26">
      <c r="B26" t="inlineStr">
        <is>
          <t>Valkyrie</t>
        </is>
      </c>
      <c r="D26" t="n">
        <v>120000</v>
      </c>
      <c r="E26" t="n">
        <v>140</v>
      </c>
      <c r="F26" s="7">
        <f>(S26*37500000/(L26*M26*D26*E26*K26*J26)-((500/(K26*J26))+(2500000000/(D26*E26*K26*J26)*(D26/100000+E26/100+J26/200))))/(1+5000000/(D26*E26)+(500000000/(D26*E26*J26)))</f>
        <v/>
      </c>
      <c r="G26" t="n">
        <v>64000</v>
      </c>
      <c r="H26" t="n">
        <v>1.125</v>
      </c>
      <c r="I26" t="n">
        <v>95</v>
      </c>
      <c r="J26" s="6">
        <f>G26/I26*H26</f>
        <v/>
      </c>
      <c r="K26" t="n">
        <v>1</v>
      </c>
      <c r="L26" t="n">
        <v>0.5</v>
      </c>
      <c r="M26" t="n">
        <v>1</v>
      </c>
      <c r="O26" s="6">
        <f>(D26/100000+E26/100+F26*K26/5+J26/200)*200*L26*M26</f>
        <v/>
      </c>
      <c r="P26" s="6">
        <f>((D26*E26/25000)+(F26*K26*J26/2.5))*L26*M26</f>
        <v/>
      </c>
      <c r="Q26" s="6">
        <f>(D26*E26*F26*K26*J26*L26*M26)/12500000</f>
        <v/>
      </c>
      <c r="R26" s="6">
        <f>(O26+P26+Q26)/3</f>
        <v/>
      </c>
      <c r="S26" t="n">
        <v>2000</v>
      </c>
    </row>
    <row r="27">
      <c r="B27" t="inlineStr">
        <is>
          <t>Wyvern</t>
        </is>
      </c>
      <c r="D27" t="n">
        <v>180000</v>
      </c>
      <c r="E27" t="n">
        <v>70</v>
      </c>
      <c r="F27" s="7">
        <f>(S27*37500000/(L27*M27*D27*E27*K27*J27)-((500/(K27*J27))+(2500000000/(D27*E27*K27*J27)*(D27/100000+E27/100+J27/200))))/(1+5000000/(D27*E27)+(500000000/(D27*E27*J27)))</f>
        <v/>
      </c>
      <c r="G27" t="n">
        <v>128000</v>
      </c>
      <c r="H27" t="n">
        <v>1.125</v>
      </c>
      <c r="I27" t="n">
        <v>135</v>
      </c>
      <c r="J27" s="6">
        <f>G27/I27*H27</f>
        <v/>
      </c>
      <c r="K27" t="n">
        <v>1</v>
      </c>
      <c r="L27" t="n">
        <v>1</v>
      </c>
      <c r="M27" t="n">
        <v>0.75</v>
      </c>
      <c r="O27" s="6">
        <f>(D27/100000+E27/100+F27*K27/5+J27/200)*200*L27*M27</f>
        <v/>
      </c>
      <c r="P27" s="6">
        <f>((D27*E27/25000)+(F27*K27*J27/2.5))*L27*M27</f>
        <v/>
      </c>
      <c r="Q27" s="6">
        <f>(D27*E27*F27*K27*J27*L27*M27)/12500000</f>
        <v/>
      </c>
      <c r="R27" s="6">
        <f>(O27+P27+Q27)/3</f>
        <v/>
      </c>
      <c r="S27" t="n">
        <v>3600</v>
      </c>
    </row>
    <row r="28">
      <c r="B28" t="inlineStr">
        <is>
          <t>Mutalisk</t>
        </is>
      </c>
      <c r="D28" t="n">
        <v>40000</v>
      </c>
      <c r="E28" t="n">
        <v>160</v>
      </c>
      <c r="F28" s="7">
        <f>(S28*37500000/(L28*M28*D28*E28*K28*J28)-((500/(K28*J28))+(2500000000/(D28*E28*K28*J28)*(D28/100000+E28/100+J28/200))))/(1+5000000/(D28*E28)+(500000000/(D28*E28*J28)))</f>
        <v/>
      </c>
      <c r="G28" t="n">
        <v>8000</v>
      </c>
      <c r="H28" t="n">
        <v>0.875</v>
      </c>
      <c r="I28" t="n">
        <v>20</v>
      </c>
      <c r="J28" s="6">
        <f>G28/I28*H28</f>
        <v/>
      </c>
      <c r="K28" t="n">
        <v>1.25</v>
      </c>
      <c r="L28" t="n">
        <v>1</v>
      </c>
      <c r="M28" t="n">
        <v>1</v>
      </c>
      <c r="O28" s="6">
        <f>(D28/100000+E28/100+F28*K28/5+J28/200)*200*L28*M28</f>
        <v/>
      </c>
      <c r="P28" s="6">
        <f>((D28*E28/25000)+(F28*K28*J28/2.5))*L28*M28</f>
        <v/>
      </c>
      <c r="Q28" s="6">
        <f>(D28*E28*F28*K28*J28*L28*M28)/12500000</f>
        <v/>
      </c>
      <c r="R28" s="6">
        <f>(O28+P28+Q28)/3</f>
        <v/>
      </c>
      <c r="S28" t="n">
        <v>1000</v>
      </c>
    </row>
    <row r="29">
      <c r="B29" t="inlineStr">
        <is>
          <t>Devourer</t>
        </is>
      </c>
      <c r="D29" t="n">
        <v>250000</v>
      </c>
      <c r="E29" t="n">
        <v>90</v>
      </c>
      <c r="F29" s="7">
        <f>(S29*37500000/(L29*M29*D29*E29*K29*J29)-((500/(K29*J29))+(2500000000/(D29*E29*K29*J29)*(D29/100000+E29/100+J29/200))))/(1+5000000/(D29*E29)+(500000000/(D29*E29*J29)))</f>
        <v/>
      </c>
      <c r="G29" t="n">
        <v>20000</v>
      </c>
      <c r="H29" t="n">
        <v>1</v>
      </c>
      <c r="I29" t="n">
        <v>100</v>
      </c>
      <c r="J29" s="6">
        <f>G29/I29*H29</f>
        <v/>
      </c>
      <c r="K29" t="n">
        <v>2</v>
      </c>
      <c r="L29" t="n">
        <v>1</v>
      </c>
      <c r="M29" t="n">
        <v>1</v>
      </c>
      <c r="O29" s="6">
        <f>(D29/100000+E29/100+F29*K29/5+J29/200)*200*L29*M29</f>
        <v/>
      </c>
      <c r="P29" s="6">
        <f>((D29*E29/25000)+(F29*K29*J29/2.5))*L29*M29</f>
        <v/>
      </c>
      <c r="Q29" s="6">
        <f>(D29*E29*F29*K29*J29*L29*M29)/12500000</f>
        <v/>
      </c>
      <c r="R29" s="6">
        <f>(O29+P29+Q29)/3</f>
        <v/>
      </c>
      <c r="S29" t="n">
        <v>2000</v>
      </c>
    </row>
    <row r="30">
      <c r="B30" t="inlineStr">
        <is>
          <t>Queen</t>
        </is>
      </c>
      <c r="D30" t="n">
        <v>125000</v>
      </c>
      <c r="E30" t="n">
        <v>100</v>
      </c>
      <c r="F30" s="7">
        <f>(S30*37500000/(L30*M30*D30*E30*K30*J30)-((500/(K30*J30))+(2500000000/(D30*E30*K30*J30)*(D30/100000+E30/100+J30/200))))/(1+5000000/(D30*E30)+(500000000/(D30*E30*J30)))</f>
        <v/>
      </c>
      <c r="G30" t="n">
        <v>20000</v>
      </c>
      <c r="H30" t="n">
        <v>0.875</v>
      </c>
      <c r="I30" t="n">
        <v>78</v>
      </c>
      <c r="J30" s="6">
        <f>G30/I30*H30</f>
        <v/>
      </c>
      <c r="K30" t="n">
        <v>1.25</v>
      </c>
      <c r="L30" t="n">
        <v>1</v>
      </c>
      <c r="M30" t="n">
        <v>1</v>
      </c>
      <c r="O30" s="6">
        <f>(D30/100000+E30/100+F30*K30/5+J30/200)*200*L30*M30</f>
        <v/>
      </c>
      <c r="P30" s="6">
        <f>((D30*E30/25000)+(F30*K30*J30/2.5))*L30*M30</f>
        <v/>
      </c>
      <c r="Q30" s="6">
        <f>(D30*E30*F30*K30*J30*L30*M30)/12500000</f>
        <v/>
      </c>
      <c r="R30" s="6">
        <f>(O30+P30+Q30)/3</f>
        <v/>
      </c>
      <c r="S30" t="n">
        <v>1200</v>
      </c>
    </row>
    <row r="31">
      <c r="B31" t="inlineStr">
        <is>
          <t>Guardian</t>
        </is>
      </c>
      <c r="D31" t="n">
        <v>150000</v>
      </c>
      <c r="E31" t="n">
        <v>50</v>
      </c>
      <c r="F31" s="7">
        <f>(S31*37500000/(L31*M31*D31*E31*K31*J31)-((500/(K31*J31))+(2500000000/(D31*E31*K31*J31)*(D31/100000+E31/100+J31/200))))/(1+5000000/(D31*E31)+(500000000/(D31*E31*J31)))</f>
        <v/>
      </c>
      <c r="G31" t="n">
        <v>24000</v>
      </c>
      <c r="H31" t="n">
        <v>1</v>
      </c>
      <c r="I31" t="n">
        <v>60</v>
      </c>
      <c r="J31" s="6">
        <f>G31/I31*H31</f>
        <v/>
      </c>
      <c r="K31" t="n">
        <v>1.25</v>
      </c>
      <c r="L31" t="n">
        <v>1</v>
      </c>
      <c r="M31" t="n">
        <v>1</v>
      </c>
      <c r="O31" s="6">
        <f>(D31/100000+E31/100+F31*K31/5+J31/200)*200*L31*M31</f>
        <v/>
      </c>
      <c r="P31" s="6">
        <f>((D31*E31/25000)+(F31*K31*J31/2.5))*L31*M31</f>
        <v/>
      </c>
      <c r="Q31" s="6">
        <f>(D31*E31*F31*K31*J31*L31*M31)/12500000</f>
        <v/>
      </c>
      <c r="R31" s="6">
        <f>(O31+P31+Q31)/3</f>
        <v/>
      </c>
      <c r="S31" t="n">
        <v>2200</v>
      </c>
    </row>
    <row r="32">
      <c r="B32" t="inlineStr">
        <is>
          <t>Shriek</t>
        </is>
      </c>
      <c r="D32" t="n">
        <v>14000</v>
      </c>
      <c r="E32" t="n">
        <v>195</v>
      </c>
      <c r="F32" s="7">
        <f>(S32*37500000/(L32*M32*D32*E32*K32*J32)-((500/(K32*J32))+(2500000000/(D32*E32*K32*J32)*(D32/100000+E32/100+J32/200))))/(1+5000000/(D32*E32)+(500000000/(D32*E32*J32)))</f>
        <v/>
      </c>
      <c r="G32" t="n">
        <v>4000</v>
      </c>
      <c r="H32" t="n">
        <v>1</v>
      </c>
      <c r="I32" t="n">
        <v>11</v>
      </c>
      <c r="J32" s="6">
        <f>G32/I32*H32</f>
        <v/>
      </c>
      <c r="K32" t="n">
        <v>2</v>
      </c>
      <c r="L32" t="n">
        <v>1</v>
      </c>
      <c r="M32" t="n">
        <v>1</v>
      </c>
      <c r="O32" s="6">
        <f>(D32/100000+E32/100+F32*K32/5+J32/200)*200*L32*M32</f>
        <v/>
      </c>
      <c r="P32" s="6">
        <f>((D32*E32/25000)+(F32*K32*J32/2.5))*L32*M32</f>
        <v/>
      </c>
      <c r="Q32" s="6">
        <f>(D32*E32*F32*K32*J32*L32*M32)/12500000</f>
        <v/>
      </c>
      <c r="R32" s="6">
        <f>(O32+P32+Q32)/3</f>
        <v/>
      </c>
      <c r="S32" t="n">
        <v>500</v>
      </c>
    </row>
    <row r="33">
      <c r="B33" t="inlineStr">
        <is>
          <t>Swarmling</t>
        </is>
      </c>
      <c r="D33" t="n">
        <v>40000</v>
      </c>
      <c r="E33" t="n">
        <v>80</v>
      </c>
      <c r="F33" s="7">
        <f>(S33*37500000/(L33*M33*D33*E33*K33*J33)-((500/(K33*J33))+(2500000000/(D33*E33*K33*J33)*(D33/100000+E33/100+J33/200))))/(1+5000000/(D33*E33)+(500000000/(D33*E33*J33)))</f>
        <v/>
      </c>
      <c r="G33" t="n">
        <v>16000</v>
      </c>
      <c r="H33" t="n">
        <v>1</v>
      </c>
      <c r="I33" t="n">
        <v>80</v>
      </c>
      <c r="J33" s="6">
        <f>G33/I33*H33</f>
        <v/>
      </c>
      <c r="K33" t="n">
        <v>1.25</v>
      </c>
      <c r="L33" t="n">
        <v>1</v>
      </c>
      <c r="M33" t="n">
        <v>1</v>
      </c>
      <c r="O33" s="6">
        <f>(D33/100000+E33/100+F33*K33/5+J33/200)*200*L33*M33</f>
        <v/>
      </c>
      <c r="P33" s="6">
        <f>((D33*E33/25000)+(F33*K33*J33/2.5))*L33*M33</f>
        <v/>
      </c>
      <c r="Q33" s="6">
        <f>(D33*E33*F33*K33*J33*L33*M33)/12500000</f>
        <v/>
      </c>
      <c r="R33" s="6">
        <f>(O33+P33+Q33)/3</f>
        <v/>
      </c>
      <c r="S33" t="n">
        <v>800</v>
      </c>
    </row>
    <row r="34">
      <c r="B34" t="inlineStr">
        <is>
          <t>Gorekraken</t>
        </is>
      </c>
      <c r="D34" t="n">
        <v>350000</v>
      </c>
      <c r="E34" t="n">
        <v>70</v>
      </c>
      <c r="F34" s="7">
        <f>(S34*37500000/(L34*M34*D34*E34*K34*J34)-((500/(K34*J34))+(2500000000/(D34*E34*K34*J34)*(D34/100000+E34/100+J34/200))))/(1+5000000/(D34*E34)+(500000000/(D34*E34*J34)))</f>
        <v/>
      </c>
      <c r="G34" t="n">
        <v>14000</v>
      </c>
      <c r="H34" t="n">
        <v>1</v>
      </c>
      <c r="I34" t="n">
        <v>15</v>
      </c>
      <c r="J34" s="6">
        <f>G34/I34*H34</f>
        <v/>
      </c>
      <c r="K34" t="n">
        <v>1</v>
      </c>
      <c r="L34" t="n">
        <v>1</v>
      </c>
      <c r="M34" t="n">
        <v>1</v>
      </c>
      <c r="O34" s="6">
        <f>(D34/100000+E34/100+F34*K34/5+J34/200)*200*L34*M34</f>
        <v/>
      </c>
      <c r="P34" s="6">
        <f>((D34*E34/25000)+(F34*K34*J34/2.5))*L34*M34</f>
        <v/>
      </c>
      <c r="Q34" s="6">
        <f>(D34*E34*F34*K34*J34*L34*M34)/12500000</f>
        <v/>
      </c>
      <c r="R34" s="6">
        <f>(O34+P34+Q34)/3</f>
        <v/>
      </c>
      <c r="S34" t="n">
        <v>2000</v>
      </c>
    </row>
    <row r="35">
      <c r="B35" t="inlineStr">
        <is>
          <t>Corruptor</t>
        </is>
      </c>
      <c r="D35" t="n">
        <v>100000</v>
      </c>
      <c r="E35" t="n">
        <v>100</v>
      </c>
      <c r="F35" s="7">
        <f>(S35*37500000/(L35*M35*D35*E35*K35*J35)-((500/(K35*J35))+(2500000000/(D35*E35*K35*J35)*(D35/100000+E35/100+J35/200))))/(1+5000000/(D35*E35)+(500000000/(D35*E35*J35)))</f>
        <v/>
      </c>
      <c r="G35" t="n">
        <v>10000</v>
      </c>
      <c r="H35" t="n">
        <v>1</v>
      </c>
      <c r="I35" t="n">
        <v>50</v>
      </c>
      <c r="J35" s="6">
        <f>G35/I35*H35</f>
        <v/>
      </c>
      <c r="K35" t="n">
        <v>2</v>
      </c>
      <c r="L35" t="n">
        <v>1</v>
      </c>
      <c r="M35" t="n">
        <v>1</v>
      </c>
      <c r="O35" s="6">
        <f>(D35/100000+E35/100+F35*K35/5+J35/200)*200*L35*M35</f>
        <v/>
      </c>
      <c r="P35" s="6">
        <f>((D35*E35/25000)+(F35*K35*J35/2.5))*L35*M35</f>
        <v/>
      </c>
      <c r="Q35" s="6">
        <f>(D35*E35*F35*K35*J35*L35*M35)/12500000</f>
        <v/>
      </c>
      <c r="R35" s="6">
        <f>(O35+P35+Q35)/3</f>
        <v/>
      </c>
      <c r="S35" t="n">
        <v>1500</v>
      </c>
    </row>
    <row r="36">
      <c r="B36" t="inlineStr">
        <is>
          <t>Dreadshroud</t>
        </is>
      </c>
      <c r="D36" t="n">
        <v>60000</v>
      </c>
      <c r="E36" t="n">
        <v>120</v>
      </c>
      <c r="F36" s="7">
        <f>(S36*37500000/(L36*M36*D36*E36*K36*J36)-((500/(K36*J36))+(2500000000/(D36*E36*K36*J36)*(D36/100000+E36/100+J36/200))))/(1+5000000/(D36*E36)+(500000000/(D36*E36*J36)))</f>
        <v/>
      </c>
      <c r="G36" t="n">
        <v>12000</v>
      </c>
      <c r="H36" t="n">
        <v>1</v>
      </c>
      <c r="I36" t="n">
        <v>60</v>
      </c>
      <c r="J36" s="6">
        <f>G36/I36*H36</f>
        <v/>
      </c>
      <c r="K36" t="n">
        <v>2</v>
      </c>
      <c r="L36" t="n">
        <v>1</v>
      </c>
      <c r="M36" t="n">
        <v>1</v>
      </c>
      <c r="O36" s="6">
        <f>(D36/100000+E36/100+F36*K36/5+J36/200)*200*L36*M36</f>
        <v/>
      </c>
      <c r="P36" s="6">
        <f>((D36*E36/25000)+(F36*K36*J36/2.5))*L36*M36</f>
        <v/>
      </c>
      <c r="Q36" s="6">
        <f>(D36*E36*F36*K36*J36*L36*M36)/12500000</f>
        <v/>
      </c>
      <c r="R36" s="6">
        <f>(O36+P36+Q36)/3</f>
        <v/>
      </c>
      <c r="S36" t="n">
        <v>1200</v>
      </c>
    </row>
    <row r="37">
      <c r="B37" t="inlineStr">
        <is>
          <t>Broodweaver</t>
        </is>
      </c>
      <c r="D37" t="n">
        <v>50000</v>
      </c>
      <c r="E37" t="n">
        <v>45</v>
      </c>
      <c r="F37" s="7">
        <f>(S37*37500000/(L37*M37*D37*E37*K37*J37)-((500/(K37*J37))+(2500000000/(D37*E37*K37*J37)*(D37/100000+E37/100+J37/200))))/(1+5000000/(D37*E37)+(500000000/(D37*E37*J37)))</f>
        <v/>
      </c>
      <c r="G37" t="n">
        <v>60000</v>
      </c>
      <c r="H37" t="n">
        <v>1</v>
      </c>
      <c r="I37" t="n">
        <v>70</v>
      </c>
      <c r="J37" s="6">
        <f>G37/I37*H37</f>
        <v/>
      </c>
      <c r="K37" t="n">
        <v>2</v>
      </c>
      <c r="L37" t="n">
        <v>1</v>
      </c>
      <c r="M37" t="n">
        <v>1</v>
      </c>
      <c r="O37" s="6">
        <f>(D37/100000+E37/100+F37*K37/5+J37/200)*200*L37*M37</f>
        <v/>
      </c>
      <c r="P37" s="6">
        <f>((D37*E37/25000)+(F37*K37*J37/2.5))*L37*M37</f>
        <v/>
      </c>
      <c r="Q37" s="6">
        <f>(D37*E37*F37*K37*J37*L37*M37)/12500000</f>
        <v/>
      </c>
      <c r="R37" s="6">
        <f>(O37+P37+Q37)/3</f>
        <v/>
      </c>
      <c r="S37" t="n">
        <v>2000</v>
      </c>
    </row>
    <row r="38">
      <c r="B38" t="inlineStr">
        <is>
          <t>Scout (MG)</t>
        </is>
      </c>
      <c r="D38" t="n">
        <v>75000</v>
      </c>
      <c r="E38" t="n">
        <v>150</v>
      </c>
      <c r="F38" s="7">
        <f>(S38*37500000/(L38*M38*D38*E38*K38*J38)-((500/(K38*J38))+(2500000000/(D38*E38*K38*J38)*(D38/100000+E38/100+J38/200))))/(1+5000000/(D38*E38)+(500000000/(D38*E38*J38)))</f>
        <v/>
      </c>
      <c r="G38" t="n">
        <v>16000</v>
      </c>
      <c r="H38" t="n">
        <v>1</v>
      </c>
      <c r="I38" t="n">
        <v>32</v>
      </c>
      <c r="J38" s="6">
        <f>G38/I38*H38</f>
        <v/>
      </c>
      <c r="K38" t="n">
        <v>1</v>
      </c>
      <c r="L38" t="n">
        <v>1</v>
      </c>
      <c r="M38" t="n">
        <v>1</v>
      </c>
      <c r="O38" s="6">
        <f>(D38/100000+E38/100+F38*K38/5+J38/200)*200*L38*M38</f>
        <v/>
      </c>
      <c r="P38" s="6">
        <f>((D38*E38/25000)+(F38*K38*J38/2.5))*L38*M38</f>
        <v/>
      </c>
      <c r="Q38" s="6">
        <f>(D38*E38*F38*K38*J38*L38*M38)/12500000</f>
        <v/>
      </c>
      <c r="R38" s="6">
        <f>(O38+P38+Q38)/3</f>
        <v/>
      </c>
      <c r="S38" t="n">
        <v>1500</v>
      </c>
    </row>
    <row r="39">
      <c r="B39" t="inlineStr">
        <is>
          <t>Scout (Rockets)</t>
        </is>
      </c>
      <c r="D39" t="n">
        <v>75000</v>
      </c>
      <c r="E39" t="n">
        <v>150</v>
      </c>
      <c r="F39" s="7">
        <f>(S39*37500000/(L39*M39*D39*E39*K39*J39)-((500/(K39*J39))+(2500000000/(D39*E39*K39*J39)*(D39/100000+E39/100+J39/200))))/(1+5000000/(D39*E39)+(500000000/(D39*E39*J39)))</f>
        <v/>
      </c>
      <c r="G39" t="n">
        <v>20000</v>
      </c>
      <c r="H39" t="n">
        <v>1</v>
      </c>
      <c r="I39" t="n">
        <v>40</v>
      </c>
      <c r="J39" s="6">
        <f>G39/I39*H39</f>
        <v/>
      </c>
      <c r="K39" t="n">
        <v>1</v>
      </c>
      <c r="L39" t="n">
        <v>1</v>
      </c>
      <c r="M39" t="n">
        <v>1</v>
      </c>
      <c r="O39" s="6">
        <f>(D39/100000+E39/100+F39*K39/5+J39/200)*200*L39*M39</f>
        <v/>
      </c>
      <c r="P39" s="6">
        <f>((D39*E39/25000)+(F39*K39*J39/2.5))*L39*M39</f>
        <v/>
      </c>
      <c r="Q39" s="6">
        <f>(D39*E39*F39*K39*J39*L39*M39)/12500000</f>
        <v/>
      </c>
      <c r="R39" s="6">
        <f>(O39+P39+Q39)/3</f>
        <v/>
      </c>
      <c r="S39" t="n">
        <v>1500</v>
      </c>
    </row>
    <row r="40">
      <c r="B40" t="inlineStr">
        <is>
          <t>Epigraph</t>
        </is>
      </c>
      <c r="D40" t="n">
        <v>200000</v>
      </c>
      <c r="E40" t="n">
        <v>100</v>
      </c>
      <c r="F40" s="7">
        <f>(S40*37500000/(L40*M40*D40*E40*K40*J40)-((500/(K40*J40))+(2500000000/(D40*E40*K40*J40)*(D40/100000+E40/100+J40/200))))/(1+5000000/(D40*E40)+(500000000/(D40*E40*J40)))</f>
        <v/>
      </c>
      <c r="G40" t="n">
        <v>20000</v>
      </c>
      <c r="H40" t="n">
        <v>1</v>
      </c>
      <c r="I40" t="n">
        <v>36</v>
      </c>
      <c r="J40" s="6">
        <f>G40/I40*H40</f>
        <v/>
      </c>
      <c r="K40" t="n">
        <v>1</v>
      </c>
      <c r="L40" t="n">
        <v>1</v>
      </c>
      <c r="M40" t="n">
        <v>1</v>
      </c>
      <c r="O40" s="6">
        <f>(D40/100000+E40/100+F40*K40/5+J40/200)*200*L40*M40</f>
        <v/>
      </c>
      <c r="P40" s="6">
        <f>((D40*E40/25000)+(F40*K40*J40/2.5))*L40*M40</f>
        <v/>
      </c>
      <c r="Q40" s="6">
        <f>(D40*E40*F40*K40*J40*L40*M40)/12500000</f>
        <v/>
      </c>
      <c r="R40" s="6">
        <f>(O40+P40+Q40)/3</f>
        <v/>
      </c>
      <c r="S40" t="n">
        <v>2600</v>
      </c>
    </row>
    <row r="41">
      <c r="B41" t="inlineStr">
        <is>
          <t>Void Ray</t>
        </is>
      </c>
      <c r="D41" t="n">
        <v>70000</v>
      </c>
      <c r="E41" t="n">
        <v>140</v>
      </c>
      <c r="F41" s="7">
        <f>(S41*37500000/(L41*M41*D41*E41*K41*J41)-((500/(K41*J41))+(2500000000/(D41*E41*K41*J41)*(D41/100000+E41/100+J41/200))))/(1+5000000/(D41*E41)+(500000000/(D41*E41*J41)))</f>
        <v/>
      </c>
      <c r="G41" t="n">
        <v>1440</v>
      </c>
      <c r="H41" t="n">
        <v>1</v>
      </c>
      <c r="I41" t="n">
        <v>6</v>
      </c>
      <c r="J41" s="6">
        <f>G41/I41*H41</f>
        <v/>
      </c>
      <c r="K41" t="n">
        <v>1.5</v>
      </c>
      <c r="L41" t="n">
        <v>1</v>
      </c>
      <c r="M41" t="n">
        <v>1</v>
      </c>
      <c r="O41" s="6">
        <f>(D41/100000+E41/100+F41*K41/5+J41/200)*200*L41*M41</f>
        <v/>
      </c>
      <c r="P41" s="6">
        <f>((D41*E41/25000)+(F41*K41*J41/2.5))*L41*M41</f>
        <v/>
      </c>
      <c r="Q41" s="6">
        <f>(D41*E41*F41*K41*J41*L41*M41)/12500000</f>
        <v/>
      </c>
      <c r="R41" s="6">
        <f>(O41+P41+Q41)/3</f>
        <v/>
      </c>
      <c r="S41" t="n">
        <v>1400</v>
      </c>
    </row>
    <row r="42">
      <c r="B42" t="inlineStr">
        <is>
          <t>Gladius</t>
        </is>
      </c>
      <c r="D42" t="n">
        <v>100000</v>
      </c>
      <c r="E42" t="n">
        <v>50</v>
      </c>
      <c r="F42" s="7">
        <f>(S42*37500000/(L42*M42*D42*E42*K42*J42)-((500/(K42*J42))+(2500000000/(D42*E42*K42*J42)*(D42/100000+E42/100+J42/200))))/(1+5000000/(D42*E42)+(500000000/(D42*E42*J42)))</f>
        <v/>
      </c>
      <c r="G42" t="n">
        <v>40000</v>
      </c>
      <c r="H42" t="n">
        <v>1</v>
      </c>
      <c r="I42" t="n">
        <v>80</v>
      </c>
      <c r="J42" s="6">
        <f>G42/I42*H42</f>
        <v/>
      </c>
      <c r="K42" t="n">
        <v>1</v>
      </c>
      <c r="L42" t="n">
        <v>1</v>
      </c>
      <c r="M42" t="n">
        <v>1</v>
      </c>
      <c r="O42" s="6">
        <f>(D42/100000+E42/100+F42*K42/5+J42/200)*200*L42*M42</f>
        <v/>
      </c>
      <c r="P42" s="6">
        <f>((D42*E42/25000)+(F42*K42*J42/2.5))*L42*M42</f>
        <v/>
      </c>
      <c r="Q42" s="6">
        <f>(D42*E42*F42*K42*J42*L42*M42)/12500000</f>
        <v/>
      </c>
      <c r="R42" s="6">
        <f>(O42+P42+Q42)/3</f>
        <v/>
      </c>
      <c r="S42" t="n">
        <v>1800</v>
      </c>
    </row>
    <row r="43">
      <c r="B43" t="inlineStr">
        <is>
          <t>Corsair (EMP)</t>
        </is>
      </c>
      <c r="D43" t="n">
        <v>125000</v>
      </c>
      <c r="E43" t="n">
        <v>125</v>
      </c>
      <c r="F43" s="7">
        <f>(S43*37500000/(L43*M43*D43*E43*K43*J43)-((500/(K43*J43))+(2500000000/(D43*E43*K43*J43)*(D43/100000+E43/100+J43/200))))/(1+5000000/(D43*E43)+(500000000/(D43*E43*J43)))</f>
        <v/>
      </c>
      <c r="G43" t="n">
        <v>50000</v>
      </c>
      <c r="H43" t="n">
        <v>1.25</v>
      </c>
      <c r="I43" t="n">
        <v>250</v>
      </c>
      <c r="J43" s="6">
        <f>G43/I43*H43</f>
        <v/>
      </c>
      <c r="K43" t="n">
        <v>2</v>
      </c>
      <c r="L43" t="n">
        <v>1</v>
      </c>
      <c r="M43" t="n">
        <v>1</v>
      </c>
      <c r="O43" s="6">
        <f>(D43/100000+E43/100+F43*K43/5+J43/200)*200*L43*M43</f>
        <v/>
      </c>
      <c r="P43" s="6">
        <f>((D43*E43/25000)+(F43*K43*J43/2.5))*L43*M43</f>
        <v/>
      </c>
      <c r="Q43" s="6">
        <f>(D43*E43*F43*K43*J43*L43*M43)/12500000</f>
        <v/>
      </c>
      <c r="R43" s="6">
        <f>(O43+P43+Q43)/3</f>
        <v/>
      </c>
      <c r="S43" t="n">
        <v>2100</v>
      </c>
    </row>
    <row r="44">
      <c r="B44" t="inlineStr">
        <is>
          <t>Corsair (AA)</t>
        </is>
      </c>
      <c r="D44" t="n">
        <v>125000</v>
      </c>
      <c r="E44" t="n">
        <v>125</v>
      </c>
      <c r="F44" s="7">
        <f>(S44*37500000/(L44*M44*D44*E44*K44*J44)-((500/(K44*J44))+(2500000000/(D44*E44*K44*J44)*(D44/100000+E44/100+J44/200))))/(1+5000000/(D44*E44)+(500000000/(D44*E44*J44)))</f>
        <v/>
      </c>
      <c r="G44" t="n">
        <v>32000</v>
      </c>
      <c r="H44" t="n">
        <v>1</v>
      </c>
      <c r="I44" t="n">
        <v>65</v>
      </c>
      <c r="J44" s="6">
        <f>G44/I44*H44</f>
        <v/>
      </c>
      <c r="K44" t="n">
        <v>1</v>
      </c>
      <c r="L44" t="n">
        <v>1</v>
      </c>
      <c r="M44" t="n">
        <v>1</v>
      </c>
      <c r="O44" s="6">
        <f>(D44/100000+E44/100+F44*K44/5+J44/200)*200*L44*M44</f>
        <v/>
      </c>
      <c r="P44" s="6">
        <f>((D44*E44/25000)+(F44*K44*J44/2.5))*L44*M44</f>
        <v/>
      </c>
      <c r="Q44" s="6">
        <f>(D44*E44*F44*K44*J44*L44*M44)/12500000</f>
        <v/>
      </c>
      <c r="R44" s="6">
        <f>(O44+P44+Q44)/3</f>
        <v/>
      </c>
      <c r="S44" t="n">
        <v>2100</v>
      </c>
    </row>
    <row r="45">
      <c r="B45" t="inlineStr">
        <is>
          <t>Arbiter</t>
        </is>
      </c>
      <c r="D45" t="n">
        <v>225000</v>
      </c>
      <c r="E45" t="n">
        <v>75</v>
      </c>
      <c r="F45" s="7">
        <f>(S45*37500000/(L45*M45*D45*E45*K45*J45)-((500/(K45*J45))+(2500000000/(D45*E45*K45*J45)*(D45/100000+E45/100+J45/200))))/(1+5000000/(D45*E45)+(500000000/(D45*E45*J45)))</f>
        <v/>
      </c>
      <c r="G45" t="n">
        <v>20000</v>
      </c>
      <c r="H45" t="n">
        <v>1</v>
      </c>
      <c r="I45" t="n">
        <v>25</v>
      </c>
      <c r="J45" s="6">
        <f>G45/I45*H45</f>
        <v/>
      </c>
      <c r="K45" t="n">
        <v>2</v>
      </c>
      <c r="L45" t="n">
        <v>1</v>
      </c>
      <c r="M45" t="n">
        <v>1</v>
      </c>
      <c r="O45" s="6">
        <f>(D45/100000+E45/100+F45*K45/5+J45/200)*200*L45*M45</f>
        <v/>
      </c>
      <c r="P45" s="6">
        <f>((D45*E45/25000)+(F45*K45*J45/2.5))*L45*M45</f>
        <v/>
      </c>
      <c r="Q45" s="6">
        <f>(D45*E45*F45*K45*J45*L45*M45)/12500000</f>
        <v/>
      </c>
      <c r="R45" s="6">
        <f>(O45+P45+Q45)/3</f>
        <v/>
      </c>
      <c r="S45" t="n">
        <v>4800</v>
      </c>
    </row>
    <row r="46">
      <c r="A46" t="inlineStr">
        <is>
          <t>RA2 Modded</t>
        </is>
      </c>
      <c r="B46" t="inlineStr">
        <is>
          <t>RA2 Hind</t>
        </is>
      </c>
      <c r="D46" t="n">
        <v>95000</v>
      </c>
      <c r="E46" t="n">
        <v>90</v>
      </c>
      <c r="F46" s="7">
        <f>(S46*37500000/(L46*M46*D46*E46*K46*J46)-((500/(K46*J46))+(2500000000/(D46*E46*K46*J46)*(D46/100000+E46/100+J46/200))))/(1+5000000/(D46*E46)+(500000000/(D46*E46*J46)))</f>
        <v/>
      </c>
      <c r="G46" t="n">
        <v>3000</v>
      </c>
      <c r="H46" t="n">
        <v>0.875</v>
      </c>
      <c r="I46" t="n">
        <v>3</v>
      </c>
      <c r="J46" s="6">
        <f>G46/I46*H46</f>
        <v/>
      </c>
      <c r="K46" t="n">
        <v>1.25</v>
      </c>
      <c r="L46" t="n">
        <v>1</v>
      </c>
      <c r="M46" t="n">
        <v>1</v>
      </c>
      <c r="O46" s="6">
        <f>(D46/100000+E46/100+F46*K46/5+J46/200)*200*L46*M46</f>
        <v/>
      </c>
      <c r="P46" s="6">
        <f>((D46*E46/25000)+(F46*K46*J46/2.5))*L46*M46</f>
        <v/>
      </c>
      <c r="Q46" s="6">
        <f>(D46*E46*F46*K46*J46*L46*M46)/12500000</f>
        <v/>
      </c>
      <c r="R46" s="6">
        <f>(O46+P46+Q46)/3</f>
        <v/>
      </c>
      <c r="S46" t="n">
        <v>2500</v>
      </c>
    </row>
    <row r="47">
      <c r="B47" t="inlineStr">
        <is>
          <t>Pelican (Rockets)</t>
        </is>
      </c>
      <c r="D47" t="n">
        <v>40000</v>
      </c>
      <c r="E47" t="n">
        <v>125</v>
      </c>
      <c r="F47" s="7">
        <f>(S47*37500000/(L47*M47*D47*E47*K47*J47)-((500/(K47*J47))+(2500000000/(D47*E47*K47*J47)*(D47/100000+E47/100+J47/200))))/(1+5000000/(D47*E47)+(500000000/(D47*E47*J47)))</f>
        <v/>
      </c>
      <c r="G47" t="n">
        <v>24000</v>
      </c>
      <c r="H47" t="n">
        <v>1</v>
      </c>
      <c r="I47" t="n">
        <v>27</v>
      </c>
      <c r="J47" s="6">
        <f>G47/I47*H47</f>
        <v/>
      </c>
      <c r="K47" t="n">
        <v>1</v>
      </c>
      <c r="L47" t="n">
        <v>1</v>
      </c>
      <c r="M47" t="n">
        <v>1</v>
      </c>
      <c r="O47" s="6">
        <f>(D47/100000+E47/100+F47*K47/5+J47/200)*200*L47*M47</f>
        <v/>
      </c>
      <c r="P47" s="6">
        <f>((D47*E47/25000)+(F47*K47*J47/2.5))*L47*M47</f>
        <v/>
      </c>
      <c r="Q47" s="6">
        <f>(D47*E47*F47*K47*J47*L47*M47)/12500000</f>
        <v/>
      </c>
      <c r="R47" s="6">
        <f>(O47+P47+Q47)/3</f>
        <v/>
      </c>
      <c r="S47" t="n">
        <v>2000</v>
      </c>
    </row>
    <row r="48">
      <c r="B48" t="inlineStr">
        <is>
          <t>Pelican (MG)</t>
        </is>
      </c>
      <c r="D48" t="n">
        <v>40000</v>
      </c>
      <c r="E48" t="n">
        <v>125</v>
      </c>
      <c r="F48" s="7">
        <f>(S48*37500000/(L48*M48*D48*E48*K48*J48)-((500/(K48*J48))+(2500000000/(D48*E48*K48*J48)*(D48/100000+E48/100+J48/200))))/(1+5000000/(D48*E48)+(500000000/(D48*E48*J48)))</f>
        <v/>
      </c>
      <c r="G48" t="n">
        <v>24000</v>
      </c>
      <c r="H48" t="n">
        <v>1</v>
      </c>
      <c r="I48" t="n">
        <v>27</v>
      </c>
      <c r="J48" s="6">
        <f>G48/I48*H48</f>
        <v/>
      </c>
      <c r="K48" t="n">
        <v>1</v>
      </c>
      <c r="L48" t="n">
        <v>1</v>
      </c>
      <c r="M48" t="n">
        <v>1</v>
      </c>
      <c r="O48" s="6">
        <f>(D48/100000+E48/100+F48*K48/5+J48/200)*200*L48*M48</f>
        <v/>
      </c>
      <c r="P48" s="6">
        <f>((D48*E48/25000)+(F48*K48*J48/2.5))*L48*M48</f>
        <v/>
      </c>
      <c r="Q48" s="6">
        <f>(D48*E48*F48*K48*J48*L48*M48)/12500000</f>
        <v/>
      </c>
      <c r="R48" s="6">
        <f>(O48+P48+Q48)/3</f>
        <v/>
      </c>
      <c r="S48" t="n">
        <v>2000</v>
      </c>
    </row>
    <row r="49">
      <c r="B49" t="inlineStr">
        <is>
          <t>Steel Cargo Ship</t>
        </is>
      </c>
      <c r="D49" t="n">
        <v>125000</v>
      </c>
      <c r="E49" t="n">
        <v>100</v>
      </c>
      <c r="F49" s="7">
        <f>(S49*37500000/(L49*M49*D49*E49*K49*J49)-((500/(K49*J49))+(2500000000/(D49*E49*K49*J49)*(D49/100000+E49/100+J49/200))))/(1+5000000/(D49*E49)+(500000000/(D49*E49*J49)))</f>
        <v/>
      </c>
      <c r="G49" t="n">
        <v>4000</v>
      </c>
      <c r="H49" t="n">
        <v>0.875</v>
      </c>
      <c r="I49" t="n">
        <v>3</v>
      </c>
      <c r="J49" s="6">
        <f>G49/I49*H49</f>
        <v/>
      </c>
      <c r="K49" t="n">
        <v>1.25</v>
      </c>
      <c r="L49" t="n">
        <v>1</v>
      </c>
      <c r="M49" t="n">
        <v>1</v>
      </c>
      <c r="O49" s="6">
        <f>(D49/100000+E49/100+F49*K49/5+J49/200)*200*L49*M49</f>
        <v/>
      </c>
      <c r="P49" s="6">
        <f>((D49*E49/25000)+(F49*K49*J49/2.5))*L49*M49</f>
        <v/>
      </c>
      <c r="Q49" s="6">
        <f>(D49*E49*F49*K49*J49*L49*M49)/12500000</f>
        <v/>
      </c>
      <c r="R49" s="6">
        <f>(O49+P49+Q49)/3</f>
        <v/>
      </c>
      <c r="S49" t="n">
        <v>4000</v>
      </c>
    </row>
    <row r="50">
      <c r="B50" t="inlineStr">
        <is>
          <t>Sky Hammer</t>
        </is>
      </c>
      <c r="D50" t="n">
        <v>120000</v>
      </c>
      <c r="E50" t="n">
        <v>120</v>
      </c>
      <c r="F50" s="7">
        <f>(S50*37500000/(L50*M50*D50*E50*K50*J50)-((500/(K50*J50))+(2500000000/(D50*E50*K50*J50)*(D50/100000+E50/100+J50/200))))/(1+5000000/(D50*E50)+(500000000/(D50*E50*J50)))</f>
        <v/>
      </c>
      <c r="G50" t="n">
        <v>48000</v>
      </c>
      <c r="H50" t="n">
        <v>1.25</v>
      </c>
      <c r="I50" t="n">
        <v>60</v>
      </c>
      <c r="J50" s="6">
        <f>G50/I50*H50</f>
        <v/>
      </c>
      <c r="K50" t="n">
        <v>1.25</v>
      </c>
      <c r="L50" t="n">
        <v>1</v>
      </c>
      <c r="M50" t="n">
        <v>0.75</v>
      </c>
      <c r="O50" s="6">
        <f>(D50/100000+E50/100+F50*K50/5+J50/200)*200*L50*M50</f>
        <v/>
      </c>
      <c r="P50" s="6">
        <f>((D50*E50/25000)+(F50*K50*J50/2.5))*L50*M50</f>
        <v/>
      </c>
      <c r="Q50" s="6">
        <f>(D50*E50*F50*K50*J50*L50*M50)/12500000</f>
        <v/>
      </c>
      <c r="R50" s="6">
        <f>(O50+P50+Q50)/3</f>
        <v/>
      </c>
      <c r="S50" t="n">
        <v>4500</v>
      </c>
    </row>
    <row r="51">
      <c r="B51" t="inlineStr">
        <is>
          <t>Cryo Copter (Cryo Beam)</t>
        </is>
      </c>
      <c r="D51" t="n">
        <v>90000</v>
      </c>
      <c r="E51" t="n">
        <v>90</v>
      </c>
      <c r="F51" s="7">
        <f>(S51*37500000/(L51*M51*D51*E51*K51*J51)-((500/(K51*J51))+(2500000000/(D51*E51*K51*J51)*(D51/100000+E51/100+J51/200))))/(1+5000000/(D51*E51)+(500000000/(D51*E51*J51)))</f>
        <v/>
      </c>
      <c r="G51" t="n">
        <v>3840</v>
      </c>
      <c r="H51" t="n">
        <v>1</v>
      </c>
      <c r="I51" t="n">
        <v>8</v>
      </c>
      <c r="J51" s="6">
        <f>G51/I51*H51</f>
        <v/>
      </c>
      <c r="K51" t="n">
        <v>1.5</v>
      </c>
      <c r="L51" t="n">
        <v>1</v>
      </c>
      <c r="M51" t="n">
        <v>0.75</v>
      </c>
      <c r="O51" s="6">
        <f>(D51/100000+E51/100+F51*K51/5+J51/200)*200*L51*M51</f>
        <v/>
      </c>
      <c r="P51" s="6">
        <f>((D51*E51/25000)+(F51*K51*J51/2.5))*L51*M51</f>
        <v/>
      </c>
      <c r="Q51" s="6">
        <f>(D51*E51*F51*K51*J51*L51*M51)/12500000</f>
        <v/>
      </c>
      <c r="R51" s="6">
        <f>(O51+P51+Q51)/3</f>
        <v/>
      </c>
      <c r="S51" t="n">
        <v>1350</v>
      </c>
    </row>
    <row r="52">
      <c r="B52" t="inlineStr">
        <is>
          <t>Cryo Copter (Rockets)</t>
        </is>
      </c>
      <c r="D52" t="n">
        <v>90000</v>
      </c>
      <c r="E52" t="n">
        <v>90</v>
      </c>
      <c r="F52" s="7">
        <f>(S52*37500000/(L52*M52*D52*E52*K52*J52)-((500/(K52*J52))+(2500000000/(D52*E52*K52*J52)*(D52/100000+E52/100+J52/200))))/(1+5000000/(D52*E52)+(500000000/(D52*E52*J52)))</f>
        <v/>
      </c>
      <c r="G52" t="n">
        <v>30720</v>
      </c>
      <c r="H52" t="n">
        <v>1</v>
      </c>
      <c r="I52" t="n">
        <v>64</v>
      </c>
      <c r="J52" s="6">
        <f>G52/I52*H52</f>
        <v/>
      </c>
      <c r="K52" t="n">
        <v>1.5</v>
      </c>
      <c r="L52" t="n">
        <v>1</v>
      </c>
      <c r="M52" t="n">
        <v>0.75</v>
      </c>
      <c r="O52" s="6">
        <f>(D52/100000+E52/100+F52*K52/5+J52/200)*200*L52*M52</f>
        <v/>
      </c>
      <c r="P52" s="6">
        <f>((D52*E52/25000)+(F52*K52*J52/2.5))*L52*M52</f>
        <v/>
      </c>
      <c r="Q52" s="6">
        <f>(D52*E52*F52*K52*J52*L52*M52)/12500000</f>
        <v/>
      </c>
      <c r="R52" s="6">
        <f>(O52+P52+Q52)/3</f>
        <v/>
      </c>
      <c r="S52" t="n">
        <v>1350</v>
      </c>
    </row>
    <row r="53">
      <c r="A53" t="inlineStr">
        <is>
          <t>TS</t>
        </is>
      </c>
      <c r="B53" t="inlineStr">
        <is>
          <t>Orca</t>
        </is>
      </c>
      <c r="D53" t="n">
        <v>62500</v>
      </c>
      <c r="E53" t="n">
        <v>145</v>
      </c>
      <c r="F53" s="7">
        <f>(S53*37500000/(L53*M53*D53*E53*K53*J53)-((500/(K53*J53))+(2500000000/(D53*E53*K53*J53)*(D53/100000+E53/100+J53/200))))/(1+5000000/(D53*E53)+(500000000/(D53*E53*J53)))</f>
        <v/>
      </c>
      <c r="G53" t="n">
        <v>24000</v>
      </c>
      <c r="H53" t="n">
        <v>1</v>
      </c>
      <c r="I53" t="n">
        <v>32</v>
      </c>
      <c r="J53" s="6">
        <f>G53/I53*H53</f>
        <v/>
      </c>
      <c r="K53" t="n">
        <v>1</v>
      </c>
      <c r="L53" t="n">
        <v>1</v>
      </c>
      <c r="M53" t="n">
        <v>1</v>
      </c>
      <c r="O53" s="6">
        <f>(D53/100000+E53/100+F53*K53/5+J53/200)*200*L53*M53</f>
        <v/>
      </c>
      <c r="P53" s="6">
        <f>((D53*E53/25000)+(F53*K53*J53/2.5))*L53*M53</f>
        <v/>
      </c>
      <c r="Q53" s="6">
        <f>(D53*E53*F53*K53*J53*L53*M53)/12500000</f>
        <v/>
      </c>
      <c r="R53" s="6">
        <f>(O53+P53+Q53)/3</f>
        <v/>
      </c>
      <c r="S53" t="n">
        <v>2200</v>
      </c>
    </row>
    <row r="54">
      <c r="B54" t="inlineStr">
        <is>
          <t>Jumpjet Infantry</t>
        </is>
      </c>
      <c r="D54" t="n">
        <v>35000</v>
      </c>
      <c r="E54" t="n">
        <v>110</v>
      </c>
      <c r="F54" s="7">
        <f>(S54*37500000/(L54*M54*D54*E54*K54*J54)-((500/(K54*J54))+(2500000000/(D54*E54*K54*J54)*(D54/100000+E54/100+J54/200))))/(1+5000000/(D54*E54)+(500000000/(D54*E54*J54)))</f>
        <v/>
      </c>
      <c r="G54" t="n">
        <v>12000</v>
      </c>
      <c r="H54" t="n">
        <v>1</v>
      </c>
      <c r="I54" t="n">
        <v>25</v>
      </c>
      <c r="J54" s="6">
        <f>G54/I54*H54</f>
        <v/>
      </c>
      <c r="K54" t="n">
        <v>1</v>
      </c>
      <c r="L54" t="n">
        <v>1</v>
      </c>
      <c r="M54" t="n">
        <v>1</v>
      </c>
      <c r="O54" s="6">
        <f>(D54/100000+E54/100+F54*K54/5+J54/200)*200*L54*M54</f>
        <v/>
      </c>
      <c r="P54" s="6">
        <f>((D54*E54/25000)+(F54*K54*J54/2.5))*L54*M54</f>
        <v/>
      </c>
      <c r="Q54" s="6">
        <f>(D54*E54*F54*K54*J54*L54*M54)/12500000</f>
        <v/>
      </c>
      <c r="R54" s="6">
        <f>(O54+P54+Q54)/3</f>
        <v/>
      </c>
      <c r="S54" t="n">
        <v>700</v>
      </c>
    </row>
    <row r="57">
      <c r="B57" t="inlineStr">
        <is>
          <t>Fighters</t>
        </is>
      </c>
      <c r="D57" t="inlineStr">
        <is>
          <t>HP</t>
        </is>
      </c>
      <c r="E57" t="inlineStr">
        <is>
          <t>Speed</t>
        </is>
      </c>
      <c r="F57" t="inlineStr">
        <is>
          <t>Range</t>
        </is>
      </c>
      <c r="G57" t="inlineStr">
        <is>
          <t>Damage</t>
        </is>
      </c>
      <c r="H57" t="inlineStr">
        <is>
          <t>Weapon Class</t>
        </is>
      </c>
      <c r="I57" t="inlineStr">
        <is>
          <t>Reload Delay</t>
        </is>
      </c>
      <c r="J57" s="6" t="inlineStr">
        <is>
          <t>DPS</t>
        </is>
      </c>
      <c r="K57" t="inlineStr">
        <is>
          <t>Special</t>
        </is>
      </c>
      <c r="L57" t="inlineStr">
        <is>
          <t>Unit Class</t>
        </is>
      </c>
      <c r="M57" t="inlineStr">
        <is>
          <t>Tech Tier</t>
        </is>
      </c>
    </row>
    <row r="59">
      <c r="A59" t="inlineStr">
        <is>
          <t>RA1</t>
        </is>
      </c>
      <c r="B59" t="inlineStr">
        <is>
          <t>Yak (Chaingun)</t>
        </is>
      </c>
      <c r="C59" t="n">
        <v>7</v>
      </c>
      <c r="D59" t="n">
        <v>32000</v>
      </c>
      <c r="E59" t="n">
        <v>170</v>
      </c>
      <c r="F59" s="7">
        <f>(3*S59/(L59*M59)-( D59/250 + 4*E59/3 + J59 + D59*E59/15000 ))/(40*K59 + K59*J59/4 + D59*E59*K59*J59/15000000)</f>
        <v/>
      </c>
      <c r="G59" t="n">
        <v>32000</v>
      </c>
      <c r="H59" t="n">
        <v>1</v>
      </c>
      <c r="I59" t="n">
        <v>121</v>
      </c>
      <c r="J59" s="6">
        <f>G59/I59*H59</f>
        <v/>
      </c>
      <c r="K59" t="n">
        <v>1</v>
      </c>
      <c r="L59" t="n">
        <v>1</v>
      </c>
      <c r="M59" t="n">
        <v>1</v>
      </c>
      <c r="O59" s="6">
        <f>(D59/100000+E59/100+F59*K59/5+J59/200)*200*L59*M59</f>
        <v/>
      </c>
      <c r="P59" s="6">
        <f>((D59*E59/25000)+(F59*K59*J59/2.5))*L59*M59</f>
        <v/>
      </c>
      <c r="Q59" s="6">
        <f>(D59*E59*F59*K59*J59*L59*M59)/12500000</f>
        <v/>
      </c>
      <c r="R59" s="6">
        <f>(O59+P59+Q59)/3</f>
        <v/>
      </c>
      <c r="S59" t="n">
        <v>800</v>
      </c>
    </row>
    <row r="60">
      <c r="B60" t="inlineStr">
        <is>
          <t>Yak (Bombs)</t>
        </is>
      </c>
      <c r="C60" t="n">
        <v>1.6</v>
      </c>
      <c r="D60" t="n">
        <v>32000</v>
      </c>
      <c r="E60" t="n">
        <v>170</v>
      </c>
      <c r="F60" s="7">
        <f>(3*S60/(L60*M60)-( D60/250 + 4*E60/3 + J60 + D60*E60/15000 ))/(40*K60 + K60*J60/4 + D60*E60*K60*J60/15000000)</f>
        <v/>
      </c>
      <c r="G60" t="n">
        <v>80000</v>
      </c>
      <c r="H60" t="n">
        <v>1.125</v>
      </c>
      <c r="I60" t="n">
        <v>119</v>
      </c>
      <c r="J60" s="6">
        <f>G60/I60*H60</f>
        <v/>
      </c>
      <c r="K60" t="n">
        <v>1</v>
      </c>
      <c r="L60" t="n">
        <v>1</v>
      </c>
      <c r="M60" t="n">
        <v>1</v>
      </c>
      <c r="O60" s="6">
        <f>(D60/100000+E60/100+F60*K60/5+J60/200)*200*L60*M60</f>
        <v/>
      </c>
      <c r="P60" s="6">
        <f>((D60*E60/25000)+(F60*K60*J60/2.5))*L60*M60</f>
        <v/>
      </c>
      <c r="Q60" s="6">
        <f>(D60*E60*F60*K60*J60*L60*M60)/12500000</f>
        <v/>
      </c>
      <c r="R60" s="6">
        <f>(O60+P60+Q60)/3</f>
        <v/>
      </c>
      <c r="S60" t="n">
        <v>800</v>
      </c>
    </row>
    <row r="61">
      <c r="B61" t="inlineStr">
        <is>
          <t>Tesla Yak (Chaingun)</t>
        </is>
      </c>
      <c r="C61" t="n">
        <v>7</v>
      </c>
      <c r="D61" t="n">
        <v>64000</v>
      </c>
      <c r="E61" t="n">
        <v>190</v>
      </c>
      <c r="F61" s="7">
        <f>(3*S61/(L61*M61)-( D61/250 + 4*E61/3 + J61 + D61*E61/15000 ))/(40*K61 + K61*J61/4 + D61*E61*K61*J61/15000000)</f>
        <v/>
      </c>
      <c r="G61" t="n">
        <v>64000</v>
      </c>
      <c r="H61" t="n">
        <v>1</v>
      </c>
      <c r="I61" t="n">
        <v>121</v>
      </c>
      <c r="J61" s="6">
        <f>G61/I61*H61</f>
        <v/>
      </c>
      <c r="K61" t="n">
        <v>1</v>
      </c>
      <c r="L61" t="n">
        <v>1</v>
      </c>
      <c r="M61" t="n">
        <v>1</v>
      </c>
      <c r="O61" s="6">
        <f>(D61/100000+E61/100+F61*K61/5+J61/200)*200*L61*M61</f>
        <v/>
      </c>
      <c r="P61" s="6">
        <f>((D61*E61/25000)+(F61*K61*J61/2.5))*L61*M61</f>
        <v/>
      </c>
      <c r="Q61" s="6">
        <f>(D61*E61*F61*K61*J61*L61*M61)/12500000</f>
        <v/>
      </c>
      <c r="R61" s="6">
        <f>(O61+P61+Q61)/3</f>
        <v/>
      </c>
      <c r="S61" t="n">
        <v>2000</v>
      </c>
    </row>
    <row r="62">
      <c r="B62" t="inlineStr">
        <is>
          <t>Tesla Yak (Bombs)</t>
        </is>
      </c>
      <c r="C62" t="n">
        <v>1.16</v>
      </c>
      <c r="D62" t="n">
        <v>64000</v>
      </c>
      <c r="E62" t="n">
        <v>190</v>
      </c>
      <c r="F62" s="7">
        <f>(3*S62/(L62*M62)-( D62/250 + 4*E62/3 + J62 + D62*E62/15000 ))/(40*K62 + K62*J62/4 + D62*E62*K62*J62/15000000)</f>
        <v/>
      </c>
      <c r="G62" t="n">
        <v>200000</v>
      </c>
      <c r="H62" t="n">
        <v>1.25</v>
      </c>
      <c r="I62" t="n">
        <v>125</v>
      </c>
      <c r="J62" s="6">
        <f>G62/I62*H62</f>
        <v/>
      </c>
      <c r="K62" t="n">
        <v>1</v>
      </c>
      <c r="L62" t="n">
        <v>1</v>
      </c>
      <c r="M62" t="n">
        <v>1</v>
      </c>
      <c r="O62" s="6">
        <f>(D62/100000+E62/100+F62*K62/5+J62/200)*200*L62*M62</f>
        <v/>
      </c>
      <c r="P62" s="6">
        <f>((D62*E62/25000)+(F62*K62*J62/2.5))*L62*M62</f>
        <v/>
      </c>
      <c r="Q62" s="6">
        <f>(D62*E62*F62*K62*J62*L62*M62)/12500000</f>
        <v/>
      </c>
      <c r="R62" s="6">
        <f>(O62+P62+Q62)/3</f>
        <v/>
      </c>
      <c r="S62" t="n">
        <v>2000</v>
      </c>
    </row>
    <row r="63">
      <c r="B63" t="inlineStr">
        <is>
          <t>Tesla Yak (Tesla)</t>
        </is>
      </c>
      <c r="C63" t="n">
        <v>7</v>
      </c>
      <c r="D63" t="n">
        <v>64000</v>
      </c>
      <c r="E63" t="n">
        <v>190</v>
      </c>
      <c r="F63" s="7">
        <f>(3*S63/(L63*M63)-( D63/250 + 4*E63/3 + J63 + D63*E63/15000 ))/(40*K63 + K63*J63/4 + D63*E63*K63*J63/15000000)</f>
        <v/>
      </c>
      <c r="G63" t="n">
        <v>64000</v>
      </c>
      <c r="H63" t="n">
        <v>1</v>
      </c>
      <c r="I63" t="n">
        <v>121</v>
      </c>
      <c r="J63" s="6">
        <f>G63/I63*H63</f>
        <v/>
      </c>
      <c r="K63" t="n">
        <v>1</v>
      </c>
      <c r="L63" t="n">
        <v>1</v>
      </c>
      <c r="M63" t="n">
        <v>1</v>
      </c>
      <c r="O63" s="6">
        <f>(D63/100000+E63/100+F63*K63/5+J63/200)*200*L63*M63</f>
        <v/>
      </c>
      <c r="P63" s="6">
        <f>((D63*E63/25000)+(F63*K63*J63/2.5))*L63*M63</f>
        <v/>
      </c>
      <c r="Q63" s="6">
        <f>(D63*E63*F63*K63*J63*L63*M63)/12500000</f>
        <v/>
      </c>
      <c r="R63" s="6">
        <f>(O63+P63+Q63)/3</f>
        <v/>
      </c>
      <c r="S63" t="n">
        <v>2000</v>
      </c>
    </row>
    <row r="64">
      <c r="B64" t="inlineStr">
        <is>
          <t>Armored Yak</t>
        </is>
      </c>
      <c r="C64" t="n">
        <v>7</v>
      </c>
      <c r="D64" t="n">
        <v>80000</v>
      </c>
      <c r="E64" t="n">
        <v>135</v>
      </c>
      <c r="F64" s="7">
        <f>(3*S64/(L64*M64)-( D64/250 + 4*E64/3 + J64 + D64*E64/15000 ))/(40*K64 + K64*J64/4 + D64*E64*K64*J64/15000000)</f>
        <v/>
      </c>
      <c r="G64" t="n">
        <v>80000</v>
      </c>
      <c r="H64" t="n">
        <v>1</v>
      </c>
      <c r="I64" t="n">
        <v>175</v>
      </c>
      <c r="J64" s="6">
        <f>G64/I64*H64</f>
        <v/>
      </c>
      <c r="K64" t="n">
        <v>1</v>
      </c>
      <c r="L64" t="n">
        <v>1</v>
      </c>
      <c r="M64" t="n">
        <v>1</v>
      </c>
      <c r="O64" s="6">
        <f>(D64/100000+E64/100+F64*K64/5+J64/200)*200*L64*M64</f>
        <v/>
      </c>
      <c r="P64" s="6">
        <f>((D64*E64/25000)+(F64*K64*J64/2.5))*L64*M64</f>
        <v/>
      </c>
      <c r="Q64" s="6">
        <f>(D64*E64*F64*K64*J64*L64*M64)/12500000</f>
        <v/>
      </c>
      <c r="R64" s="6">
        <f>(O64+P64+Q64)/3</f>
        <v/>
      </c>
      <c r="S64" t="n">
        <v>1600</v>
      </c>
    </row>
    <row r="65">
      <c r="B65" t="inlineStr">
        <is>
          <t>Nuclear Yak (Chaingun)</t>
        </is>
      </c>
      <c r="C65" t="n">
        <v>7</v>
      </c>
      <c r="D65" t="n">
        <v>64000</v>
      </c>
      <c r="E65" t="n">
        <v>190</v>
      </c>
      <c r="F65" s="7">
        <f>(3*S65/(L65*M65)-( D65/250 + 4*E65/3 + J65 + D65*E65/15000 ))/(40*K65 + K65*J65/4 + D65*E65*K65*J65/15000000)</f>
        <v/>
      </c>
      <c r="G65" t="n">
        <v>64000</v>
      </c>
      <c r="H65" t="n">
        <v>1</v>
      </c>
      <c r="I65" t="n">
        <v>121</v>
      </c>
      <c r="J65" s="6">
        <f>G65/I65*H65</f>
        <v/>
      </c>
      <c r="K65" t="n">
        <v>1</v>
      </c>
      <c r="L65" t="n">
        <v>1</v>
      </c>
      <c r="M65" t="n">
        <v>1</v>
      </c>
      <c r="O65" s="6">
        <f>(D65/100000+E65/100+F65*K65/5+J65/200)*200*L65*M65</f>
        <v/>
      </c>
      <c r="P65" s="6">
        <f>((D65*E65/25000)+(F65*K65*J65/2.5))*L65*M65</f>
        <v/>
      </c>
      <c r="Q65" s="6">
        <f>(D65*E65*F65*K65*J65*L65*M65)/12500000</f>
        <v/>
      </c>
      <c r="R65" s="6">
        <f>(O65+P65+Q65)/3</f>
        <v/>
      </c>
      <c r="S65" t="n">
        <v>2000</v>
      </c>
    </row>
    <row r="66">
      <c r="B66" t="inlineStr">
        <is>
          <t>Nuclear Yak (Bomb)</t>
        </is>
      </c>
      <c r="C66" t="n">
        <v>1.1</v>
      </c>
      <c r="D66" t="n">
        <v>64000</v>
      </c>
      <c r="E66" t="n">
        <v>190</v>
      </c>
      <c r="F66" s="7">
        <f>(3*S66/(L66*M66)-( D66/250 + 4*E66/3 + J66 + D66*E66/15000 ))/(40*K66 + K66*J66/4 + D66*E66*K66*J66/15000000)</f>
        <v/>
      </c>
      <c r="G66" t="n">
        <v>200000</v>
      </c>
      <c r="H66" t="n">
        <v>1.25</v>
      </c>
      <c r="I66" t="n">
        <v>125</v>
      </c>
      <c r="J66" s="6">
        <f>G66/I66*H66</f>
        <v/>
      </c>
      <c r="K66" t="n">
        <v>1</v>
      </c>
      <c r="L66" t="n">
        <v>1</v>
      </c>
      <c r="M66" t="n">
        <v>1</v>
      </c>
      <c r="O66" s="6">
        <f>(D66/100000+E66/100+F66*K66/5+J66/200)*200*L66*M66</f>
        <v/>
      </c>
      <c r="P66" s="6">
        <f>((D66*E66/25000)+(F66*K66*J66/2.5))*L66*M66</f>
        <v/>
      </c>
      <c r="Q66" s="6">
        <f>(D66*E66*F66*K66*J66*L66*M66)/12500000</f>
        <v/>
      </c>
      <c r="R66" s="6">
        <f>(O66+P66+Q66)/3</f>
        <v/>
      </c>
      <c r="S66" t="n">
        <v>2000</v>
      </c>
    </row>
    <row r="67">
      <c r="B67" t="inlineStr">
        <is>
          <t>Zero Fighter (Chaingun)</t>
        </is>
      </c>
      <c r="C67" t="n">
        <v>7.1</v>
      </c>
      <c r="D67" t="n">
        <v>30000</v>
      </c>
      <c r="E67" t="n">
        <v>175</v>
      </c>
      <c r="F67" s="7">
        <f>(3*S67/(L67*M67)-( D67/250 + 4*E67/3 + J67 + D67*E67/15000 ))/(40*K67 + K67*J67/4 + D67*E67*K67*J67/15000000)</f>
        <v/>
      </c>
      <c r="G67" t="n">
        <v>72000</v>
      </c>
      <c r="H67" t="n">
        <v>1</v>
      </c>
      <c r="I67" t="n">
        <v>136</v>
      </c>
      <c r="J67" s="6">
        <f>G67/I67*H67</f>
        <v/>
      </c>
      <c r="K67" t="n">
        <v>1</v>
      </c>
      <c r="L67" t="n">
        <v>1</v>
      </c>
      <c r="M67" t="n">
        <v>1</v>
      </c>
      <c r="O67" s="6">
        <f>(D67/100000+E67/100+F67*K67/5+J67/200)*200*L67*M67</f>
        <v/>
      </c>
      <c r="P67" s="6">
        <f>((D67*E67/25000)+(F67*K67*J67/2.5))*L67*M67</f>
        <v/>
      </c>
      <c r="Q67" s="6">
        <f>(D67*E67*F67*K67*J67*L67*M67)/12500000</f>
        <v/>
      </c>
      <c r="R67" s="6">
        <f>(O67+P67+Q67)/3</f>
        <v/>
      </c>
      <c r="S67" t="n">
        <v>1200</v>
      </c>
    </row>
    <row r="68">
      <c r="B68" t="inlineStr">
        <is>
          <t>Zero Fighter (Arrows)</t>
        </is>
      </c>
      <c r="C68" t="n">
        <v>7.5</v>
      </c>
      <c r="D68" t="n">
        <v>30000</v>
      </c>
      <c r="E68" t="n">
        <v>175</v>
      </c>
      <c r="F68" s="7">
        <f>(3*S68/(L68*M68)-( D68/250 + 4*E68/3 + J68 + D68*E68/15000 ))/(40*K68 + K68*J68/4 + D68*E68*K68*J68/15000000)</f>
        <v/>
      </c>
      <c r="G68" t="n">
        <v>72000</v>
      </c>
      <c r="H68" t="n">
        <v>0.875</v>
      </c>
      <c r="I68" t="n">
        <v>119</v>
      </c>
      <c r="J68" s="6">
        <f>G68/I68*H68</f>
        <v/>
      </c>
      <c r="K68" t="n">
        <v>1</v>
      </c>
      <c r="L68" t="n">
        <v>1</v>
      </c>
      <c r="M68" t="n">
        <v>1</v>
      </c>
      <c r="O68" s="6">
        <f>(D68/100000+E68/100+F68*K68/5+J68/200)*200*L68*M68</f>
        <v/>
      </c>
      <c r="P68" s="6">
        <f>((D68*E68/25000)+(F68*K68*J68/2.5))*L68*M68</f>
        <v/>
      </c>
      <c r="Q68" s="6">
        <f>(D68*E68*F68*K68*J68*L68*M68)/12500000</f>
        <v/>
      </c>
      <c r="R68" s="6">
        <f>(O68+P68+Q68)/3</f>
        <v/>
      </c>
      <c r="S68" t="n">
        <v>1200</v>
      </c>
    </row>
    <row r="69">
      <c r="A69" t="inlineStr">
        <is>
          <t>RA2</t>
        </is>
      </c>
      <c r="B69" t="inlineStr">
        <is>
          <t>Harrier</t>
        </is>
      </c>
      <c r="D69" t="n">
        <v>72000</v>
      </c>
      <c r="E69" t="n">
        <v>180</v>
      </c>
      <c r="F69" s="7">
        <f>(3*S69/(L69*M69)-( D69/250 + 4*E69/3 + J69 + D69*E69/15000 ))/(40*K69 + K69*J69/4 + D69*E69*K69*J69/15000000)</f>
        <v/>
      </c>
      <c r="G69" t="n">
        <v>72000</v>
      </c>
      <c r="H69" t="n">
        <v>1</v>
      </c>
      <c r="I69" t="n">
        <v>110</v>
      </c>
      <c r="J69" s="6">
        <f>G69/I69*H69</f>
        <v/>
      </c>
      <c r="K69" t="n">
        <v>1</v>
      </c>
      <c r="L69" t="n">
        <v>1</v>
      </c>
      <c r="M69" t="n">
        <v>1</v>
      </c>
      <c r="O69" s="6">
        <f>(D69/100000+E69/100+F69*K69/5+J69/200)*200*L69*M69</f>
        <v/>
      </c>
      <c r="P69" s="6">
        <f>((D69*E69/25000)+(F69*K69*J69/2.5))*L69*M69</f>
        <v/>
      </c>
      <c r="Q69" s="6">
        <f>(D69*E69*F69*K69*J69*L69*M69)/12500000</f>
        <v/>
      </c>
      <c r="R69" s="6">
        <f>(O69+P69+Q69)/3</f>
        <v/>
      </c>
      <c r="S69" t="n">
        <v>2100</v>
      </c>
    </row>
    <row r="70">
      <c r="A70" t="inlineStr">
        <is>
          <t>D2K</t>
        </is>
      </c>
      <c r="B70" t="inlineStr">
        <is>
          <t>Swarmer Drone</t>
        </is>
      </c>
      <c r="D70" t="n">
        <v>20000</v>
      </c>
      <c r="E70" t="n">
        <v>260</v>
      </c>
      <c r="F70" s="7">
        <f>(3*S70/(L70*M70)-( D70/250 + 4*E70/3 + J70 + D70*E70/15000 ))/(40*K70 + K70*J70/4 + D70*E70*K70*J70/15000000)</f>
        <v/>
      </c>
      <c r="G70" t="n">
        <v>20000</v>
      </c>
      <c r="H70" t="n">
        <v>1</v>
      </c>
      <c r="I70" t="n">
        <v>68</v>
      </c>
      <c r="J70" s="6">
        <f>G70/I70*H70</f>
        <v/>
      </c>
      <c r="K70" t="n">
        <v>1</v>
      </c>
      <c r="L70" t="n">
        <v>1</v>
      </c>
      <c r="M70" t="n">
        <v>1</v>
      </c>
      <c r="O70" s="6">
        <f>(D70/100000+E70/100+F70*K70/5+J70/200)*200*L70*M70</f>
        <v/>
      </c>
      <c r="P70" s="6">
        <f>((D70*E70/25000)+(F70*K70*J70/2.5))*L70*M70</f>
        <v/>
      </c>
      <c r="Q70" s="6">
        <f>(D70*E70*F70*K70*J70*L70*M70)/12500000</f>
        <v/>
      </c>
      <c r="R70" s="6">
        <f>(O70+P70+Q70)/3</f>
        <v/>
      </c>
      <c r="S70" t="n">
        <v>800</v>
      </c>
    </row>
    <row r="71">
      <c r="B71" t="inlineStr">
        <is>
          <t>Eye in the Sky</t>
        </is>
      </c>
      <c r="D71" t="n">
        <v>150000</v>
      </c>
      <c r="E71" t="n">
        <v>180</v>
      </c>
      <c r="F71" s="7">
        <f>(3*S71/(L71*M71)-( D71/250 + 4*E71/3 + J71 + D71*E71/15000 ))/(40*K71 + K71*J71/4 + D71*E71*K71*J71/15000000)</f>
        <v/>
      </c>
      <c r="G71" t="n">
        <v>100000</v>
      </c>
      <c r="H71" t="n">
        <v>1</v>
      </c>
      <c r="I71" t="n">
        <v>125</v>
      </c>
      <c r="J71" s="6">
        <f>G71/I71*H71</f>
        <v/>
      </c>
      <c r="K71" t="n">
        <v>1</v>
      </c>
      <c r="L71" t="n">
        <v>1</v>
      </c>
      <c r="M71" t="n">
        <v>0.75</v>
      </c>
      <c r="O71" s="6">
        <f>(D71/100000+E71/100+F71*K71/5+J71/200)*200*L71*M71</f>
        <v/>
      </c>
      <c r="P71" s="6">
        <f>((D71*E71/25000)+(F71*K71*J71/2.5))*L71*M71</f>
        <v/>
      </c>
      <c r="Q71" s="6">
        <f>(D71*E71*F71*K71*J71*L71*M71)/12500000</f>
        <v/>
      </c>
      <c r="R71" s="6">
        <f>(O71+P71+Q71)/3</f>
        <v/>
      </c>
      <c r="S71" t="n">
        <v>2500</v>
      </c>
    </row>
    <row r="72">
      <c r="A72" t="inlineStr">
        <is>
          <t>RA2 Modded</t>
        </is>
      </c>
      <c r="B72" t="inlineStr">
        <is>
          <t>Me 262 (MG)</t>
        </is>
      </c>
      <c r="D72" t="n">
        <v>75000</v>
      </c>
      <c r="E72" t="n">
        <v>155</v>
      </c>
      <c r="F72" s="7">
        <f>(3*S72/(L72*M72)-( D72/250 + 4*E72/3 + J72 + D72*E72/15000 ))/(40*K72 + K72*J72/4 + D72*E72*K72*J72/15000000)</f>
        <v/>
      </c>
      <c r="G72" t="n">
        <v>60000</v>
      </c>
      <c r="H72" t="n">
        <v>1</v>
      </c>
      <c r="I72" t="n">
        <v>145</v>
      </c>
      <c r="J72" s="6">
        <f>G72/I72*H72</f>
        <v/>
      </c>
      <c r="K72" t="n">
        <v>1</v>
      </c>
      <c r="L72" t="n">
        <v>1</v>
      </c>
      <c r="M72" t="n">
        <v>1</v>
      </c>
      <c r="O72" s="6">
        <f>(D72/100000+E72/100+F72*K72/5+J72/200)*200*L72*M72</f>
        <v/>
      </c>
      <c r="P72" s="6">
        <f>((D72*E72/25000)+(F72*K72*J72/2.5))*L72*M72</f>
        <v/>
      </c>
      <c r="Q72" s="6">
        <f>(D72*E72*F72*K72*J72*L72*M72)/12500000</f>
        <v/>
      </c>
      <c r="R72" s="6">
        <f>(O72+P72+Q72)/3</f>
        <v/>
      </c>
      <c r="S72" t="n">
        <v>1500</v>
      </c>
    </row>
    <row r="73">
      <c r="B73" t="inlineStr">
        <is>
          <t>Me 262 (Rockets)</t>
        </is>
      </c>
      <c r="D73" t="n">
        <v>75000</v>
      </c>
      <c r="E73" t="n">
        <v>155</v>
      </c>
      <c r="F73" s="7">
        <f>(3*S73/(L73*M73)-( D73/250 + 4*E73/3 + J73 + D73*E73/15000 ))/(40*K73 + K73*J73/4 + D73*E73*K73*J73/15000000)</f>
        <v/>
      </c>
      <c r="G73" t="n">
        <v>40000</v>
      </c>
      <c r="H73" t="n">
        <v>1.125</v>
      </c>
      <c r="I73" t="n">
        <v>109</v>
      </c>
      <c r="J73" s="6">
        <f>G73/I73*H73</f>
        <v/>
      </c>
      <c r="K73" t="n">
        <v>1</v>
      </c>
      <c r="L73" t="n">
        <v>1</v>
      </c>
      <c r="M73" t="n">
        <v>1</v>
      </c>
      <c r="O73" s="6">
        <f>(D73/100000+E73/100+F73*K73/5+J73/200)*200*L73*M73</f>
        <v/>
      </c>
      <c r="P73" s="6">
        <f>((D73*E73/25000)+(F73*K73*J73/2.5))*L73*M73</f>
        <v/>
      </c>
      <c r="Q73" s="6">
        <f>(D73*E73*F73*K73*J73*L73*M73)/12500000</f>
        <v/>
      </c>
      <c r="R73" s="6">
        <f>(O73+P73+Q73)/3</f>
        <v/>
      </c>
      <c r="S73" t="n">
        <v>1500</v>
      </c>
    </row>
    <row r="74">
      <c r="B74" t="inlineStr">
        <is>
          <t>BF 109</t>
        </is>
      </c>
      <c r="D74" t="n">
        <v>60000</v>
      </c>
      <c r="E74" t="n">
        <v>115</v>
      </c>
      <c r="F74" s="7">
        <f>(3*S74/(L74*M74)-( D74/250 + 4*E74/3 + J74 + D74*E74/15000 ))/(40*K74 + K74*J74/4 + D74*E74*K74*J74/15000000)</f>
        <v/>
      </c>
      <c r="G74" t="n">
        <v>60000</v>
      </c>
      <c r="H74" t="n">
        <v>1</v>
      </c>
      <c r="I74" t="n">
        <v>145</v>
      </c>
      <c r="J74" s="6">
        <f>G74/I74*H74</f>
        <v/>
      </c>
      <c r="K74" t="n">
        <v>1</v>
      </c>
      <c r="L74" t="n">
        <v>1</v>
      </c>
      <c r="M74" t="n">
        <v>1</v>
      </c>
      <c r="O74" s="6">
        <f>(D74/100000+E74/100+F74*K74/5+J74/200)*200*L74*M74</f>
        <v/>
      </c>
      <c r="P74" s="6">
        <f>((D74*E74/25000)+(F74*K74*J74/2.5))*L74*M74</f>
        <v/>
      </c>
      <c r="Q74" s="6">
        <f>(D74*E74*F74*K74*J74*L74*M74)/12500000</f>
        <v/>
      </c>
      <c r="R74" s="6">
        <f>(O74+P74+Q74)/3</f>
        <v/>
      </c>
      <c r="S74" t="n">
        <v>1100</v>
      </c>
    </row>
    <row r="75">
      <c r="B75" t="inlineStr">
        <is>
          <t>Yakovlev</t>
        </is>
      </c>
      <c r="D75" t="n">
        <v>40000</v>
      </c>
      <c r="E75" t="n">
        <v>165</v>
      </c>
      <c r="F75" s="7">
        <f>(3*S75/(L75*M75)-( D75/250 + 4*E75/3 + J75 + D75*E75/15000 ))/(40*K75 + K75*J75/4 + D75*E75*K75*J75/15000000)</f>
        <v/>
      </c>
      <c r="G75" t="n">
        <v>40000</v>
      </c>
      <c r="H75" t="n">
        <v>1</v>
      </c>
      <c r="I75" t="n">
        <v>95</v>
      </c>
      <c r="J75" s="6">
        <f>G75/I75*H75</f>
        <v/>
      </c>
      <c r="K75" t="n">
        <v>1</v>
      </c>
      <c r="L75" t="n">
        <v>1</v>
      </c>
      <c r="M75" t="n">
        <v>1</v>
      </c>
      <c r="O75" s="6">
        <f>(D75/100000+E75/100+F75*K75/5+J75/200)*200*L75*M75</f>
        <v/>
      </c>
      <c r="P75" s="6">
        <f>((D75*E75/25000)+(F75*K75*J75/2.5))*L75*M75</f>
        <v/>
      </c>
      <c r="Q75" s="6">
        <f>(D75*E75*F75*K75*J75*L75*M75)/12500000</f>
        <v/>
      </c>
      <c r="R75" s="6">
        <f>(O75+P75+Q75)/3</f>
        <v/>
      </c>
      <c r="S75" t="n">
        <v>900</v>
      </c>
    </row>
    <row r="76">
      <c r="B76" t="inlineStr">
        <is>
          <t>Twister</t>
        </is>
      </c>
      <c r="D76" t="n">
        <v>50000</v>
      </c>
      <c r="E76" t="n">
        <v>150</v>
      </c>
      <c r="F76" s="7">
        <f>(3*S76/(L76*M76)-( D76/250 + 4*E76/3 + J76 + D76*E76/15000 ))/(40*K76 + K76*J76/4 + D76*E76*K76*J76/15000000)</f>
        <v/>
      </c>
      <c r="G76" t="n">
        <v>50000</v>
      </c>
      <c r="H76" t="n">
        <v>1</v>
      </c>
      <c r="I76" t="n">
        <v>125</v>
      </c>
      <c r="J76" s="6">
        <f>G76/I76*H76</f>
        <v/>
      </c>
      <c r="K76" t="n">
        <v>1</v>
      </c>
      <c r="L76" t="n">
        <v>1</v>
      </c>
      <c r="M76" t="n">
        <v>1</v>
      </c>
      <c r="O76" s="6">
        <f>(D76/50000+E76/150+F76*K76/5+J76/200)*200*L76*M76</f>
        <v/>
      </c>
      <c r="P76" s="6">
        <f>((D76*E76/15000)+(F76*K76*J76/4))*L76*M76</f>
        <v/>
      </c>
      <c r="Q76" s="6">
        <f>(D76*E76*F76*K76*J76*L76*M76)/15000000</f>
        <v/>
      </c>
      <c r="R76" s="6">
        <f>(O76+P76+Q76)/3</f>
        <v/>
      </c>
      <c r="S76" t="n">
        <v>1000</v>
      </c>
    </row>
    <row r="81">
      <c r="F81" s="7" t="n"/>
      <c r="J81" s="6" t="n"/>
      <c r="O81" s="6" t="n"/>
      <c r="P81" s="6" t="n"/>
      <c r="Q81" s="6" t="n"/>
      <c r="R81" s="6" t="n"/>
    </row>
    <row r="84">
      <c r="B84" t="inlineStr">
        <is>
          <t>Bombers</t>
        </is>
      </c>
      <c r="F84" s="3" t="inlineStr">
        <is>
          <t>All Bombers have a range of at least 5 in this formula</t>
        </is>
      </c>
    </row>
    <row r="86">
      <c r="A86" t="inlineStr">
        <is>
          <t>TD</t>
        </is>
      </c>
      <c r="B86" t="inlineStr">
        <is>
          <t>Firehawk (Bombs)</t>
        </is>
      </c>
      <c r="D86" t="n">
        <v>180000</v>
      </c>
      <c r="E86" t="n">
        <v>180</v>
      </c>
      <c r="F86" s="7">
        <f>(S86*37500000/(L86*M86*D86*E86*K86*J86)-((500/(K86*J86))+(2500000000/(D86*E86*K86*J86)*(D86/100000+E86/100+J86/200))))/(1+5000000/(D86*E86)+(500000000/(D86*E86*J86)))</f>
        <v/>
      </c>
      <c r="G86" t="n">
        <v>80000</v>
      </c>
      <c r="H86" t="n">
        <v>1.125</v>
      </c>
      <c r="I86" t="n">
        <v>250</v>
      </c>
      <c r="J86" s="6">
        <f>G86/I86*H86</f>
        <v/>
      </c>
      <c r="K86" t="n">
        <v>1</v>
      </c>
      <c r="L86" t="n">
        <v>1</v>
      </c>
      <c r="M86" t="n">
        <v>0.75</v>
      </c>
      <c r="N86" t="n">
        <v>2100</v>
      </c>
      <c r="O86" s="6">
        <f>(D86/100000+E86/100+F86*K86/5+J86/200)*200*L86*M86</f>
        <v/>
      </c>
      <c r="P86" s="6">
        <f>((D86*E86/25000)+(F86*K86*J86/2.5))*L86*M86</f>
        <v/>
      </c>
      <c r="Q86" s="6">
        <f>(D86*E86*F86*K86*J86*L86*M86)/12500000</f>
        <v/>
      </c>
      <c r="R86" s="6">
        <f>(O86+P86+Q86)/3</f>
        <v/>
      </c>
      <c r="S86" t="n">
        <v>2000</v>
      </c>
    </row>
    <row r="87">
      <c r="B87" t="inlineStr">
        <is>
          <t>Firehawk (Missiles)</t>
        </is>
      </c>
      <c r="D87" t="n">
        <v>150000</v>
      </c>
      <c r="E87" t="n">
        <v>190</v>
      </c>
      <c r="F87" t="n">
        <v>12.5</v>
      </c>
      <c r="G87" t="n">
        <v>80000</v>
      </c>
      <c r="H87" t="n">
        <v>1.25</v>
      </c>
      <c r="I87" t="n">
        <v>250</v>
      </c>
      <c r="J87" s="6">
        <f>G87/I87*H87</f>
        <v/>
      </c>
      <c r="K87" t="n">
        <v>1</v>
      </c>
      <c r="L87" t="n">
        <v>1</v>
      </c>
      <c r="M87" t="n">
        <v>0.75</v>
      </c>
      <c r="O87" s="6">
        <f>(D87/100000+E87/100+F87*K87/5+J87/200)*200*L87*M87</f>
        <v/>
      </c>
      <c r="P87" s="6">
        <f>((D87*E87/25000)+(F87*K87*J87/2.5))*L87*M87</f>
        <v/>
      </c>
      <c r="Q87" s="6">
        <f>(D87*E87*F87*K87*J87*L87*M87)/12500000</f>
        <v/>
      </c>
      <c r="R87" s="6">
        <f>(O87+P87+Q87)/3</f>
        <v/>
      </c>
      <c r="S87" t="n">
        <v>5000</v>
      </c>
    </row>
    <row r="88">
      <c r="A88" t="inlineStr">
        <is>
          <t>RA1</t>
        </is>
      </c>
      <c r="B88" t="inlineStr">
        <is>
          <t>Mig</t>
        </is>
      </c>
      <c r="D88" t="n">
        <v>40000</v>
      </c>
      <c r="E88" t="n">
        <v>200</v>
      </c>
      <c r="F88" s="7">
        <f>(S88*37500000/(L88*M88*D88*E88*K88*J88)-((500/(K88*J88))+(2500000000/(D88*E88*K88*J88)*(D88/100000+E88/100+J88/200))))/(1+5000000/(D88*E88)+(500000000/(D88*E88*J88)))</f>
        <v/>
      </c>
      <c r="G88" t="n">
        <v>160000</v>
      </c>
      <c r="H88" t="n">
        <v>1</v>
      </c>
      <c r="I88" t="n">
        <v>250</v>
      </c>
      <c r="J88" s="6">
        <f>G88/I88*H88</f>
        <v/>
      </c>
      <c r="K88" t="n">
        <v>1</v>
      </c>
      <c r="L88" t="n">
        <v>1</v>
      </c>
      <c r="M88" t="n">
        <v>0.75</v>
      </c>
      <c r="O88" s="6">
        <f>(D88/100000+E88/100+F88*K88/5+J88/200)*200*L88*M88</f>
        <v/>
      </c>
      <c r="P88" s="6">
        <f>((D88*E88/25000)+(F88*K88*J88/2.5))*L88*M88</f>
        <v/>
      </c>
      <c r="Q88" s="6">
        <f>(D88*E88*F88*K88*J88*L88*M88)/12500000</f>
        <v/>
      </c>
      <c r="R88" s="6">
        <f>(O88+P88+Q88)/3</f>
        <v/>
      </c>
      <c r="S88" t="n">
        <v>1400</v>
      </c>
    </row>
    <row r="89">
      <c r="B89" t="inlineStr">
        <is>
          <t>Rapier Jumpjet (Bombs)</t>
        </is>
      </c>
      <c r="D89" t="n">
        <v>77500</v>
      </c>
      <c r="E89" t="n">
        <v>210</v>
      </c>
      <c r="F89" t="n">
        <v>5</v>
      </c>
      <c r="G89" t="n">
        <v>80000</v>
      </c>
      <c r="H89" t="n">
        <v>1.25</v>
      </c>
      <c r="I89" t="n">
        <v>250</v>
      </c>
      <c r="J89" s="6">
        <f>G89/I89*H89</f>
        <v/>
      </c>
      <c r="K89" t="n">
        <v>1</v>
      </c>
      <c r="L89" t="n">
        <v>1</v>
      </c>
      <c r="M89" t="n">
        <v>0.75</v>
      </c>
      <c r="N89" t="n">
        <v>1700</v>
      </c>
      <c r="O89" s="6">
        <f>(D89/100000+E89/100+F89*K89/5+J89/200)*200*L89*M89</f>
        <v/>
      </c>
      <c r="P89" s="6">
        <f>((D89*E89/25000)+(F89*K89*J89/2.5))*L89*M89</f>
        <v/>
      </c>
      <c r="Q89" s="6">
        <f>(D89*E89*F89*K89*J89*L89*M89)/12500000</f>
        <v/>
      </c>
      <c r="R89" s="6">
        <f>(O89+P89+Q89)/3</f>
        <v/>
      </c>
      <c r="S89" t="n">
        <v>1300</v>
      </c>
    </row>
    <row r="90">
      <c r="B90" t="inlineStr">
        <is>
          <t>Rapier Jumpjet (Missiles)</t>
        </is>
      </c>
      <c r="D90" t="n">
        <v>77500</v>
      </c>
      <c r="E90" t="n">
        <v>210</v>
      </c>
      <c r="F90" t="n">
        <v>7</v>
      </c>
      <c r="G90" t="n">
        <v>64000</v>
      </c>
      <c r="H90" t="n">
        <v>1.125</v>
      </c>
      <c r="I90" t="n">
        <v>250</v>
      </c>
      <c r="J90" s="6">
        <f>G90/I90*H90</f>
        <v/>
      </c>
      <c r="K90" t="n">
        <v>1</v>
      </c>
      <c r="L90" t="n">
        <v>1</v>
      </c>
      <c r="M90" t="n">
        <v>0.75</v>
      </c>
      <c r="O90" s="6">
        <f>(D90/100000+E90/100+F90*K90/5+J90/200)*200*L90*M90</f>
        <v/>
      </c>
      <c r="P90" s="6">
        <f>((D90*E90/25000)+(F90*K90*J90/2.5))*L90*M90</f>
        <v/>
      </c>
      <c r="Q90" s="6">
        <f>(D90*E90*F90*K90*J90*L90*M90)/12500000</f>
        <v/>
      </c>
      <c r="R90" s="6">
        <f>(O90+P90+Q90)/3</f>
        <v/>
      </c>
      <c r="S90" s="6">
        <f>(R89+R90)/2</f>
        <v/>
      </c>
    </row>
    <row r="91">
      <c r="B91" t="inlineStr">
        <is>
          <t>Nuclear Mig Bomber</t>
        </is>
      </c>
      <c r="D91" t="n">
        <v>125000</v>
      </c>
      <c r="E91" t="n">
        <v>200</v>
      </c>
      <c r="F91" t="n">
        <v>5</v>
      </c>
      <c r="G91" t="n">
        <v>400000</v>
      </c>
      <c r="H91" t="n">
        <v>1.25</v>
      </c>
      <c r="I91" t="n">
        <v>250</v>
      </c>
      <c r="J91" s="6">
        <f>G91/I91*H91</f>
        <v/>
      </c>
      <c r="K91" t="n">
        <v>1</v>
      </c>
      <c r="L91" t="n">
        <v>1</v>
      </c>
      <c r="M91" t="n">
        <v>0.75</v>
      </c>
      <c r="N91" t="n">
        <v>7000</v>
      </c>
      <c r="O91" s="6">
        <f>(D91/100000+E91/100+F91*K91/5+J91/200)*200*L91*M91</f>
        <v/>
      </c>
      <c r="P91" s="6">
        <f>((D91*E91/25000)+(F91*K91*J91/2.5))*L91*M91</f>
        <v/>
      </c>
      <c r="Q91" s="6">
        <f>(D91*E91*F91*K91*J91*L91*M91)/12500000</f>
        <v/>
      </c>
      <c r="R91" s="6">
        <f>(O91+P91+Q91)/3</f>
        <v/>
      </c>
      <c r="S91" t="n">
        <v>7000</v>
      </c>
    </row>
    <row r="92">
      <c r="B92" t="inlineStr">
        <is>
          <t>Su-57 (Missiles)</t>
        </is>
      </c>
      <c r="D92" t="n">
        <v>65000</v>
      </c>
      <c r="E92" t="n">
        <v>220</v>
      </c>
      <c r="F92" s="7">
        <f>(S92*37500000/(L92*M92*D92*E92*K92*J92)-((500/(K92*J92))+(2500000000/(D92*E92*K92*J92)*(D92/100000+E92/100+J92/200))))/(1+5000000/(D92*E92)+(500000000/(D92*E92*J92)))</f>
        <v/>
      </c>
      <c r="G92" t="n">
        <v>160000</v>
      </c>
      <c r="H92" t="n">
        <v>1.25</v>
      </c>
      <c r="I92" t="n">
        <v>250</v>
      </c>
      <c r="J92" s="6">
        <f>G92/I92*H92</f>
        <v/>
      </c>
      <c r="K92" t="n">
        <v>1</v>
      </c>
      <c r="L92" t="n">
        <v>1</v>
      </c>
      <c r="M92" t="n">
        <v>0.75</v>
      </c>
      <c r="O92" s="6">
        <f>(D92/100000+E92/100+F92*K92/5+J92/200)*200*L92*M92</f>
        <v/>
      </c>
      <c r="P92" s="6">
        <f>((D92*E92/25000)+(F92*K92*J92/2.5))*L92*M92</f>
        <v/>
      </c>
      <c r="Q92" s="6">
        <f>(D92*E92*F92*K92*J92*L92*M92)/12500000</f>
        <v/>
      </c>
      <c r="R92" s="6">
        <f>(O92+P92+Q92)/3</f>
        <v/>
      </c>
      <c r="S92" t="n">
        <v>3000</v>
      </c>
    </row>
    <row r="93">
      <c r="B93" t="inlineStr">
        <is>
          <t>Japanese Bomber</t>
        </is>
      </c>
      <c r="D93" t="n">
        <v>122500</v>
      </c>
      <c r="E93" t="n">
        <v>165</v>
      </c>
      <c r="F93" s="7">
        <f>(S93*37500000/(L93*M93*D93*E93*K93*J93)-((500/(K93*J93))+(2500000000/(D93*E93*K93*J93)*(D93/100000+E93/100+J93/200))))/(1+5000000/(D93*E93)+(500000000/(D93*E93*J93)))</f>
        <v/>
      </c>
      <c r="G93" t="n">
        <v>80000</v>
      </c>
      <c r="H93" t="n">
        <v>1.25</v>
      </c>
      <c r="I93" t="n">
        <v>250</v>
      </c>
      <c r="J93" s="6">
        <f>G93/I93*H93</f>
        <v/>
      </c>
      <c r="K93" t="n">
        <v>1</v>
      </c>
      <c r="L93" t="n">
        <v>1</v>
      </c>
      <c r="M93" t="n">
        <v>0.75</v>
      </c>
      <c r="N93" t="n">
        <v>1500</v>
      </c>
      <c r="O93" s="6">
        <f>(D93/100000+E93/100+F93*K93/5+J93/200)*200*L93*M93</f>
        <v/>
      </c>
      <c r="P93" s="6">
        <f>((D93*E93/25000)+(F93*K93*J93/2.5))*L93*M93</f>
        <v/>
      </c>
      <c r="Q93" s="6">
        <f>(D93*E93*F93*K93*J93*L93*M93)/12500000</f>
        <v/>
      </c>
      <c r="R93" s="6">
        <f>(O93+P93+Q93)/3</f>
        <v/>
      </c>
      <c r="S93" t="n">
        <v>1500</v>
      </c>
    </row>
    <row r="94">
      <c r="A94" t="inlineStr">
        <is>
          <t>D2K</t>
        </is>
      </c>
      <c r="B94" t="inlineStr">
        <is>
          <t>Ixian Air Drone (Rockets)</t>
        </is>
      </c>
      <c r="D94" t="n">
        <v>62500</v>
      </c>
      <c r="E94" t="n">
        <v>165</v>
      </c>
      <c r="F94" s="7">
        <f>(S94*37500000/(L94*M94*D94*E94*K94*J94)-((500/(K94*J94))+(2500000000/(D94*E94*K94*J94)*(D94/100000+E94/100+J94/200))))/(1+5000000/(D94*E94)+(500000000/(D94*E94*J94)))</f>
        <v/>
      </c>
      <c r="G94" t="n">
        <v>96000</v>
      </c>
      <c r="H94" t="n">
        <v>1</v>
      </c>
      <c r="I94" t="n">
        <v>250</v>
      </c>
      <c r="J94" s="6">
        <f>G94/I94*H94</f>
        <v/>
      </c>
      <c r="K94" t="n">
        <v>1.25</v>
      </c>
      <c r="L94" t="n">
        <v>1</v>
      </c>
      <c r="M94" t="n">
        <v>1</v>
      </c>
      <c r="O94" s="6">
        <f>(D94/100000+E94/100+F94*K94/5+J94/200)*200*L94*M94</f>
        <v/>
      </c>
      <c r="P94" s="6">
        <f>((D94*E94/25000)+(F94*K94*J94/2.5))*L94*M94</f>
        <v/>
      </c>
      <c r="Q94" s="6">
        <f>(D94*E94*F94*K94*J94*L94*M94)/12500000</f>
        <v/>
      </c>
      <c r="R94" s="6">
        <f>(O94+P94+Q94)/3</f>
        <v/>
      </c>
      <c r="S94" t="n">
        <v>1800</v>
      </c>
    </row>
    <row r="95">
      <c r="B95" t="inlineStr">
        <is>
          <t>Ixian Air Drone (Guns)</t>
        </is>
      </c>
      <c r="D95" t="n">
        <v>62500</v>
      </c>
      <c r="E95" t="n">
        <v>165</v>
      </c>
      <c r="F95" s="7">
        <f>(S95*37500000/(L95*M95*D95*E95*K95*J95)-((500/(K95*J95))+(2500000000/(D95*E95*K95*J95)*(D95/100000+E95/100+J95/200))))/(1+5000000/(D95*E95)+(500000000/(D95*E95*J95)))</f>
        <v/>
      </c>
      <c r="G95" t="n">
        <v>96000</v>
      </c>
      <c r="H95" t="n">
        <v>1</v>
      </c>
      <c r="I95" t="n">
        <v>250</v>
      </c>
      <c r="J95" s="6">
        <f>G95/I95*H95</f>
        <v/>
      </c>
      <c r="K95" t="n">
        <v>1.25</v>
      </c>
      <c r="L95" t="n">
        <v>1</v>
      </c>
      <c r="M95" t="n">
        <v>1</v>
      </c>
      <c r="O95" s="6">
        <f>(D95/100000+E95/100+F95*K95/5+J95/200)*200*L95*M95</f>
        <v/>
      </c>
      <c r="P95" s="6">
        <f>((D95*E95/25000)+(F95*K95*J95/2.5))*L95*M95</f>
        <v/>
      </c>
      <c r="Q95" s="6">
        <f>(D95*E95*F95*K95*J95*L95*M95)/12500000</f>
        <v/>
      </c>
      <c r="R95" s="6">
        <f>(O95+P95+Q95)/3</f>
        <v/>
      </c>
      <c r="S95" t="n">
        <v>1800</v>
      </c>
    </row>
    <row r="96">
      <c r="B96" t="inlineStr">
        <is>
          <t>Ixian EMP Bomber</t>
        </is>
      </c>
      <c r="D96" t="n">
        <v>111000</v>
      </c>
      <c r="E96" t="n">
        <v>145</v>
      </c>
      <c r="F96" s="7">
        <f>(S96*37500000/(L96*M96*D96*E96*K96*J96)-((500/(K96*J96))+(2500000000/(D96*E96*K96*J96)*(D96/100000+E96/100+J96/200))))/(1+5000000/(D96*E96)+(500000000/(D96*E96*J96)))</f>
        <v/>
      </c>
      <c r="G96" t="n">
        <v>90000</v>
      </c>
      <c r="H96" t="n">
        <v>1.25</v>
      </c>
      <c r="I96" t="n">
        <v>250</v>
      </c>
      <c r="J96" s="6">
        <f>G96/I96*H96</f>
        <v/>
      </c>
      <c r="K96" t="n">
        <v>2</v>
      </c>
      <c r="L96" t="n">
        <v>1</v>
      </c>
      <c r="M96" t="n">
        <v>0.75</v>
      </c>
      <c r="O96" s="6">
        <f>(D96/100000+E96/100+F96*K96/5+J96/200)*200*L96*M96</f>
        <v/>
      </c>
      <c r="P96" s="6">
        <f>((D96*E96/25000)+(F96*K96*J96/2.5))*L96*M96</f>
        <v/>
      </c>
      <c r="Q96" s="6">
        <f>(D96*E96*F96*K96*J96*L96*M96)/12500000</f>
        <v/>
      </c>
      <c r="R96" s="6">
        <f>(O96+P96+Q96)/3</f>
        <v/>
      </c>
      <c r="S96" t="n">
        <v>2400</v>
      </c>
    </row>
    <row r="97">
      <c r="A97" t="inlineStr">
        <is>
          <t>RA2</t>
        </is>
      </c>
      <c r="B97" s="4" t="inlineStr">
        <is>
          <t>Black Eagle</t>
        </is>
      </c>
      <c r="C97" s="4" t="n"/>
      <c r="D97" s="4" t="n">
        <v>85000</v>
      </c>
      <c r="E97" s="4" t="n">
        <v>150</v>
      </c>
      <c r="F97" s="7">
        <f>(S97*37500000/(L97*M97*D97*E97*K97*J97)-((500/(K97*J97))+(2500000000/(D97*E97*K97*J97)*(D97/100000+E97/100+J97/200))))/(1+5000000/(D97*E97)+(500000000/(D97*E97*J97)))</f>
        <v/>
      </c>
      <c r="G97" s="4" t="n">
        <v>192000</v>
      </c>
      <c r="H97" s="4" t="n">
        <v>1</v>
      </c>
      <c r="I97" s="4" t="n">
        <v>250</v>
      </c>
      <c r="J97" s="10" t="n">
        <v>768</v>
      </c>
      <c r="K97" s="4" t="n">
        <v>1</v>
      </c>
      <c r="L97" t="n">
        <v>1</v>
      </c>
      <c r="M97" t="n">
        <v>0.75</v>
      </c>
      <c r="N97" s="4" t="n">
        <v>3200</v>
      </c>
      <c r="O97" s="10" t="n">
        <v>799</v>
      </c>
      <c r="P97" s="10" t="n">
        <v>1637.4</v>
      </c>
      <c r="Q97" s="10" t="n">
        <v>3525.12</v>
      </c>
      <c r="R97" s="10" t="n">
        <v>1987.17</v>
      </c>
      <c r="S97" s="4" t="n">
        <v>3000</v>
      </c>
    </row>
    <row r="98">
      <c r="B98" t="inlineStr">
        <is>
          <t>RA2 Mig</t>
        </is>
      </c>
      <c r="D98" t="n">
        <v>57500</v>
      </c>
      <c r="E98" t="n">
        <v>215</v>
      </c>
      <c r="F98" s="7">
        <f>(S98*37500000/(L98*M98*D98*E98*K98*J98)-((500/(K98*J98))+(2500000000/(D98*E98*K98*J98)*(D98/100000+E98/100+J98/200))))/(1+5000000/(D98*E98)+(500000000/(D98*E98*J98)))</f>
        <v/>
      </c>
      <c r="G98" t="n">
        <v>128000</v>
      </c>
      <c r="H98" t="n">
        <v>1.125</v>
      </c>
      <c r="I98" t="n">
        <v>250</v>
      </c>
      <c r="J98" s="6">
        <f>G98/I98*H98</f>
        <v/>
      </c>
      <c r="K98" t="n">
        <v>1</v>
      </c>
      <c r="L98" t="n">
        <v>1</v>
      </c>
      <c r="M98" t="n">
        <v>0.75</v>
      </c>
      <c r="N98" t="n">
        <v>2000</v>
      </c>
      <c r="O98" s="6">
        <f>(D98/100000+E98/100+F98*K98/5+J98/200)*200*L98*M98</f>
        <v/>
      </c>
      <c r="P98" s="6">
        <f>((D98*E98/25000)+(F98*K98*J98/2.5))*L98*M98</f>
        <v/>
      </c>
      <c r="Q98" s="6">
        <f>(D98*E98*F98*K98*J98*L98*M98)/12500000</f>
        <v/>
      </c>
      <c r="R98" s="6">
        <f>(O98+P98+Q98)/3</f>
        <v/>
      </c>
      <c r="S98" t="n">
        <v>2000</v>
      </c>
    </row>
    <row r="99">
      <c r="A99" t="inlineStr">
        <is>
          <t>RA2 Modded</t>
        </is>
      </c>
      <c r="B99" t="inlineStr">
        <is>
          <t>AA Phoenix</t>
        </is>
      </c>
      <c r="D99" t="n">
        <v>90000</v>
      </c>
      <c r="E99" t="n">
        <v>180</v>
      </c>
      <c r="F99" s="7">
        <f>(S99*37500000/(L99*M99*D99*E99*K99*J99)-((500/(K99*J99))+(2500000000/(D99*E99*K99*J99)*(D99/100000+E99/100+J99/200))))/(1+5000000/(D99*E99)+(500000000/(D99*E99*J99)))</f>
        <v/>
      </c>
      <c r="G99" t="n">
        <v>120000</v>
      </c>
      <c r="H99" t="n">
        <v>1</v>
      </c>
      <c r="I99" t="n">
        <v>250</v>
      </c>
      <c r="J99" s="6">
        <f>G99/I99*H99</f>
        <v/>
      </c>
      <c r="K99" t="n">
        <v>1</v>
      </c>
      <c r="L99" t="n">
        <v>1</v>
      </c>
      <c r="M99" t="n">
        <v>0.75</v>
      </c>
      <c r="N99" t="n">
        <v>1800</v>
      </c>
      <c r="O99" s="6">
        <f>(D99/100000+E99/100+F99*K99/5+J99/200)*200*L99*M99</f>
        <v/>
      </c>
      <c r="P99" s="6">
        <f>((D99*E99/25000)+(F99*K99*J99/2.5))*L99*M99</f>
        <v/>
      </c>
      <c r="Q99" s="6">
        <f>(D99*E99*F99*K99*J99*L99*M99)/12500000</f>
        <v/>
      </c>
      <c r="R99" s="6">
        <f>(O99+P99+Q99)/3</f>
        <v/>
      </c>
      <c r="S99" t="n">
        <v>1800</v>
      </c>
    </row>
    <row r="100">
      <c r="B100" t="inlineStr">
        <is>
          <t>Mig 21</t>
        </is>
      </c>
      <c r="D100" t="n">
        <v>50000</v>
      </c>
      <c r="E100" t="n">
        <v>190</v>
      </c>
      <c r="F100" s="7">
        <f>(S100*37500000/(L100*M100*D100*E100*K100*J100)-((500/(K100*J100))+(2500000000/(D100*E100*K100*J100)*(D100/100000+E100/100+J100/200))))/(1+5000000/(D100*E100)+(500000000/(D100*E100*J100)))</f>
        <v/>
      </c>
      <c r="G100" t="n">
        <v>64000</v>
      </c>
      <c r="H100" t="n">
        <v>1.125</v>
      </c>
      <c r="I100" t="n">
        <v>250</v>
      </c>
      <c r="J100" s="6">
        <f>G100/I100*H100</f>
        <v/>
      </c>
      <c r="K100" t="n">
        <v>1</v>
      </c>
      <c r="L100" t="n">
        <v>1</v>
      </c>
      <c r="M100" t="n">
        <v>0.75</v>
      </c>
      <c r="N100" t="n">
        <v>1000</v>
      </c>
      <c r="O100" s="6">
        <f>(D100/100000+E100/100+F100*K100/5+J100/200)*200*L100*M100</f>
        <v/>
      </c>
      <c r="P100" s="6">
        <f>((D100*E100/25000)+(F100*K100*J100/2.5))*L100*M100</f>
        <v/>
      </c>
      <c r="Q100" s="6">
        <f>(D100*E100*F100*K100*J100*L100*M100)/12500000</f>
        <v/>
      </c>
      <c r="R100" s="6">
        <f>(O100+P100+Q100)/3</f>
        <v/>
      </c>
      <c r="S100" t="n">
        <v>1000</v>
      </c>
    </row>
    <row r="101">
      <c r="A101" t="inlineStr">
        <is>
          <t>TS</t>
        </is>
      </c>
      <c r="B101" t="inlineStr">
        <is>
          <t>Orca Bomber</t>
        </is>
      </c>
      <c r="D101" t="n">
        <v>152500</v>
      </c>
      <c r="E101" t="n">
        <v>160</v>
      </c>
      <c r="F101" s="7">
        <f>(S101*37500000/(L101*M101*D101*E101*K101*J101)-((500/(K101*J101))+(2500000000/(D101*E101*K101*J101)*(D101/100000+E101/100+J101/200))))/(1+5000000/(D101*E101)+(500000000/(D101*E101*J101)))</f>
        <v/>
      </c>
      <c r="G101" t="n">
        <v>100000</v>
      </c>
      <c r="H101" t="n">
        <v>1.125</v>
      </c>
      <c r="I101" t="n">
        <v>250</v>
      </c>
      <c r="J101" s="6">
        <f>G101/I101*H101</f>
        <v/>
      </c>
      <c r="K101" t="n">
        <v>1</v>
      </c>
      <c r="L101" t="n">
        <v>1</v>
      </c>
      <c r="M101" t="n">
        <v>0.75</v>
      </c>
      <c r="N101" t="n">
        <v>2100</v>
      </c>
      <c r="O101" s="6">
        <f>(D101/100000+E101/100+F101*K101/5+J101/200)*200*L101*M101</f>
        <v/>
      </c>
      <c r="P101" s="6">
        <f>((D101*E101/25000)+(F101*K101*J101/2.5))*L101*M101</f>
        <v/>
      </c>
      <c r="Q101" s="6">
        <f>(D101*E101*F101*K101*J101*L101*M101)/12500000</f>
        <v/>
      </c>
      <c r="R101" s="6">
        <f>(O101+P101+Q101)/3</f>
        <v/>
      </c>
      <c r="S101" t="n">
        <v>1900</v>
      </c>
    </row>
    <row r="105">
      <c r="B105" t="inlineStr">
        <is>
          <t>Spaceships</t>
        </is>
      </c>
      <c r="D105" t="inlineStr">
        <is>
          <t>HP</t>
        </is>
      </c>
      <c r="E105" t="inlineStr">
        <is>
          <t>Speed</t>
        </is>
      </c>
      <c r="F105" t="inlineStr">
        <is>
          <t>Range</t>
        </is>
      </c>
      <c r="G105" t="inlineStr">
        <is>
          <t>Damage</t>
        </is>
      </c>
      <c r="H105" t="inlineStr">
        <is>
          <t>Weapon Class</t>
        </is>
      </c>
      <c r="I105" t="inlineStr">
        <is>
          <t>Reload Delay</t>
        </is>
      </c>
      <c r="J105" s="6" t="inlineStr">
        <is>
          <t>DPS</t>
        </is>
      </c>
      <c r="K105" t="inlineStr">
        <is>
          <t>Special</t>
        </is>
      </c>
      <c r="L105" t="inlineStr">
        <is>
          <t>Unit Class</t>
        </is>
      </c>
      <c r="M105" t="inlineStr">
        <is>
          <t>Tech Tier</t>
        </is>
      </c>
      <c r="O105" s="6" t="n"/>
      <c r="P105" s="6" t="n"/>
      <c r="Q105" s="6" t="n"/>
      <c r="R105" s="6" t="n"/>
    </row>
    <row r="106">
      <c r="O106" s="6" t="n"/>
      <c r="P106" s="6" t="n"/>
      <c r="Q106" s="6" t="n"/>
      <c r="R106" s="6" t="n"/>
    </row>
    <row r="107">
      <c r="A107" t="inlineStr">
        <is>
          <t>D2K</t>
        </is>
      </c>
      <c r="B107" t="inlineStr">
        <is>
          <t>Farasha</t>
        </is>
      </c>
      <c r="D107" t="n">
        <v>250000</v>
      </c>
      <c r="E107" t="n">
        <v>40</v>
      </c>
      <c r="F107" s="7">
        <f>(S107*37500000/(L107*M107*D107*E107*K107*J107)-((500/(K107*J107))+(2500000000/(D107*E107*K107*J107)*(D107/100000+E107/100+J107/200))))/(1+5000000/(D107*E107)+(500000000/(D107*E107*J107)))</f>
        <v/>
      </c>
      <c r="G107" t="n">
        <v>300000</v>
      </c>
      <c r="H107" t="n">
        <v>1.25</v>
      </c>
      <c r="I107" t="n">
        <v>175</v>
      </c>
      <c r="J107" s="6">
        <f>G107/I107*H107</f>
        <v/>
      </c>
      <c r="K107" t="n">
        <v>1.25</v>
      </c>
      <c r="L107" t="n">
        <v>1</v>
      </c>
      <c r="M107" t="n">
        <v>0.75</v>
      </c>
      <c r="O107" s="6">
        <f>(D107/100000+E107/100+F107*K107/5+J107/200)*200*L107*M107</f>
        <v/>
      </c>
      <c r="P107" s="6">
        <f>((D107*E107/25000)+(F107*K107*J107/2.5))*L107*M107</f>
        <v/>
      </c>
      <c r="Q107" s="6">
        <f>(D107*E107*F107*K107*J107*L107*M107)/12500000</f>
        <v/>
      </c>
      <c r="R107" s="6">
        <f>(O107+P107+Q107)/3</f>
        <v/>
      </c>
      <c r="S107" t="n">
        <v>6000</v>
      </c>
    </row>
    <row r="108">
      <c r="B108" s="8" t="inlineStr">
        <is>
          <t>Wraith</t>
        </is>
      </c>
      <c r="D108" t="n">
        <v>375000</v>
      </c>
      <c r="E108" t="n">
        <v>45</v>
      </c>
      <c r="F108" s="7">
        <f>(S108*37500000/(L108*M108*D108*E108*K108*J108)-((500/(K108*J108))+(2500000000/(D108*E108*K108*J108)*(D108/100000+E108/100+J108/200))))/(1+5000000/(D108*E108)+(500000000/(D108*E108*J108)))</f>
        <v/>
      </c>
      <c r="G108" t="n">
        <v>240000</v>
      </c>
      <c r="H108" t="n">
        <v>1.125</v>
      </c>
      <c r="I108" t="n">
        <v>200</v>
      </c>
      <c r="J108" s="6">
        <f>G108/I108*H108</f>
        <v/>
      </c>
      <c r="K108" t="n">
        <v>1.25</v>
      </c>
      <c r="L108" t="n">
        <v>1</v>
      </c>
      <c r="M108" t="n">
        <v>0.75</v>
      </c>
      <c r="O108" s="6">
        <f>(D108/100000+E108/100+F108*K108/5+J108/200)*200*L108*M108</f>
        <v/>
      </c>
      <c r="P108" s="6">
        <f>((D108*E108/25000)+(F108*K108*J108/2.5))*L108*M108</f>
        <v/>
      </c>
      <c r="Q108" s="6">
        <f>(D108*E108*F108*K108*J108*L108*M108)/12500000</f>
        <v/>
      </c>
      <c r="R108" s="6">
        <f>(O108+P108+Q108)/3</f>
        <v/>
      </c>
      <c r="S108" t="n">
        <v>7000</v>
      </c>
    </row>
    <row r="109">
      <c r="A109" t="inlineStr">
        <is>
          <t>StarCraft</t>
        </is>
      </c>
      <c r="B109" s="8" t="inlineStr">
        <is>
          <t>Battlecruiser</t>
        </is>
      </c>
      <c r="D109" t="n">
        <v>500000</v>
      </c>
      <c r="E109" t="n">
        <v>30</v>
      </c>
      <c r="F109" s="7">
        <f>(S109*37500000/(L109*M109*D109*E109*K109*J109)-((500/(K109*J109))+(2500000000/(D109*E109*K109*J109)*(D109/100000+E109/100+J109/200))))/(1+5000000/(D109*E109)+(500000000/(D109*E109*J109)))</f>
        <v/>
      </c>
      <c r="G109" t="n">
        <v>32000</v>
      </c>
      <c r="H109" t="n">
        <v>1.25</v>
      </c>
      <c r="I109" t="n">
        <v>38</v>
      </c>
      <c r="J109" s="6">
        <f>G109/I109*H109</f>
        <v/>
      </c>
      <c r="K109" t="n">
        <v>1</v>
      </c>
      <c r="L109" t="n">
        <v>1</v>
      </c>
      <c r="M109" t="n">
        <v>0.75</v>
      </c>
      <c r="O109" s="6">
        <f>(D109/100000+E109/100+F109*K109/5+J109/200)*200*L109*M109</f>
        <v/>
      </c>
      <c r="P109" s="6">
        <f>((D109*E109/25000)+(F109*K109*J109/2.5))*L109*M109</f>
        <v/>
      </c>
      <c r="Q109" s="6">
        <f>(D109*E109*F109*K109*J109*L109*M109)/12500000</f>
        <v/>
      </c>
      <c r="R109" s="6">
        <f>(O109+P109+Q109)/3</f>
        <v/>
      </c>
      <c r="S109" t="n">
        <v>4000</v>
      </c>
    </row>
    <row r="110">
      <c r="B110" t="inlineStr">
        <is>
          <t>Phobos</t>
        </is>
      </c>
      <c r="D110" t="n">
        <v>1000000</v>
      </c>
      <c r="E110" t="n">
        <v>25</v>
      </c>
      <c r="F110" s="7">
        <f>(S110*37500000/(L110*M110*D110*E110*K110*J110)-((500/(K110*J110))+(2500000000/(D110*E110*K110*J110)*(D110/100000+E110/100+J110/200))))/(1+5000000/(D110*E110)+(500000000/(D110*E110*J110)))</f>
        <v/>
      </c>
      <c r="G110" t="n">
        <v>96000</v>
      </c>
      <c r="H110" t="n">
        <v>1.25</v>
      </c>
      <c r="I110" t="n">
        <v>92</v>
      </c>
      <c r="J110" s="6">
        <f>G110/I110*H110</f>
        <v/>
      </c>
      <c r="K110" t="n">
        <v>1.25</v>
      </c>
      <c r="L110" t="n">
        <v>1</v>
      </c>
      <c r="M110" t="n">
        <v>0.75</v>
      </c>
      <c r="O110" s="6">
        <f>(D110/100000+E110/100+F110*K110/5+J110/200)*200*L110*M110</f>
        <v/>
      </c>
      <c r="P110" s="6">
        <f>((D110*E110/25000)+(F110*K110*J110/2.5))*L110*M110</f>
        <v/>
      </c>
      <c r="Q110" s="6">
        <f>(D110*E110*F110*K110*J110*L110*M110)/12500000</f>
        <v/>
      </c>
      <c r="R110" s="6">
        <f>(O110+P110+Q110)/3</f>
        <v/>
      </c>
      <c r="S110" t="n">
        <v>10000</v>
      </c>
    </row>
    <row r="111">
      <c r="B111" t="inlineStr">
        <is>
          <t>Behemoth (Missile)</t>
        </is>
      </c>
      <c r="D111" t="n">
        <v>600000</v>
      </c>
      <c r="E111" t="n">
        <v>30</v>
      </c>
      <c r="F111" s="7">
        <f>(S111*37500000/(L111*M111*D111*E111*K111*J111)-((500/(K111*J111))+(2500000000/(D111*E111*K111*J111)*(D111/100000+E111/100+J111/200))))/(1+5000000/(D111*E111)+(500000000/(D111*E111*J111)))</f>
        <v/>
      </c>
      <c r="G111" t="n">
        <v>12000</v>
      </c>
      <c r="H111" t="n">
        <v>1</v>
      </c>
      <c r="I111" t="n">
        <v>60</v>
      </c>
      <c r="J111" s="6">
        <f>G111/I111*H111</f>
        <v/>
      </c>
      <c r="K111" t="n">
        <v>1.25</v>
      </c>
      <c r="L111" t="n">
        <v>1</v>
      </c>
      <c r="M111" t="n">
        <v>0.75</v>
      </c>
      <c r="O111" s="6">
        <f>(D111/100000+E111/100+F111*K111/5+J111/200)*200*L111*M111</f>
        <v/>
      </c>
      <c r="P111" s="6">
        <f>((D111*E111/25000)+(F111*K111*J111/2.5))*L111*M111</f>
        <v/>
      </c>
      <c r="Q111" s="6">
        <f>(D111*E111*F111*K111*J111*L111*M111)/12500000</f>
        <v/>
      </c>
      <c r="R111" s="6">
        <f>(O111+P111+Q111)/3</f>
        <v/>
      </c>
      <c r="S111" t="n">
        <v>5800</v>
      </c>
    </row>
    <row r="112">
      <c r="B112" t="inlineStr">
        <is>
          <t>Behemoth (Hydra)</t>
        </is>
      </c>
      <c r="D112" t="n">
        <v>600000</v>
      </c>
      <c r="E112" t="n">
        <v>30</v>
      </c>
      <c r="F112" s="7">
        <f>(S112*37500000/(L112*M112*D112*E112*K112*J112)-((500/(K112*J112))+(2500000000/(D112*E112*K112*J112)*(D112/100000+E112/100+J112/200))))/(1+5000000/(D112*E112)+(500000000/(D112*E112*J112)))</f>
        <v/>
      </c>
      <c r="G112" t="n">
        <v>32000</v>
      </c>
      <c r="H112" t="n">
        <v>0.75</v>
      </c>
      <c r="I112" t="n">
        <v>15</v>
      </c>
      <c r="J112" s="6">
        <f>G112/I112*H112</f>
        <v/>
      </c>
      <c r="K112" t="n">
        <v>1.25</v>
      </c>
      <c r="L112" t="n">
        <v>1</v>
      </c>
      <c r="M112" t="n">
        <v>0.75</v>
      </c>
      <c r="O112" s="6">
        <f>(D112/100000+E112/100+F112*K112/5+J112/200)*200*L112*M112</f>
        <v/>
      </c>
      <c r="P112" s="6">
        <f>((D112*E112/25000)+(F112*K112*J112/2.5))*L112*M112</f>
        <v/>
      </c>
      <c r="Q112" s="6">
        <f>(D112*E112*F112*K112*J112*L112*M112)/12500000</f>
        <v/>
      </c>
      <c r="R112" s="6">
        <f>(O112+P112+Q112)/3</f>
        <v/>
      </c>
      <c r="S112" t="n">
        <v>5800</v>
      </c>
    </row>
    <row r="113">
      <c r="B113" t="inlineStr">
        <is>
          <t>Carrier</t>
        </is>
      </c>
      <c r="D113" t="n">
        <v>300000</v>
      </c>
      <c r="E113" t="n">
        <v>45</v>
      </c>
      <c r="F113" s="7">
        <f>(S113*37500000/(L113*M113*D113*E113*K113*J113)-((500/(K113*J113))+(2500000000/(D113*E113*K113*J113)*(D113/100000+E113/100+J113/200))))/(1+5000000/(D113*E113)+(500000000/(D113*E113*J113)))</f>
        <v/>
      </c>
      <c r="G113" t="n">
        <v>40000</v>
      </c>
      <c r="H113" t="n">
        <v>1.25</v>
      </c>
      <c r="I113" t="n">
        <v>44</v>
      </c>
      <c r="J113" s="6">
        <f>G113/I113*H113</f>
        <v/>
      </c>
      <c r="K113" t="n">
        <v>0.75</v>
      </c>
      <c r="L113" t="n">
        <v>1</v>
      </c>
      <c r="M113" t="n">
        <v>0.75</v>
      </c>
      <c r="O113" s="6">
        <f>(D113/100000+E113/100+F113*K113/5+J113/200)*200*L113*M113</f>
        <v/>
      </c>
      <c r="P113" s="6">
        <f>((D113*E113/25000)+(F113*K113*J113/2.5))*L113*M113</f>
        <v/>
      </c>
      <c r="Q113" s="6">
        <f>(D113*E113*F113*K113*J113*L113*M113)/12500000</f>
        <v/>
      </c>
      <c r="R113" s="6">
        <f>(O113+P113+Q113)/3</f>
        <v/>
      </c>
      <c r="S113" t="n">
        <v>3000</v>
      </c>
    </row>
    <row r="114">
      <c r="B114" t="inlineStr">
        <is>
          <t>Starship Sovereign</t>
        </is>
      </c>
      <c r="D114" t="n">
        <v>750000</v>
      </c>
      <c r="E114" t="n">
        <v>40</v>
      </c>
      <c r="F114" s="7">
        <f>(S114*37500000/(L114*M114*D114*E114*K114*J114)-((500/(K114*J114))+(2500000000/(D114*E114*K114*J114)*(D114/100000+E114/100+J114/200))))/(1+5000000/(D114*E114)+(500000000/(D114*E114*J114)))</f>
        <v/>
      </c>
      <c r="G114" t="n">
        <v>12000</v>
      </c>
      <c r="H114" t="n">
        <v>1</v>
      </c>
      <c r="I114" t="n">
        <v>10</v>
      </c>
      <c r="J114" s="6">
        <f>G114/I114*H114</f>
        <v/>
      </c>
      <c r="K114" t="n">
        <v>1.25</v>
      </c>
      <c r="L114" t="n">
        <v>1</v>
      </c>
      <c r="M114" t="n">
        <v>0.75</v>
      </c>
      <c r="O114" s="6">
        <f>(D114/100000+E114/100+F114*K114/5+J114/200)*200*L114*M114</f>
        <v/>
      </c>
      <c r="P114" s="6">
        <f>((D114*E114/25000)+(F114*K114*J114/2.5))*L114*M114</f>
        <v/>
      </c>
      <c r="Q114" s="6">
        <f>(D114*E114*F114*K114*J114*L114*M114)/12500000</f>
        <v/>
      </c>
      <c r="R114" s="6">
        <f>(O114+P114+Q114)/3</f>
        <v/>
      </c>
      <c r="S114" t="n">
        <v>10000</v>
      </c>
    </row>
    <row r="115">
      <c r="A115" t="inlineStr">
        <is>
          <t>WarCraft</t>
        </is>
      </c>
      <c r="B115" t="inlineStr">
        <is>
          <t>Gryphon Rider</t>
        </is>
      </c>
      <c r="D115" t="n">
        <v>125000</v>
      </c>
      <c r="E115" t="n">
        <v>145</v>
      </c>
      <c r="F115" s="7">
        <f>(S115*37500000/(L115*M115*D115*E115*K115*J115)-((500/(K115*J115))+(2500000000/(D115*E115*K115*J115)*(D115/100000+E115/100+J115/200))))/(1+5000000/(D115*E115)+(500000000/(D115*E115*J115)))</f>
        <v/>
      </c>
      <c r="G115" t="n">
        <v>40000</v>
      </c>
      <c r="H115" t="n">
        <v>1</v>
      </c>
      <c r="I115" t="n">
        <v>100</v>
      </c>
      <c r="J115" s="6">
        <f>G115/I115*H115</f>
        <v/>
      </c>
      <c r="K115" t="n">
        <v>1.25</v>
      </c>
      <c r="L115" t="n">
        <v>1</v>
      </c>
      <c r="M115" t="n">
        <v>0.75</v>
      </c>
      <c r="O115" s="6">
        <f>(D115/100000+E115/100+F115*K115/5+J115/200)*200*L115*M115</f>
        <v/>
      </c>
      <c r="P115" s="6">
        <f>((D115*E115/25000)+(F115*K115*J115/2.5))*L115*M115</f>
        <v/>
      </c>
      <c r="Q115" s="6">
        <f>(D115*E115*F115*K115*J115*L115*M115)/12500000</f>
        <v/>
      </c>
      <c r="R115" s="6">
        <f>(O115+P115+Q115)/3</f>
        <v/>
      </c>
      <c r="S115" t="n">
        <v>1500</v>
      </c>
    </row>
    <row r="116">
      <c r="B116" t="inlineStr">
        <is>
          <t>Dragon</t>
        </is>
      </c>
      <c r="D116" t="n">
        <v>150000</v>
      </c>
      <c r="E116" t="n">
        <v>125</v>
      </c>
      <c r="F116" s="7">
        <f>(S116*37500000/(L116*M116*D116*E116*K116*J116)-((500/(K116*J116))+(2500000000/(D116*E116*K116*J116)*(D116/100000+E116/100+J116/200))))/(1+5000000/(D116*E116)+(500000000/(D116*E116*J116)))</f>
        <v/>
      </c>
      <c r="G116" t="n">
        <v>60000</v>
      </c>
      <c r="H116" t="n">
        <v>1</v>
      </c>
      <c r="I116" t="n">
        <v>120</v>
      </c>
      <c r="J116" s="6">
        <f>G116/I116*H116</f>
        <v/>
      </c>
      <c r="K116" t="n">
        <v>1.25</v>
      </c>
      <c r="L116" t="n">
        <v>1</v>
      </c>
      <c r="M116" t="n">
        <v>0.75</v>
      </c>
      <c r="O116" s="6">
        <f>(D116/100000+E116/100+F116*K116/5+J116/200)*200*L116*M116</f>
        <v/>
      </c>
      <c r="P116" s="6">
        <f>((D116*E116/25000)+(F116*K116*J116/2.5))*L116*M116</f>
        <v/>
      </c>
      <c r="Q116" s="6">
        <f>(D116*E116*F116*K116*J116*L116*M116)/12500000</f>
        <v/>
      </c>
      <c r="R116" s="6">
        <f>(O116+P116+Q116)/3</f>
        <v/>
      </c>
      <c r="S116" t="n">
        <v>2000</v>
      </c>
    </row>
    <row r="117">
      <c r="A117" t="inlineStr">
        <is>
          <t>RA2</t>
        </is>
      </c>
      <c r="B117" t="inlineStr">
        <is>
          <t>Kirov</t>
        </is>
      </c>
      <c r="D117" t="n">
        <v>800000</v>
      </c>
      <c r="E117" t="n">
        <v>30</v>
      </c>
      <c r="F117" s="7">
        <f>(S117*37500000/(L117*M117*D117*E117*K117*J117)-((500/(K117*J117))+(2500000000/(D117*E117*K117*J117)*(D117/100000+E117/100+J117/200))))/(1+5000000/(D117*E117)+(500000000/(D117*E117*J117)))</f>
        <v/>
      </c>
      <c r="G117" t="n">
        <v>80000</v>
      </c>
      <c r="H117" t="n">
        <v>1.25</v>
      </c>
      <c r="I117" t="n">
        <v>50</v>
      </c>
      <c r="J117" s="6">
        <f>G117/I117*H117</f>
        <v/>
      </c>
      <c r="K117" t="n">
        <v>1</v>
      </c>
      <c r="L117" t="n">
        <v>1</v>
      </c>
      <c r="M117" t="n">
        <v>0.75</v>
      </c>
      <c r="O117" s="6">
        <f>(D117/100000+E117/100+F117*K117/5+J117/200)*200*L117*M117</f>
        <v/>
      </c>
      <c r="P117" s="6">
        <f>((D117*E117/25000)+(F117*K117*J117/2.5))*L117*M117</f>
        <v/>
      </c>
      <c r="Q117" s="6">
        <f>(D117*E117*F117*K117*J117*L117*M117)/12500000</f>
        <v/>
      </c>
      <c r="R117" s="6">
        <f>(O117+P117+Q117)/3</f>
        <v/>
      </c>
      <c r="S117" t="n">
        <v>4000</v>
      </c>
    </row>
    <row r="118">
      <c r="B118" t="inlineStr">
        <is>
          <t>Floating Disc</t>
        </is>
      </c>
      <c r="D118" t="n">
        <v>125000</v>
      </c>
      <c r="E118" t="n">
        <v>80</v>
      </c>
      <c r="F118" s="7">
        <f>(S118*37500000/(L118*M118*D118*E118*K118*J118)-((500/(K118*J118))+(2500000000/(D118*E118*K118*J118)*(D118/100000+E118/100+J118/200))))/(1+5000000/(D118*E118)+(500000000/(D118*E118*J118)))</f>
        <v/>
      </c>
      <c r="G118" t="n">
        <v>24000</v>
      </c>
      <c r="H118" t="n">
        <v>1.25</v>
      </c>
      <c r="I118" t="n">
        <v>40</v>
      </c>
      <c r="J118" s="6">
        <f>G118/I118*H118</f>
        <v/>
      </c>
      <c r="K118" t="n">
        <v>1.25</v>
      </c>
      <c r="L118" t="n">
        <v>1</v>
      </c>
      <c r="M118" t="n">
        <v>0.75</v>
      </c>
      <c r="O118" s="6">
        <f>(D118/100000+E118/100+F118*K118/5+J118/200)*200*L118*M118</f>
        <v/>
      </c>
      <c r="P118" s="6">
        <f>((D118*E118/25000)+(F118*K118*J118/2.5))*L118*M118</f>
        <v/>
      </c>
      <c r="Q118" s="6">
        <f>(D118*E118*F118*K118*J118*L118*M118)/12500000</f>
        <v/>
      </c>
      <c r="R118" s="6">
        <f>(O118+P118+Q118)/3</f>
        <v/>
      </c>
      <c r="S118" t="n">
        <v>2400</v>
      </c>
    </row>
    <row r="119">
      <c r="A119" t="inlineStr">
        <is>
          <t>RA2 Modded</t>
        </is>
      </c>
      <c r="B119" t="inlineStr">
        <is>
          <t>Empress Station</t>
        </is>
      </c>
      <c r="D119" t="n">
        <v>1500000</v>
      </c>
      <c r="E119" t="n">
        <v>25</v>
      </c>
      <c r="F119" s="7">
        <f>(S119*37500000/(L119*M119*D119*E119*K119*J119)-((500/(K119*J119))+(2500000000/(D119*E119*K119*J119)*(D119/100000+E119/100+J119/200))))/(1+5000000/(D119*E119)+(500000000/(D119*E119*J119)))</f>
        <v/>
      </c>
      <c r="G119" t="n">
        <v>25000</v>
      </c>
      <c r="H119" t="n">
        <v>1.25</v>
      </c>
      <c r="I119" t="n">
        <v>25</v>
      </c>
      <c r="J119" s="6">
        <f>G119/I119*H119</f>
        <v/>
      </c>
      <c r="K119" t="n">
        <v>1.25</v>
      </c>
      <c r="L119" t="n">
        <v>1</v>
      </c>
      <c r="M119" t="n">
        <v>0.75</v>
      </c>
      <c r="O119" s="6">
        <f>(D119/100000+E119/100+F119*K119/5+J119/200)*200*L119*M119</f>
        <v/>
      </c>
      <c r="P119" s="6">
        <f>((D119*E119/25000)+(F119*K119*J119/2.5))*L119*M119</f>
        <v/>
      </c>
      <c r="Q119" s="6">
        <f>(D119*E119*F119*K119*J119*L119*M119)/12500000</f>
        <v/>
      </c>
      <c r="R119" s="6">
        <f>(O119+P119+Q119)/3</f>
        <v/>
      </c>
      <c r="S119" t="n">
        <v>5000</v>
      </c>
    </row>
    <row r="120">
      <c r="B120" t="inlineStr">
        <is>
          <t>Cloudbreaker (Cannons)</t>
        </is>
      </c>
      <c r="D120" t="n">
        <v>250000</v>
      </c>
      <c r="E120" t="n">
        <v>50</v>
      </c>
      <c r="F120" s="7">
        <f>(S120*37500000/(L120*M120*D120*E120*K120*J120)-((500/(K120*J120))+(2500000000/(D120*E120*K120*J120)*(D120/100000+E120/100+J120/200))))/(1+5000000/(D120*E120)+(500000000/(D120*E120*J120)))</f>
        <v/>
      </c>
      <c r="G120" t="n">
        <v>8000</v>
      </c>
      <c r="H120" t="n">
        <v>0.875</v>
      </c>
      <c r="I120" t="n">
        <v>5</v>
      </c>
      <c r="J120" s="6">
        <f>G120/I120*H120</f>
        <v/>
      </c>
      <c r="K120" t="n">
        <v>1.25</v>
      </c>
      <c r="L120" t="n">
        <v>1</v>
      </c>
      <c r="M120" t="n">
        <v>0.75</v>
      </c>
      <c r="O120" s="6">
        <f>(D120/100000+E120/100+F120*K120/5+J120/200)*200*L120*M120</f>
        <v/>
      </c>
      <c r="P120" s="6">
        <f>((D120*E120/25000)+(F120*K120*J120/2.5))*L120*M120</f>
        <v/>
      </c>
      <c r="Q120" s="6">
        <f>(D120*E120*F120*K120*J120*L120*M120)/12500000</f>
        <v/>
      </c>
      <c r="R120" s="6">
        <f>(O120+P120+Q120)/3</f>
        <v/>
      </c>
      <c r="S120" t="n">
        <v>5000</v>
      </c>
    </row>
    <row r="121">
      <c r="B121" t="inlineStr">
        <is>
          <t>Cloudbreaker (Artillery)</t>
        </is>
      </c>
      <c r="D121" t="n">
        <v>250000</v>
      </c>
      <c r="E121" t="n">
        <v>50</v>
      </c>
      <c r="F121" s="7">
        <f>(S121*37500000/(L121*M121*D121*E121*K121*J121)-((500/(K121*J121))+(2500000000/(D121*E121*K121*J121)*(D121/100000+E121/100+J121/200))))/(1+5000000/(D121*E121)+(500000000/(D121*E121*J121)))</f>
        <v/>
      </c>
      <c r="G121" t="n">
        <v>32000</v>
      </c>
      <c r="H121" t="n">
        <v>0.875</v>
      </c>
      <c r="I121" t="n">
        <v>20</v>
      </c>
      <c r="J121" s="6">
        <f>G121/I121*H121</f>
        <v/>
      </c>
      <c r="K121" t="n">
        <v>1.25</v>
      </c>
      <c r="L121" t="n">
        <v>1</v>
      </c>
      <c r="M121" t="n">
        <v>0.75</v>
      </c>
      <c r="O121" s="6">
        <f>(D121/100000+E121/100+F121*K121/5+J121/200)*200*L121*M121</f>
        <v/>
      </c>
      <c r="P121" s="6">
        <f>((D121*E121/25000)+(F121*K121*J121/2.5))*L121*M121</f>
        <v/>
      </c>
      <c r="Q121" s="6">
        <f>(D121*E121*F121*K121*J121*L121*M121)/12500000</f>
        <v/>
      </c>
      <c r="R121" s="6">
        <f>(O121+P121+Q121)/3</f>
        <v/>
      </c>
      <c r="S121" t="n">
        <v>5000</v>
      </c>
    </row>
    <row r="122">
      <c r="A122" t="inlineStr">
        <is>
          <t>TS</t>
        </is>
      </c>
      <c r="B122" t="inlineStr">
        <is>
          <t>Kodiak</t>
        </is>
      </c>
      <c r="D122" t="n">
        <v>900000</v>
      </c>
      <c r="E122" t="n">
        <v>30</v>
      </c>
      <c r="F122" s="7">
        <f>(S122*37500000/(L122*M122*D122*E122*K122*J122)-((500/(K122*J122))+(2500000000/(D122*E122*K122*J122)*(D122/100000+E122/100+J122/200))))/(1+5000000/(D122*E122)+(500000000/(D122*E122*J122)))</f>
        <v/>
      </c>
      <c r="G122" t="n">
        <v>120000</v>
      </c>
      <c r="H122" t="n">
        <v>1.25</v>
      </c>
      <c r="I122" t="n">
        <v>100</v>
      </c>
      <c r="J122" s="6">
        <f>G122/I122*H122</f>
        <v/>
      </c>
      <c r="K122" t="n">
        <v>1</v>
      </c>
      <c r="L122" t="n">
        <v>1</v>
      </c>
      <c r="M122" t="n">
        <v>0.75</v>
      </c>
      <c r="O122" s="6">
        <f>(D122/100000+E122/100+F122*K122/5+J122/200)*200*L122*M122</f>
        <v/>
      </c>
      <c r="P122" s="6">
        <f>((D122*E122/25000)+(F122*K122*J122/2.5))*L122*M122</f>
        <v/>
      </c>
      <c r="Q122" s="6">
        <f>(D122*E122*F122*K122*J122*L122*M122)/12500000</f>
        <v/>
      </c>
      <c r="R122" s="6">
        <f>(O122+P122+Q122)/3</f>
        <v/>
      </c>
      <c r="S122" t="n">
        <v>10000</v>
      </c>
    </row>
    <row r="124">
      <c r="B124" t="inlineStr">
        <is>
          <t>Pythean</t>
        </is>
      </c>
      <c r="D124" t="n">
        <v>400000</v>
      </c>
      <c r="E124" t="n">
        <v>40</v>
      </c>
      <c r="F124" s="7">
        <f>(S124*37500000/(L124*M124*D124*E124*K124*J124)-((500/(K124*J124))+(2500000000/(D124*E124*K124*J124)*(D124/100000+E124/100+J124/200))))/(1+5000000/(D124*E124)+(500000000/(D124*E124*J124)))</f>
        <v/>
      </c>
      <c r="J124" s="6" t="n">
        <v>1618</v>
      </c>
      <c r="K124" t="n">
        <v>1</v>
      </c>
      <c r="L124" t="n">
        <v>1.25</v>
      </c>
      <c r="M124" t="n">
        <v>0.75</v>
      </c>
      <c r="O124" s="6">
        <f>(D124/100000+E124/100+F124*K124/5+J124/200)*200*L124*M124</f>
        <v/>
      </c>
      <c r="P124" s="6">
        <f>((D124*E124/25000)+(F124*K124*J124/2.5))*L124*M124</f>
        <v/>
      </c>
      <c r="Q124" s="6">
        <f>(D124*E124*F124*K124*J124*L124*M124)/12500000</f>
        <v/>
      </c>
      <c r="R124" s="6">
        <f>(O124+P124+Q124)/3</f>
        <v/>
      </c>
      <c r="S124" t="n">
        <v>5500</v>
      </c>
    </row>
    <row r="126">
      <c r="E126" t="inlineStr">
        <is>
          <t>Marine</t>
        </is>
      </c>
      <c r="F126" t="n">
        <v>4.444</v>
      </c>
      <c r="G126" t="n">
        <v>6000</v>
      </c>
      <c r="H126" t="n">
        <v>1</v>
      </c>
      <c r="I126" t="n">
        <v>30</v>
      </c>
      <c r="J126" s="6">
        <f>G126/I126*H126</f>
        <v/>
      </c>
      <c r="O126" s="6" t="n"/>
      <c r="P126" s="6" t="n"/>
      <c r="Q126" s="6" t="n"/>
      <c r="R126" s="6" t="n"/>
    </row>
    <row r="127">
      <c r="E127" t="inlineStr">
        <is>
          <t>Madcap</t>
        </is>
      </c>
      <c r="F127" t="n">
        <v>4.587</v>
      </c>
      <c r="G127" t="n">
        <v>6000</v>
      </c>
      <c r="H127" t="n">
        <v>1</v>
      </c>
      <c r="I127" t="n">
        <v>25</v>
      </c>
      <c r="J127" s="6">
        <f>G127/I127*H127</f>
        <v/>
      </c>
      <c r="O127" s="6" t="n"/>
      <c r="P127" s="6" t="n"/>
      <c r="Q127" s="6" t="n"/>
      <c r="R127" s="6" t="n"/>
    </row>
    <row r="128">
      <c r="E128" t="inlineStr">
        <is>
          <t>Firebat</t>
        </is>
      </c>
      <c r="F128" s="7" t="n">
        <v>3.4</v>
      </c>
      <c r="G128" t="n">
        <v>26000</v>
      </c>
      <c r="H128" t="n">
        <v>1</v>
      </c>
      <c r="I128" t="n">
        <v>52</v>
      </c>
      <c r="J128" s="6">
        <f>G128/I128*H128</f>
        <v/>
      </c>
      <c r="O128" s="6" t="n"/>
      <c r="P128" s="6" t="n"/>
      <c r="Q128" s="6" t="n"/>
      <c r="R128" s="6" t="n"/>
    </row>
    <row r="129">
      <c r="E129" t="inlineStr">
        <is>
          <t>Harakan</t>
        </is>
      </c>
      <c r="F129" s="7" t="n">
        <v>3.4</v>
      </c>
      <c r="G129" t="n">
        <v>26000</v>
      </c>
      <c r="H129" t="n">
        <v>1</v>
      </c>
      <c r="I129" t="n">
        <v>52</v>
      </c>
      <c r="J129" s="6">
        <f>G129/I129*H129</f>
        <v/>
      </c>
      <c r="O129" s="6" t="n"/>
      <c r="P129" s="6" t="n"/>
      <c r="Q129" s="6" t="n"/>
      <c r="R129" s="6" t="n"/>
    </row>
    <row r="130">
      <c r="E130" t="inlineStr">
        <is>
          <t>Marauder</t>
        </is>
      </c>
      <c r="F130" s="7" t="n">
        <v>7.01</v>
      </c>
      <c r="G130" t="n">
        <v>30000</v>
      </c>
      <c r="H130" t="n">
        <v>1</v>
      </c>
      <c r="I130" t="n">
        <v>60</v>
      </c>
      <c r="J130" s="6">
        <f>G130/I130*H130</f>
        <v/>
      </c>
    </row>
    <row r="131">
      <c r="E131" t="inlineStr">
        <is>
          <t>Ghost</t>
        </is>
      </c>
      <c r="F131" s="7" t="n">
        <v>8.428000000000001</v>
      </c>
      <c r="G131" t="n">
        <v>10000</v>
      </c>
      <c r="H131" t="n">
        <v>1</v>
      </c>
      <c r="I131" t="n">
        <v>22</v>
      </c>
      <c r="J131" s="6">
        <f>G131/I131*H131</f>
        <v/>
      </c>
    </row>
    <row r="132">
      <c r="E132" t="inlineStr">
        <is>
          <t>Specter</t>
        </is>
      </c>
      <c r="F132" s="7" t="n">
        <v>7.922</v>
      </c>
      <c r="G132" t="n">
        <v>20000</v>
      </c>
      <c r="H132" t="n">
        <v>1</v>
      </c>
      <c r="I132" t="n">
        <v>33</v>
      </c>
      <c r="J132" s="6">
        <f>G132/I132*H132</f>
        <v/>
      </c>
    </row>
    <row r="133">
      <c r="E133" t="inlineStr">
        <is>
          <t>Reaper</t>
        </is>
      </c>
      <c r="F133" s="7" t="n">
        <v>4.375</v>
      </c>
      <c r="G133" t="n">
        <v>4000</v>
      </c>
      <c r="H133" t="n">
        <v>0.75</v>
      </c>
      <c r="I133" t="n">
        <v>22</v>
      </c>
      <c r="J133" s="6">
        <f>G133/I133*H133</f>
        <v/>
      </c>
      <c r="O133" s="6" t="n"/>
      <c r="P133" s="6" t="n"/>
      <c r="Q133" s="6" t="n"/>
      <c r="R133" s="6" t="n"/>
    </row>
    <row r="134">
      <c r="E134" t="inlineStr">
        <is>
          <t>Medic</t>
        </is>
      </c>
      <c r="F134" s="7" t="n">
        <v>6</v>
      </c>
      <c r="G134" t="n">
        <v>6000</v>
      </c>
      <c r="H134" t="n">
        <v>1</v>
      </c>
      <c r="I134" t="n">
        <v>60</v>
      </c>
      <c r="J134" s="6">
        <f>G134/I134*H134</f>
        <v/>
      </c>
      <c r="O134" s="6" t="n"/>
      <c r="P134" s="6" t="n"/>
      <c r="Q134" s="6" t="n"/>
      <c r="R134" s="6" t="n"/>
    </row>
    <row r="135">
      <c r="F135" s="6">
        <f>AVERAGE(F126:F134)</f>
        <v/>
      </c>
      <c r="J135" s="6">
        <f>SUM(J126:J134)/2</f>
        <v/>
      </c>
      <c r="O135" s="6" t="n"/>
      <c r="P135" s="6" t="n"/>
      <c r="Q135" s="6" t="n"/>
      <c r="R135" s="6" t="n"/>
    </row>
    <row r="136">
      <c r="O136" s="6" t="n"/>
      <c r="P136" s="6" t="n"/>
      <c r="Q136" s="6" t="n"/>
      <c r="R136" s="6" t="n"/>
    </row>
    <row r="137">
      <c r="H137" s="7" t="n"/>
      <c r="L137" s="6" t="n"/>
      <c r="O137" s="6" t="n"/>
      <c r="P137" s="6" t="n"/>
      <c r="Q137" s="6" t="n"/>
      <c r="R137" s="6" t="n"/>
    </row>
    <row r="138">
      <c r="B138" t="inlineStr">
        <is>
          <t>Harbinger (Cannon)</t>
        </is>
      </c>
      <c r="D138" t="n">
        <v>400000</v>
      </c>
      <c r="E138" t="n">
        <v>125</v>
      </c>
      <c r="F138" s="7">
        <f>(S138*37500000/(L138*M138*D138*E138*K138*J138)-((500/(K138*J138))+(2500000000/(D138*E138*K138*J138)*(D138/100000+E138/100+J138/200))))/(1+5000000/(D138*E138)+(500000000/(D138*E138*J138)))</f>
        <v/>
      </c>
      <c r="G138" t="n">
        <v>80000</v>
      </c>
      <c r="H138" t="n">
        <v>1.25</v>
      </c>
      <c r="I138" t="n">
        <v>75</v>
      </c>
      <c r="J138" s="6">
        <f>G138/I138*H138</f>
        <v/>
      </c>
      <c r="K138" t="n">
        <v>1</v>
      </c>
      <c r="L138" t="n">
        <v>1</v>
      </c>
      <c r="M138" t="n">
        <v>0.75</v>
      </c>
      <c r="O138" s="6">
        <f>(D138/100000+E138/100+F138*K138/5+J138/200)*200*L138*M138</f>
        <v/>
      </c>
      <c r="P138" s="6">
        <f>((D138*E138/25000)+(F138*K138*J138/2.5))*L138*M138</f>
        <v/>
      </c>
      <c r="Q138" s="6">
        <f>(D138*E138*F138*K138*J138*L138*M138)/12500000</f>
        <v/>
      </c>
      <c r="R138" s="6">
        <f>(O138+P138+Q138)/3</f>
        <v/>
      </c>
      <c r="S138" t="n">
        <v>10000</v>
      </c>
    </row>
    <row r="139">
      <c r="B139" t="inlineStr">
        <is>
          <t>Harbinger (Flak)</t>
        </is>
      </c>
      <c r="D139" t="n">
        <v>400000</v>
      </c>
      <c r="E139" t="n">
        <v>125</v>
      </c>
      <c r="F139" s="7">
        <f>(S139*37500000/(L139*M139*D139*E139*K139*J139)-((500/(K139*J139))+(2500000000/(D139*E139*K139*J139)*(D139/100000+E139/100+J139/200))))/(1+5000000/(D139*E139)+(500000000/(D139*E139*J139)))</f>
        <v/>
      </c>
      <c r="G139" t="n">
        <v>12000</v>
      </c>
      <c r="H139" t="n">
        <v>1</v>
      </c>
      <c r="I139" t="n">
        <v>9</v>
      </c>
      <c r="J139" s="6">
        <f>G139/I139*H139</f>
        <v/>
      </c>
      <c r="K139" t="n">
        <v>1</v>
      </c>
      <c r="L139" t="n">
        <v>1</v>
      </c>
      <c r="M139" t="n">
        <v>0.75</v>
      </c>
      <c r="O139" s="6">
        <f>(D139/100000+E139/100+F139*K139/5+J139/200)*200*L139*M139</f>
        <v/>
      </c>
      <c r="P139" s="6">
        <f>((D139*E139/25000)+(F139*K139*J139/2.5))*L139*M139</f>
        <v/>
      </c>
      <c r="Q139" s="6">
        <f>(D139*E139*F139*K139*J139*L139*M139)/12500000</f>
        <v/>
      </c>
      <c r="R139" s="6">
        <f>(O139+P139+Q139)/3</f>
        <v/>
      </c>
      <c r="S139" t="n">
        <v>10000</v>
      </c>
    </row>
    <row r="140">
      <c r="O140" s="6" t="n"/>
      <c r="P140" s="6" t="n"/>
      <c r="Q140" s="6" t="n"/>
      <c r="R140" s="6" t="n"/>
    </row>
    <row r="143">
      <c r="O143" s="6" t="n"/>
      <c r="P143" s="6" t="n"/>
      <c r="Q143" s="6" t="n"/>
      <c r="R143" s="6" t="n"/>
    </row>
    <row r="144">
      <c r="B144" t="inlineStr">
        <is>
          <t>Spaceships</t>
        </is>
      </c>
      <c r="O144" s="6" t="n"/>
      <c r="P144" s="6" t="n"/>
      <c r="Q144" s="6" t="n"/>
      <c r="R144" s="6" t="n"/>
    </row>
    <row r="145">
      <c r="O145" s="6" t="n"/>
      <c r="P145" s="6" t="n"/>
      <c r="Q145" s="6" t="n"/>
      <c r="R145" s="6" t="n"/>
    </row>
    <row r="147">
      <c r="B147" t="inlineStr">
        <is>
          <t>Haunebu</t>
        </is>
      </c>
      <c r="D147" t="n">
        <v>250000</v>
      </c>
      <c r="E147" t="n">
        <v>66</v>
      </c>
      <c r="F147" t="n">
        <v>6.666</v>
      </c>
      <c r="G147" t="n">
        <v>36000</v>
      </c>
      <c r="H147" t="n">
        <v>1</v>
      </c>
      <c r="I147" t="n">
        <v>66</v>
      </c>
      <c r="J147" s="6">
        <f>G147/I147*H147</f>
        <v/>
      </c>
      <c r="K147" t="n">
        <v>1</v>
      </c>
      <c r="L147" t="n">
        <v>0.75</v>
      </c>
      <c r="M147" t="n">
        <v>1</v>
      </c>
      <c r="O147" s="6">
        <f>(D147/100000+E147/100+F147*K147/5+J147/200)*200*L147*M147</f>
        <v/>
      </c>
      <c r="P147" s="6">
        <f>((D147*E147/25000)+(F147*K147*J147/2.5))*L147*M147</f>
        <v/>
      </c>
      <c r="Q147" s="6">
        <f>(D147*E147*F147*K147*J147*L147*M147)/12500000</f>
        <v/>
      </c>
      <c r="R147" s="6">
        <f>(O147+P147+Q147)/3</f>
        <v/>
      </c>
      <c r="S147" t="n">
        <v>3200</v>
      </c>
    </row>
    <row r="150">
      <c r="B150" t="inlineStr">
        <is>
          <t>Haunebu II</t>
        </is>
      </c>
      <c r="D150" t="n">
        <v>375000</v>
      </c>
      <c r="E150" t="n">
        <v>55</v>
      </c>
      <c r="F150" t="n">
        <v>6.666</v>
      </c>
      <c r="G150" t="n">
        <v>36000</v>
      </c>
      <c r="H150" t="n">
        <v>1</v>
      </c>
      <c r="I150" t="n">
        <v>66</v>
      </c>
      <c r="J150" s="6">
        <f>G150/I150*H150</f>
        <v/>
      </c>
      <c r="K150" t="n">
        <v>1</v>
      </c>
      <c r="L150" t="n">
        <v>0.75</v>
      </c>
      <c r="M150" t="n">
        <v>1</v>
      </c>
      <c r="O150" s="6">
        <f>(D150/100000+E150/100+F150*K150/5+J150/200)*200*L150*M150</f>
        <v/>
      </c>
      <c r="P150" s="6">
        <f>((D150*E150/25000)+(F150*K150*J150/2.5))*L150*M150</f>
        <v/>
      </c>
      <c r="Q150" s="6">
        <f>(D150*E150*F150*K150*J150*L150*M150)/12500000</f>
        <v/>
      </c>
      <c r="R150" s="6">
        <f>(O150+P150+Q150)/3</f>
        <v/>
      </c>
      <c r="S150" t="n">
        <v>4000</v>
      </c>
    </row>
  </sheetData>
  <pageMargins left="0.7" right="0.7" top="0.787401575" bottom="0.7874015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9"/>
  <sheetViews>
    <sheetView topLeftCell="A37" workbookViewId="0">
      <selection activeCell="D40" sqref="D40"/>
    </sheetView>
  </sheetViews>
  <sheetFormatPr baseColWidth="10" defaultRowHeight="15"/>
  <cols>
    <col width="20" bestFit="1" customWidth="1" min="1" max="1"/>
    <col width="26.5703125" bestFit="1" customWidth="1" min="2" max="2"/>
    <col width="12.7109375" bestFit="1" customWidth="1" style="7" min="6" max="6"/>
  </cols>
  <sheetData>
    <row r="1">
      <c r="E1" s="3" t="inlineStr">
        <is>
          <t>All Defenses have a Speed of 100 in this formula</t>
        </is>
      </c>
    </row>
    <row r="3">
      <c r="B3" t="inlineStr">
        <is>
          <t>Basic Defense</t>
        </is>
      </c>
      <c r="D3" t="inlineStr">
        <is>
          <t>HP</t>
        </is>
      </c>
      <c r="E3" t="inlineStr">
        <is>
          <t>Speed</t>
        </is>
      </c>
      <c r="F3" s="7" t="inlineStr">
        <is>
          <t>Range</t>
        </is>
      </c>
      <c r="G3" t="inlineStr">
        <is>
          <t>Damage</t>
        </is>
      </c>
      <c r="H3" t="inlineStr">
        <is>
          <t>Weapon Class</t>
        </is>
      </c>
      <c r="I3" t="inlineStr">
        <is>
          <t>Reload Delay</t>
        </is>
      </c>
      <c r="J3" s="6" t="inlineStr">
        <is>
          <t>DPS</t>
        </is>
      </c>
      <c r="K3" t="inlineStr">
        <is>
          <t>Special</t>
        </is>
      </c>
      <c r="L3" t="inlineStr">
        <is>
          <t>Unit Class</t>
        </is>
      </c>
      <c r="M3" t="inlineStr">
        <is>
          <t>Tech Tier</t>
        </is>
      </c>
      <c r="O3" s="6" t="n"/>
      <c r="P3" s="6" t="n"/>
      <c r="Q3" s="6" t="n"/>
      <c r="R3" s="6" t="n"/>
      <c r="S3" t="inlineStr">
        <is>
          <t>Cost</t>
        </is>
      </c>
    </row>
    <row r="4">
      <c r="F4" s="7">
        <f>(S4*37500000/(L4*M4*D4*E4*K4*J4)-((500/(K4*J4))+(2500000000/(D4*E4*K4*J4)*(D4/100000+E4/100+J4/200))))/(1+5000000/(D4*E4)+(500000000/(D4*E4*J4)))</f>
        <v/>
      </c>
      <c r="O4">
        <f>(S5/(200*L5*M5)-(D5/100000+E5/100+J5/200))/(K5/5)</f>
        <v/>
      </c>
      <c r="P4">
        <f>(S5/(L5*M5)-(D5*E5/25000))/(K5*J5/2.5)</f>
        <v/>
      </c>
      <c r="Q4">
        <f>S5*12500000/(D5*E5*K5*J5*L5*M5)</f>
        <v/>
      </c>
      <c r="R4" s="6">
        <f>(O4+P4+Q4)/3</f>
        <v/>
      </c>
    </row>
    <row r="5">
      <c r="A5" t="inlineStr">
        <is>
          <t>TD</t>
        </is>
      </c>
      <c r="B5" t="inlineStr">
        <is>
          <t>Nod Laser Turret</t>
        </is>
      </c>
      <c r="D5" t="n">
        <v>72500</v>
      </c>
      <c r="E5" t="n">
        <v>100</v>
      </c>
      <c r="F5" s="7">
        <f>(S5*37500000/(L5*M5*D5*E5*K5*J5)-((500/(K5*J5))+(2500000000/(D5*E5*K5*J5)*(D5/100000+E5/100+J5/200))))/(1+5000000/(D5*E5)+(500000000/(D5*E5*J5)))</f>
        <v/>
      </c>
      <c r="G5" t="n">
        <v>24000</v>
      </c>
      <c r="H5" t="n">
        <v>1</v>
      </c>
      <c r="I5" t="n">
        <v>24</v>
      </c>
      <c r="J5" s="6">
        <f>G5/I5*H5</f>
        <v/>
      </c>
      <c r="K5" t="n">
        <v>1</v>
      </c>
      <c r="L5" t="n">
        <v>0.35</v>
      </c>
      <c r="M5" t="n">
        <v>1</v>
      </c>
      <c r="O5" s="6">
        <f>(D5/100000+E5/100+F5*K5/5+J5/200)*200*L5*M5</f>
        <v/>
      </c>
      <c r="P5" s="6">
        <f>((D5*E5/25000)+(F5*K5*J5/2.5))*L5*M5</f>
        <v/>
      </c>
      <c r="Q5" s="6">
        <f>(D5*E5*F5*K5*J5*L5*M5)/12500000</f>
        <v/>
      </c>
      <c r="R5" s="6">
        <f>(O5+P5+Q5)/3</f>
        <v/>
      </c>
      <c r="S5" t="n">
        <v>1000</v>
      </c>
    </row>
    <row r="6">
      <c r="B6" t="inlineStr">
        <is>
          <t>Nod Gun Turret</t>
        </is>
      </c>
      <c r="D6" t="n">
        <v>150000</v>
      </c>
      <c r="E6" t="n">
        <v>100</v>
      </c>
      <c r="F6" s="7">
        <f>(S6*37500000/(L6*M6*D6*E6*K6*J6)-((500/(K6*J6))+(2500000000/(D6*E6*K6*J6)*(D6/100000+E6/100+J6/200))))/(1+5000000/(D6*E6)+(500000000/(D6*E6*J6)))</f>
        <v/>
      </c>
      <c r="G6" t="n">
        <v>24000</v>
      </c>
      <c r="H6" t="n">
        <v>0.875</v>
      </c>
      <c r="I6" t="n">
        <v>61</v>
      </c>
      <c r="J6" s="6">
        <f>G6/I6*H6</f>
        <v/>
      </c>
      <c r="K6" t="n">
        <v>1</v>
      </c>
      <c r="L6" t="n">
        <v>0.35</v>
      </c>
      <c r="M6" t="n">
        <v>1</v>
      </c>
      <c r="O6" s="6">
        <f>(D6/100000+E6/100+F6*K6/5+J6/200)*200*L6*M6</f>
        <v/>
      </c>
      <c r="P6" s="6">
        <f>((D6*E6/25000)+(F6*K6*J6/2.5))*L6*M6</f>
        <v/>
      </c>
      <c r="Q6" s="6">
        <f>(D6*E6*F6*K6*J6*L6*M6)/12500000</f>
        <v/>
      </c>
      <c r="R6" s="6">
        <f>(O6+P6+Q6)/3</f>
        <v/>
      </c>
      <c r="S6" t="n">
        <v>700</v>
      </c>
    </row>
    <row r="7">
      <c r="B7" t="inlineStr">
        <is>
          <t>Guard Tower</t>
        </is>
      </c>
      <c r="D7" t="n">
        <v>60000</v>
      </c>
      <c r="E7" t="n">
        <v>100</v>
      </c>
      <c r="F7" s="7">
        <f>(S7*37500000/(L7*M7*D7*E7*K7*J7)-((500/(K7*J7))+(2500000000/(D7*E7*K7*J7)*(D7/100000+E7/100+J7/200))))/(1+5000000/(D7*E7)+(500000000/(D7*E7*J7)))</f>
        <v/>
      </c>
      <c r="G7" t="n">
        <v>16000</v>
      </c>
      <c r="H7" t="n">
        <v>0.875</v>
      </c>
      <c r="I7" t="n">
        <v>28</v>
      </c>
      <c r="J7" s="6">
        <f>G7/I7*H7</f>
        <v/>
      </c>
      <c r="K7" t="n">
        <v>1</v>
      </c>
      <c r="L7" t="n">
        <v>0.35</v>
      </c>
      <c r="M7" t="n">
        <v>1</v>
      </c>
      <c r="O7" s="6">
        <f>(D7/100000+E7/100+F7*K7/5+J7/200)*200*L7*M7</f>
        <v/>
      </c>
      <c r="P7" s="6">
        <f>((D7*E7/25000)+(F7*K7*J7/2.5))*L7*M7</f>
        <v/>
      </c>
      <c r="Q7" s="6">
        <f>(D7*E7*F7*K7*J7*L7*M7)/12500000</f>
        <v/>
      </c>
      <c r="R7" s="6">
        <f>(O7+P7+Q7)/3</f>
        <v/>
      </c>
      <c r="S7" t="n">
        <v>500</v>
      </c>
    </row>
    <row r="8">
      <c r="A8" t="inlineStr">
        <is>
          <t>RA1</t>
        </is>
      </c>
      <c r="B8" t="inlineStr">
        <is>
          <t>Pillbox</t>
        </is>
      </c>
      <c r="D8" t="n">
        <v>90000</v>
      </c>
      <c r="E8" t="n">
        <v>100</v>
      </c>
      <c r="F8" s="7" t="n">
        <v>6.57</v>
      </c>
      <c r="G8" t="n">
        <v>20000</v>
      </c>
      <c r="H8" t="n">
        <v>0.875</v>
      </c>
      <c r="I8" t="n">
        <v>60</v>
      </c>
      <c r="J8" s="6">
        <f>G8/I8*H8</f>
        <v/>
      </c>
      <c r="K8" t="n">
        <v>1</v>
      </c>
      <c r="L8" t="n">
        <v>0.35</v>
      </c>
      <c r="M8" t="n">
        <v>1</v>
      </c>
      <c r="O8" s="6">
        <f>(D8/100000+E8/100+F8*K8/5+J8/200)*200*L8*M8</f>
        <v/>
      </c>
      <c r="P8" s="6">
        <f>((D8*E8/25000)+(F8*K8*J8/2.5))*L8*M8</f>
        <v/>
      </c>
      <c r="Q8" s="6">
        <f>(D8*E8*F8*K8*J8*L8*M8)/12500000</f>
        <v/>
      </c>
      <c r="R8" s="6">
        <f>(O8+P8+Q8)/3</f>
        <v/>
      </c>
      <c r="S8" t="n">
        <v>400</v>
      </c>
    </row>
    <row r="9">
      <c r="B9" t="inlineStr">
        <is>
          <t>Allied Gun Turret</t>
        </is>
      </c>
      <c r="D9" t="n">
        <v>100000</v>
      </c>
      <c r="E9" t="n">
        <v>100</v>
      </c>
      <c r="F9" s="7">
        <f>(S9*37500000/(L9*M9*D9*E9*K9*J9)-((500/(K9*J9))+(2500000000/(D9*E9*K9*J9)*(D9/100000+E9/100+J9/200))))/(1+5000000/(D9*E9)+(500000000/(D9*E9*J9)))</f>
        <v/>
      </c>
      <c r="G9" t="n">
        <v>20000</v>
      </c>
      <c r="H9" t="n">
        <v>1.125</v>
      </c>
      <c r="I9" t="n">
        <v>40</v>
      </c>
      <c r="J9" s="6">
        <f>G9/I9*H9</f>
        <v/>
      </c>
      <c r="K9" t="n">
        <v>1</v>
      </c>
      <c r="L9" t="n">
        <v>0.35</v>
      </c>
      <c r="M9" t="n">
        <v>1</v>
      </c>
      <c r="O9" s="6">
        <f>(D9/100000+E9/100+F9*K9/5+J9/200)*200*L9*M9</f>
        <v/>
      </c>
      <c r="P9" s="6">
        <f>((D9*E9/25000)+(F9*K9*J9/2.5))*L9*M9</f>
        <v/>
      </c>
      <c r="Q9" s="6">
        <f>(D9*E9*F9*K9*J9*L9*M9)/12500000</f>
        <v/>
      </c>
      <c r="R9" s="6">
        <f>(O9+P9+Q9)/3</f>
        <v/>
      </c>
      <c r="S9" t="n">
        <v>800</v>
      </c>
    </row>
    <row r="10">
      <c r="B10" t="inlineStr">
        <is>
          <t>Flame Tower</t>
        </is>
      </c>
      <c r="D10" t="n">
        <v>64000</v>
      </c>
      <c r="E10" t="n">
        <v>100</v>
      </c>
      <c r="F10" s="7">
        <f>(S10*37500000/(L10*M10*D10*E10*K10*J10)-((500/(K10*J10))+(2500000000/(D10*E10*K10*J10)*(D10/100000+E10/100+J10/200))))/(1+5000000/(D10*E10)+(500000000/(D10*E10*J10)))</f>
        <v/>
      </c>
      <c r="G10" t="n">
        <v>18000</v>
      </c>
      <c r="H10" t="n">
        <v>1</v>
      </c>
      <c r="I10" t="n">
        <v>30</v>
      </c>
      <c r="J10" s="6">
        <f>G10/I10*H10</f>
        <v/>
      </c>
      <c r="K10" t="n">
        <v>1</v>
      </c>
      <c r="L10" t="n">
        <v>0.35</v>
      </c>
      <c r="M10" t="n">
        <v>1</v>
      </c>
      <c r="O10" s="6">
        <f>(D10/100000+E10/100+F10*K10/5+J10/200)*200*L10*M10</f>
        <v/>
      </c>
      <c r="P10" s="6">
        <f>((D10*E10/25000)+(F10*K10*J10/2.5))*L10*M10</f>
        <v/>
      </c>
      <c r="Q10" s="6">
        <f>(D10*E10*F10*K10*J10*L10*M10)/12500000</f>
        <v/>
      </c>
      <c r="R10" s="6">
        <f>(O10+P10+Q10)/3</f>
        <v/>
      </c>
      <c r="S10" t="n">
        <v>600</v>
      </c>
    </row>
    <row r="11">
      <c r="B11" t="inlineStr">
        <is>
          <t>MG Nest</t>
        </is>
      </c>
      <c r="D11" t="n">
        <v>110000</v>
      </c>
      <c r="E11" t="n">
        <v>100</v>
      </c>
      <c r="F11" s="7">
        <f>(S11*37500000/(L11*M11*D11*E11*K11*J11)-((500/(K11*J11))+(2500000000/(D11*E11*K11*J11)*(D11/100000+E11/100+J11/200))))/(1+5000000/(D11*E11)+(500000000/(D11*E11*J11)))</f>
        <v/>
      </c>
      <c r="G11" t="n">
        <v>40000</v>
      </c>
      <c r="H11" t="n">
        <v>0.875</v>
      </c>
      <c r="I11" t="n">
        <v>45</v>
      </c>
      <c r="J11" s="6">
        <f>G11/I11*H11</f>
        <v/>
      </c>
      <c r="K11" t="n">
        <v>1</v>
      </c>
      <c r="L11" t="n">
        <v>0.35</v>
      </c>
      <c r="M11" t="n">
        <v>1</v>
      </c>
      <c r="O11" s="6">
        <f>(D11/100000+E11/100+F11*K11/5+J11/200)*200*L11*M11</f>
        <v/>
      </c>
      <c r="P11" s="6">
        <f>((D11*E11/25000)+(F11*K11*J11/2.5))*L11*M11</f>
        <v/>
      </c>
      <c r="Q11" s="6">
        <f>(D11*E11*F11*K11*J11*L11*M11)/12500000</f>
        <v/>
      </c>
      <c r="R11" s="6">
        <f>(O11+P11+Q11)/3</f>
        <v/>
      </c>
      <c r="S11" t="n">
        <v>1000</v>
      </c>
    </row>
    <row r="12">
      <c r="B12" t="inlineStr">
        <is>
          <t>Camo Pillbox (MG)</t>
        </is>
      </c>
      <c r="D12" t="n">
        <v>122500</v>
      </c>
      <c r="E12" t="n">
        <v>100</v>
      </c>
      <c r="F12" s="7" t="n">
        <v>6.57</v>
      </c>
      <c r="G12" t="n">
        <v>20000</v>
      </c>
      <c r="H12" t="n">
        <v>0.875</v>
      </c>
      <c r="I12" t="n">
        <v>60</v>
      </c>
      <c r="J12" s="6">
        <f>G12/I12*H12</f>
        <v/>
      </c>
      <c r="K12" t="n">
        <v>1.25</v>
      </c>
      <c r="L12" t="n">
        <v>0.35</v>
      </c>
      <c r="M12" t="n">
        <v>1</v>
      </c>
      <c r="O12" s="6">
        <f>(D12/100000+E12/100+F12*K12/5+J12/200)*200*L12*M12</f>
        <v/>
      </c>
      <c r="P12" s="6">
        <f>((D12*E12/25000)+(F12*K12*J12/2.5))*L12*M12</f>
        <v/>
      </c>
      <c r="Q12" s="6">
        <f>(D12*E12*F12*K12*J12*L12*M12)/12500000</f>
        <v/>
      </c>
      <c r="R12" s="6">
        <f>(O12+P12+Q12)/3</f>
        <v/>
      </c>
      <c r="S12" t="n">
        <v>1200</v>
      </c>
    </row>
    <row r="13">
      <c r="B13" t="inlineStr">
        <is>
          <t>Camo Pillbox (Rockets)</t>
        </is>
      </c>
      <c r="D13" t="n">
        <v>122500</v>
      </c>
      <c r="E13" t="n">
        <v>100</v>
      </c>
      <c r="F13" s="7" t="n">
        <v>7.639</v>
      </c>
      <c r="G13" t="n">
        <v>20000</v>
      </c>
      <c r="H13" t="n">
        <v>0.875</v>
      </c>
      <c r="I13" t="n">
        <v>50</v>
      </c>
      <c r="J13" s="6">
        <f>G13/I13*H13</f>
        <v/>
      </c>
      <c r="K13" t="n">
        <v>1.25</v>
      </c>
      <c r="L13" t="n">
        <v>0.35</v>
      </c>
      <c r="M13" t="n">
        <v>1</v>
      </c>
      <c r="O13" s="6">
        <f>(D13/100000+E13/100+F13*K13/5+J13/200)*200*L13*M13</f>
        <v/>
      </c>
      <c r="P13" s="6">
        <f>((D13*E13/25000)+(F13*K13*J13/2.5))*L13*M13</f>
        <v/>
      </c>
      <c r="Q13" s="6">
        <f>(D13*E13*F13*K13*J13*L13*M13)/12500000</f>
        <v/>
      </c>
      <c r="R13" s="6">
        <f>(O13+P13+Q13)/3</f>
        <v/>
      </c>
      <c r="S13" s="6">
        <f>(R12+R13)/2</f>
        <v/>
      </c>
    </row>
    <row r="14">
      <c r="A14" t="inlineStr">
        <is>
          <t>D2K</t>
        </is>
      </c>
      <c r="B14" t="inlineStr">
        <is>
          <t>Dune Machine Gun Turret</t>
        </is>
      </c>
      <c r="D14" t="n">
        <v>75000</v>
      </c>
      <c r="E14" t="n">
        <v>100</v>
      </c>
      <c r="F14" s="7">
        <f>(S14*37500000/(L14*M14*D14*E14*K14*J14)-((500/(K14*J14))+(2500000000/(D14*E14*K14*J14)*(D14/100000+E14/100+J14/200))))/(1+5000000/(D14*E14)+(500000000/(D14*E14*J14)))</f>
        <v/>
      </c>
      <c r="G14" t="n">
        <v>16000</v>
      </c>
      <c r="H14" t="n">
        <v>0.875</v>
      </c>
      <c r="I14" t="n">
        <v>28</v>
      </c>
      <c r="J14" s="6">
        <f>G14/I14*H14</f>
        <v/>
      </c>
      <c r="K14" t="n">
        <v>1</v>
      </c>
      <c r="L14" t="n">
        <v>0.35</v>
      </c>
      <c r="M14" t="n">
        <v>1</v>
      </c>
      <c r="O14" s="6">
        <f>(D14/100000+E14/100+F14*K14/5+J14/200)*200*L14*M14</f>
        <v/>
      </c>
      <c r="P14" s="6">
        <f>((D14*E14/25000)+(F14*K14*J14/2.5))*L14*M14</f>
        <v/>
      </c>
      <c r="Q14" s="6">
        <f>(D14*E14*F14*K14*J14*L14*M14)/12500000</f>
        <v/>
      </c>
      <c r="R14" s="6">
        <f>(O14+P14+Q14)/3</f>
        <v/>
      </c>
      <c r="S14" t="n">
        <v>600</v>
      </c>
    </row>
    <row r="15">
      <c r="B15" t="inlineStr">
        <is>
          <t>Ixian Gun Turret</t>
        </is>
      </c>
      <c r="D15" t="n">
        <v>125000</v>
      </c>
      <c r="E15" t="n">
        <v>100</v>
      </c>
      <c r="F15" s="7">
        <f>(S15*37500000/(L15*M15*D15*E15*K15*J15)-((500/(K15*J15))+(2500000000/(D15*E15*K15*J15)*(D15/100000+E15/100+J15/200))))/(1+5000000/(D15*E15)+(500000000/(D15*E15*J15)))</f>
        <v/>
      </c>
      <c r="G15" t="n">
        <v>30000</v>
      </c>
      <c r="H15" t="n">
        <v>1</v>
      </c>
      <c r="I15" t="n">
        <v>50</v>
      </c>
      <c r="J15" s="6">
        <f>G15/I15*H15</f>
        <v/>
      </c>
      <c r="K15" t="n">
        <v>1</v>
      </c>
      <c r="L15" t="n">
        <v>0.35</v>
      </c>
      <c r="M15" t="n">
        <v>1</v>
      </c>
      <c r="O15" s="6">
        <f>(D15/100000+E15/100+F15*K15/5+J15/200)*200*L15*M15</f>
        <v/>
      </c>
      <c r="P15" s="6">
        <f>((D15*E15/25000)+(F15*K15*J15/2.5))*L15*M15</f>
        <v/>
      </c>
      <c r="Q15" s="6">
        <f>(D15*E15*F15*K15*J15*L15*M15)/12500000</f>
        <v/>
      </c>
      <c r="R15" s="6">
        <f>(O15+P15+Q15)/3</f>
        <v/>
      </c>
      <c r="S15" t="n">
        <v>1000</v>
      </c>
    </row>
    <row r="16">
      <c r="A16" t="inlineStr">
        <is>
          <t>RA2</t>
        </is>
      </c>
      <c r="B16" t="inlineStr">
        <is>
          <t>RA2 Pillbox</t>
        </is>
      </c>
      <c r="D16" t="n">
        <v>100000</v>
      </c>
      <c r="E16" t="n">
        <v>100</v>
      </c>
      <c r="F16" s="7">
        <f>(S16*37500000/(L16*M16*D16*E16*K16*J16)-((500/(K16*J16))+(2500000000/(D16*E16*K16*J16)*(D16/100000+E16/100+J16/200))))/(1+5000000/(D16*E16)+(500000000/(D16*E16*J16)))</f>
        <v/>
      </c>
      <c r="G16" t="n">
        <v>12000</v>
      </c>
      <c r="H16" t="n">
        <v>0.875</v>
      </c>
      <c r="I16" t="n">
        <v>29</v>
      </c>
      <c r="J16" s="6">
        <f>G16/I16*H16</f>
        <v/>
      </c>
      <c r="K16" t="n">
        <v>1</v>
      </c>
      <c r="L16" t="n">
        <v>0.35</v>
      </c>
      <c r="M16" t="n">
        <v>1</v>
      </c>
      <c r="O16" s="6">
        <f>(D16/100000+E16/100+F16*K16/5+J16/200)*200*L16*M16</f>
        <v/>
      </c>
      <c r="P16" s="6">
        <f>((D16*E16/25000)+(F16*K16*J16/2.5))*L16*M16</f>
        <v/>
      </c>
      <c r="Q16" s="6">
        <f>(D16*E16*F16*K16*J16*L16*M16)/12500000</f>
        <v/>
      </c>
      <c r="R16" s="6">
        <f>(O16+P16+Q16)/3</f>
        <v/>
      </c>
      <c r="S16" t="n">
        <v>500</v>
      </c>
    </row>
    <row r="17">
      <c r="B17" t="inlineStr">
        <is>
          <t>Sentry Gun</t>
        </is>
      </c>
      <c r="D17" t="n">
        <v>57000</v>
      </c>
      <c r="E17" t="n">
        <v>100</v>
      </c>
      <c r="F17" s="7">
        <f>(S17*37500000/(L17*M17*D17*E17*K17*J17)-((500/(K17*J17))+(2500000000/(D17*E17*K17*J17)*(D17/100000+E17/100+J17/200))))/(1+5000000/(D17*E17)+(500000000/(D17*E17*J17)))</f>
        <v/>
      </c>
      <c r="G17" t="n">
        <v>12000</v>
      </c>
      <c r="H17" t="n">
        <v>0.875</v>
      </c>
      <c r="I17" t="n">
        <v>20</v>
      </c>
      <c r="J17" s="6">
        <f>G17/I17*H17</f>
        <v/>
      </c>
      <c r="K17" t="n">
        <v>1</v>
      </c>
      <c r="L17" t="n">
        <v>0.35</v>
      </c>
      <c r="M17" t="n">
        <v>1</v>
      </c>
      <c r="O17" s="6">
        <f>(D17/100000+E17/100+F17*K17/5+J17/200)*200*L17*M17</f>
        <v/>
      </c>
      <c r="P17" s="6">
        <f>((D17*E17/25000)+(F17*K17*J17/2.5))*L17*M17</f>
        <v/>
      </c>
      <c r="Q17" s="6">
        <f>(D17*E17*F17*K17*J17*L17*M17)/12500000</f>
        <v/>
      </c>
      <c r="R17" s="6">
        <f>(O17+P17+Q17)/3</f>
        <v/>
      </c>
      <c r="S17" t="n">
        <v>500</v>
      </c>
    </row>
    <row r="18">
      <c r="B18" t="inlineStr">
        <is>
          <t>Gatling Cannon</t>
        </is>
      </c>
      <c r="D18" t="n">
        <v>140000</v>
      </c>
      <c r="E18" t="n">
        <v>100</v>
      </c>
      <c r="F18" s="7">
        <f>(S18*37500000/(L18*M18*D18*E18*K18*J18)-((500/(K18*J18))+(2500000000/(D18*E18*K18*J18)*(D18/100000+E18/100+J18/200))))/(1+5000000/(D18*E18)+(500000000/(D18*E18*J18)))</f>
        <v/>
      </c>
      <c r="G18" t="n">
        <v>4000</v>
      </c>
      <c r="H18" t="n">
        <v>0.875</v>
      </c>
      <c r="I18" t="n">
        <v>6</v>
      </c>
      <c r="J18" s="6">
        <f>G18/I18*H18</f>
        <v/>
      </c>
      <c r="K18" t="n">
        <v>1</v>
      </c>
      <c r="L18" t="n">
        <v>0.35</v>
      </c>
      <c r="M18" t="n">
        <v>1</v>
      </c>
      <c r="O18" s="6">
        <f>(D18/100000+E18/100+F18*K18/5+J18/200)*200*L18*M18</f>
        <v/>
      </c>
      <c r="P18" s="6">
        <f>((D18*E18/25000)+(F18*K18*J18/2.5))*L18*M18</f>
        <v/>
      </c>
      <c r="Q18" s="6">
        <f>(D18*E18*F18*K18*J18*L18*M18)/12500000</f>
        <v/>
      </c>
      <c r="R18" s="6">
        <f>(O18+P18+Q18)/3</f>
        <v/>
      </c>
      <c r="S18" t="n">
        <v>1000</v>
      </c>
    </row>
    <row r="19">
      <c r="A19" t="inlineStr">
        <is>
          <t>RA2 Modded</t>
        </is>
      </c>
      <c r="B19" t="inlineStr">
        <is>
          <t>AA Sentry Flamer</t>
        </is>
      </c>
      <c r="D19" t="n">
        <v>71000</v>
      </c>
      <c r="E19" t="n">
        <v>100</v>
      </c>
      <c r="F19" s="7">
        <f>(S19*37500000/(L19*M19*D19*E19*K19*J19)-((500/(K19*J19))+(2500000000/(D19*E19*K19*J19)*(D19/100000+E19/100+J19/200))))/(1+5000000/(D19*E19)+(500000000/(D19*E19*J19)))</f>
        <v/>
      </c>
      <c r="G19" t="n">
        <v>48000</v>
      </c>
      <c r="H19" t="n">
        <v>0.75</v>
      </c>
      <c r="I19" t="n">
        <v>45</v>
      </c>
      <c r="J19" s="6">
        <f>G19/I19*H19</f>
        <v/>
      </c>
      <c r="K19" t="n">
        <v>1</v>
      </c>
      <c r="L19" t="n">
        <v>0.35</v>
      </c>
      <c r="M19" t="n">
        <v>1</v>
      </c>
      <c r="O19" s="6">
        <f>(D19/100000+E19/100+F19*K19/5+J19/200)*200*L19*M19</f>
        <v/>
      </c>
      <c r="P19" s="6">
        <f>((D19*E19/25000)+(F19*K19*J19/2.5))*L19*M19</f>
        <v/>
      </c>
      <c r="Q19" s="6">
        <f>(D19*E19*F19*K19*J19*L19*M19)/12500000</f>
        <v/>
      </c>
      <c r="R19" s="6">
        <f>(O19+P19+Q19)/3</f>
        <v/>
      </c>
      <c r="S19" t="n">
        <v>800</v>
      </c>
    </row>
    <row r="20">
      <c r="B20" t="inlineStr">
        <is>
          <t>Latin Sentry Gun</t>
        </is>
      </c>
      <c r="D20" t="n">
        <v>113500</v>
      </c>
      <c r="E20" t="n">
        <v>100</v>
      </c>
      <c r="F20" s="7">
        <f>(S20*37500000/(L20*M20*D20*E20*K20*J20)-((500/(K20*J20))+(2500000000/(D20*E20*K20*J20)*(D20/100000+E20/100+J20/200))))/(1+5000000/(D20*E20)+(500000000/(D20*E20*J20)))</f>
        <v/>
      </c>
      <c r="G20" t="n">
        <v>18000</v>
      </c>
      <c r="H20" t="n">
        <v>1</v>
      </c>
      <c r="I20" t="n">
        <v>36</v>
      </c>
      <c r="J20" s="6">
        <f>G20/I20*H20</f>
        <v/>
      </c>
      <c r="K20" t="n">
        <v>1</v>
      </c>
      <c r="L20" t="n">
        <v>0.35</v>
      </c>
      <c r="M20" t="n">
        <v>1</v>
      </c>
      <c r="O20" s="6">
        <f>(D20/100000+E20/100+F20*K20/5+J20/200)*200*L20*M20</f>
        <v/>
      </c>
      <c r="P20" s="6">
        <f>((D20*E20/25000)+(F20*K20*J20/2.5))*L20*M20</f>
        <v/>
      </c>
      <c r="Q20" s="6">
        <f>(D20*E20*F20*K20*J20*L20*M20)/12500000</f>
        <v/>
      </c>
      <c r="R20" s="6">
        <f>(O20+P20+Q20)/3</f>
        <v/>
      </c>
      <c r="S20" t="n">
        <v>700</v>
      </c>
    </row>
    <row r="21">
      <c r="B21" t="inlineStr">
        <is>
          <t>Multi Rocket System (normal)</t>
        </is>
      </c>
      <c r="D21" t="n">
        <v>105000</v>
      </c>
      <c r="E21" t="n">
        <v>100</v>
      </c>
      <c r="F21" s="7">
        <f>(S21*37500000/(L21*M21*D21*E21*K21*J21)-((500/(K21*J21))+(2500000000/(D21*E21*K21*J21)*(D21/100000+E21/100+J21/200))))/(1+5000000/(D21*E21)+(500000000/(D21*E21*J21)))</f>
        <v/>
      </c>
      <c r="G21" t="n">
        <v>24000</v>
      </c>
      <c r="H21" t="n">
        <v>0.75</v>
      </c>
      <c r="I21" t="n">
        <v>32</v>
      </c>
      <c r="J21" s="6">
        <f>G21/I21*H21</f>
        <v/>
      </c>
      <c r="K21" t="n">
        <v>1</v>
      </c>
      <c r="L21" t="n">
        <v>0.35</v>
      </c>
      <c r="M21" t="n">
        <v>1</v>
      </c>
      <c r="O21" s="6">
        <f>(D21/100000+E21/100+F21*K21/5+J21/200)*200*L21*M21</f>
        <v/>
      </c>
      <c r="P21" s="6">
        <f>((D21*E21/25000)+(F21*K21*J21/2.5))*L21*M21</f>
        <v/>
      </c>
      <c r="Q21" s="6">
        <f>(D21*E21*F21*K21*J21*L21*M21)/12500000</f>
        <v/>
      </c>
      <c r="R21" s="6">
        <f>(O21+P21+Q21)/3</f>
        <v/>
      </c>
      <c r="S21" t="n">
        <v>800</v>
      </c>
    </row>
    <row r="22">
      <c r="B22" t="inlineStr">
        <is>
          <t>Javelin Rocket System</t>
        </is>
      </c>
      <c r="D22" t="n">
        <v>105000</v>
      </c>
      <c r="E22" t="n">
        <v>100</v>
      </c>
      <c r="F22" s="7">
        <f>(S22*37500000/(L22*M22*D22*E22*K22*J22)-((500/(K22*J22))+(2500000000/(D22*E22*K22*J22)*(D22/100000+E22/100+J22/200))))/(1+5000000/(D22*E22)+(500000000/(D22*E22*J22)))</f>
        <v/>
      </c>
      <c r="G22" t="n">
        <v>30000</v>
      </c>
      <c r="H22" t="n">
        <v>1</v>
      </c>
      <c r="I22" t="n">
        <v>40</v>
      </c>
      <c r="J22" s="6">
        <f>G22/I22*H22</f>
        <v/>
      </c>
      <c r="K22" t="n">
        <v>1</v>
      </c>
      <c r="L22" t="n">
        <v>0.35</v>
      </c>
      <c r="M22" t="n">
        <v>1</v>
      </c>
      <c r="O22" s="6">
        <f>(D22/100000+E22/100+F22*K22/5+J22/200)*200*L22*M22</f>
        <v/>
      </c>
      <c r="P22" s="6">
        <f>((D22*E22/25000)+(F22*K22*J22/2.5))*L22*M22</f>
        <v/>
      </c>
      <c r="Q22" s="6">
        <f>(D22*E22*F22*K22*J22*L22*M22)/12500000</f>
        <v/>
      </c>
      <c r="R22" s="6">
        <f>(O22+P22+Q22)/3</f>
        <v/>
      </c>
      <c r="S22" t="n">
        <v>1200</v>
      </c>
    </row>
    <row r="23">
      <c r="B23" t="inlineStr">
        <is>
          <t xml:space="preserve">Frag Rocket System </t>
        </is>
      </c>
      <c r="D23" t="n">
        <v>105000</v>
      </c>
      <c r="E23" t="n">
        <v>100</v>
      </c>
      <c r="F23" s="7">
        <f>(S23*37500000/(L23*M23*D23*E23*K23*J23)-((500/(K23*J23))+(2500000000/(D23*E23*K23*J23)*(D23/100000+E23/100+J23/200))))/(1+5000000/(D23*E23)+(500000000/(D23*E23*J23)))</f>
        <v/>
      </c>
      <c r="G23" t="n">
        <v>48000</v>
      </c>
      <c r="H23" t="n">
        <v>0.875</v>
      </c>
      <c r="I23" t="n">
        <v>64</v>
      </c>
      <c r="J23" s="6">
        <f>G23/I23*H23</f>
        <v/>
      </c>
      <c r="K23" t="n">
        <v>1</v>
      </c>
      <c r="L23" t="n">
        <v>0.35</v>
      </c>
      <c r="M23" t="n">
        <v>1</v>
      </c>
      <c r="O23" s="6">
        <f>(D23/100000+E23/100+F23*K23/5+J23/200)*200*L23*M23</f>
        <v/>
      </c>
      <c r="P23" s="6">
        <f>((D23*E23/25000)+(F23*K23*J23/2.5))*L23*M23</f>
        <v/>
      </c>
      <c r="Q23" s="6">
        <f>(D23*E23*F23*K23*J23*L23*M23)/12500000</f>
        <v/>
      </c>
      <c r="R23" s="6">
        <f>(O23+P23+Q23)/3</f>
        <v/>
      </c>
      <c r="S23" t="n">
        <v>1000</v>
      </c>
    </row>
    <row r="24">
      <c r="B24" t="inlineStr">
        <is>
          <t>Sigma Rocket System</t>
        </is>
      </c>
      <c r="D24" t="n">
        <v>105000</v>
      </c>
      <c r="E24" t="n">
        <v>100</v>
      </c>
      <c r="F24" s="7">
        <f>(S24*37500000/(L24*M24*D24*E24*K24*J24)-((500/(K24*J24))+(2500000000/(D24*E24*K24*J24)*(D24/100000+E24/100+J24/200))))/(1+5000000/(D24*E24)+(500000000/(D24*E24*J24)))</f>
        <v/>
      </c>
      <c r="G24" t="n">
        <v>150000</v>
      </c>
      <c r="H24" t="n">
        <v>1.125</v>
      </c>
      <c r="I24" t="n">
        <v>62</v>
      </c>
      <c r="J24" s="6">
        <f>G24/I24*H24</f>
        <v/>
      </c>
      <c r="K24" t="n">
        <v>1</v>
      </c>
      <c r="L24" t="n">
        <v>0.35</v>
      </c>
      <c r="M24" t="n">
        <v>1</v>
      </c>
      <c r="O24" s="6">
        <f>(D24/100000+E24/100+F24*K24/5+J24/200)*200*L24*M24</f>
        <v/>
      </c>
      <c r="P24" s="6">
        <f>((D24*E24/25000)+(F24*K24*J24/2.5))*L24*M24</f>
        <v/>
      </c>
      <c r="Q24" s="6">
        <f>(D24*E24*F24*K24*J24*L24*M24)/12500000</f>
        <v/>
      </c>
      <c r="R24" s="6">
        <f>(O24+P24+Q24)/3</f>
        <v/>
      </c>
      <c r="S24" t="n">
        <v>4000</v>
      </c>
    </row>
    <row r="25">
      <c r="B25" t="inlineStr">
        <is>
          <t>Consortium Sentry Turret</t>
        </is>
      </c>
      <c r="D25" t="n">
        <v>88000</v>
      </c>
      <c r="E25" t="n">
        <v>100</v>
      </c>
      <c r="F25" s="7">
        <f>(S25*37500000/(L25*M25*D25*E25*K25*J25)-((500/(K25*J25))+(2500000000/(D25*E25*K25*J25)*(D25/100000+E25/100+J25/200))))/(1+5000000/(D25*E25)+(500000000/(D25*E25*J25)))</f>
        <v/>
      </c>
      <c r="G25" t="n">
        <v>6000</v>
      </c>
      <c r="H25" t="n">
        <v>1</v>
      </c>
      <c r="I25" t="n">
        <v>10</v>
      </c>
      <c r="J25" s="6">
        <f>G25/I25*H25</f>
        <v/>
      </c>
      <c r="K25" t="n">
        <v>1</v>
      </c>
      <c r="L25" t="n">
        <v>0.35</v>
      </c>
      <c r="M25" t="n">
        <v>1</v>
      </c>
      <c r="O25" s="6">
        <f>(D25/100000+E25/100+F25*K25/5+J25/200)*200*L25*M25</f>
        <v/>
      </c>
      <c r="P25" s="6">
        <f>((D25*E25/25000)+(F25*K25*J25/2.5))*L25*M25</f>
        <v/>
      </c>
      <c r="Q25" s="6">
        <f>(D25*E25*F25*K25*J25*L25*M25)/12500000</f>
        <v/>
      </c>
      <c r="R25" s="6">
        <f>(O25+P25+Q25)/3</f>
        <v/>
      </c>
      <c r="S25" t="n">
        <v>700</v>
      </c>
    </row>
    <row r="26">
      <c r="B26" t="inlineStr">
        <is>
          <t>Freezer Turret</t>
        </is>
      </c>
      <c r="D26" t="n">
        <v>90000</v>
      </c>
      <c r="E26" t="n">
        <v>100</v>
      </c>
      <c r="F26" s="7">
        <f>(S26*37500000/(L26*M26*D26*E26*K26*J26)-((500/(K26*J26))+(2500000000/(D26*E26*K26*J26)*(D26/100000+E26/100+J26/200))))/(1+5000000/(D26*E26)+(500000000/(D26*E26*J26)))</f>
        <v/>
      </c>
      <c r="G26" t="n">
        <v>3840</v>
      </c>
      <c r="H26" t="n">
        <v>1</v>
      </c>
      <c r="I26" t="n">
        <v>8</v>
      </c>
      <c r="J26" s="6">
        <f>G26/I26*H26</f>
        <v/>
      </c>
      <c r="K26" t="n">
        <v>1.25</v>
      </c>
      <c r="L26" t="n">
        <v>0.35</v>
      </c>
      <c r="M26" t="n">
        <v>1</v>
      </c>
      <c r="O26" s="6">
        <f>(D26/100000+E26/100+F26*K26/5+J26/200)*200*L26*M26</f>
        <v/>
      </c>
      <c r="P26" s="6">
        <f>((D26*E26/25000)+(F26*K26*J26/2.5))*L26*M26</f>
        <v/>
      </c>
      <c r="Q26" s="6">
        <f>(D26*E26*F26*K26*J26*L26*M26)/12500000</f>
        <v/>
      </c>
      <c r="R26" s="6">
        <f>(O26+P26+Q26)/3</f>
        <v/>
      </c>
      <c r="S26" t="n">
        <v>750</v>
      </c>
    </row>
    <row r="32">
      <c r="A32" t="inlineStr">
        <is>
          <t>StarCraft</t>
        </is>
      </c>
      <c r="B32" t="inlineStr">
        <is>
          <t>Sunken Colony</t>
        </is>
      </c>
      <c r="D32" t="n">
        <v>80000</v>
      </c>
      <c r="E32" t="n">
        <v>100</v>
      </c>
      <c r="F32" s="7">
        <f>(S32*37500000/(L32*M32*D32*E32*K32*J32)-((500/(K32*J32))+(2500000000/(D32*E32*K32*J32)*(D32/100000+E32/100+J32/200))))/(1+5000000/(D32*E32)+(500000000/(D32*E32*J32)))</f>
        <v/>
      </c>
      <c r="G32" t="n">
        <v>24000</v>
      </c>
      <c r="H32" t="n">
        <v>1.125</v>
      </c>
      <c r="I32" t="n">
        <v>32</v>
      </c>
      <c r="J32" s="6">
        <f>G32/I32*H32</f>
        <v/>
      </c>
      <c r="K32" t="n">
        <v>1</v>
      </c>
      <c r="L32" t="n">
        <v>0.35</v>
      </c>
      <c r="M32" t="n">
        <v>1</v>
      </c>
      <c r="O32" s="6">
        <f>(D32/100000+E32/100+F32*K32/5+J32/200)*200*L32*M32</f>
        <v/>
      </c>
      <c r="P32" s="6">
        <f>((D32*E32/25000)+(F32*K32*J32/2.5))*L32*M32</f>
        <v/>
      </c>
      <c r="Q32" s="6">
        <f>(D32*E32*F32*K32*J32*L32*M32)/12500000</f>
        <v/>
      </c>
      <c r="R32" s="6">
        <f>(O32+P32+Q32)/3</f>
        <v/>
      </c>
      <c r="S32" t="n">
        <v>1000</v>
      </c>
    </row>
    <row r="33">
      <c r="A33" t="inlineStr">
        <is>
          <t>WarCraft</t>
        </is>
      </c>
      <c r="B33" t="inlineStr">
        <is>
          <t>Sunken Colony</t>
        </is>
      </c>
      <c r="D33" t="n">
        <v>100000</v>
      </c>
      <c r="E33" t="n">
        <v>100</v>
      </c>
      <c r="F33" s="7">
        <f>(S33*37500000/(L33*M33*D33*E33*K33*J33)-((500/(K33*J33))+(2500000000/(D33*E33*K33*J33)*(D33/100000+E33/100+J33/200))))/(1+5000000/(D33*E33)+(500000000/(D33*E33*J33)))</f>
        <v/>
      </c>
      <c r="G33" t="n">
        <v>24000</v>
      </c>
      <c r="H33" t="n">
        <v>1.125</v>
      </c>
      <c r="I33" t="n">
        <v>34</v>
      </c>
      <c r="J33" s="6">
        <f>G33/I33*H33</f>
        <v/>
      </c>
      <c r="K33" t="n">
        <v>1</v>
      </c>
      <c r="L33" t="n">
        <v>0.35</v>
      </c>
      <c r="M33" t="n">
        <v>1</v>
      </c>
      <c r="O33" s="6">
        <f>(D33/100000+E33/100+F33*K33/5+J33/200)*200*L33*M33</f>
        <v/>
      </c>
      <c r="P33" s="6">
        <f>((D33*E33/25000)+(F33*K33*J33/2.5))*L33*M33</f>
        <v/>
      </c>
      <c r="Q33" s="6">
        <f>(D33*E33*F33*K33*J33*L33*M33)/12500000</f>
        <v/>
      </c>
      <c r="R33" s="6">
        <f>(O33+P33+Q33)/3</f>
        <v/>
      </c>
      <c r="S33" t="n">
        <v>1200</v>
      </c>
    </row>
    <row r="34">
      <c r="B34" t="inlineStr">
        <is>
          <t>Cannon Tower</t>
        </is>
      </c>
      <c r="D34" t="n">
        <v>100000</v>
      </c>
      <c r="E34" t="n">
        <v>100</v>
      </c>
      <c r="F34" s="7">
        <f>(S34*37500000/(L34*M34*D34*E34*K34*J34)-((500/(K34*J34))+(2500000000/(D34*E34*K34*J34)*(D34/100000+E34/100+J34/200))))/(1+5000000/(D34*E34)+(500000000/(D34*E34*J34)))</f>
        <v/>
      </c>
      <c r="G34" t="n">
        <v>60000</v>
      </c>
      <c r="H34" t="n">
        <v>1</v>
      </c>
      <c r="I34" t="n">
        <v>90</v>
      </c>
      <c r="J34" s="6">
        <f>G34/I34*H34</f>
        <v/>
      </c>
      <c r="K34" t="n">
        <v>1</v>
      </c>
      <c r="L34" t="n">
        <v>0.35</v>
      </c>
      <c r="M34" t="n">
        <v>1</v>
      </c>
      <c r="O34" s="6">
        <f>(D34/100000+E34/100+F34*K34/5+J34/200)*200*L34*M34</f>
        <v/>
      </c>
      <c r="P34" s="6">
        <f>((D34*E34/25000)+(F34*K34*J34/2.5))*L34*M34</f>
        <v/>
      </c>
      <c r="Q34" s="6">
        <f>(D34*E34*F34*K34*J34*L34*M34)/12500000</f>
        <v/>
      </c>
      <c r="R34" s="6">
        <f>(O34+P34+Q34)/3</f>
        <v/>
      </c>
      <c r="S34" t="n">
        <v>1200</v>
      </c>
    </row>
    <row r="37">
      <c r="B37" t="inlineStr">
        <is>
          <t>Anti Air Defense</t>
        </is>
      </c>
      <c r="D37" t="inlineStr">
        <is>
          <t>HP</t>
        </is>
      </c>
      <c r="E37" t="inlineStr">
        <is>
          <t>Speed</t>
        </is>
      </c>
      <c r="F37" s="7" t="inlineStr">
        <is>
          <t>Range</t>
        </is>
      </c>
      <c r="G37" t="inlineStr">
        <is>
          <t>Damage</t>
        </is>
      </c>
      <c r="H37" t="inlineStr">
        <is>
          <t>Weapon Class</t>
        </is>
      </c>
      <c r="I37" t="inlineStr">
        <is>
          <t>Reload Delay</t>
        </is>
      </c>
      <c r="J37" s="6" t="inlineStr">
        <is>
          <t>DPS</t>
        </is>
      </c>
      <c r="K37" t="inlineStr">
        <is>
          <t>Special</t>
        </is>
      </c>
      <c r="L37" t="inlineStr">
        <is>
          <t>Unit Class</t>
        </is>
      </c>
      <c r="M37" t="inlineStr">
        <is>
          <t>Tech Tier</t>
        </is>
      </c>
      <c r="O37" s="6" t="n"/>
      <c r="P37" s="6" t="n"/>
      <c r="Q37" s="6" t="n"/>
      <c r="R37" s="6" t="n"/>
      <c r="S37" t="inlineStr">
        <is>
          <t>Cost</t>
        </is>
      </c>
    </row>
    <row r="39">
      <c r="A39" t="inlineStr">
        <is>
          <t>TD</t>
        </is>
      </c>
      <c r="B39" t="inlineStr">
        <is>
          <t>Nod SAM Site</t>
        </is>
      </c>
      <c r="D39" t="n">
        <v>100000</v>
      </c>
      <c r="E39" t="n">
        <v>100</v>
      </c>
      <c r="F39" s="7">
        <f>(S39*37500000/(L39*M39*D39*E39*K39*J39)-((500/(K39*J39))+(2500000000/(D39*E39*K39*J39)*(D39/100000+E39/100+J39/200))))/(1+5000000/(D39*E39)+(500000000/(D39*E39*J39)))</f>
        <v/>
      </c>
      <c r="G39" t="n">
        <v>24000</v>
      </c>
      <c r="H39" t="n">
        <v>1.25</v>
      </c>
      <c r="I39" t="n">
        <v>50</v>
      </c>
      <c r="J39" s="6">
        <f>G39/I39*H39</f>
        <v/>
      </c>
      <c r="K39" t="n">
        <v>1</v>
      </c>
      <c r="L39" t="n">
        <v>0.225</v>
      </c>
      <c r="M39" t="n">
        <v>1</v>
      </c>
      <c r="O39" s="6">
        <f>(D39/100000+E39/100+F39*K39/5+J39/200)*200*L39*M39</f>
        <v/>
      </c>
      <c r="P39" s="6">
        <f>((D39*E39/25000)+(F39*K39*J39/2.5))*L39*M39</f>
        <v/>
      </c>
      <c r="Q39" s="6">
        <f>(D39*E39*F39*K39*J39*L39*M39)/12500000</f>
        <v/>
      </c>
      <c r="R39" s="6">
        <f>(O39+P39+Q39)/3</f>
        <v/>
      </c>
      <c r="S39" t="n">
        <v>800</v>
      </c>
    </row>
    <row r="40">
      <c r="B40" t="inlineStr">
        <is>
          <t>Skyshield</t>
        </is>
      </c>
      <c r="D40" t="n">
        <v>93000</v>
      </c>
      <c r="E40" t="n">
        <v>100</v>
      </c>
      <c r="F40" s="7">
        <f>(S40*37500000/(L40*M40*D40*E40*K40*J40)-((500/(K40*J40))+(2500000000/(D40*E40*K40*J40)*(D40/100000+E40/100+J40/200))))/(1+5000000/(D40*E40)+(500000000/(D40*E40*J40)))</f>
        <v/>
      </c>
      <c r="G40" t="n">
        <v>8000</v>
      </c>
      <c r="H40" t="n">
        <v>0.875</v>
      </c>
      <c r="I40" t="n">
        <v>11</v>
      </c>
      <c r="J40" s="6">
        <f>G40/I40*H40</f>
        <v/>
      </c>
      <c r="K40" t="n">
        <v>1</v>
      </c>
      <c r="L40" t="n">
        <v>0.225</v>
      </c>
      <c r="M40" t="n">
        <v>1</v>
      </c>
      <c r="O40" s="6">
        <f>(D40/100000+E40/100+F40*K40/5+J40/200)*200*L40*M40</f>
        <v/>
      </c>
      <c r="P40" s="6">
        <f>((D40*E40/25000)+(F40*K40*J40/2.5))*L40*M40</f>
        <v/>
      </c>
      <c r="Q40" s="6">
        <f>(D40*E40*F40*K40*J40*L40*M40)/12500000</f>
        <v/>
      </c>
      <c r="R40" s="6">
        <f>(O40+P40+Q40)/3</f>
        <v/>
      </c>
      <c r="S40" t="n">
        <v>900</v>
      </c>
    </row>
    <row r="41">
      <c r="A41" t="inlineStr">
        <is>
          <t>RA1</t>
        </is>
      </c>
      <c r="B41" t="inlineStr">
        <is>
          <t>AA Gun</t>
        </is>
      </c>
      <c r="D41" t="n">
        <v>62500</v>
      </c>
      <c r="E41" t="n">
        <v>100</v>
      </c>
      <c r="F41" s="7">
        <f>(S41*37500000/(L41*M41*D41*E41*K41*J41)-((500/(K41*J41))+(2500000000/(D41*E41*K41*J41)*(D41/100000+E41/100+J41/200))))/(1+5000000/(D41*E41)+(500000000/(D41*E41*J41)))</f>
        <v/>
      </c>
      <c r="G41" t="n">
        <v>8000</v>
      </c>
      <c r="H41" t="n">
        <v>1</v>
      </c>
      <c r="I41" t="n">
        <v>16</v>
      </c>
      <c r="J41" s="6">
        <f>G41/I41*H41</f>
        <v/>
      </c>
      <c r="K41" t="n">
        <v>1</v>
      </c>
      <c r="L41" t="n">
        <v>0.225</v>
      </c>
      <c r="M41" t="n">
        <v>1</v>
      </c>
      <c r="O41" s="6">
        <f>(D41/100000+E41/100+F41*K41/5+J41/200)*200*L41*M41</f>
        <v/>
      </c>
      <c r="P41" s="6">
        <f>((D41*E41/25000)+(F41*K41*J41/2.5))*L41*M41</f>
        <v/>
      </c>
      <c r="Q41" s="6">
        <f>(D41*E41*F41*K41*J41*L41*M41)/12500000</f>
        <v/>
      </c>
      <c r="R41" s="6">
        <f>(O41+P41+Q41)/3</f>
        <v/>
      </c>
      <c r="S41" t="n">
        <v>500</v>
      </c>
    </row>
    <row r="42">
      <c r="B42" t="inlineStr">
        <is>
          <t>Soviet SAM Site</t>
        </is>
      </c>
      <c r="D42" t="n">
        <v>75000</v>
      </c>
      <c r="E42" t="n">
        <v>100</v>
      </c>
      <c r="F42" s="7">
        <f>(S42*37500000/(L42*M42*D42*E42*K42*J42)-((500/(K42*J42))+(2500000000/(D42*E42*K42*J42)*(D42/100000+E42/100+J42/200))))/(1+5000000/(D42*E42)+(500000000/(D42*E42*J42)))</f>
        <v/>
      </c>
      <c r="G42" t="n">
        <v>16000</v>
      </c>
      <c r="H42" t="n">
        <v>1</v>
      </c>
      <c r="I42" t="n">
        <v>27</v>
      </c>
      <c r="J42" s="6">
        <f>G42/I42*H42</f>
        <v/>
      </c>
      <c r="K42" t="n">
        <v>1</v>
      </c>
      <c r="L42" t="n">
        <v>0.225</v>
      </c>
      <c r="M42" t="n">
        <v>1</v>
      </c>
      <c r="O42" s="6">
        <f>(D42/100000+E42/100+F42*K42/5+J42/200)*200*L42*M42</f>
        <v/>
      </c>
      <c r="P42" s="6">
        <f>((D42*E42/25000)+(F42*K42*J42/2.5))*L42*M42</f>
        <v/>
      </c>
      <c r="Q42" s="6">
        <f>(D42*E42*F42*K42*J42*L42*M42)/12500000</f>
        <v/>
      </c>
      <c r="R42" s="6">
        <f>(O42+P42+Q42)/3</f>
        <v/>
      </c>
      <c r="S42" t="n">
        <v>700</v>
      </c>
    </row>
    <row r="43">
      <c r="A43" t="inlineStr">
        <is>
          <t>StarCraft</t>
        </is>
      </c>
      <c r="B43" t="inlineStr">
        <is>
          <t>Missile Turret</t>
        </is>
      </c>
      <c r="D43" t="n">
        <v>60000</v>
      </c>
      <c r="E43" t="n">
        <v>100</v>
      </c>
      <c r="F43" s="7">
        <f>(S43*37500000/(L43*M43*D43*E43*K43*J43)-((500/(K43*J43))+(2500000000/(D43*E43*K43*J43)*(D43/100000+E43/100+J43/200))))/(1+5000000/(D43*E43)+(500000000/(D43*E43*J43)))</f>
        <v/>
      </c>
      <c r="G43" t="n">
        <v>20000</v>
      </c>
      <c r="H43" t="n">
        <v>1</v>
      </c>
      <c r="I43" t="n">
        <v>15</v>
      </c>
      <c r="J43" s="6">
        <f>G43/I43*H43</f>
        <v/>
      </c>
      <c r="K43" t="n">
        <v>1</v>
      </c>
      <c r="L43" t="n">
        <v>0.225</v>
      </c>
      <c r="M43" t="n">
        <v>1</v>
      </c>
      <c r="O43" s="6">
        <f>(D43/100000+E43/100+F43*K43/5+J43/200)*200*L43*M43</f>
        <v/>
      </c>
      <c r="P43" s="6">
        <f>((D43*E43/25000)+(F43*K43*J43/2.5))*L43*M43</f>
        <v/>
      </c>
      <c r="Q43" s="6">
        <f>(D43*E43*F43*K43*J43*L43*M43)/12500000</f>
        <v/>
      </c>
      <c r="R43" s="6">
        <f>(O43+P43+Q43)/3</f>
        <v/>
      </c>
      <c r="S43" t="n">
        <v>1200</v>
      </c>
    </row>
    <row r="45">
      <c r="B45" t="inlineStr">
        <is>
          <t>Spore Colony</t>
        </is>
      </c>
      <c r="D45" t="n">
        <v>80000</v>
      </c>
      <c r="E45" t="n">
        <v>100</v>
      </c>
      <c r="F45" s="7">
        <f>(S45*37500000/(L45*M45*D45*E45*K45*J45)-((500/(K45*J45))+(2500000000/(D45*E45*K45*J45)*(D45/100000+E45/100+J45/200))))/(1+5000000/(D45*E45)+(500000000/(D45*E45*J45)))</f>
        <v/>
      </c>
      <c r="G45" t="n">
        <v>36000</v>
      </c>
      <c r="H45" t="n">
        <v>1</v>
      </c>
      <c r="I45" t="n">
        <v>34</v>
      </c>
      <c r="J45" s="6">
        <f>G45/I45*H45</f>
        <v/>
      </c>
      <c r="K45" t="n">
        <v>1</v>
      </c>
      <c r="L45" t="n">
        <v>0.225</v>
      </c>
      <c r="M45" t="n">
        <v>1</v>
      </c>
      <c r="O45" s="6">
        <f>(D45/100000+E45/100+F45*K45/5+J45/200)*200*L45*M45</f>
        <v/>
      </c>
      <c r="P45" s="6">
        <f>((D45*E45/25000)+(F45*K45*J45/2.5))*L45*M45</f>
        <v/>
      </c>
      <c r="Q45" s="6">
        <f>(D45*E45*F45*K45*J45*L45*M45)/12500000</f>
        <v/>
      </c>
      <c r="R45" s="6">
        <f>(O45+P45+Q45)/3</f>
        <v/>
      </c>
      <c r="S45" t="n">
        <v>1000</v>
      </c>
    </row>
    <row r="46">
      <c r="A46" t="inlineStr">
        <is>
          <t>RA2</t>
        </is>
      </c>
      <c r="B46" t="inlineStr">
        <is>
          <t>Patriot Missile System</t>
        </is>
      </c>
      <c r="D46" t="n">
        <v>90000</v>
      </c>
      <c r="E46" t="n">
        <v>100</v>
      </c>
      <c r="F46" s="7">
        <f>(S46*37500000/(L46*M46*D46*E46*K46*J46)-((500/(K46*J46))+(2500000000/(D46*E46*K46*J46)*(D46/100000+E46/100+J46/200))))/(1+5000000/(D46*E46)+(500000000/(D46*E46*J46)))</f>
        <v/>
      </c>
      <c r="G46" t="n">
        <v>20000</v>
      </c>
      <c r="H46" t="n">
        <v>1</v>
      </c>
      <c r="I46" t="n">
        <v>36</v>
      </c>
      <c r="J46" s="6">
        <f>G46/I46*H46</f>
        <v/>
      </c>
      <c r="K46" t="n">
        <v>1</v>
      </c>
      <c r="L46" t="n">
        <v>0.225</v>
      </c>
      <c r="M46" t="n">
        <v>1</v>
      </c>
      <c r="O46" s="6">
        <f>(D46/100000+E46/100+F46*K46/5+J46/200)*200*L46*M46</f>
        <v/>
      </c>
      <c r="P46" s="6">
        <f>((D46*E46/25000)+(F46*K46*J46/2.5))*L46*M46</f>
        <v/>
      </c>
      <c r="Q46" s="6">
        <f>(D46*E46*F46*K46*J46*L46*M46)/12500000</f>
        <v/>
      </c>
      <c r="R46" s="6">
        <f>(O46+P46+Q46)/3</f>
        <v/>
      </c>
      <c r="S46" t="n">
        <v>800</v>
      </c>
    </row>
    <row r="47">
      <c r="B47" t="inlineStr">
        <is>
          <t>Flak Cannon</t>
        </is>
      </c>
      <c r="D47" t="n">
        <v>60000</v>
      </c>
      <c r="E47" t="n">
        <v>100</v>
      </c>
      <c r="F47" s="7">
        <f>(S47*37500000/(L47*M47*D47*E47*K47*J47)-((500/(K47*J47))+(2500000000/(D47*E47*K47*J47)*(D47/100000+E47/100+J47/200))))/(1+5000000/(D47*E47)+(500000000/(D47*E47*J47)))</f>
        <v/>
      </c>
      <c r="G47" t="n">
        <v>10000</v>
      </c>
      <c r="H47" t="n">
        <v>1</v>
      </c>
      <c r="I47" t="n">
        <v>15</v>
      </c>
      <c r="J47" s="6">
        <f>G47/I47*H47</f>
        <v/>
      </c>
      <c r="K47" t="n">
        <v>1</v>
      </c>
      <c r="L47" t="n">
        <v>0.225</v>
      </c>
      <c r="M47" t="n">
        <v>1</v>
      </c>
      <c r="O47" s="6">
        <f>(D47/100000+E47/100+F47*K47/5+J47/200)*200*L47*M47</f>
        <v/>
      </c>
      <c r="P47" s="6">
        <f>((D47*E47/25000)+(F47*K47*J47/2.5))*L47*M47</f>
        <v/>
      </c>
      <c r="Q47" s="6">
        <f>(D47*E47*F47*K47*J47*L47*M47)/12500000</f>
        <v/>
      </c>
      <c r="R47" s="6">
        <f>(O47+P47+Q47)/3</f>
        <v/>
      </c>
      <c r="S47" t="n">
        <v>700</v>
      </c>
    </row>
    <row r="48">
      <c r="A48" t="inlineStr">
        <is>
          <t>RA2 Modded</t>
        </is>
      </c>
      <c r="B48" t="inlineStr">
        <is>
          <t>AA Punisher</t>
        </is>
      </c>
      <c r="C48" t="inlineStr">
        <is>
          <t>(Anti Water)</t>
        </is>
      </c>
      <c r="D48" t="n">
        <v>140000</v>
      </c>
      <c r="E48" t="n">
        <v>100</v>
      </c>
      <c r="F48" s="7">
        <f>(S48*37500000/(L48*M48*D48*E48*K48*J48)-((500/(K48*J48))+(2500000000/(D48*E48*K48*J48)*(D48/100000+E48/100+J48/200))))/(1+5000000/(D48*E48)+(500000000/(D48*E48*J48)))</f>
        <v/>
      </c>
      <c r="G48" t="n">
        <v>8000</v>
      </c>
      <c r="H48" t="n">
        <v>1.125</v>
      </c>
      <c r="I48" t="n">
        <v>12</v>
      </c>
      <c r="J48" s="6">
        <f>G48/I48*H48</f>
        <v/>
      </c>
      <c r="K48" t="n">
        <v>1</v>
      </c>
      <c r="L48" t="n">
        <v>0.225</v>
      </c>
      <c r="M48" t="n">
        <v>1</v>
      </c>
      <c r="O48" s="6">
        <f>(D48/100000+E48/100+F48*K48/5+J48/200)*200*L48*M48</f>
        <v/>
      </c>
      <c r="P48" s="6">
        <f>((D48*E48/25000)+(F48*K48*J48/2.5))*L48*M48</f>
        <v/>
      </c>
      <c r="Q48" s="6">
        <f>(D48*E48*F48*K48*J48*L48*M48)/12500000</f>
        <v/>
      </c>
      <c r="R48" s="6">
        <f>(O48+P48+Q48)/3</f>
        <v/>
      </c>
      <c r="S48" t="n">
        <v>1200</v>
      </c>
    </row>
    <row r="49">
      <c r="B49" t="inlineStr">
        <is>
          <t>AA Pulsar</t>
        </is>
      </c>
      <c r="D49" t="n">
        <v>80000</v>
      </c>
      <c r="E49" t="n">
        <v>100</v>
      </c>
      <c r="F49" s="7">
        <f>(S49*37500000/(L49*M49*D49*E49*K49*J49)-((500/(K49*J49))+(2500000000/(D49*E49*K49*J49)*(D49/100000+E49/100+J49/200))))/(1+5000000/(D49*E49)+(500000000/(D49*E49*J49)))</f>
        <v/>
      </c>
      <c r="G49" t="n">
        <v>8000</v>
      </c>
      <c r="H49" t="n">
        <v>1.125</v>
      </c>
      <c r="I49" t="n">
        <v>13</v>
      </c>
      <c r="J49" s="6">
        <f>G49/I49*H49</f>
        <v/>
      </c>
      <c r="K49" t="n">
        <v>1</v>
      </c>
      <c r="L49" t="n">
        <v>0.225</v>
      </c>
      <c r="M49" t="n">
        <v>1</v>
      </c>
      <c r="O49" s="6">
        <f>(D49/100000+E49/100+F49*K49/5+J49/200)*200*L49*M49</f>
        <v/>
      </c>
      <c r="P49" s="6">
        <f>((D49*E49/25000)+(F49*K49*J49/2.5))*L49*M49</f>
        <v/>
      </c>
      <c r="Q49" s="6">
        <f>(D49*E49*F49*K49*J49*L49*M49)/12500000</f>
        <v/>
      </c>
      <c r="R49" s="6">
        <f>(O49+P49+Q49)/3</f>
        <v/>
      </c>
      <c r="S49" t="n">
        <v>900</v>
      </c>
    </row>
    <row r="50">
      <c r="B50" t="inlineStr">
        <is>
          <t xml:space="preserve">AA Hyperion </t>
        </is>
      </c>
      <c r="D50" t="n">
        <v>100000</v>
      </c>
      <c r="E50" t="n">
        <v>100</v>
      </c>
      <c r="F50" s="7">
        <f>(S50*37500000/(L50*M50*D50*E50*K50*J50)-((500/(K50*J50))+(2500000000/(D50*E50*K50*J50)*(D50/100000+E50/100+J50/200))))/(1+5000000/(D50*E50)+(500000000/(D50*E50*J50)))</f>
        <v/>
      </c>
      <c r="G50" t="n">
        <v>200000</v>
      </c>
      <c r="H50" t="n">
        <v>1.25</v>
      </c>
      <c r="I50" t="n">
        <v>300</v>
      </c>
      <c r="J50" s="6">
        <f>G50/I50*H50</f>
        <v/>
      </c>
      <c r="K50" t="n">
        <v>1.25</v>
      </c>
      <c r="L50" t="n">
        <v>0.225</v>
      </c>
      <c r="M50" t="n">
        <v>1</v>
      </c>
      <c r="O50" s="6">
        <f>(D50/100000+E50/100+F50*K50/5+J50/200)*200*L50*M50</f>
        <v/>
      </c>
      <c r="P50" s="6">
        <f>((D50*E50/25000)+(F50*K50*J50/2.5))*L50*M50</f>
        <v/>
      </c>
      <c r="Q50" s="6">
        <f>(D50*E50*F50*K50*J50*L50*M50)/12500000</f>
        <v/>
      </c>
      <c r="R50" s="6">
        <f>(O50+P50+Q50)/3</f>
        <v/>
      </c>
      <c r="S50" t="n">
        <v>1000</v>
      </c>
    </row>
    <row r="51">
      <c r="B51" t="inlineStr">
        <is>
          <t>AA Defender</t>
        </is>
      </c>
      <c r="D51" t="n">
        <v>132500</v>
      </c>
      <c r="E51" t="n">
        <v>100</v>
      </c>
      <c r="F51" s="7">
        <f>(S51*37500000/(L51*M51*D51*E51*K51*J51)-((500/(K51*J51))+(2500000000/(D51*E51*K51*J51)*(D51/100000+E51/100+J51/200))))/(1+5000000/(D51*E51)+(500000000/(D51*E51*J51)))</f>
        <v/>
      </c>
      <c r="G51" t="n">
        <v>16000</v>
      </c>
      <c r="H51" t="n">
        <v>1</v>
      </c>
      <c r="I51" t="n">
        <v>20</v>
      </c>
      <c r="J51" s="6">
        <f>G51/I51*H51</f>
        <v/>
      </c>
      <c r="K51" t="n">
        <v>1</v>
      </c>
      <c r="L51" t="n">
        <v>0.225</v>
      </c>
      <c r="M51" t="n">
        <v>1</v>
      </c>
      <c r="O51" s="6">
        <f>(D51/100000+E51/100+F51*K51/5+J51/200)*200*L51*M51</f>
        <v/>
      </c>
      <c r="P51" s="6">
        <f>((D51*E51/25000)+(F51*K51*J51/2.5))*L51*M51</f>
        <v/>
      </c>
      <c r="Q51" s="6">
        <f>(D51*E51*F51*K51*J51*L51*M51)/12500000</f>
        <v/>
      </c>
      <c r="R51" s="6">
        <f>(O51+P51+Q51)/3</f>
        <v/>
      </c>
      <c r="S51" t="n">
        <v>1500</v>
      </c>
    </row>
    <row r="52">
      <c r="B52" t="inlineStr">
        <is>
          <t>Consortium Anti Air Turret</t>
        </is>
      </c>
      <c r="D52" t="n">
        <v>121000</v>
      </c>
      <c r="E52" t="n">
        <v>100</v>
      </c>
      <c r="F52" s="7">
        <f>(S52*37500000/(L52*M52*D52*E52*K52*J52)-((500/(K52*J52))+(2500000000/(D52*E52*K52*J52)*(D52/100000+E52/100+J52/200))))/(1+5000000/(D52*E52)+(500000000/(D52*E52*J52)))</f>
        <v/>
      </c>
      <c r="G52" t="n">
        <v>48000</v>
      </c>
      <c r="H52" t="n">
        <v>1</v>
      </c>
      <c r="I52" t="n">
        <v>70</v>
      </c>
      <c r="J52" s="6">
        <f>G52/I52*H52</f>
        <v/>
      </c>
      <c r="K52" t="n">
        <v>1</v>
      </c>
      <c r="L52" t="n">
        <v>0.225</v>
      </c>
      <c r="M52" t="n">
        <v>1</v>
      </c>
      <c r="O52" s="6">
        <f>(D52/100000+E52/100+F52*K52/5+J52/200)*200*L52*M52</f>
        <v/>
      </c>
      <c r="P52" s="6">
        <f>((D52*E52/25000)+(F52*K52*J52/2.5))*L52*M52</f>
        <v/>
      </c>
      <c r="Q52" s="6">
        <f>(D52*E52*F52*K52*J52*L52*M52)/12500000</f>
        <v/>
      </c>
      <c r="R52" s="6">
        <f>(O52+P52+Q52)/3</f>
        <v/>
      </c>
      <c r="S52" t="n">
        <v>1000</v>
      </c>
    </row>
    <row r="56">
      <c r="B56" t="inlineStr">
        <is>
          <t>Advanced Defense</t>
        </is>
      </c>
      <c r="D56" t="inlineStr">
        <is>
          <t>HP</t>
        </is>
      </c>
      <c r="E56" t="inlineStr">
        <is>
          <t>Speed</t>
        </is>
      </c>
      <c r="F56" s="7" t="inlineStr">
        <is>
          <t>Range</t>
        </is>
      </c>
      <c r="G56" t="inlineStr">
        <is>
          <t>Damage</t>
        </is>
      </c>
      <c r="H56" t="inlineStr">
        <is>
          <t>Weapon Class</t>
        </is>
      </c>
      <c r="I56" t="inlineStr">
        <is>
          <t>Reload Delay</t>
        </is>
      </c>
      <c r="J56" s="6" t="inlineStr">
        <is>
          <t>DPS</t>
        </is>
      </c>
      <c r="K56" t="inlineStr">
        <is>
          <t>Special</t>
        </is>
      </c>
      <c r="L56" t="inlineStr">
        <is>
          <t>Unit Class</t>
        </is>
      </c>
      <c r="M56" t="inlineStr">
        <is>
          <t>Tech Tier</t>
        </is>
      </c>
      <c r="O56" s="6" t="n"/>
      <c r="P56" s="6" t="n"/>
      <c r="Q56" s="6" t="n"/>
      <c r="R56" s="6" t="n"/>
      <c r="S56" t="inlineStr">
        <is>
          <t>Cost</t>
        </is>
      </c>
    </row>
    <row r="58">
      <c r="A58" t="inlineStr">
        <is>
          <t>TD</t>
        </is>
      </c>
      <c r="B58" t="inlineStr">
        <is>
          <t>Obelisk</t>
        </is>
      </c>
      <c r="D58" t="n">
        <v>242500</v>
      </c>
      <c r="E58" t="n">
        <v>100</v>
      </c>
      <c r="F58" s="7">
        <f>(S58*37500000/(L58*M58*D58*E58*K58*J58)-((500/(K58*J58))+(2500000000/(D58*E58*K58*J58)*(D58/100000+E58/100+J58/200))))/(1+5000000/(D58*E58)+(500000000/(D58*E58*J58)))</f>
        <v/>
      </c>
      <c r="G58" t="n">
        <v>96000</v>
      </c>
      <c r="H58" t="n">
        <v>1.25</v>
      </c>
      <c r="I58" t="n">
        <v>146</v>
      </c>
      <c r="J58" s="6">
        <f>G58/I58*H58</f>
        <v/>
      </c>
      <c r="K58" t="n">
        <v>0.75</v>
      </c>
      <c r="L58" t="n">
        <v>0.325</v>
      </c>
      <c r="M58" t="n">
        <v>1</v>
      </c>
      <c r="O58" s="6">
        <f>(D58/100000+E58/100+F58*K58/5+J58/200)*200*L58*M58</f>
        <v/>
      </c>
      <c r="P58" s="6">
        <f>((D58*E58/25000)+(F58*K58*J58/2.5))*L58*M58</f>
        <v/>
      </c>
      <c r="Q58" s="6">
        <f>(D58*E58*F58*K58*J58*L58*M58)/12500000</f>
        <v/>
      </c>
      <c r="R58" s="6">
        <f>(O58+P58+Q58)/3</f>
        <v/>
      </c>
      <c r="S58" t="n">
        <v>1800</v>
      </c>
    </row>
    <row r="59">
      <c r="B59" t="inlineStr">
        <is>
          <t>Advanced Guard Tower</t>
        </is>
      </c>
      <c r="D59" t="n">
        <v>140000</v>
      </c>
      <c r="E59" t="n">
        <v>100</v>
      </c>
      <c r="F59" s="7">
        <f>(S59*37500000/(L59*M59*D59*E59*K59*J59)-((500/(K59*J59))+(2500000000/(D59*E59*K59*J59)*(D59/100000+E59/100+J59/200))))/(1+5000000/(D59*E59)+(500000000/(D59*E59*J59)))</f>
        <v/>
      </c>
      <c r="G59" t="n">
        <v>28000</v>
      </c>
      <c r="H59" t="n">
        <v>1</v>
      </c>
      <c r="I59" t="n">
        <v>30</v>
      </c>
      <c r="J59" s="6">
        <f>G59/I59*H59</f>
        <v/>
      </c>
      <c r="K59" t="n">
        <v>1</v>
      </c>
      <c r="L59" t="n">
        <v>0.325</v>
      </c>
      <c r="M59" t="n">
        <v>1</v>
      </c>
      <c r="O59" s="6">
        <f>(D59/100000+E59/100+F59*K59/5+J59/200)*200*L59*M59</f>
        <v/>
      </c>
      <c r="P59" s="6">
        <f>((D59*E59/25000)+(F59*K59*J59/2.5))*L59*M59</f>
        <v/>
      </c>
      <c r="Q59" s="6">
        <f>(D59*E59*F59*K59*J59*L59*M59)/12500000</f>
        <v/>
      </c>
      <c r="R59" s="6">
        <f>(O59+P59+Q59)/3</f>
        <v/>
      </c>
      <c r="S59" t="n">
        <v>1600</v>
      </c>
    </row>
    <row r="60">
      <c r="A60" t="inlineStr">
        <is>
          <t>RA1</t>
        </is>
      </c>
      <c r="B60" t="inlineStr">
        <is>
          <t>Tesla Coil</t>
        </is>
      </c>
      <c r="D60" t="n">
        <v>90000</v>
      </c>
      <c r="E60" t="n">
        <v>100</v>
      </c>
      <c r="F60" s="7">
        <f>(S60*37500000/(L60*M60*D60*E60*K60*J60)-((500/(K60*J60))+(2500000000/(D60*E60*K60*J60)*(D60/100000+E60/100+J60/200))))/(1+5000000/(D60*E60)+(500000000/(D60*E60*J60)))</f>
        <v/>
      </c>
      <c r="G60" t="n">
        <v>90000</v>
      </c>
      <c r="H60" t="n">
        <v>1.25</v>
      </c>
      <c r="I60" t="n">
        <v>125</v>
      </c>
      <c r="J60" s="6">
        <f>G60/I60*H60</f>
        <v/>
      </c>
      <c r="K60" t="n">
        <v>1.25</v>
      </c>
      <c r="L60" t="n">
        <v>0.325</v>
      </c>
      <c r="M60" t="n">
        <v>1</v>
      </c>
      <c r="O60" s="6">
        <f>(D60/100000+E60/100+F60*K60/5+J60/200)*200*L60*M60</f>
        <v/>
      </c>
      <c r="P60" s="6">
        <f>((D60*E60/25000)+(F60*K60*J60/2.5))*L60*M60</f>
        <v/>
      </c>
      <c r="Q60" s="6">
        <f>(D60*E60*F60*K60*J60*L60*M60)/12500000</f>
        <v/>
      </c>
      <c r="R60" s="6">
        <f>(O60+P60+Q60)/3</f>
        <v/>
      </c>
      <c r="S60" t="n">
        <v>1500</v>
      </c>
    </row>
    <row r="61">
      <c r="B61" s="4" t="inlineStr">
        <is>
          <t>Ballista Tower</t>
        </is>
      </c>
      <c r="C61" s="4" t="n"/>
      <c r="D61" t="n">
        <v>190000</v>
      </c>
      <c r="E61" t="n">
        <v>100</v>
      </c>
      <c r="F61" s="7">
        <f>(S61*37500000/(L61*M61*D61*E61*K61*J61)-((500/(K61*J61))+(2500000000/(D61*E61*K61*J61)*(D61/100000+E61/100+J61/200))))/(1+5000000/(D61*E61)+(500000000/(D61*E61*J61)))</f>
        <v/>
      </c>
      <c r="G61" s="4" t="n">
        <v>160000</v>
      </c>
      <c r="H61" s="4" t="n">
        <v>0.75</v>
      </c>
      <c r="I61" s="4" t="n">
        <v>200</v>
      </c>
      <c r="J61" s="6">
        <f>G61/I61*H61</f>
        <v/>
      </c>
      <c r="K61" s="4" t="n">
        <v>1</v>
      </c>
      <c r="L61" t="n">
        <v>0.325</v>
      </c>
      <c r="M61" t="n">
        <v>1</v>
      </c>
      <c r="N61" s="4" t="n"/>
      <c r="O61" s="6">
        <f>(D61/100000+E61/100+F61*K61/5+J61/200)*200*L61*M61</f>
        <v/>
      </c>
      <c r="P61" s="6">
        <f>((D61*E61/25000)+(F61*K61*J61/2.5))*L61*M61</f>
        <v/>
      </c>
      <c r="Q61" s="6">
        <f>(D61*E61*F61*K61*J61*L61*M61)/12500000</f>
        <v/>
      </c>
      <c r="R61" s="6">
        <f>(O61+P61+Q61)/3</f>
        <v/>
      </c>
      <c r="S61" t="n">
        <v>1400</v>
      </c>
    </row>
    <row r="62">
      <c r="B62" t="inlineStr">
        <is>
          <t>Waveforce Turret</t>
        </is>
      </c>
      <c r="D62" t="n">
        <v>220000</v>
      </c>
      <c r="E62" t="n">
        <v>100</v>
      </c>
      <c r="F62" s="7">
        <f>(S62*37500000/(L62*M62*D62*E62*K62*J62)-((500/(K62*J62))+(2500000000/(D62*E62*K62*J62)*(D62/100000+E62/100+J62/200))))/(1+5000000/(D62*E62)+(500000000/(D62*E62*J62)))</f>
        <v/>
      </c>
      <c r="G62" t="n">
        <v>80000</v>
      </c>
      <c r="H62" t="n">
        <v>1.25</v>
      </c>
      <c r="I62" t="n">
        <v>100</v>
      </c>
      <c r="J62" s="6">
        <f>G62/I62*H62</f>
        <v/>
      </c>
      <c r="K62" t="n">
        <v>1.25</v>
      </c>
      <c r="L62" t="n">
        <v>0.325</v>
      </c>
      <c r="M62" t="n">
        <v>1</v>
      </c>
      <c r="O62" s="6">
        <f>(D62/100000+E62/100+F62*K62/5+J62/200)*200*L62*M62</f>
        <v/>
      </c>
      <c r="P62" s="6">
        <f>((D62*E62/25000)+(F62*K62*J62/2.5))*L62*M62</f>
        <v/>
      </c>
      <c r="Q62" s="6">
        <f>(D62*E62*F62*K62*J62*L62*M62)/12500000</f>
        <v/>
      </c>
      <c r="R62" s="6">
        <f>(O62+P62+Q62)/3</f>
        <v/>
      </c>
      <c r="S62" t="n">
        <v>3200</v>
      </c>
    </row>
    <row r="63">
      <c r="B63" t="inlineStr">
        <is>
          <t>Bastion</t>
        </is>
      </c>
      <c r="D63" t="n">
        <v>350000</v>
      </c>
      <c r="E63" t="n">
        <v>100</v>
      </c>
      <c r="F63" s="7">
        <f>(S63*37500000/(L63*M63*D63*E63*K63*J63)-((500/(K63*J63))+(2500000000/(D63*E63*K63*J63)*(D63/100000+E63/100+J63/200))))/(1+5000000/(D63*E63)+(500000000/(D63*E63*J63)))</f>
        <v/>
      </c>
      <c r="G63" t="n">
        <v>40000</v>
      </c>
      <c r="H63" t="n">
        <v>0.75</v>
      </c>
      <c r="I63" t="n">
        <v>80</v>
      </c>
      <c r="J63" s="6">
        <f>G63/I63*H63</f>
        <v/>
      </c>
      <c r="K63" t="n">
        <v>1.25</v>
      </c>
      <c r="L63" t="n">
        <v>0.325</v>
      </c>
      <c r="M63" t="n">
        <v>1</v>
      </c>
      <c r="O63" s="6">
        <f>(D63/100000+E63/100+F63*K63/5+J63/200)*200*L63*M63</f>
        <v/>
      </c>
      <c r="P63" s="6">
        <f>((D63*E63/25000)+(F63*K63*J63/2.5))*L63*M63</f>
        <v/>
      </c>
      <c r="Q63" s="6">
        <f>(D63*E63*F63*K63*J63*L63*M63)/12500000</f>
        <v/>
      </c>
      <c r="R63" s="6">
        <f>(O63+P63+Q63)/3</f>
        <v/>
      </c>
      <c r="S63" t="n">
        <v>2000</v>
      </c>
    </row>
    <row r="64">
      <c r="A64" t="inlineStr">
        <is>
          <t>Naxis</t>
        </is>
      </c>
      <c r="B64" t="inlineStr">
        <is>
          <t>Lunar Naxi Laser Tower</t>
        </is>
      </c>
      <c r="D64" t="n">
        <v>160000</v>
      </c>
      <c r="E64" t="n">
        <v>100</v>
      </c>
      <c r="F64" s="7">
        <f>(S64*37500000/(L64*M64*D64*E64*K64*J64)-((500/(K64*J64))+(2500000000/(D64*E64*K64*J64)*(D64/100000+E64/100+J64/200))))/(1+5000000/(D64*E64)+(500000000/(D64*E64*J64)))</f>
        <v/>
      </c>
      <c r="G64" t="n">
        <v>8000</v>
      </c>
      <c r="H64" t="n">
        <v>1</v>
      </c>
      <c r="I64" t="n">
        <v>20</v>
      </c>
      <c r="J64" s="6">
        <f>G64/I64*H64</f>
        <v/>
      </c>
      <c r="K64" t="n">
        <v>1</v>
      </c>
      <c r="L64" t="n">
        <v>0.325</v>
      </c>
      <c r="M64" t="n">
        <v>1</v>
      </c>
      <c r="O64" s="6">
        <f>(D64/100000+E64/100+F64*K64/5+J64/200)*200*L64*M64</f>
        <v/>
      </c>
      <c r="P64" s="6">
        <f>((D64*E64/25000)+(F64*K64*J64/2.5))*L64*M64</f>
        <v/>
      </c>
      <c r="Q64" s="6">
        <f>(D64*E64*F64*K64*J64*L64*M64)/12500000</f>
        <v/>
      </c>
      <c r="R64" s="6">
        <f>(O64+P64+Q64)/3</f>
        <v/>
      </c>
      <c r="S64" t="n">
        <v>800</v>
      </c>
    </row>
    <row r="65">
      <c r="A65" t="inlineStr">
        <is>
          <t>D2K</t>
        </is>
      </c>
      <c r="B65" t="inlineStr">
        <is>
          <t>Dune Rocket Turret</t>
        </is>
      </c>
      <c r="D65" t="n">
        <v>150000</v>
      </c>
      <c r="E65" t="n">
        <v>100</v>
      </c>
      <c r="F65" s="7">
        <f>(S65*37500000/(L65*M65*D65*E65*K65*J65)-((500/(K65*J65))+(2500000000/(D65*E65*K65*J65)*(D65/100000+E65/100+J65/200))))/(1+5000000/(D65*E65)+(500000000/(D65*E65*J65)))</f>
        <v/>
      </c>
      <c r="G65" t="n">
        <v>32000</v>
      </c>
      <c r="H65" t="n">
        <v>1</v>
      </c>
      <c r="I65" t="n">
        <v>47</v>
      </c>
      <c r="J65" s="6">
        <f>G65/I65*H65</f>
        <v/>
      </c>
      <c r="K65" t="n">
        <v>1</v>
      </c>
      <c r="L65" t="n">
        <v>0.325</v>
      </c>
      <c r="M65" t="n">
        <v>1</v>
      </c>
      <c r="O65" s="6">
        <f>(D65/100000+E65/100+F65*K65/5+J65/200)*200*L65*M65</f>
        <v/>
      </c>
      <c r="P65" s="6">
        <f>((D65*E65/25000)+(F65*K65*J65/2.5))*L65*M65</f>
        <v/>
      </c>
      <c r="Q65" s="6">
        <f>(D65*E65*F65*K65*J65*L65*M65)/12500000</f>
        <v/>
      </c>
      <c r="R65" s="6">
        <f>(O65+P65+Q65)/3</f>
        <v/>
      </c>
      <c r="S65" t="n">
        <v>1500</v>
      </c>
    </row>
    <row r="66">
      <c r="B66" t="inlineStr">
        <is>
          <t>Storm Lasher</t>
        </is>
      </c>
      <c r="D66" t="n">
        <v>200000</v>
      </c>
      <c r="E66" t="n">
        <v>100</v>
      </c>
      <c r="F66" s="7">
        <f>(S66*37500000/(L66*M66*D66*E66*K66*J66)-((500/(K66*J66))+(2500000000/(D66*E66*K66*J66)*(D66/100000+E66/100+J66/200))))/(1+5000000/(D66*E66)+(500000000/(D66*E66*J66)))</f>
        <v/>
      </c>
      <c r="G66" t="n">
        <v>300000</v>
      </c>
      <c r="H66" t="n">
        <v>1.25</v>
      </c>
      <c r="I66" t="n">
        <v>250</v>
      </c>
      <c r="J66" s="6">
        <f>G66/I66*H66</f>
        <v/>
      </c>
      <c r="K66" t="n">
        <v>1.25</v>
      </c>
      <c r="L66" t="n">
        <v>0.325</v>
      </c>
      <c r="M66" t="n">
        <v>1</v>
      </c>
      <c r="O66" s="6">
        <f>(D66/100000+E66/100+F66*K66/5+J66/200)*200*L66*M66</f>
        <v/>
      </c>
      <c r="P66" s="6">
        <f>((D66*E66/25000)+(F66*K66*J66/2.5))*L66*M66</f>
        <v/>
      </c>
      <c r="Q66" s="6">
        <f>(D66*E66*F66*K66*J66*L66*M66)/12500000</f>
        <v/>
      </c>
      <c r="R66" s="6">
        <f>(O66+P66+Q66)/3</f>
        <v/>
      </c>
      <c r="S66" t="n">
        <v>5000</v>
      </c>
    </row>
    <row r="67">
      <c r="B67" t="inlineStr">
        <is>
          <t>Autogun Turret</t>
        </is>
      </c>
      <c r="D67" t="n">
        <v>75000</v>
      </c>
      <c r="E67" t="n">
        <v>100</v>
      </c>
      <c r="F67" s="7">
        <f>(S67*37500000/(L67*M67*D67*E67*K67*J67)-((500/(K67*J67))+(2500000000/(D67*E67*K67*J67)*(D67/100000+E67/100+J67/200))))/(1+5000000/(D67*E67)+(500000000/(D67*E67*J67)))</f>
        <v/>
      </c>
      <c r="G67" t="n">
        <v>24000</v>
      </c>
      <c r="H67" t="n">
        <v>1</v>
      </c>
      <c r="I67" t="n">
        <v>28</v>
      </c>
      <c r="J67" s="6">
        <f>G67/I67*H67</f>
        <v/>
      </c>
      <c r="K67" t="n">
        <v>1.25</v>
      </c>
      <c r="L67" t="n">
        <v>0.325</v>
      </c>
      <c r="M67" t="n">
        <v>1</v>
      </c>
      <c r="O67" s="6">
        <f>(D67/100000+E67/100+F67*K67/5+J67/200)*200*L67*M67</f>
        <v/>
      </c>
      <c r="P67" s="6">
        <f>((D67*E67/25000)+(F67*K67*J67/2.5))*L67*M67</f>
        <v/>
      </c>
      <c r="Q67" s="6">
        <f>(D67*E67*F67*K67*J67*L67*M67)/12500000</f>
        <v/>
      </c>
      <c r="R67" s="6">
        <f>(O67+P67+Q67)/3</f>
        <v/>
      </c>
      <c r="S67" t="n">
        <v>1100</v>
      </c>
    </row>
    <row r="68">
      <c r="B68" t="inlineStr">
        <is>
          <t>Artillery Platform</t>
        </is>
      </c>
      <c r="D68" t="n">
        <v>125000</v>
      </c>
      <c r="E68" t="n">
        <v>100</v>
      </c>
      <c r="F68" s="7">
        <f>(S68*37500000/(L68*M68*D68*E68*K68*J68)-((500/(K68*J68))+(2500000000/(D68*E68*K68*J68)*(D68/100000+E68/100+J68/200))))/(1+5000000/(D68*E68)+(500000000/(D68*E68*J68)))</f>
        <v/>
      </c>
      <c r="G68" t="n">
        <v>48000</v>
      </c>
      <c r="H68" t="n">
        <v>1</v>
      </c>
      <c r="I68" t="n">
        <v>74</v>
      </c>
      <c r="J68" s="6">
        <f>G68/I68*H68</f>
        <v/>
      </c>
      <c r="K68" t="n">
        <v>1</v>
      </c>
      <c r="L68" t="n">
        <v>0.325</v>
      </c>
      <c r="M68" t="n">
        <v>1</v>
      </c>
      <c r="O68" s="6">
        <f>(D68/100000+E68/100+F68*K68/5+J68/200)*200*L68*M68</f>
        <v/>
      </c>
      <c r="P68" s="6">
        <f>((D68*E68/25000)+(F68*K68*J68/2.5))*L68*M68</f>
        <v/>
      </c>
      <c r="Q68" s="6">
        <f>(D68*E68*F68*K68*J68*L68*M68)/12500000</f>
        <v/>
      </c>
      <c r="R68" s="6">
        <f>(O68+P68+Q68)/3</f>
        <v/>
      </c>
      <c r="S68" t="n">
        <v>1200</v>
      </c>
    </row>
    <row r="69">
      <c r="A69" t="inlineStr">
        <is>
          <t>RA2</t>
        </is>
      </c>
      <c r="B69" t="inlineStr">
        <is>
          <t>Prism Tower</t>
        </is>
      </c>
      <c r="D69" t="n">
        <v>135000</v>
      </c>
      <c r="E69" t="n">
        <v>100</v>
      </c>
      <c r="F69" s="7">
        <f>(S69*37500000/(L69*M69*D69*E69*K69*J69)-((500/(K69*J69))+(2500000000/(D69*E69*K69*J69)*(D69/100000+E69/100+J69/200))))/(1+5000000/(D69*E69)+(500000000/(D69*E69*J69)))</f>
        <v/>
      </c>
      <c r="G69" t="n">
        <v>32000</v>
      </c>
      <c r="H69" t="n">
        <v>1.25</v>
      </c>
      <c r="I69" t="n">
        <v>40</v>
      </c>
      <c r="J69" s="6">
        <f>G69/I69*H69</f>
        <v/>
      </c>
      <c r="K69" t="n">
        <v>1.25</v>
      </c>
      <c r="L69" t="n">
        <v>0.325</v>
      </c>
      <c r="M69" t="n">
        <v>1</v>
      </c>
      <c r="O69" s="6">
        <f>(D69/100000+E69/100+F69*K69/5+J69/200)*200*L69*M69</f>
        <v/>
      </c>
      <c r="P69" s="6">
        <f>((D69*E69/25000)+(F69*K69*J69/2.5))*L69*M69</f>
        <v/>
      </c>
      <c r="Q69" s="6">
        <f>(D69*E69*F69*K69*J69*L69*M69)/12500000</f>
        <v/>
      </c>
      <c r="R69" s="6">
        <f>(O69+P69+Q69)/3</f>
        <v/>
      </c>
      <c r="S69" t="n">
        <v>2200</v>
      </c>
    </row>
    <row r="70">
      <c r="B70" t="inlineStr">
        <is>
          <t>Grand Cannon</t>
        </is>
      </c>
      <c r="D70" t="n">
        <v>250000</v>
      </c>
      <c r="E70" t="n">
        <v>100</v>
      </c>
      <c r="F70" s="7">
        <f>(S70*37500000/(L70*M70*D70*E70*K70*J70)-((500/(K70*J70))+(2500000000/(D70*E70*K70*J70)*(D70/100000+E70/100+J70/200))))/(1+5000000/(D70*E70)+(500000000/(D70*E70*J70)))</f>
        <v/>
      </c>
      <c r="G70" t="n">
        <v>300000</v>
      </c>
      <c r="H70" t="n">
        <v>1</v>
      </c>
      <c r="I70" t="n">
        <v>200</v>
      </c>
      <c r="J70" s="6">
        <f>G70/I70*H70</f>
        <v/>
      </c>
      <c r="K70" t="n">
        <v>1</v>
      </c>
      <c r="L70" t="n">
        <v>0.325</v>
      </c>
      <c r="M70" t="n">
        <v>1</v>
      </c>
      <c r="O70" s="6">
        <f>(D70/100000+E70/100+F70*K70/5+J70/200)*200*L70*M70</f>
        <v/>
      </c>
      <c r="P70" s="6">
        <f>((D70*E70/25000)+(F70*K70*J70/2.5))*L70*M70</f>
        <v/>
      </c>
      <c r="Q70" s="6">
        <f>(D70*E70*F70*K70*J70*L70*M70)/12500000</f>
        <v/>
      </c>
      <c r="R70" s="6">
        <f>(O70+P70+Q70)/3</f>
        <v/>
      </c>
      <c r="S70" t="n">
        <v>5000</v>
      </c>
    </row>
    <row r="71">
      <c r="B71" t="inlineStr">
        <is>
          <t>RA2 Tesla Coil</t>
        </is>
      </c>
      <c r="D71" t="n">
        <v>120000</v>
      </c>
      <c r="E71" t="n">
        <v>100</v>
      </c>
      <c r="F71" s="7">
        <f>(S71*37500000/(L71*M71*D71*E71*K71*J71)-((500/(K71*J71))+(2500000000/(D71*E71*K71*J71)*(D71/100000+E71/100+J71/200))))/(1+5000000/(D71*E71)+(500000000/(D71*E71*J71)))</f>
        <v/>
      </c>
      <c r="G71" t="n">
        <v>64000</v>
      </c>
      <c r="H71" t="n">
        <v>1.25</v>
      </c>
      <c r="I71" t="n">
        <v>75</v>
      </c>
      <c r="J71" s="6">
        <f>G71/I71*H71</f>
        <v/>
      </c>
      <c r="K71" t="n">
        <v>1.25</v>
      </c>
      <c r="L71" t="n">
        <v>0.325</v>
      </c>
      <c r="M71" t="n">
        <v>1</v>
      </c>
      <c r="O71" s="6">
        <f>(D71/100000+E71/100+F71*K71/5+J71/200)*200*L71*M71</f>
        <v/>
      </c>
      <c r="P71" s="6">
        <f>((D71*E71/25000)+(F71*K71*J71/2.5))*L71*M71</f>
        <v/>
      </c>
      <c r="Q71" s="6">
        <f>(D71*E71*F71*K71*J71*L71*M71)/12500000</f>
        <v/>
      </c>
      <c r="R71" s="6">
        <f>(O71+P71+Q71)/3</f>
        <v/>
      </c>
      <c r="S71" t="n">
        <v>2000</v>
      </c>
    </row>
    <row r="72">
      <c r="A72" t="inlineStr">
        <is>
          <t>RA2 Modded</t>
        </is>
      </c>
      <c r="B72" t="inlineStr">
        <is>
          <t>AA Rail Tower</t>
        </is>
      </c>
      <c r="D72" t="n">
        <v>125000</v>
      </c>
      <c r="E72" t="n">
        <v>100</v>
      </c>
      <c r="F72" s="7">
        <f>(S72*37500000/(L72*M72*D72*E72*K72*J72)-((500/(K72*J72))+(2500000000/(D72*E72*K72*J72)*(D72/100000+E72/100+J72/200))))/(1+5000000/(D72*E72)+(500000000/(D72*E72*J72)))</f>
        <v/>
      </c>
      <c r="G72" t="n">
        <v>30000</v>
      </c>
      <c r="H72" t="n">
        <v>1.25</v>
      </c>
      <c r="I72" t="n">
        <v>25</v>
      </c>
      <c r="J72" s="6">
        <f>G72/I72*H72</f>
        <v/>
      </c>
      <c r="K72" t="n">
        <v>1</v>
      </c>
      <c r="L72" t="n">
        <v>0.325</v>
      </c>
      <c r="M72" t="n">
        <v>1</v>
      </c>
      <c r="O72" s="6">
        <f>(D72/100000+E72/100+F72*K72/5+J72/200)*200*L72*M72</f>
        <v/>
      </c>
      <c r="P72" s="6">
        <f>((D72*E72/25000)+(F72*K72*J72/2.5))*L72*M72</f>
        <v/>
      </c>
      <c r="Q72" s="6">
        <f>(D72*E72*F72*K72*J72*L72*M72)/12500000</f>
        <v/>
      </c>
      <c r="R72" s="6">
        <f>(O72+P72+Q72)/3</f>
        <v/>
      </c>
      <c r="S72" t="n">
        <v>2500</v>
      </c>
    </row>
    <row r="73">
      <c r="B73" t="inlineStr">
        <is>
          <t>AA Plasma Cannon</t>
        </is>
      </c>
      <c r="D73" t="n">
        <v>300000</v>
      </c>
      <c r="E73" t="n">
        <v>100</v>
      </c>
      <c r="F73" s="7">
        <f>(S73*37500000/(L73*M73*D73*E73*K73*J73)-((500/(K73*J73))+(2500000000/(D73*E73*K73*J73)*(D73/100000+E73/100+J73/200))))/(1+5000000/(D73*E73)+(500000000/(D73*E73*J73)))</f>
        <v/>
      </c>
      <c r="G73" t="n">
        <v>32000</v>
      </c>
      <c r="H73" t="n">
        <v>1</v>
      </c>
      <c r="I73" t="n">
        <v>96</v>
      </c>
      <c r="J73" s="6">
        <f>G73/I73*H73</f>
        <v/>
      </c>
      <c r="K73" t="n">
        <v>1</v>
      </c>
      <c r="L73" t="n">
        <v>0.75</v>
      </c>
      <c r="M73" t="n">
        <v>1</v>
      </c>
      <c r="O73" s="6">
        <f>(D73/100000+E73/100+F73*K73/5+J73/200)*200*L73*M73</f>
        <v/>
      </c>
      <c r="P73" s="6">
        <f>((D73*E73/25000)+(F73*K73*J73/2.5))*L73*M73</f>
        <v/>
      </c>
      <c r="Q73" s="6">
        <f>(D73*E73*F73*K73*J73*L73*M73)/12500000</f>
        <v/>
      </c>
      <c r="R73" s="6">
        <f>(O73+P73+Q73)/3</f>
        <v/>
      </c>
      <c r="S73" t="n">
        <v>4000</v>
      </c>
    </row>
    <row r="74">
      <c r="B74" t="inlineStr">
        <is>
          <t>Freezer Turret</t>
        </is>
      </c>
      <c r="D74" t="n">
        <v>120000</v>
      </c>
      <c r="E74" t="n">
        <v>100</v>
      </c>
      <c r="F74" s="7">
        <f>(S74*37500000/(L74*M74*D74*E74*K74*J74)-((500/(K74*J74))+(2500000000/(D74*E74*K74*J74)*(D74/100000+E74/100+J74/200))))/(1+5000000/(D74*E74)+(500000000/(D74*E74*J74)))</f>
        <v/>
      </c>
      <c r="G74" t="n">
        <v>7680</v>
      </c>
      <c r="H74" t="n">
        <v>1</v>
      </c>
      <c r="I74" t="n">
        <v>8</v>
      </c>
      <c r="J74" s="6">
        <f>G74/I74*H74</f>
        <v/>
      </c>
      <c r="K74" t="n">
        <v>1.25</v>
      </c>
      <c r="L74" t="n">
        <v>0.325</v>
      </c>
      <c r="M74" t="n">
        <v>1</v>
      </c>
      <c r="O74" s="6">
        <f>(D74/100000+E74/100+F74*K74/5+J74/200)*200*L74*M74</f>
        <v/>
      </c>
      <c r="P74" s="6">
        <f>((D74*E74/25000)+(F74*K74*J74/2.5))*L74*M74</f>
        <v/>
      </c>
      <c r="Q74" s="6">
        <f>(D74*E74*F74*K74*J74*L74*M74)/12500000</f>
        <v/>
      </c>
      <c r="R74" s="6">
        <f>(O74+P74+Q74)/3</f>
        <v/>
      </c>
      <c r="S74" t="n">
        <v>1500</v>
      </c>
    </row>
    <row r="75">
      <c r="A75" t="inlineStr">
        <is>
          <t>StarCraft</t>
        </is>
      </c>
      <c r="B75" t="inlineStr">
        <is>
          <t>Photon Cannon</t>
        </is>
      </c>
      <c r="D75" t="n">
        <v>200000</v>
      </c>
      <c r="E75" t="n">
        <v>100</v>
      </c>
      <c r="F75" s="7">
        <f>(S75*37500000/(L75*M75*D75*E75*K75*J75)-((500/(K75*J75))+(2500000000/(D75*E75*K75*J75)*(D75/100000+E75/100+J75/200))))/(1+5000000/(D75*E75)+(500000000/(D75*E75*J75)))</f>
        <v/>
      </c>
      <c r="G75" t="n">
        <v>40000</v>
      </c>
      <c r="H75" t="n">
        <v>1</v>
      </c>
      <c r="I75" t="n">
        <v>28</v>
      </c>
      <c r="J75" s="6">
        <f>G75/I75*H75</f>
        <v/>
      </c>
      <c r="K75" t="n">
        <v>1</v>
      </c>
      <c r="L75" t="n">
        <v>0.325</v>
      </c>
      <c r="M75" t="n">
        <v>1</v>
      </c>
      <c r="O75" s="6">
        <f>(D75/100000+E75/100+F75*K75/5+J75/200)*200*L75*M75</f>
        <v/>
      </c>
      <c r="P75" s="6">
        <f>((D75*E75/25000)+(F75*K75*J75/2.5))*L75*M75</f>
        <v/>
      </c>
      <c r="Q75" s="6">
        <f>(D75*E75*F75*K75*J75*L75*M75)/12500000</f>
        <v/>
      </c>
      <c r="R75" s="6">
        <f>(O75+P75+Q75)/3</f>
        <v/>
      </c>
      <c r="S75" t="n">
        <v>2000</v>
      </c>
    </row>
    <row r="76">
      <c r="B76" t="inlineStr">
        <is>
          <t>GDI Rig (Phalanx)</t>
        </is>
      </c>
      <c r="D76" t="n">
        <v>400000</v>
      </c>
      <c r="E76" t="n">
        <v>60</v>
      </c>
      <c r="F76" s="7">
        <f>(S76*37500000/(L76*M76*D76*E76*K76*J76)-((500/(K76*J76))+(2500000000/(D76*E76*K76*J76)*(D76/100000+E76/100+J76/200))))/(1+5000000/(D76*E76)+(500000000/(D76*E76*J76)))</f>
        <v/>
      </c>
      <c r="G76" t="n">
        <v>12000</v>
      </c>
      <c r="H76" t="n">
        <v>0.875</v>
      </c>
      <c r="I76" t="n">
        <v>5</v>
      </c>
      <c r="J76" s="6">
        <f>G76/I76*H76</f>
        <v/>
      </c>
      <c r="K76" t="n">
        <v>1.25</v>
      </c>
      <c r="L76" t="n">
        <v>0.325</v>
      </c>
      <c r="M76" t="n">
        <v>0.75</v>
      </c>
      <c r="O76" s="6">
        <f>(D76/100000+E76/100+F76*K76/5+J76/200)*200*L76*M76</f>
        <v/>
      </c>
      <c r="P76" s="6">
        <f>((D76*E76/25000)+(F76*K76*J76/2.5))*L76*M76</f>
        <v/>
      </c>
      <c r="Q76" s="6">
        <f>(D76*E76*F76*K76*J76*L76*M76)/12500000</f>
        <v/>
      </c>
      <c r="R76" s="6">
        <f>(O76+P76+Q76)/3</f>
        <v/>
      </c>
      <c r="S76" t="n">
        <v>5000</v>
      </c>
    </row>
    <row r="77">
      <c r="B77" t="inlineStr">
        <is>
          <t>GDI Rig (Railgun)</t>
        </is>
      </c>
      <c r="D77" t="n">
        <v>400000</v>
      </c>
      <c r="E77" t="n">
        <v>60</v>
      </c>
      <c r="F77" s="7">
        <f>(S77*37500000/(L77*M77*D77*E77*K77*J77)-((500/(K77*J77))+(2500000000/(D77*E77*K77*J77)*(D77/100000+E77/100+J77/200))))/(1+5000000/(D77*E77)+(500000000/(D77*E77*J77)))</f>
        <v/>
      </c>
      <c r="G77" t="n">
        <v>160000</v>
      </c>
      <c r="H77" t="n">
        <v>1.25</v>
      </c>
      <c r="I77" t="n">
        <v>95</v>
      </c>
      <c r="J77" s="6">
        <f>G77/I77*H77</f>
        <v/>
      </c>
      <c r="K77" t="n">
        <v>1.25</v>
      </c>
      <c r="L77" t="n">
        <v>0.325</v>
      </c>
      <c r="M77" t="n">
        <v>0.75</v>
      </c>
      <c r="O77" s="6">
        <f>(D77/100000+E77/100+F77*K77/5+J77/200)*200*L77*M77</f>
        <v/>
      </c>
      <c r="P77" s="6">
        <f>((D77*E77/25000)+(F77*K77*J77/2.5))*L77*M77</f>
        <v/>
      </c>
      <c r="Q77" s="6">
        <f>(D77*E77*F77*K77*J77*L77*M77)/12500000</f>
        <v/>
      </c>
      <c r="R77" s="6">
        <f>(O77+P77+Q77)/3</f>
        <v/>
      </c>
      <c r="S77" t="n">
        <v>5000</v>
      </c>
    </row>
    <row r="78">
      <c r="B78" t="inlineStr">
        <is>
          <t>GDI Rig (Missiles)</t>
        </is>
      </c>
      <c r="D78" t="n">
        <v>400000</v>
      </c>
      <c r="E78" t="n">
        <v>60</v>
      </c>
      <c r="F78" s="7">
        <f>(S78*37500000/(L78*M78*D78*E78*K78*J78)-((500/(K78*J78))+(2500000000/(D78*E78*K78*J78)*(D78/100000+E78/100+J78/200))))/(1+5000000/(D78*E78)+(500000000/(D78*E78*J78)))</f>
        <v/>
      </c>
      <c r="G78" t="n">
        <v>128000</v>
      </c>
      <c r="H78" t="n">
        <v>1</v>
      </c>
      <c r="I78" t="n">
        <v>60</v>
      </c>
      <c r="J78" s="6">
        <f>G78/I78*H78</f>
        <v/>
      </c>
      <c r="K78" t="n">
        <v>1.25</v>
      </c>
      <c r="L78" t="n">
        <v>0.325</v>
      </c>
      <c r="M78" t="n">
        <v>0.75</v>
      </c>
      <c r="O78" s="6">
        <f>(D78/100000+E78/100+F78*K78/5+J78/200)*200*L78*M78</f>
        <v/>
      </c>
      <c r="P78" s="6">
        <f>((D78*E78/25000)+(F78*K78*J78/2.5))*L78*M78</f>
        <v/>
      </c>
      <c r="Q78" s="6">
        <f>(D78*E78*F78*K78*J78*L78*M78)/12500000</f>
        <v/>
      </c>
      <c r="R78" s="6">
        <f>(O78+P78+Q78)/3</f>
        <v/>
      </c>
      <c r="S78" t="n">
        <v>5000</v>
      </c>
    </row>
    <row r="79">
      <c r="B79" t="inlineStr">
        <is>
          <t>Consortium Quantum Cannon</t>
        </is>
      </c>
      <c r="D79" t="n">
        <v>230000</v>
      </c>
      <c r="E79" t="n">
        <v>100</v>
      </c>
      <c r="F79" s="7">
        <f>(S79*37500000/(L79*M79*D79*E79*K79*J79)-((500/(K79*J79))+(2500000000/(D79*E79*K79*J79)*(D79/100000+E79/100+J79/200))))/(1+5000000/(D79*E79)+(500000000/(D79*E79*J79)))</f>
        <v/>
      </c>
      <c r="G79" t="n">
        <v>24000</v>
      </c>
      <c r="H79" t="n">
        <v>1.25</v>
      </c>
      <c r="I79" t="n">
        <v>38</v>
      </c>
      <c r="J79" s="6">
        <f>G79/I79*H79</f>
        <v/>
      </c>
      <c r="K79" t="n">
        <v>1</v>
      </c>
      <c r="L79" t="n">
        <v>0.325</v>
      </c>
      <c r="M79" t="n">
        <v>1</v>
      </c>
      <c r="O79" s="6">
        <f>(D79/100000+E79/100+F79*K79/5+J79/200)*200*L79*M79</f>
        <v/>
      </c>
      <c r="P79" s="6">
        <f>((D79*E79/25000)+(F79*K79*J79/2.5))*L79*M79</f>
        <v/>
      </c>
      <c r="Q79" s="6">
        <f>(D79*E79*F79*K79*J79*L79*M79)/12500000</f>
        <v/>
      </c>
      <c r="R79" s="6">
        <f>(O79+P79+Q79)/3</f>
        <v/>
      </c>
      <c r="S79" t="n">
        <v>2000</v>
      </c>
    </row>
    <row r="85">
      <c r="B85" t="inlineStr">
        <is>
          <t>BFG 10000</t>
        </is>
      </c>
      <c r="D85" t="n">
        <v>1000000</v>
      </c>
      <c r="E85" t="n">
        <v>100</v>
      </c>
      <c r="F85" s="7" t="n">
        <v>25</v>
      </c>
      <c r="G85" t="n">
        <v>300000</v>
      </c>
      <c r="H85" t="n">
        <v>1.25</v>
      </c>
      <c r="I85" t="n">
        <v>750</v>
      </c>
      <c r="J85" s="6">
        <f>G85/I85*H85</f>
        <v/>
      </c>
      <c r="K85" t="n">
        <v>1</v>
      </c>
      <c r="L85" t="n">
        <v>0.5</v>
      </c>
      <c r="M85" t="n">
        <v>1</v>
      </c>
      <c r="O85" s="6">
        <f>(D85/100000+E85/100+F85*K85/5+J85/200)*200*L85*M85</f>
        <v/>
      </c>
      <c r="P85" s="6">
        <f>((D85*E85/25000)+(F85*K85*J85/2.5))*L85*M85</f>
        <v/>
      </c>
      <c r="Q85" s="6">
        <f>(D85*E85*F85*K85*J85*L85*M85)/12500000</f>
        <v/>
      </c>
      <c r="R85" s="6">
        <f>(O85+P85+Q85)/3</f>
        <v/>
      </c>
      <c r="S85" t="n">
        <v>10000</v>
      </c>
    </row>
    <row r="86">
      <c r="B86" t="inlineStr">
        <is>
          <t>Naxi Guard Tower</t>
        </is>
      </c>
      <c r="D86" t="n">
        <v>78000</v>
      </c>
      <c r="E86" t="n">
        <v>100</v>
      </c>
      <c r="F86" s="7" t="n">
        <v>8.1</v>
      </c>
      <c r="G86" t="n">
        <v>64000</v>
      </c>
      <c r="H86" t="n">
        <v>0.75</v>
      </c>
      <c r="I86" t="n">
        <v>55</v>
      </c>
      <c r="J86" s="6">
        <f>G86/I86*H86</f>
        <v/>
      </c>
      <c r="K86" t="n">
        <v>1</v>
      </c>
      <c r="L86" t="n">
        <v>1</v>
      </c>
      <c r="M86" t="n">
        <v>1</v>
      </c>
      <c r="O86" s="6">
        <f>(D86/100000+E86/100+F86*K86/5+J86/200)*200*L86*M86</f>
        <v/>
      </c>
      <c r="P86" s="6">
        <f>((D86*E86/25000)+(F86*K86*J86/2.5))*L86*M86</f>
        <v/>
      </c>
      <c r="Q86" s="6">
        <f>(D86*E86*F86*K86*J86*L86*M86)/12500000</f>
        <v/>
      </c>
      <c r="R86" s="6">
        <f>(O86+P86+Q86)/3</f>
        <v/>
      </c>
      <c r="S86" t="n">
        <v>1200</v>
      </c>
    </row>
    <row r="89">
      <c r="B89" t="inlineStr">
        <is>
          <t>Flak 88</t>
        </is>
      </c>
      <c r="D89" t="n">
        <v>160000</v>
      </c>
      <c r="E89" t="n">
        <v>100</v>
      </c>
      <c r="F89" s="7" t="n">
        <v>13.2</v>
      </c>
      <c r="G89" t="n">
        <v>48000</v>
      </c>
      <c r="H89" t="n">
        <v>1</v>
      </c>
      <c r="I89" t="n">
        <v>88</v>
      </c>
      <c r="J89" s="6">
        <f>G89/I89*H89</f>
        <v/>
      </c>
      <c r="K89" t="n">
        <v>1</v>
      </c>
      <c r="L89" t="n">
        <v>0.5</v>
      </c>
      <c r="M89" t="n">
        <v>1</v>
      </c>
      <c r="O89" s="6">
        <f>(D89/100000+E89/100+F89*K89/5+J89/200)*200*L89*M89</f>
        <v/>
      </c>
      <c r="P89" s="6">
        <f>((D89*E89/25000)+(F89*K89*J89/2.5))*L89*M89</f>
        <v/>
      </c>
      <c r="Q89" s="6">
        <f>(D89*E89*F89*K89*J89*L89*M89)/12500000</f>
        <v/>
      </c>
      <c r="R89" s="6">
        <f>(O89+P89+Q89)/3</f>
        <v/>
      </c>
      <c r="S89" t="n">
        <v>1200</v>
      </c>
    </row>
  </sheetData>
  <pageMargins left="0.7" right="0.7" top="0.787401575" bottom="0.7874015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Name</t>
        </is>
      </c>
      <c r="C1" t="inlineStr">
        <is>
          <t>Actor</t>
        </is>
      </c>
      <c r="D1" t="inlineStr">
        <is>
          <t>HP</t>
        </is>
      </c>
      <c r="E1" t="inlineStr">
        <is>
          <t>Speed</t>
        </is>
      </c>
      <c r="F1" t="inlineStr">
        <is>
          <t>Range</t>
        </is>
      </c>
      <c r="G1" t="inlineStr">
        <is>
          <t>Damage</t>
        </is>
      </c>
      <c r="H1" t="inlineStr">
        <is>
          <t>Weapon Class</t>
        </is>
      </c>
      <c r="I1" t="inlineStr">
        <is>
          <t>Reload Delay</t>
        </is>
      </c>
      <c r="J1" t="inlineStr">
        <is>
          <t>DPS</t>
        </is>
      </c>
      <c r="K1" t="inlineStr">
        <is>
          <t>Special</t>
        </is>
      </c>
      <c r="L1" t="inlineStr">
        <is>
          <t>Unit Class</t>
        </is>
      </c>
      <c r="M1" t="inlineStr">
        <is>
          <t>Tech Tier</t>
        </is>
      </c>
      <c r="O1" t="inlineStr">
        <is>
          <t>O</t>
        </is>
      </c>
      <c r="P1" t="inlineStr">
        <is>
          <t>P</t>
        </is>
      </c>
      <c r="Q1" t="inlineStr">
        <is>
          <t>Q</t>
        </is>
      </c>
      <c r="R1" t="inlineStr">
        <is>
          <t>Cost</t>
        </is>
      </c>
      <c r="S1" t="inlineStr">
        <is>
          <t>Target Cost</t>
        </is>
      </c>
    </row>
    <row r="2">
      <c r="A2" t="inlineStr">
        <is>
          <t>TS</t>
        </is>
      </c>
      <c r="B2" t="inlineStr">
        <is>
          <t>Artillery Spider</t>
        </is>
      </c>
      <c r="C2" t="inlineStr">
        <is>
          <t>cabal_artilleryspider</t>
        </is>
      </c>
      <c r="D2" t="n">
        <v>50000</v>
      </c>
      <c r="E2" t="n">
        <v>70</v>
      </c>
      <c r="F2" t="n">
        <v>11.582</v>
      </c>
      <c r="G2" t="n">
        <v>48100</v>
      </c>
      <c r="H2" t="n">
        <v>1</v>
      </c>
      <c r="I2" t="n">
        <v>64</v>
      </c>
      <c r="J2" t="n">
        <v>751.5625</v>
      </c>
      <c r="K2" t="n">
        <v>1</v>
      </c>
      <c r="L2" t="n">
        <v>0.5</v>
      </c>
      <c r="M2" t="n">
        <v>0.9981410122716946</v>
      </c>
      <c r="O2">
        <f>(D2/100000+E2/100+F2*K2/5+J2/200)*200*L2*M2</f>
        <v/>
      </c>
      <c r="P2">
        <f>((D2*E2/25000)+(F2*K2*J2/2.5))*L2*M2</f>
        <v/>
      </c>
      <c r="Q2">
        <f>(D2*E2*F2*K2*J2*L2*M2)/12500000</f>
        <v/>
      </c>
      <c r="R2">
        <f>(O2+P2+Q2)/3</f>
        <v/>
      </c>
      <c r="S2" t="n">
        <v>1250</v>
      </c>
    </row>
    <row r="3">
      <c r="A3" t="inlineStr">
        <is>
          <t>TS</t>
        </is>
      </c>
      <c r="B3" t="inlineStr">
        <is>
          <t>Avatar</t>
        </is>
      </c>
      <c r="C3" t="inlineStr">
        <is>
          <t>cabal_avatar</t>
        </is>
      </c>
      <c r="D3" t="n">
        <v>80000</v>
      </c>
      <c r="E3" t="n">
        <v>70</v>
      </c>
      <c r="F3" t="n">
        <v>3</v>
      </c>
      <c r="G3" t="n">
        <v>32150</v>
      </c>
      <c r="H3" t="n">
        <v>1</v>
      </c>
      <c r="I3" t="n">
        <v>30</v>
      </c>
      <c r="J3" t="n">
        <v>1071.666666666667</v>
      </c>
      <c r="K3" t="n">
        <v>1</v>
      </c>
      <c r="L3" t="n">
        <v>1</v>
      </c>
      <c r="M3" t="n">
        <v>1.5195903334544</v>
      </c>
      <c r="O3">
        <f>(D3/100000+E3/100+F3*K3/5+J3/200)*200*L3*M3</f>
        <v/>
      </c>
      <c r="P3">
        <f>((D3*E3/25000)+(F3*K3*J3/2.5))*L3*M3</f>
        <v/>
      </c>
      <c r="Q3">
        <f>(D3*E3*F3*K3*J3*L3*M3)/12500000</f>
        <v/>
      </c>
      <c r="R3">
        <f>(O3+P3+Q3)/3</f>
        <v/>
      </c>
      <c r="S3" t="n">
        <v>2250</v>
      </c>
    </row>
    <row r="4">
      <c r="A4" t="inlineStr">
        <is>
          <t>TS</t>
        </is>
      </c>
      <c r="B4" t="inlineStr">
        <is>
          <t>Berserker</t>
        </is>
      </c>
      <c r="C4" t="inlineStr">
        <is>
          <t>cabal_berserker</t>
        </is>
      </c>
      <c r="D4" t="n">
        <v>250000</v>
      </c>
      <c r="E4" t="n">
        <v>80</v>
      </c>
      <c r="F4" t="n">
        <v>2.048</v>
      </c>
      <c r="G4" t="n">
        <v>25000</v>
      </c>
      <c r="H4" t="n">
        <v>1</v>
      </c>
      <c r="I4" t="n">
        <v>30</v>
      </c>
      <c r="J4" t="n">
        <v>833.3333333333334</v>
      </c>
      <c r="K4" t="n">
        <v>1</v>
      </c>
      <c r="L4" t="n">
        <v>1</v>
      </c>
      <c r="M4" t="n">
        <v>2.591306110414977</v>
      </c>
      <c r="O4">
        <f>(D4/100000+E4/100+F4*K4/5+J4/200)*200*L4*M4</f>
        <v/>
      </c>
      <c r="P4">
        <f>((D4*E4/25000)+(F4*K4*J4/2.5))*L4*M4</f>
        <v/>
      </c>
      <c r="Q4">
        <f>(D4*E4*F4*K4*J4*L4*M4)/12500000</f>
        <v/>
      </c>
      <c r="R4">
        <f>(O4+P4+Q4)/3</f>
        <v/>
      </c>
      <c r="S4" t="n">
        <v>5000</v>
      </c>
    </row>
    <row r="5">
      <c r="A5" t="inlineStr">
        <is>
          <t>TS</t>
        </is>
      </c>
      <c r="B5" t="inlineStr">
        <is>
          <t>Core Defender</t>
        </is>
      </c>
      <c r="C5" t="inlineStr">
        <is>
          <t>cabal_coredefender</t>
        </is>
      </c>
      <c r="D5" t="n">
        <v>1500000</v>
      </c>
      <c r="E5" t="n">
        <v>50</v>
      </c>
      <c r="F5" t="n">
        <v>6.332</v>
      </c>
      <c r="G5" t="n">
        <v>321250</v>
      </c>
      <c r="H5" t="n">
        <v>1</v>
      </c>
      <c r="I5" t="n">
        <v>70</v>
      </c>
      <c r="J5" t="n">
        <v>4589.285714285715</v>
      </c>
      <c r="K5" t="n">
        <v>1</v>
      </c>
      <c r="L5" t="n">
        <v>0.3</v>
      </c>
      <c r="M5" t="n">
        <v>0.6347676412373962</v>
      </c>
      <c r="O5">
        <f>(D5/100000+E5/100+F5*K5/5+J5/200)*200*L5*M5</f>
        <v/>
      </c>
      <c r="P5">
        <f>((D5*E5/25000)+(F5*K5*J5/2.5))*L5*M5</f>
        <v/>
      </c>
      <c r="Q5">
        <f>(D5*E5*F5*K5*J5*L5*M5)/12500000</f>
        <v/>
      </c>
      <c r="R5">
        <f>(O5+P5+Q5)/3</f>
        <v/>
      </c>
      <c r="S5" t="n">
        <v>12500</v>
      </c>
    </row>
    <row r="6">
      <c r="A6" t="inlineStr">
        <is>
          <t>TS</t>
        </is>
      </c>
      <c r="B6" t="inlineStr">
        <is>
          <t>Cyborg Commando</t>
        </is>
      </c>
      <c r="C6" t="inlineStr">
        <is>
          <t>cabal_cyborgcommando</t>
        </is>
      </c>
      <c r="D6" t="n">
        <v>250000</v>
      </c>
      <c r="E6" t="n">
        <v>40</v>
      </c>
      <c r="F6" t="n">
        <v>5.219</v>
      </c>
      <c r="G6" t="n">
        <v>200150</v>
      </c>
      <c r="H6" t="n">
        <v>1</v>
      </c>
      <c r="I6" t="n">
        <v>90</v>
      </c>
      <c r="J6" t="n">
        <v>2223.888888888889</v>
      </c>
      <c r="K6" t="n">
        <v>1</v>
      </c>
      <c r="L6" t="n">
        <v>1</v>
      </c>
      <c r="M6" t="n">
        <v>0.7582759969491243</v>
      </c>
      <c r="O6">
        <f>(D6/100000+E6/100+F6*K6/5+J6/200)*200*L6*M6</f>
        <v/>
      </c>
      <c r="P6">
        <f>((D6*E6/25000)+(F6*K6*J6/2.5))*L6*M6</f>
        <v/>
      </c>
      <c r="Q6">
        <f>(D6*E6*F6*K6*J6*L6*M6)/12500000</f>
        <v/>
      </c>
      <c r="R6">
        <f>(O6+P6+Q6)/3</f>
        <v/>
      </c>
      <c r="S6" t="n">
        <v>5000</v>
      </c>
    </row>
    <row r="7">
      <c r="A7" t="inlineStr">
        <is>
          <t>TS</t>
        </is>
      </c>
      <c r="B7" t="inlineStr">
        <is>
          <t>Cyborg Commando V2</t>
        </is>
      </c>
      <c r="C7" t="inlineStr">
        <is>
          <t>cabal_cyborgcommandov2</t>
        </is>
      </c>
      <c r="D7" t="n">
        <v>400000</v>
      </c>
      <c r="E7" t="n">
        <v>40</v>
      </c>
      <c r="F7" t="n">
        <v>6.264</v>
      </c>
      <c r="G7" t="n">
        <v>200150</v>
      </c>
      <c r="H7" t="n">
        <v>1</v>
      </c>
      <c r="I7" t="n">
        <v>90</v>
      </c>
      <c r="J7" t="n">
        <v>2223.888888888889</v>
      </c>
      <c r="K7" t="n">
        <v>1</v>
      </c>
      <c r="L7" t="n">
        <v>1</v>
      </c>
      <c r="M7" t="n">
        <v>0.9364661153956555</v>
      </c>
      <c r="O7">
        <f>(D7/100000+E7/100+F7*K7/5+J7/200)*200*L7*M7</f>
        <v/>
      </c>
      <c r="P7">
        <f>((D7*E7/25000)+(F7*K7*J7/2.5))*L7*M7</f>
        <v/>
      </c>
      <c r="Q7">
        <f>(D7*E7*F7*K7*J7*L7*M7)/12500000</f>
        <v/>
      </c>
      <c r="R7">
        <f>(O7+P7+Q7)/3</f>
        <v/>
      </c>
      <c r="S7" t="n">
        <v>10000</v>
      </c>
    </row>
    <row r="8">
      <c r="A8" t="inlineStr">
        <is>
          <t>TS</t>
        </is>
      </c>
      <c r="B8" t="inlineStr">
        <is>
          <t>Cyborg Infantry</t>
        </is>
      </c>
      <c r="C8" t="inlineStr">
        <is>
          <t>cabal_cyborginfantry</t>
        </is>
      </c>
      <c r="D8" t="n">
        <v>45000</v>
      </c>
      <c r="E8" t="n">
        <v>40</v>
      </c>
      <c r="F8" t="n">
        <v>6.231</v>
      </c>
      <c r="G8" t="n">
        <v>20025</v>
      </c>
      <c r="H8" t="n">
        <v>1</v>
      </c>
      <c r="I8" t="n">
        <v>60</v>
      </c>
      <c r="J8" t="n">
        <v>333.75</v>
      </c>
      <c r="K8" t="n">
        <v>1</v>
      </c>
      <c r="L8" t="n">
        <v>0.8</v>
      </c>
      <c r="M8" t="n">
        <v>0.9061666489037866</v>
      </c>
      <c r="O8">
        <f>(D8/100000+E8/100+F8*K8/5+J8/200)*200*L8*M8</f>
        <v/>
      </c>
      <c r="P8">
        <f>((D8*E8/25000)+(F8*K8*J8/2.5))*L8*M8</f>
        <v/>
      </c>
      <c r="Q8">
        <f>(D8*E8*F8*K8*J8*L8*M8)/12500000</f>
        <v/>
      </c>
      <c r="R8">
        <f>(O8+P8+Q8)/3</f>
        <v/>
      </c>
      <c r="S8" t="n">
        <v>500</v>
      </c>
    </row>
    <row r="9">
      <c r="A9" t="inlineStr">
        <is>
          <t>TS</t>
        </is>
      </c>
      <c r="B9" t="inlineStr">
        <is>
          <t>Cyborg Reaper</t>
        </is>
      </c>
      <c r="C9" t="inlineStr">
        <is>
          <t>cabal_cyborgreaper</t>
        </is>
      </c>
      <c r="D9" t="n">
        <v>70000</v>
      </c>
      <c r="E9" t="n">
        <v>65</v>
      </c>
      <c r="F9" t="n">
        <v>5.153</v>
      </c>
      <c r="G9" t="n">
        <v>64800</v>
      </c>
      <c r="H9" t="n">
        <v>1</v>
      </c>
      <c r="I9" t="n">
        <v>36</v>
      </c>
      <c r="J9" t="n">
        <v>1800</v>
      </c>
      <c r="K9" t="n">
        <v>1</v>
      </c>
      <c r="L9" t="n">
        <v>1.25</v>
      </c>
      <c r="M9" t="n">
        <v>0.2765983465956653</v>
      </c>
      <c r="O9">
        <f>(D9/100000+E9/100+F9*K9/5+J9/200)*200*L9*M9</f>
        <v/>
      </c>
      <c r="P9">
        <f>((D9*E9/25000)+(F9*K9*J9/2.5))*L9*M9</f>
        <v/>
      </c>
      <c r="Q9">
        <f>(D9*E9*F9*K9*J9*L9*M9)/12500000</f>
        <v/>
      </c>
      <c r="R9">
        <f>(O9+P9+Q9)/3</f>
        <v/>
      </c>
      <c r="S9" t="n">
        <v>1100</v>
      </c>
    </row>
    <row r="10">
      <c r="A10" t="inlineStr">
        <is>
          <t>TS</t>
        </is>
      </c>
      <c r="B10" t="inlineStr">
        <is>
          <t>Devout</t>
        </is>
      </c>
      <c r="C10" t="inlineStr">
        <is>
          <t>cabal_devout</t>
        </is>
      </c>
      <c r="D10" t="n">
        <v>60000</v>
      </c>
      <c r="E10" t="n">
        <v>40</v>
      </c>
      <c r="F10" t="n">
        <v>6.359</v>
      </c>
      <c r="G10" t="n">
        <v>48050</v>
      </c>
      <c r="H10" t="n">
        <v>1</v>
      </c>
      <c r="I10" t="n">
        <v>48</v>
      </c>
      <c r="J10" t="n">
        <v>1001.041666666667</v>
      </c>
      <c r="K10" t="n">
        <v>1</v>
      </c>
      <c r="L10" t="n">
        <v>0.8</v>
      </c>
      <c r="M10" t="n">
        <v>0.529156431164421</v>
      </c>
      <c r="O10">
        <f>(D10/100000+E10/100+F10*K10/5+J10/200)*200*L10*M10</f>
        <v/>
      </c>
      <c r="P10">
        <f>((D10*E10/25000)+(F10*K10*J10/2.5))*L10*M10</f>
        <v/>
      </c>
      <c r="Q10">
        <f>(D10*E10*F10*K10*J10*L10*M10)/12500000</f>
        <v/>
      </c>
      <c r="R10">
        <f>(O10+P10+Q10)/3</f>
        <v/>
      </c>
      <c r="S10" t="n">
        <v>800</v>
      </c>
    </row>
    <row r="11">
      <c r="A11" t="inlineStr">
        <is>
          <t>TS</t>
        </is>
      </c>
      <c r="B11" t="inlineStr">
        <is>
          <t>Dissolver</t>
        </is>
      </c>
      <c r="C11" t="inlineStr">
        <is>
          <t>cabal_dissolver</t>
        </is>
      </c>
      <c r="D11" t="n">
        <v>50000</v>
      </c>
      <c r="E11" t="n">
        <v>40</v>
      </c>
      <c r="F11" t="n">
        <v>5.142</v>
      </c>
      <c r="G11" t="n">
        <v>4100</v>
      </c>
      <c r="H11" t="n">
        <v>1</v>
      </c>
      <c r="I11" t="n">
        <v>4</v>
      </c>
      <c r="J11" t="n">
        <v>1025</v>
      </c>
      <c r="K11" t="n">
        <v>1</v>
      </c>
      <c r="L11" t="n">
        <v>0.8</v>
      </c>
      <c r="M11" t="n">
        <v>0.5793190297911149</v>
      </c>
      <c r="O11">
        <f>(D11/100000+E11/100+F11*K11/5+J11/200)*200*L11*M11</f>
        <v/>
      </c>
      <c r="P11">
        <f>((D11*E11/25000)+(F11*K11*J11/2.5))*L11*M11</f>
        <v/>
      </c>
      <c r="Q11">
        <f>(D11*E11*F11*K11*J11*L11*M11)/12500000</f>
        <v/>
      </c>
      <c r="R11">
        <f>(O11+P11+Q11)/3</f>
        <v/>
      </c>
      <c r="S11" t="n">
        <v>725</v>
      </c>
    </row>
    <row r="12">
      <c r="A12" t="inlineStr">
        <is>
          <t>TS</t>
        </is>
      </c>
      <c r="B12" t="inlineStr">
        <is>
          <t>Eliminator 800</t>
        </is>
      </c>
      <c r="C12" t="inlineStr">
        <is>
          <t>cabal_eliminator800</t>
        </is>
      </c>
      <c r="D12" t="n">
        <v>85000</v>
      </c>
      <c r="E12" t="n">
        <v>40</v>
      </c>
      <c r="F12" t="n">
        <v>6.167</v>
      </c>
      <c r="G12" t="n">
        <v>32025</v>
      </c>
      <c r="H12" t="n">
        <v>1</v>
      </c>
      <c r="I12" t="n">
        <v>32</v>
      </c>
      <c r="J12" t="n">
        <v>1000.78125</v>
      </c>
      <c r="K12" t="n">
        <v>1</v>
      </c>
      <c r="L12" t="n">
        <v>0.8</v>
      </c>
      <c r="M12" t="n">
        <v>0.7494476215041894</v>
      </c>
      <c r="O12">
        <f>(D12/100000+E12/100+F12*K12/5+J12/200)*200*L12*M12</f>
        <v/>
      </c>
      <c r="P12">
        <f>((D12*E12/25000)+(F12*K12*J12/2.5))*L12*M12</f>
        <v/>
      </c>
      <c r="Q12">
        <f>(D12*E12*F12*K12*J12*L12*M12)/12500000</f>
        <v/>
      </c>
      <c r="R12">
        <f>(O12+P12+Q12)/3</f>
        <v/>
      </c>
      <c r="S12" t="n">
        <v>1250</v>
      </c>
    </row>
    <row r="13">
      <c r="A13" t="inlineStr">
        <is>
          <t>TS</t>
        </is>
      </c>
      <c r="B13" t="inlineStr">
        <is>
          <t>Hunter Killer MK1</t>
        </is>
      </c>
      <c r="C13" t="inlineStr">
        <is>
          <t>cabal_hunterkillermk1</t>
        </is>
      </c>
      <c r="D13" t="n">
        <v>35000</v>
      </c>
      <c r="E13" t="n">
        <v>160</v>
      </c>
      <c r="F13" t="n">
        <v>5.318</v>
      </c>
      <c r="G13" t="n">
        <v>16625</v>
      </c>
      <c r="H13" t="n">
        <v>1</v>
      </c>
      <c r="I13" t="n">
        <v>24</v>
      </c>
      <c r="J13" t="n">
        <v>692.7083333333334</v>
      </c>
      <c r="K13" t="n">
        <v>1</v>
      </c>
      <c r="L13" t="n">
        <v>1</v>
      </c>
      <c r="M13" t="n">
        <v>0.9691362063866722</v>
      </c>
      <c r="O13">
        <f>(D13/100000+E13/100+F13*K13/5+J13/200)*200*L13*M13</f>
        <v/>
      </c>
      <c r="P13">
        <f>((D13*E13/25000)+(F13*K13*J13/2.5))*L13*M13</f>
        <v/>
      </c>
      <c r="Q13">
        <f>(D13*E13*F13*K13*J13*L13*M13)/12500000</f>
        <v/>
      </c>
      <c r="R13">
        <f>(O13+P13+Q13)/3</f>
        <v/>
      </c>
      <c r="S13" t="n">
        <v>1500</v>
      </c>
    </row>
    <row r="14">
      <c r="A14" t="inlineStr">
        <is>
          <t>TS</t>
        </is>
      </c>
      <c r="B14" t="inlineStr">
        <is>
          <t>Hunter Killer MK2</t>
        </is>
      </c>
      <c r="C14" t="inlineStr">
        <is>
          <t>cabal_hunterkillermk2</t>
        </is>
      </c>
      <c r="D14" t="n">
        <v>300000</v>
      </c>
      <c r="E14" t="n">
        <v>50</v>
      </c>
      <c r="F14" t="n">
        <v>6.17</v>
      </c>
      <c r="G14" t="n">
        <v>20625</v>
      </c>
      <c r="H14" t="n">
        <v>1</v>
      </c>
      <c r="I14" t="n">
        <v>26</v>
      </c>
      <c r="J14" t="n">
        <v>793.2692307692307</v>
      </c>
      <c r="K14" t="n">
        <v>1</v>
      </c>
      <c r="L14" t="n">
        <v>0.5</v>
      </c>
      <c r="M14" t="n">
        <v>1.769698674767954</v>
      </c>
      <c r="O14">
        <f>(D14/100000+E14/100+F14*K14/5+J14/200)*200*L14*M14</f>
        <v/>
      </c>
      <c r="P14">
        <f>((D14*E14/25000)+(F14*K14*J14/2.5))*L14*M14</f>
        <v/>
      </c>
      <c r="Q14">
        <f>(D14*E14*F14*K14*J14*L14*M14)/12500000</f>
        <v/>
      </c>
      <c r="R14">
        <f>(O14+P14+Q14)/3</f>
        <v/>
      </c>
      <c r="S14" t="n">
        <v>3000</v>
      </c>
    </row>
    <row r="15">
      <c r="A15" t="inlineStr">
        <is>
          <t>TS</t>
        </is>
      </c>
      <c r="B15" t="inlineStr">
        <is>
          <t>Laser Spider</t>
        </is>
      </c>
      <c r="C15" t="inlineStr">
        <is>
          <t>cabal_laserspider</t>
        </is>
      </c>
      <c r="D15" t="n">
        <v>40000</v>
      </c>
      <c r="E15" t="n">
        <v>70</v>
      </c>
      <c r="F15" t="n">
        <v>6.147</v>
      </c>
      <c r="G15" t="n">
        <v>44625</v>
      </c>
      <c r="H15" t="n">
        <v>1</v>
      </c>
      <c r="I15" t="n">
        <v>90</v>
      </c>
      <c r="J15" t="n">
        <v>495.8333333333333</v>
      </c>
      <c r="K15" t="n">
        <v>1</v>
      </c>
      <c r="L15" t="n">
        <v>1</v>
      </c>
      <c r="M15" t="n">
        <v>1.209842010988637</v>
      </c>
      <c r="O15">
        <f>(D15/100000+E15/100+F15*K15/5+J15/200)*200*L15*M15</f>
        <v/>
      </c>
      <c r="P15">
        <f>((D15*E15/25000)+(F15*K15*J15/2.5))*L15*M15</f>
        <v/>
      </c>
      <c r="Q15">
        <f>(D15*E15*F15*K15*J15*L15*M15)/12500000</f>
        <v/>
      </c>
      <c r="R15">
        <f>(O15+P15+Q15)/3</f>
        <v/>
      </c>
      <c r="S15" t="n">
        <v>1200</v>
      </c>
    </row>
    <row r="16">
      <c r="A16" t="inlineStr">
        <is>
          <t>TS</t>
        </is>
      </c>
      <c r="B16" t="inlineStr">
        <is>
          <t>Legion</t>
        </is>
      </c>
      <c r="C16" t="inlineStr">
        <is>
          <t>cabal_legion</t>
        </is>
      </c>
      <c r="D16" t="n">
        <v>120000</v>
      </c>
      <c r="E16" t="n">
        <v>60</v>
      </c>
      <c r="F16" t="n">
        <v>7.082</v>
      </c>
      <c r="G16" t="n">
        <v>12625</v>
      </c>
      <c r="H16" t="n">
        <v>1</v>
      </c>
      <c r="I16" t="n">
        <v>40</v>
      </c>
      <c r="J16" t="n">
        <v>315.625</v>
      </c>
      <c r="K16" t="n">
        <v>1</v>
      </c>
      <c r="L16" t="n">
        <v>1</v>
      </c>
      <c r="M16" t="n">
        <v>3.062550315149553</v>
      </c>
      <c r="O16">
        <f>(D16/100000+E16/100+F16*K16/5+J16/200)*200*L16*M16</f>
        <v/>
      </c>
      <c r="P16">
        <f>((D16*E16/25000)+(F16*K16*J16/2.5))*L16*M16</f>
        <v/>
      </c>
      <c r="Q16">
        <f>(D16*E16*F16*K16*J16*L16*M16)/12500000</f>
        <v/>
      </c>
      <c r="R16">
        <f>(O16+P16+Q16)/3</f>
        <v/>
      </c>
      <c r="S16" t="n">
        <v>3500</v>
      </c>
    </row>
    <row r="17">
      <c r="A17" t="inlineStr">
        <is>
          <t>TS</t>
        </is>
      </c>
      <c r="B17" t="inlineStr">
        <is>
          <t>Manticore</t>
        </is>
      </c>
      <c r="C17" t="inlineStr">
        <is>
          <t>cabal_manticore</t>
        </is>
      </c>
      <c r="D17" t="n">
        <v>100000</v>
      </c>
      <c r="E17" t="n">
        <v>65</v>
      </c>
      <c r="F17" t="n">
        <v>5.358</v>
      </c>
      <c r="G17" t="n">
        <v>33600</v>
      </c>
      <c r="H17" t="n">
        <v>1</v>
      </c>
      <c r="I17" t="n">
        <v>33</v>
      </c>
      <c r="J17" t="n">
        <v>1018.181818181818</v>
      </c>
      <c r="K17" t="n">
        <v>1</v>
      </c>
      <c r="L17" t="n">
        <v>1.25</v>
      </c>
      <c r="M17" t="n">
        <v>0.491121334183193</v>
      </c>
      <c r="O17">
        <f>(D17/100000+E17/100+F17*K17/5+J17/200)*200*L17*M17</f>
        <v/>
      </c>
      <c r="P17">
        <f>((D17*E17/25000)+(F17*K17*J17/2.5))*L17*M17</f>
        <v/>
      </c>
      <c r="Q17">
        <f>(D17*E17*F17*K17*J17*L17*M17)/12500000</f>
        <v/>
      </c>
      <c r="R17">
        <f>(O17+P17+Q17)/3</f>
        <v/>
      </c>
      <c r="S17" t="n">
        <v>1400</v>
      </c>
    </row>
    <row r="18">
      <c r="A18" t="inlineStr">
        <is>
          <t>TS</t>
        </is>
      </c>
      <c r="B18" t="inlineStr">
        <is>
          <t>Mantis</t>
        </is>
      </c>
      <c r="C18" t="inlineStr">
        <is>
          <t>cabal_mantis</t>
        </is>
      </c>
      <c r="D18" t="n">
        <v>35000</v>
      </c>
      <c r="E18" t="n">
        <v>120</v>
      </c>
      <c r="F18" t="n">
        <v>7.082</v>
      </c>
      <c r="G18" t="n">
        <v>12625</v>
      </c>
      <c r="H18" t="n">
        <v>1</v>
      </c>
      <c r="I18" t="n">
        <v>40</v>
      </c>
      <c r="J18" t="n">
        <v>315.625</v>
      </c>
      <c r="K18" t="n">
        <v>1</v>
      </c>
      <c r="L18" t="n">
        <v>1</v>
      </c>
      <c r="M18" t="n">
        <v>0.5510545420560418</v>
      </c>
      <c r="O18">
        <f>(D18/100000+E18/100+F18*K18/5+J18/200)*200*L18*M18</f>
        <v/>
      </c>
      <c r="P18">
        <f>((D18*E18/25000)+(F18*K18*J18/2.5))*L18*M18</f>
        <v/>
      </c>
      <c r="Q18">
        <f>(D18*E18*F18*K18*J18*L18*M18)/12500000</f>
        <v/>
      </c>
      <c r="R18">
        <f>(O18+P18+Q18)/3</f>
        <v/>
      </c>
      <c r="S18" t="n">
        <v>500</v>
      </c>
    </row>
    <row r="19">
      <c r="A19" t="inlineStr">
        <is>
          <t>TS</t>
        </is>
      </c>
      <c r="B19" t="inlineStr">
        <is>
          <t>Mothership</t>
        </is>
      </c>
      <c r="C19" t="inlineStr">
        <is>
          <t>cabal_mothership</t>
        </is>
      </c>
      <c r="D19" t="n">
        <v>500000</v>
      </c>
      <c r="E19" t="n">
        <v>50</v>
      </c>
      <c r="F19" t="n">
        <v>6.17</v>
      </c>
      <c r="G19" t="n">
        <v>20625</v>
      </c>
      <c r="H19" t="n">
        <v>1</v>
      </c>
      <c r="I19" t="n">
        <v>26</v>
      </c>
      <c r="J19" t="n">
        <v>793.2692307692307</v>
      </c>
      <c r="K19" t="n">
        <v>1</v>
      </c>
      <c r="L19" t="n">
        <v>0.5</v>
      </c>
      <c r="M19" t="n">
        <v>4.030416207647043</v>
      </c>
      <c r="O19">
        <f>(D19/100000+E19/100+F19*K19/5+J19/200)*200*L19*M19</f>
        <v/>
      </c>
      <c r="P19">
        <f>((D19*E19/25000)+(F19*K19*J19/2.5))*L19*M19</f>
        <v/>
      </c>
      <c r="Q19">
        <f>(D19*E19*F19*K19*J19*L19*M19)/12500000</f>
        <v/>
      </c>
      <c r="R19">
        <f>(O19+P19+Q19)/3</f>
        <v/>
      </c>
      <c r="S19" t="n">
        <v>10000</v>
      </c>
    </row>
    <row r="20">
      <c r="A20" t="inlineStr">
        <is>
          <t>TS</t>
        </is>
      </c>
      <c r="B20" t="inlineStr">
        <is>
          <t>Overkill Carryall</t>
        </is>
      </c>
      <c r="C20" t="inlineStr">
        <is>
          <t>cabal_overkillcarryall</t>
        </is>
      </c>
      <c r="D20" t="n">
        <v>47500</v>
      </c>
      <c r="E20" t="n">
        <v>149</v>
      </c>
      <c r="F20" t="n">
        <v>4.882</v>
      </c>
      <c r="G20" t="n">
        <v>43125</v>
      </c>
      <c r="H20" t="n">
        <v>1</v>
      </c>
      <c r="I20" t="n">
        <v>44</v>
      </c>
      <c r="J20" t="n">
        <v>980.1136363636364</v>
      </c>
      <c r="K20" t="n">
        <v>1</v>
      </c>
      <c r="L20" t="n">
        <v>1</v>
      </c>
      <c r="M20" t="n">
        <v>0.8108510979291119</v>
      </c>
      <c r="O20">
        <f>(D20/100000+E20/100+F20*K20/5+J20/200)*200*L20*M20</f>
        <v/>
      </c>
      <c r="P20">
        <f>((D20*E20/25000)+(F20*K20*J20/2.5))*L20*M20</f>
        <v/>
      </c>
      <c r="Q20">
        <f>(D20*E20*F20*K20*J20*L20*M20)/12500000</f>
        <v/>
      </c>
      <c r="R20">
        <f>(O20+P20+Q20)/3</f>
        <v/>
      </c>
      <c r="S20" t="n">
        <v>1750</v>
      </c>
    </row>
    <row r="21">
      <c r="A21" t="inlineStr">
        <is>
          <t>TS</t>
        </is>
      </c>
      <c r="B21" t="inlineStr">
        <is>
          <t>Ravager</t>
        </is>
      </c>
      <c r="C21" t="inlineStr">
        <is>
          <t>cabal_ravager</t>
        </is>
      </c>
      <c r="D21" t="n">
        <v>70000</v>
      </c>
      <c r="E21" t="n">
        <v>40</v>
      </c>
      <c r="F21" t="n">
        <v>3</v>
      </c>
      <c r="G21" t="n">
        <v>32150</v>
      </c>
      <c r="H21" t="n">
        <v>1</v>
      </c>
      <c r="I21" t="n">
        <v>30</v>
      </c>
      <c r="J21" t="n">
        <v>1071.666666666667</v>
      </c>
      <c r="K21" t="n">
        <v>1</v>
      </c>
      <c r="L21" t="n">
        <v>0.8</v>
      </c>
      <c r="M21" t="n">
        <v>1.411222206239985</v>
      </c>
      <c r="O21">
        <f>(D21/100000+E21/100+F21*K21/5+J21/200)*200*L21*M21</f>
        <v/>
      </c>
      <c r="P21">
        <f>((D21*E21/25000)+(F21*K21*J21/2.5))*L21*M21</f>
        <v/>
      </c>
      <c r="Q21">
        <f>(D21*E21*F21*K21*J21*L21*M21)/12500000</f>
        <v/>
      </c>
      <c r="R21">
        <f>(O21+P21+Q21)/3</f>
        <v/>
      </c>
      <c r="S21" t="n">
        <v>1500</v>
      </c>
    </row>
    <row r="22">
      <c r="A22" t="inlineStr">
        <is>
          <t>TS</t>
        </is>
      </c>
      <c r="B22" t="inlineStr">
        <is>
          <t>Rocket Cyborg</t>
        </is>
      </c>
      <c r="C22" t="inlineStr">
        <is>
          <t>cabal_rocketcyborg</t>
        </is>
      </c>
      <c r="D22" t="n">
        <v>45000</v>
      </c>
      <c r="E22" t="n">
        <v>40</v>
      </c>
      <c r="F22" t="n">
        <v>7.438</v>
      </c>
      <c r="G22" t="n">
        <v>12150</v>
      </c>
      <c r="H22" t="n">
        <v>1</v>
      </c>
      <c r="I22" t="n">
        <v>52</v>
      </c>
      <c r="J22" t="n">
        <v>233.6538461538462</v>
      </c>
      <c r="K22" t="n">
        <v>1</v>
      </c>
      <c r="L22" t="n">
        <v>0.7</v>
      </c>
      <c r="M22" t="n">
        <v>1.531314054024959</v>
      </c>
      <c r="O22">
        <f>(D22/100000+E22/100+F22*K22/5+J22/200)*200*L22*M22</f>
        <v/>
      </c>
      <c r="P22">
        <f>((D22*E22/25000)+(F22*K22*J22/2.5))*L22*M22</f>
        <v/>
      </c>
      <c r="Q22">
        <f>(D22*E22*F22*K22*J22*L22*M22)/12500000</f>
        <v/>
      </c>
      <c r="R22">
        <f>(O22+P22+Q22)/3</f>
        <v/>
      </c>
      <c r="S22" t="n">
        <v>650</v>
      </c>
    </row>
    <row r="23">
      <c r="A23" t="inlineStr">
        <is>
          <t>TS</t>
        </is>
      </c>
      <c r="B23" t="inlineStr">
        <is>
          <t>Spider CNC4</t>
        </is>
      </c>
      <c r="C23" t="inlineStr">
        <is>
          <t>cabal_spidercnc4</t>
        </is>
      </c>
      <c r="D23" t="n">
        <v>40000</v>
      </c>
      <c r="E23" t="n">
        <v>70</v>
      </c>
      <c r="F23" t="n">
        <v>6.147</v>
      </c>
      <c r="G23" t="n">
        <v>44625</v>
      </c>
      <c r="H23" t="n">
        <v>1</v>
      </c>
      <c r="I23" t="n">
        <v>90</v>
      </c>
      <c r="J23" t="n">
        <v>495.8333333333333</v>
      </c>
      <c r="K23" t="n">
        <v>1</v>
      </c>
      <c r="L23" t="n">
        <v>1</v>
      </c>
      <c r="M23" t="n">
        <v>1.512302513735795</v>
      </c>
      <c r="O23">
        <f>(D23/100000+E23/100+F23*K23/5+J23/200)*200*L23*M23</f>
        <v/>
      </c>
      <c r="P23">
        <f>((D23*E23/25000)+(F23*K23*J23/2.5))*L23*M23</f>
        <v/>
      </c>
      <c r="Q23">
        <f>(D23*E23*F23*K23*J23*L23*M23)/12500000</f>
        <v/>
      </c>
      <c r="R23">
        <f>(O23+P23+Q23)/3</f>
        <v/>
      </c>
      <c r="S23" t="n">
        <v>1500</v>
      </c>
    </row>
    <row r="24">
      <c r="A24" t="inlineStr">
        <is>
          <t>TS</t>
        </is>
      </c>
      <c r="B24" t="inlineStr">
        <is>
          <t>Tarantula</t>
        </is>
      </c>
      <c r="C24" t="inlineStr">
        <is>
          <t>cabal_tarantula</t>
        </is>
      </c>
      <c r="D24" t="n">
        <v>110000</v>
      </c>
      <c r="E24" t="n">
        <v>70</v>
      </c>
      <c r="F24" t="n">
        <v>5.278</v>
      </c>
      <c r="G24" t="n">
        <v>16150</v>
      </c>
      <c r="H24" t="n">
        <v>1</v>
      </c>
      <c r="I24" t="n">
        <v>48</v>
      </c>
      <c r="J24" t="n">
        <v>336.4583333333333</v>
      </c>
      <c r="K24" t="n">
        <v>1</v>
      </c>
      <c r="L24" t="n">
        <v>1</v>
      </c>
      <c r="M24" t="n">
        <v>0.9934371390149538</v>
      </c>
      <c r="O24">
        <f>(D24/100000+E24/100+F24*K24/5+J24/200)*200*L24*M24</f>
        <v/>
      </c>
      <c r="P24">
        <f>((D24*E24/25000)+(F24*K24*J24/2.5))*L24*M24</f>
        <v/>
      </c>
      <c r="Q24">
        <f>(D24*E24*F24*K24*J24*L24*M24)/12500000</f>
        <v/>
      </c>
      <c r="R24">
        <f>(O24+P24+Q24)/3</f>
        <v/>
      </c>
      <c r="S24" t="n">
        <v>1000</v>
      </c>
    </row>
    <row r="25">
      <c r="A25" t="inlineStr">
        <is>
          <t>TS</t>
        </is>
      </c>
      <c r="B25" t="inlineStr">
        <is>
          <t>Wasp</t>
        </is>
      </c>
      <c r="C25" t="inlineStr">
        <is>
          <t>cabal_wasp</t>
        </is>
      </c>
      <c r="D25" t="n">
        <v>25000</v>
      </c>
      <c r="E25" t="n">
        <v>140</v>
      </c>
      <c r="F25" t="n">
        <v>4.6</v>
      </c>
      <c r="G25" t="n">
        <v>76400</v>
      </c>
      <c r="H25" t="n">
        <v>1</v>
      </c>
      <c r="I25" t="n">
        <v>40</v>
      </c>
      <c r="J25" t="n">
        <v>1910</v>
      </c>
      <c r="K25" t="n">
        <v>1</v>
      </c>
      <c r="L25" t="n">
        <v>1</v>
      </c>
      <c r="M25" t="n">
        <v>0.2108103550046379</v>
      </c>
      <c r="O25">
        <f>(D25/100000+E25/100+F25*K25/5+J25/200)*200*L25*M25</f>
        <v/>
      </c>
      <c r="P25">
        <f>((D25*E25/25000)+(F25*K25*J25/2.5))*L25*M25</f>
        <v/>
      </c>
      <c r="Q25">
        <f>(D25*E25*F25*K25*J25*L25*M25)/12500000</f>
        <v/>
      </c>
      <c r="R25">
        <f>(O25+P25+Q25)/3</f>
        <v/>
      </c>
      <c r="S25" t="n">
        <v>600</v>
      </c>
    </row>
    <row r="26">
      <c r="A26" t="inlineStr">
        <is>
          <t>TS</t>
        </is>
      </c>
      <c r="B26" t="inlineStr">
        <is>
          <t>Wasp Striker</t>
        </is>
      </c>
      <c r="C26" t="inlineStr">
        <is>
          <t>cabal_wasp_striker</t>
        </is>
      </c>
      <c r="D26" t="n">
        <v>30000</v>
      </c>
      <c r="E26" t="n">
        <v>150</v>
      </c>
      <c r="F26" t="n">
        <v>5</v>
      </c>
      <c r="G26" t="n">
        <v>85000</v>
      </c>
      <c r="H26" t="n">
        <v>1</v>
      </c>
      <c r="I26" t="n">
        <v>36</v>
      </c>
      <c r="J26">
        <f>G26/I26</f>
        <v/>
      </c>
      <c r="K26" t="n">
        <v>1</v>
      </c>
      <c r="L26" t="n">
        <v>1</v>
      </c>
      <c r="M26" t="n">
        <v>0.2484815019326339</v>
      </c>
      <c r="O26">
        <f>(D26/100000+E26/100+F26*K26/5+J26/200)*200*L26*M26</f>
        <v/>
      </c>
      <c r="P26">
        <f>((D26*E26/25000)+(F26*K26*J26/2.5))*L26*M26</f>
        <v/>
      </c>
      <c r="Q26">
        <f>(D26*E26*F26*K26*J26*L26*M26)/12500000</f>
        <v/>
      </c>
      <c r="R26">
        <f>(O26+P26+Q26)/3</f>
        <v/>
      </c>
      <c r="S26" t="n">
        <v>1000</v>
      </c>
    </row>
    <row r="27">
      <c r="A27" t="inlineStr">
        <is>
          <t>TS</t>
        </is>
      </c>
      <c r="B27" t="inlineStr">
        <is>
          <t>Mothership Omega</t>
        </is>
      </c>
      <c r="C27" t="inlineStr">
        <is>
          <t>cabal_mothership_omega</t>
        </is>
      </c>
      <c r="D27" t="n">
        <v>600000</v>
      </c>
      <c r="E27" t="n">
        <v>55</v>
      </c>
      <c r="F27" t="n">
        <v>7</v>
      </c>
      <c r="G27" t="n">
        <v>25000</v>
      </c>
      <c r="H27" t="n">
        <v>1</v>
      </c>
      <c r="I27" t="n">
        <v>24</v>
      </c>
      <c r="J27">
        <f>G27/I27</f>
        <v/>
      </c>
      <c r="K27" t="n">
        <v>1</v>
      </c>
      <c r="L27" t="n">
        <v>0.5</v>
      </c>
      <c r="M27" t="n">
        <v>1.722927700848701</v>
      </c>
      <c r="O27">
        <f>(D27/100000+E27/100+F27*K27/5+J27/200)*200*L27*M27</f>
        <v/>
      </c>
      <c r="P27">
        <f>((D27*E27/25000)+(F27*K27*J27/2.5))*L27*M27</f>
        <v/>
      </c>
      <c r="Q27">
        <f>(D27*E27*F27*K27*J27*L27*M27)/12500000</f>
        <v/>
      </c>
      <c r="R27">
        <f>(O27+P27+Q27)/3</f>
        <v/>
      </c>
      <c r="S27" t="n">
        <v>7500</v>
      </c>
    </row>
    <row r="28">
      <c r="A28" t="inlineStr">
        <is>
          <t>TS</t>
        </is>
      </c>
      <c r="B28" t="inlineStr">
        <is>
          <t>Hunter Killer MK1 Elite</t>
        </is>
      </c>
      <c r="C28" t="inlineStr">
        <is>
          <t>cabal_hunterkillermk1_elite</t>
        </is>
      </c>
      <c r="D28" t="n">
        <v>35000</v>
      </c>
      <c r="E28" t="n">
        <v>160</v>
      </c>
      <c r="F28" t="n">
        <v>5.318</v>
      </c>
      <c r="G28" t="n">
        <v>16625</v>
      </c>
      <c r="H28" t="n">
        <v>1</v>
      </c>
      <c r="I28" t="n">
        <v>24</v>
      </c>
      <c r="J28" t="n">
        <v>692.7083333333334</v>
      </c>
      <c r="K28" t="n">
        <v>1</v>
      </c>
      <c r="L28" t="n">
        <v>1</v>
      </c>
      <c r="M28" t="n">
        <v>1.453704309580008</v>
      </c>
      <c r="O28">
        <f>(D28/100000+E28/100+F28*K28/5+J28/200)*200*L28*M28</f>
        <v/>
      </c>
      <c r="P28">
        <f>((D28*E28/25000)+(F28*K28*J28/2.5))*L28*M28</f>
        <v/>
      </c>
      <c r="Q28">
        <f>(D28*E28*F28*K28*J28*L28*M28)/12500000</f>
        <v/>
      </c>
      <c r="R28">
        <f>(O28+P28+Q28)/3</f>
        <v/>
      </c>
      <c r="S28" t="n">
        <v>2250</v>
      </c>
    </row>
    <row r="29">
      <c r="A29" t="inlineStr">
        <is>
          <t>TS</t>
        </is>
      </c>
      <c r="B29" t="inlineStr">
        <is>
          <t>Hunter Killer MK2 Omega</t>
        </is>
      </c>
      <c r="C29" t="inlineStr">
        <is>
          <t>cabal_hunterkillermk2_omega</t>
        </is>
      </c>
      <c r="D29" t="n">
        <v>300000</v>
      </c>
      <c r="E29" t="n">
        <v>50</v>
      </c>
      <c r="F29" t="n">
        <v>6.17</v>
      </c>
      <c r="G29" t="n">
        <v>20625</v>
      </c>
      <c r="H29" t="n">
        <v>1</v>
      </c>
      <c r="I29" t="n">
        <v>26</v>
      </c>
      <c r="J29" t="n">
        <v>793.2692307692307</v>
      </c>
      <c r="K29" t="n">
        <v>1</v>
      </c>
      <c r="L29" t="n">
        <v>0.5</v>
      </c>
      <c r="M29" t="n">
        <v>2.654548012151931</v>
      </c>
      <c r="O29">
        <f>(D29/100000+E29/100+F29*K29/5+J29/200)*200*L29*M29</f>
        <v/>
      </c>
      <c r="P29">
        <f>((D29*E29/25000)+(F29*K29*J29/2.5))*L29*M29</f>
        <v/>
      </c>
      <c r="Q29">
        <f>(D29*E29*F29*K29*J29*L29*M29)/12500000</f>
        <v/>
      </c>
      <c r="R29">
        <f>(O29+P29+Q29)/3</f>
        <v/>
      </c>
      <c r="S29" t="n">
        <v>4500</v>
      </c>
    </row>
    <row r="30">
      <c r="A30" t="inlineStr">
        <is>
          <t>TS</t>
        </is>
      </c>
      <c r="B30" t="inlineStr">
        <is>
          <t>Heavy Reaper</t>
        </is>
      </c>
      <c r="C30" t="inlineStr">
        <is>
          <t>cabal_heavyreaper</t>
        </is>
      </c>
      <c r="D30" t="n">
        <v>70000</v>
      </c>
      <c r="E30" t="n">
        <v>65</v>
      </c>
      <c r="F30" t="n">
        <v>5.153</v>
      </c>
      <c r="G30" t="n">
        <v>64800</v>
      </c>
      <c r="H30" t="n">
        <v>1</v>
      </c>
      <c r="I30" t="n">
        <v>36</v>
      </c>
      <c r="J30" t="n">
        <v>1800</v>
      </c>
      <c r="K30" t="n">
        <v>1</v>
      </c>
      <c r="L30" t="n">
        <v>1.25</v>
      </c>
      <c r="M30" t="n">
        <v>0.352034259303574</v>
      </c>
      <c r="O30">
        <f>(D30/100000+E30/100+F30*K30/5+J30/200)*200*L30*M30</f>
        <v/>
      </c>
      <c r="P30">
        <f>((D30*E30/25000)+(F30*K30*J30/2.5))*L30*M30</f>
        <v/>
      </c>
      <c r="Q30">
        <f>(D30*E30*F30*K30*J30*L30*M30)/12500000</f>
        <v/>
      </c>
      <c r="R30">
        <f>(O30+P30+Q30)/3</f>
        <v/>
      </c>
      <c r="S30" t="n">
        <v>1400</v>
      </c>
    </row>
    <row r="31">
      <c r="A31" t="inlineStr">
        <is>
          <t>TS</t>
        </is>
      </c>
      <c r="B31" t="inlineStr">
        <is>
          <t>Widow</t>
        </is>
      </c>
      <c r="C31" t="inlineStr">
        <is>
          <t>cabal_widow</t>
        </is>
      </c>
      <c r="D31" t="n">
        <v>80000</v>
      </c>
      <c r="E31" t="n">
        <v>70</v>
      </c>
      <c r="F31" t="n">
        <v>3</v>
      </c>
      <c r="G31" t="n">
        <v>32150</v>
      </c>
      <c r="H31" t="n">
        <v>1</v>
      </c>
      <c r="I31" t="n">
        <v>30</v>
      </c>
      <c r="J31" t="n">
        <v>1071.666666666667</v>
      </c>
      <c r="K31" t="n">
        <v>1</v>
      </c>
      <c r="L31" t="n">
        <v>1</v>
      </c>
      <c r="M31" t="n">
        <v>1.620896355684694</v>
      </c>
      <c r="O31">
        <f>(D31/100000+E31/100+F31*K31/5+J31/200)*200*L31*M31</f>
        <v/>
      </c>
      <c r="P31">
        <f>((D31*E31/25000)+(F31*K31*J31/2.5))*L31*M31</f>
        <v/>
      </c>
      <c r="Q31">
        <f>(D31*E31*F31*K31*J31*L31*M31)/12500000</f>
        <v/>
      </c>
      <c r="R31">
        <f>(O31+P31+Q31)/3</f>
        <v/>
      </c>
      <c r="S31" t="n">
        <v>2400</v>
      </c>
    </row>
    <row r="32">
      <c r="A32" t="inlineStr">
        <is>
          <t>TS</t>
        </is>
      </c>
      <c r="B32" t="inlineStr">
        <is>
          <t>T1000</t>
        </is>
      </c>
      <c r="C32" t="inlineStr">
        <is>
          <t>cabal_t1000</t>
        </is>
      </c>
      <c r="D32" t="n">
        <v>85000</v>
      </c>
      <c r="E32" t="n">
        <v>40</v>
      </c>
      <c r="F32" t="n">
        <v>6.167</v>
      </c>
      <c r="G32" t="n">
        <v>32025</v>
      </c>
      <c r="H32" t="n">
        <v>1</v>
      </c>
      <c r="I32" t="n">
        <v>32</v>
      </c>
      <c r="J32" t="n">
        <v>1000.78125</v>
      </c>
      <c r="K32" t="n">
        <v>1</v>
      </c>
      <c r="L32" t="n">
        <v>0.8</v>
      </c>
      <c r="M32" t="n">
        <v>0.9730280221648174</v>
      </c>
      <c r="O32">
        <f>(D32/100000+E32/100+F32*K32/5+J32/200)*200*L32*M32</f>
        <v/>
      </c>
      <c r="P32">
        <f>((D32*E32/25000)+(F32*K32*J32/2.5))*L32*M32</f>
        <v/>
      </c>
      <c r="Q32">
        <f>(D32*E32*F32*K32*J32*L32*M32)/12500000</f>
        <v/>
      </c>
      <c r="R32">
        <f>(O32+P32+Q32)/3</f>
        <v/>
      </c>
      <c r="S32" t="n">
        <v>1500</v>
      </c>
    </row>
    <row r="33">
      <c r="A33" t="inlineStr">
        <is>
          <t>TS</t>
        </is>
      </c>
      <c r="B33" t="inlineStr">
        <is>
          <t>Spider CNC4</t>
        </is>
      </c>
      <c r="C33" t="inlineStr">
        <is>
          <t>cabal_spidercnc4</t>
        </is>
      </c>
      <c r="D33" t="n">
        <v>40000</v>
      </c>
      <c r="E33" t="n">
        <v>70</v>
      </c>
      <c r="F33" t="n">
        <v>6.147</v>
      </c>
      <c r="G33" t="n">
        <v>44625</v>
      </c>
      <c r="H33" t="n">
        <v>1</v>
      </c>
      <c r="I33" t="n">
        <v>90</v>
      </c>
      <c r="J33" t="n">
        <v>495.8333333333333</v>
      </c>
      <c r="K33" t="n">
        <v>1</v>
      </c>
      <c r="L33" t="n">
        <v>1</v>
      </c>
      <c r="M33" t="n">
        <v>1.512302513735796</v>
      </c>
      <c r="O33">
        <f>(D33/100000+E33/100+F33*K33/5+J33/200)*200*L33*M33</f>
        <v/>
      </c>
      <c r="P33">
        <f>((D33*E33/25000)+(F33*K33*J33/2.5))*L33*M33</f>
        <v/>
      </c>
      <c r="Q33">
        <f>(D33*E33*F33*K33*J33*L33*M33)/12500000</f>
        <v/>
      </c>
      <c r="R33">
        <f>(O33+P33+Q33)/3</f>
        <v/>
      </c>
      <c r="S3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Manuel Helber</dc:creator>
  <dcterms:created xsi:type="dcterms:W3CDTF">2024-02-22T19:12:00Z</dcterms:created>
  <dcterms:modified xsi:type="dcterms:W3CDTF">2026-07-13T19:28:12Z</dcterms:modified>
  <cp:lastModifiedBy>Manuel Helber</cp:lastModifiedBy>
</cp:coreProperties>
</file>