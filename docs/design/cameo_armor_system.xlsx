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7.xml" ContentType="application/vnd.ms-excel.person+xml"/>
  <Override PartName="/xl/persons/person14.xml" ContentType="application/vnd.ms-excel.person+xml"/>
  <Override PartName="/xl/persons/person10.xml" ContentType="application/vnd.ms-excel.person+xml"/>
  <Override PartName="/xl/persons/person2.xml" ContentType="application/vnd.ms-excel.person+xml"/>
  <Override PartName="/xl/persons/person6.xml" ContentType="application/vnd.ms-excel.person+xml"/>
  <Override PartName="/xl/persons/person13.xml" ContentType="application/vnd.ms-excel.person+xml"/>
  <Override PartName="/xl/persons/person4.xml" ContentType="application/vnd.ms-excel.person+xml"/>
  <Override PartName="/xl/persons/person5.xml" ContentType="application/vnd.ms-excel.person+xml"/>
  <Override PartName="/xl/persons/person9.xml" ContentType="application/vnd.ms-excel.person+xml"/>
  <Override PartName="/xl/persons/person17.xml" ContentType="application/vnd.ms-excel.person+xml"/>
  <Override PartName="/xl/persons/person12.xml" ContentType="application/vnd.ms-excel.person+xml"/>
  <Override PartName="/xl/persons/person16.xml" ContentType="application/vnd.ms-excel.person+xml"/>
  <Override PartName="/xl/persons/person0.xml" ContentType="application/vnd.ms-excel.person+xml"/>
  <Override PartName="/xl/persons/person15.xml" ContentType="application/vnd.ms-excel.person+xml"/>
  <Override PartName="/xl/persons/person8.xml" ContentType="application/vnd.ms-excel.person+xml"/>
  <Override PartName="/xl/persons/person.xml" ContentType="application/vnd.ms-excel.person+xml"/>
  <Override PartName="/xl/persons/person1.xml" ContentType="application/vnd.ms-excel.person+xml"/>
  <Override PartName="/xl/persons/person3.xml" ContentType="application/vnd.ms-excel.person+xml"/>
  <Override PartName="/xl/persons/person11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edisToru\OneDrive\Dokumente\"/>
    </mc:Choice>
  </mc:AlternateContent>
  <xr:revisionPtr revIDLastSave="0" documentId="13_ncr:1_{A992C144-056E-4B91-AA67-553E70820199}" xr6:coauthVersionLast="47" xr6:coauthVersionMax="47" xr10:uidLastSave="{00000000-0000-0000-0000-000000000000}"/>
  <bookViews>
    <workbookView xWindow="-120" yWindow="-120" windowWidth="38640" windowHeight="21120" activeTab="2" xr2:uid="{28E10285-0D37-4D3F-8345-AED6E5BB1D95}"/>
  </bookViews>
  <sheets>
    <sheet name="Armor Types" sheetId="1" r:id="rId1"/>
    <sheet name="Weapon Types" sheetId="2" r:id="rId2"/>
    <sheet name="Infantry" sheetId="9" r:id="rId3"/>
    <sheet name="Tanks" sheetId="8" r:id="rId4"/>
    <sheet name="Vehicles" sheetId="10" r:id="rId5"/>
    <sheet name="Aircraft" sheetId="4" r:id="rId6"/>
    <sheet name="Defenses" sheetId="5" r:id="rId7"/>
    <sheet name="Tabelle2" sheetId="7" r:id="rId8"/>
    <sheet name="Tabelle3" sheetId="11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" i="10" l="1"/>
  <c r="F13" i="10" s="1"/>
  <c r="J18" i="8"/>
  <c r="N18" i="8" s="1"/>
  <c r="J196" i="9"/>
  <c r="F196" i="9" s="1"/>
  <c r="J105" i="10"/>
  <c r="F105" i="10" s="1"/>
  <c r="J40" i="5"/>
  <c r="F40" i="5" s="1"/>
  <c r="J54" i="4"/>
  <c r="F54" i="4" s="1"/>
  <c r="J22" i="8"/>
  <c r="N22" i="8" s="1"/>
  <c r="J21" i="8"/>
  <c r="N21" i="8" s="1"/>
  <c r="F21" i="8"/>
  <c r="Q21" i="8" s="1"/>
  <c r="J167" i="10"/>
  <c r="N167" i="10" s="1"/>
  <c r="J166" i="10"/>
  <c r="N166" i="10" s="1"/>
  <c r="J119" i="10"/>
  <c r="F119" i="10" s="1"/>
  <c r="J118" i="10"/>
  <c r="N118" i="10" s="1"/>
  <c r="J165" i="10"/>
  <c r="N165" i="10" s="1"/>
  <c r="J164" i="10"/>
  <c r="N164" i="10" s="1"/>
  <c r="J52" i="8"/>
  <c r="N52" i="8" s="1"/>
  <c r="J51" i="8"/>
  <c r="F51" i="8" s="1"/>
  <c r="J12" i="10"/>
  <c r="F12" i="10" s="1"/>
  <c r="J11" i="10"/>
  <c r="F11" i="10" s="1"/>
  <c r="J66" i="10"/>
  <c r="F66" i="10" s="1"/>
  <c r="Q66" i="10" s="1"/>
  <c r="J149" i="9"/>
  <c r="F149" i="9" s="1"/>
  <c r="J204" i="10"/>
  <c r="N204" i="10" s="1"/>
  <c r="J103" i="8"/>
  <c r="N103" i="8" s="1"/>
  <c r="J195" i="9"/>
  <c r="F195" i="9" s="1"/>
  <c r="J139" i="4"/>
  <c r="F139" i="4" s="1"/>
  <c r="J138" i="4"/>
  <c r="F138" i="4" s="1"/>
  <c r="J102" i="8"/>
  <c r="F102" i="8" s="1"/>
  <c r="J38" i="8"/>
  <c r="N38" i="8" s="1"/>
  <c r="J37" i="8"/>
  <c r="N37" i="8" s="1"/>
  <c r="N198" i="10"/>
  <c r="J36" i="10"/>
  <c r="F36" i="10" s="1"/>
  <c r="J10" i="10"/>
  <c r="F10" i="10" s="1"/>
  <c r="J74" i="5"/>
  <c r="F74" i="5" s="1"/>
  <c r="J117" i="10"/>
  <c r="F117" i="10" s="1"/>
  <c r="J100" i="10"/>
  <c r="F100" i="10" s="1"/>
  <c r="Q100" i="10" s="1"/>
  <c r="J26" i="5"/>
  <c r="F26" i="5" s="1"/>
  <c r="J52" i="4"/>
  <c r="F52" i="4" s="1"/>
  <c r="Q52" i="4" s="1"/>
  <c r="J51" i="4"/>
  <c r="F51" i="4" s="1"/>
  <c r="J201" i="10"/>
  <c r="F201" i="10" s="1"/>
  <c r="Q201" i="10" s="1"/>
  <c r="J41" i="4"/>
  <c r="F41" i="4" s="1"/>
  <c r="J76" i="4"/>
  <c r="F76" i="4" s="1"/>
  <c r="Q76" i="4" s="1"/>
  <c r="J84" i="10"/>
  <c r="F84" i="10" s="1"/>
  <c r="J48" i="4"/>
  <c r="F48" i="4" s="1"/>
  <c r="J121" i="4"/>
  <c r="F121" i="4" s="1"/>
  <c r="J120" i="4"/>
  <c r="F120" i="4" s="1"/>
  <c r="O120" i="4" s="1"/>
  <c r="J73" i="9"/>
  <c r="F73" i="9"/>
  <c r="Q73" i="9" s="1"/>
  <c r="J141" i="9"/>
  <c r="F141" i="9" s="1"/>
  <c r="F95" i="10"/>
  <c r="G99" i="10"/>
  <c r="H99" i="10"/>
  <c r="I99" i="10"/>
  <c r="F99" i="10"/>
  <c r="J98" i="10"/>
  <c r="J97" i="10"/>
  <c r="J96" i="10"/>
  <c r="J193" i="10"/>
  <c r="F193" i="10" s="1"/>
  <c r="J194" i="10"/>
  <c r="F194" i="10" s="1"/>
  <c r="J195" i="10"/>
  <c r="F195" i="10" s="1"/>
  <c r="Q195" i="10" s="1"/>
  <c r="J196" i="10"/>
  <c r="F196" i="10" s="1"/>
  <c r="J197" i="10"/>
  <c r="N197" i="10" s="1"/>
  <c r="J198" i="10"/>
  <c r="J199" i="10"/>
  <c r="N199" i="10" s="1"/>
  <c r="J200" i="10"/>
  <c r="F200" i="10" s="1"/>
  <c r="O200" i="10" s="1"/>
  <c r="J202" i="10"/>
  <c r="F202" i="10" s="1"/>
  <c r="O202" i="10" s="1"/>
  <c r="J203" i="10"/>
  <c r="F203" i="10" s="1"/>
  <c r="O203" i="10" s="1"/>
  <c r="F198" i="10"/>
  <c r="J49" i="4"/>
  <c r="F49" i="4" s="1"/>
  <c r="J74" i="9"/>
  <c r="F74" i="9" s="1"/>
  <c r="J101" i="4"/>
  <c r="F101" i="4" s="1"/>
  <c r="J46" i="9"/>
  <c r="F46" i="9" s="1"/>
  <c r="Q46" i="9" s="1"/>
  <c r="J86" i="8"/>
  <c r="F86" i="8" s="1"/>
  <c r="Q86" i="8" s="1"/>
  <c r="J104" i="9"/>
  <c r="F104" i="9" s="1"/>
  <c r="Q104" i="9" s="1"/>
  <c r="J71" i="9"/>
  <c r="F71" i="9" s="1"/>
  <c r="J139" i="9"/>
  <c r="F139" i="9" s="1"/>
  <c r="J193" i="9"/>
  <c r="F193" i="9" s="1"/>
  <c r="J194" i="9"/>
  <c r="F194" i="9" s="1"/>
  <c r="Q194" i="9" s="1"/>
  <c r="J192" i="9"/>
  <c r="F192" i="9" s="1"/>
  <c r="J66" i="4"/>
  <c r="F66" i="4" s="1"/>
  <c r="J65" i="4"/>
  <c r="F65" i="4" s="1"/>
  <c r="J63" i="4"/>
  <c r="F63" i="4" s="1"/>
  <c r="J62" i="4"/>
  <c r="F62" i="4" s="1"/>
  <c r="J61" i="4"/>
  <c r="F61" i="4" s="1"/>
  <c r="Q61" i="4" s="1"/>
  <c r="J64" i="4"/>
  <c r="F64" i="4" s="1"/>
  <c r="F135" i="4"/>
  <c r="J134" i="4"/>
  <c r="F124" i="4"/>
  <c r="Q124" i="4" s="1"/>
  <c r="J133" i="4"/>
  <c r="J132" i="4"/>
  <c r="J131" i="4"/>
  <c r="J130" i="4"/>
  <c r="J129" i="4"/>
  <c r="J128" i="4"/>
  <c r="J127" i="4"/>
  <c r="J126" i="4"/>
  <c r="J73" i="4"/>
  <c r="F73" i="4" s="1"/>
  <c r="J24" i="5"/>
  <c r="F24" i="5"/>
  <c r="Q24" i="5" s="1"/>
  <c r="J23" i="5"/>
  <c r="F23" i="5" s="1"/>
  <c r="J22" i="5"/>
  <c r="F22" i="5" s="1"/>
  <c r="Q22" i="5" s="1"/>
  <c r="J21" i="5"/>
  <c r="F21" i="5" s="1"/>
  <c r="J79" i="9"/>
  <c r="F79" i="9" s="1"/>
  <c r="Q79" i="9" s="1"/>
  <c r="J78" i="9"/>
  <c r="F78" i="9" s="1"/>
  <c r="Q78" i="9" s="1"/>
  <c r="J148" i="9"/>
  <c r="F148" i="9" s="1"/>
  <c r="Q148" i="9" s="1"/>
  <c r="J147" i="9"/>
  <c r="F147" i="9" s="1"/>
  <c r="J121" i="8"/>
  <c r="F121" i="8" s="1"/>
  <c r="J48" i="8"/>
  <c r="F48" i="8" s="1"/>
  <c r="J96" i="8"/>
  <c r="F96" i="8" s="1"/>
  <c r="Q96" i="8" s="1"/>
  <c r="J95" i="8"/>
  <c r="F95" i="8" s="1"/>
  <c r="J180" i="9"/>
  <c r="F180" i="9" s="1"/>
  <c r="J21" i="10"/>
  <c r="F21" i="10" s="1"/>
  <c r="J20" i="10"/>
  <c r="F20" i="10" s="1"/>
  <c r="J9" i="10"/>
  <c r="F9" i="10" s="1"/>
  <c r="J94" i="8"/>
  <c r="F94" i="8" s="1"/>
  <c r="Q94" i="8" s="1"/>
  <c r="J162" i="10"/>
  <c r="F162" i="10" s="1"/>
  <c r="Q162" i="10" s="1"/>
  <c r="J47" i="8"/>
  <c r="F47" i="8" s="1"/>
  <c r="Q47" i="8" s="1"/>
  <c r="J53" i="4"/>
  <c r="F53" i="4" s="1"/>
  <c r="J120" i="8"/>
  <c r="F120" i="8" s="1"/>
  <c r="Q120" i="8" s="1"/>
  <c r="J71" i="4"/>
  <c r="F71" i="4" s="1"/>
  <c r="J70" i="4"/>
  <c r="F70" i="4" s="1"/>
  <c r="J68" i="5"/>
  <c r="F68" i="5" s="1"/>
  <c r="J67" i="5"/>
  <c r="F67" i="5" s="1"/>
  <c r="J109" i="4"/>
  <c r="F109" i="4" s="1"/>
  <c r="J110" i="4"/>
  <c r="F110" i="4" s="1"/>
  <c r="O110" i="4" s="1"/>
  <c r="J111" i="4"/>
  <c r="F111" i="4" s="1"/>
  <c r="Q111" i="4" s="1"/>
  <c r="J112" i="4"/>
  <c r="F112" i="4" s="1"/>
  <c r="J113" i="4"/>
  <c r="F113" i="4" s="1"/>
  <c r="J114" i="4"/>
  <c r="F114" i="4" s="1"/>
  <c r="O114" i="4" s="1"/>
  <c r="J115" i="4"/>
  <c r="F115" i="4" s="1"/>
  <c r="J116" i="4"/>
  <c r="F116" i="4" s="1"/>
  <c r="J117" i="4"/>
  <c r="F117" i="4" s="1"/>
  <c r="J118" i="4"/>
  <c r="J119" i="4"/>
  <c r="F119" i="4" s="1"/>
  <c r="O119" i="4" s="1"/>
  <c r="J122" i="4"/>
  <c r="F122" i="4" s="1"/>
  <c r="J14" i="4"/>
  <c r="F14" i="4"/>
  <c r="J189" i="10"/>
  <c r="F189" i="10" s="1"/>
  <c r="Q189" i="10" s="1"/>
  <c r="J73" i="8"/>
  <c r="F73" i="8" s="1"/>
  <c r="Q73" i="8" s="1"/>
  <c r="J72" i="8"/>
  <c r="F72" i="8" s="1"/>
  <c r="Q72" i="8" s="1"/>
  <c r="J188" i="10"/>
  <c r="F188" i="10" s="1"/>
  <c r="Q188" i="10" s="1"/>
  <c r="J187" i="10"/>
  <c r="F187" i="10" s="1"/>
  <c r="Q187" i="10" s="1"/>
  <c r="J59" i="10"/>
  <c r="F59" i="10" s="1"/>
  <c r="Q59" i="10" s="1"/>
  <c r="J140" i="10"/>
  <c r="F140" i="10" s="1"/>
  <c r="J58" i="10"/>
  <c r="F58" i="10" s="1"/>
  <c r="J139" i="10"/>
  <c r="F139" i="10" s="1"/>
  <c r="J71" i="8"/>
  <c r="F71" i="8" s="1"/>
  <c r="Q71" i="8" s="1"/>
  <c r="J23" i="8"/>
  <c r="F23" i="8" s="1"/>
  <c r="J20" i="8"/>
  <c r="N20" i="8" s="1"/>
  <c r="J61" i="10"/>
  <c r="F61" i="10" s="1"/>
  <c r="J60" i="10"/>
  <c r="F60" i="10" s="1"/>
  <c r="J127" i="9"/>
  <c r="F127" i="9" s="1"/>
  <c r="J183" i="9"/>
  <c r="F183" i="9" s="1"/>
  <c r="Q183" i="9" s="1"/>
  <c r="J45" i="9"/>
  <c r="F45" i="9" s="1"/>
  <c r="J96" i="9"/>
  <c r="F96" i="9" s="1"/>
  <c r="Q96" i="9" s="1"/>
  <c r="J59" i="9"/>
  <c r="F59" i="9" s="1"/>
  <c r="J58" i="9"/>
  <c r="F58" i="9" s="1"/>
  <c r="J35" i="10"/>
  <c r="F35" i="10" s="1"/>
  <c r="J34" i="10"/>
  <c r="F34" i="10" s="1"/>
  <c r="J33" i="10"/>
  <c r="F33" i="10" s="1"/>
  <c r="J29" i="10"/>
  <c r="F29" i="10" s="1"/>
  <c r="Q29" i="10" s="1"/>
  <c r="J56" i="9"/>
  <c r="F56" i="9" s="1"/>
  <c r="J54" i="9"/>
  <c r="F54" i="9" s="1"/>
  <c r="Q54" i="9" s="1"/>
  <c r="J183" i="10"/>
  <c r="F183" i="10" s="1"/>
  <c r="J93" i="9"/>
  <c r="F93" i="9" s="1"/>
  <c r="Q93" i="9" s="1"/>
  <c r="J8" i="4"/>
  <c r="F8" i="4" s="1"/>
  <c r="J130" i="10"/>
  <c r="F130" i="10" s="1"/>
  <c r="Q130" i="10" s="1"/>
  <c r="J36" i="9"/>
  <c r="F36" i="9" s="1"/>
  <c r="J9" i="9"/>
  <c r="F9" i="9" s="1"/>
  <c r="Q9" i="9" s="1"/>
  <c r="J157" i="9"/>
  <c r="F157" i="9" s="1"/>
  <c r="J15" i="8"/>
  <c r="F15" i="8" s="1"/>
  <c r="H93" i="10"/>
  <c r="G93" i="10"/>
  <c r="I93" i="10"/>
  <c r="F93" i="10"/>
  <c r="J92" i="10"/>
  <c r="J91" i="10"/>
  <c r="J90" i="10"/>
  <c r="J89" i="10"/>
  <c r="J88" i="10"/>
  <c r="F86" i="10"/>
  <c r="O86" i="10" s="1"/>
  <c r="F87" i="10"/>
  <c r="O87" i="10" s="1"/>
  <c r="J171" i="9"/>
  <c r="F171" i="9" s="1"/>
  <c r="Q171" i="9" s="1"/>
  <c r="J190" i="9"/>
  <c r="F190" i="9" s="1"/>
  <c r="J191" i="9"/>
  <c r="F191" i="9" s="1"/>
  <c r="J77" i="9"/>
  <c r="F77" i="9" s="1"/>
  <c r="Q77" i="9" s="1"/>
  <c r="J43" i="8"/>
  <c r="F43" i="8" s="1"/>
  <c r="J46" i="8"/>
  <c r="F46" i="8" s="1"/>
  <c r="J49" i="8"/>
  <c r="F49" i="8" s="1"/>
  <c r="J50" i="8"/>
  <c r="F50" i="8" s="1"/>
  <c r="J54" i="8"/>
  <c r="F54" i="8" s="1"/>
  <c r="J32" i="8"/>
  <c r="F32" i="8" s="1"/>
  <c r="Q32" i="8" s="1"/>
  <c r="J33" i="8"/>
  <c r="F33" i="8" s="1"/>
  <c r="J34" i="8"/>
  <c r="F34" i="8" s="1"/>
  <c r="J35" i="8"/>
  <c r="F35" i="8" s="1"/>
  <c r="J36" i="8"/>
  <c r="N36" i="8" s="1"/>
  <c r="J39" i="8"/>
  <c r="F39" i="8" s="1"/>
  <c r="O39" i="8" s="1"/>
  <c r="J40" i="8"/>
  <c r="F40" i="8" s="1"/>
  <c r="O40" i="8" s="1"/>
  <c r="J41" i="8"/>
  <c r="F41" i="8" s="1"/>
  <c r="O41" i="8" s="1"/>
  <c r="J42" i="8"/>
  <c r="F42" i="8" s="1"/>
  <c r="O42" i="8" s="1"/>
  <c r="J44" i="8"/>
  <c r="F44" i="8" s="1"/>
  <c r="J45" i="8"/>
  <c r="F45" i="8" s="1"/>
  <c r="J44" i="9"/>
  <c r="F44" i="9" s="1"/>
  <c r="J32" i="10"/>
  <c r="F32" i="10" s="1"/>
  <c r="Q32" i="10" s="1"/>
  <c r="J31" i="10"/>
  <c r="F31" i="10" s="1"/>
  <c r="J25" i="5"/>
  <c r="F81" i="10"/>
  <c r="J80" i="10"/>
  <c r="J79" i="10"/>
  <c r="J78" i="10"/>
  <c r="J77" i="10"/>
  <c r="J74" i="10"/>
  <c r="J75" i="10"/>
  <c r="J76" i="10"/>
  <c r="J159" i="10"/>
  <c r="F159" i="10" s="1"/>
  <c r="J158" i="10"/>
  <c r="F158" i="10" s="1"/>
  <c r="J93" i="8"/>
  <c r="F93" i="8" s="1"/>
  <c r="J113" i="10"/>
  <c r="F113" i="10" s="1"/>
  <c r="J28" i="10"/>
  <c r="F28" i="10" s="1"/>
  <c r="Q28" i="10" s="1"/>
  <c r="J27" i="10"/>
  <c r="F27" i="10" s="1"/>
  <c r="J168" i="9"/>
  <c r="F168" i="9" s="1"/>
  <c r="J22" i="9"/>
  <c r="F22" i="9" s="1"/>
  <c r="J23" i="9"/>
  <c r="F23" i="9" s="1"/>
  <c r="J24" i="8"/>
  <c r="F24" i="8" s="1"/>
  <c r="J20" i="4"/>
  <c r="F20" i="4" s="1"/>
  <c r="Q20" i="4" s="1"/>
  <c r="J19" i="4"/>
  <c r="F19" i="4" s="1"/>
  <c r="J18" i="4"/>
  <c r="F18" i="4" s="1"/>
  <c r="F97" i="4"/>
  <c r="J128" i="10"/>
  <c r="F128" i="10" s="1"/>
  <c r="J78" i="5"/>
  <c r="F78" i="5" s="1"/>
  <c r="Q78" i="5" s="1"/>
  <c r="J77" i="5"/>
  <c r="F77" i="5" s="1"/>
  <c r="Q77" i="5" s="1"/>
  <c r="J76" i="5"/>
  <c r="F76" i="5" s="1"/>
  <c r="J111" i="8"/>
  <c r="F111" i="8" s="1"/>
  <c r="J112" i="8"/>
  <c r="F112" i="8" s="1"/>
  <c r="J110" i="8"/>
  <c r="F110" i="8" s="1"/>
  <c r="J191" i="10"/>
  <c r="F191" i="10" s="1"/>
  <c r="Q191" i="10" s="1"/>
  <c r="J190" i="10"/>
  <c r="F190" i="10" s="1"/>
  <c r="D47" i="7"/>
  <c r="E47" i="7" s="1"/>
  <c r="J33" i="5"/>
  <c r="F33" i="5" s="1"/>
  <c r="Q33" i="5" s="1"/>
  <c r="J34" i="5"/>
  <c r="F34" i="5" s="1"/>
  <c r="Q34" i="5" s="1"/>
  <c r="J87" i="8"/>
  <c r="F87" i="8" s="1"/>
  <c r="Q87" i="8" s="1"/>
  <c r="J85" i="8"/>
  <c r="F85" i="8" s="1"/>
  <c r="J140" i="9"/>
  <c r="F140" i="9" s="1"/>
  <c r="Q140" i="9" s="1"/>
  <c r="J138" i="9"/>
  <c r="F138" i="9" s="1"/>
  <c r="J72" i="9"/>
  <c r="F72" i="9" s="1"/>
  <c r="J70" i="9"/>
  <c r="F70" i="9" s="1"/>
  <c r="J135" i="9"/>
  <c r="F135" i="9" s="1"/>
  <c r="Q135" i="9" s="1"/>
  <c r="J187" i="9"/>
  <c r="F187" i="9" s="1"/>
  <c r="J25" i="10"/>
  <c r="F25" i="10" s="1"/>
  <c r="Q25" i="10" s="1"/>
  <c r="J84" i="8"/>
  <c r="F84" i="8" s="1"/>
  <c r="Q84" i="8" s="1"/>
  <c r="J137" i="9"/>
  <c r="F137" i="9" s="1"/>
  <c r="J186" i="9"/>
  <c r="F186" i="9" s="1"/>
  <c r="J45" i="4"/>
  <c r="F45" i="4" s="1"/>
  <c r="Q45" i="4" s="1"/>
  <c r="J44" i="4"/>
  <c r="F44" i="4" s="1"/>
  <c r="Q44" i="4" s="1"/>
  <c r="J43" i="4"/>
  <c r="F43" i="4" s="1"/>
  <c r="Q43" i="4" s="1"/>
  <c r="J42" i="4"/>
  <c r="F42" i="4" s="1"/>
  <c r="Q42" i="4" s="1"/>
  <c r="J40" i="4"/>
  <c r="F40" i="4" s="1"/>
  <c r="Q40" i="4" s="1"/>
  <c r="J39" i="4"/>
  <c r="F39" i="4" s="1"/>
  <c r="J38" i="4"/>
  <c r="F38" i="4" s="1"/>
  <c r="Q38" i="4" s="1"/>
  <c r="J83" i="8"/>
  <c r="F83" i="8" s="1"/>
  <c r="Q83" i="8" s="1"/>
  <c r="J150" i="10"/>
  <c r="F150" i="10" s="1"/>
  <c r="J118" i="8"/>
  <c r="F118" i="8" s="1"/>
  <c r="Q118" i="8" s="1"/>
  <c r="J108" i="10"/>
  <c r="F108" i="10" s="1"/>
  <c r="J136" i="9"/>
  <c r="F136" i="9" s="1"/>
  <c r="Q136" i="9" s="1"/>
  <c r="J65" i="9"/>
  <c r="F65" i="9" s="1"/>
  <c r="Q65" i="9" s="1"/>
  <c r="J134" i="9"/>
  <c r="F134" i="9" s="1"/>
  <c r="Q134" i="9" s="1"/>
  <c r="J75" i="5"/>
  <c r="F75" i="5" s="1"/>
  <c r="Q75" i="5" s="1"/>
  <c r="J70" i="8"/>
  <c r="F70" i="8" s="1"/>
  <c r="Q70" i="8" s="1"/>
  <c r="J69" i="8"/>
  <c r="F69" i="8" s="1"/>
  <c r="J96" i="4"/>
  <c r="F96" i="4" s="1"/>
  <c r="J17" i="9"/>
  <c r="F17" i="9" s="1"/>
  <c r="Q17" i="9" s="1"/>
  <c r="J16" i="9"/>
  <c r="F16" i="9" s="1"/>
  <c r="Q16" i="9" s="1"/>
  <c r="J120" i="9"/>
  <c r="Q120" i="9" s="1"/>
  <c r="J119" i="9"/>
  <c r="Q119" i="9" s="1"/>
  <c r="J154" i="9"/>
  <c r="Q154" i="9" s="1"/>
  <c r="J118" i="9"/>
  <c r="F118" i="9" s="1"/>
  <c r="Q118" i="9" s="1"/>
  <c r="J85" i="9"/>
  <c r="Q85" i="9" s="1"/>
  <c r="J84" i="9"/>
  <c r="J153" i="9"/>
  <c r="F153" i="9" s="1"/>
  <c r="J37" i="4"/>
  <c r="F37" i="4" s="1"/>
  <c r="J36" i="4"/>
  <c r="F36" i="4" s="1"/>
  <c r="Q36" i="4" s="1"/>
  <c r="J35" i="4"/>
  <c r="F35" i="4" s="1"/>
  <c r="Q35" i="4" s="1"/>
  <c r="J153" i="10"/>
  <c r="F153" i="10" s="1"/>
  <c r="O153" i="10" s="1"/>
  <c r="J64" i="10"/>
  <c r="F64" i="10" s="1"/>
  <c r="Q64" i="10" s="1"/>
  <c r="F47" i="10"/>
  <c r="J26" i="10"/>
  <c r="J8" i="10"/>
  <c r="F8" i="10" s="1"/>
  <c r="J69" i="9"/>
  <c r="F69" i="9" s="1"/>
  <c r="J82" i="8"/>
  <c r="F82" i="8" s="1"/>
  <c r="Q82" i="8" s="1"/>
  <c r="J149" i="10"/>
  <c r="F149" i="10" s="1"/>
  <c r="Q149" i="10" s="1"/>
  <c r="J117" i="8"/>
  <c r="F117" i="8" s="1"/>
  <c r="Q117" i="8" s="1"/>
  <c r="J34" i="4"/>
  <c r="F34" i="4" s="1"/>
  <c r="Q34" i="4" s="1"/>
  <c r="J78" i="8"/>
  <c r="F78" i="8" s="1"/>
  <c r="O78" i="8" s="1"/>
  <c r="J79" i="8"/>
  <c r="F79" i="8" s="1"/>
  <c r="O79" i="8" s="1"/>
  <c r="J80" i="8"/>
  <c r="F80" i="8" s="1"/>
  <c r="J81" i="8"/>
  <c r="F81" i="8" s="1"/>
  <c r="Q81" i="8" s="1"/>
  <c r="J77" i="8"/>
  <c r="F77" i="8" s="1"/>
  <c r="Q77" i="8" s="1"/>
  <c r="J92" i="8"/>
  <c r="F92" i="8" s="1"/>
  <c r="J32" i="4"/>
  <c r="F32" i="4" s="1"/>
  <c r="J15" i="9"/>
  <c r="F15" i="9" s="1"/>
  <c r="J133" i="9"/>
  <c r="F133" i="9" s="1"/>
  <c r="Q133" i="9" s="1"/>
  <c r="J146" i="10"/>
  <c r="F146" i="10" s="1"/>
  <c r="Q146" i="10" s="1"/>
  <c r="J33" i="4"/>
  <c r="F33" i="4" s="1"/>
  <c r="Q33" i="4" s="1"/>
  <c r="J185" i="9"/>
  <c r="F185" i="9" s="1"/>
  <c r="J45" i="5"/>
  <c r="F45" i="5" s="1"/>
  <c r="J32" i="5"/>
  <c r="F32" i="5" s="1"/>
  <c r="J148" i="10"/>
  <c r="F148" i="10" s="1"/>
  <c r="Q148" i="10" s="1"/>
  <c r="J31" i="4"/>
  <c r="F31" i="4" s="1"/>
  <c r="J147" i="10"/>
  <c r="F147" i="10" s="1"/>
  <c r="Q147" i="10" s="1"/>
  <c r="J30" i="4"/>
  <c r="F30" i="4" s="1"/>
  <c r="Q30" i="4" s="1"/>
  <c r="J29" i="4"/>
  <c r="F29" i="4" s="1"/>
  <c r="J28" i="4"/>
  <c r="F28" i="4" s="1"/>
  <c r="Q28" i="4" s="1"/>
  <c r="J64" i="9"/>
  <c r="F64" i="9" s="1"/>
  <c r="J132" i="9"/>
  <c r="F132" i="9" s="1"/>
  <c r="J76" i="8"/>
  <c r="F76" i="8" s="1"/>
  <c r="Q76" i="8" s="1"/>
  <c r="J67" i="9"/>
  <c r="F67" i="9" s="1"/>
  <c r="J19" i="9"/>
  <c r="F19" i="9" s="1"/>
  <c r="J18" i="9"/>
  <c r="F18" i="9" s="1"/>
  <c r="O18" i="9" s="1"/>
  <c r="J31" i="8"/>
  <c r="F31" i="8" s="1"/>
  <c r="J163" i="9"/>
  <c r="F163" i="9" s="1"/>
  <c r="Q163" i="9" s="1"/>
  <c r="J131" i="9"/>
  <c r="F131" i="9" s="1"/>
  <c r="J63" i="9"/>
  <c r="F63" i="9" s="1"/>
  <c r="Q63" i="9" s="1"/>
  <c r="J27" i="4"/>
  <c r="F27" i="4" s="1"/>
  <c r="J25" i="4"/>
  <c r="F25" i="4" s="1"/>
  <c r="Q25" i="4" s="1"/>
  <c r="J24" i="4"/>
  <c r="F24" i="4" s="1"/>
  <c r="Q24" i="4" s="1"/>
  <c r="J114" i="10"/>
  <c r="F114" i="10" s="1"/>
  <c r="J13" i="4"/>
  <c r="F13" i="4" s="1"/>
  <c r="J116" i="8"/>
  <c r="F116" i="8" s="1"/>
  <c r="D46" i="7"/>
  <c r="E46" i="7" s="1"/>
  <c r="J26" i="4"/>
  <c r="F26" i="4" s="1"/>
  <c r="Q26" i="4" s="1"/>
  <c r="J43" i="5"/>
  <c r="F43" i="5" s="1"/>
  <c r="Q43" i="5" s="1"/>
  <c r="J23" i="4"/>
  <c r="F23" i="4" s="1"/>
  <c r="J22" i="4"/>
  <c r="F22" i="4" s="1"/>
  <c r="J24" i="10"/>
  <c r="F24" i="10" s="1"/>
  <c r="J108" i="4"/>
  <c r="F108" i="4" s="1"/>
  <c r="O108" i="4" s="1"/>
  <c r="J29" i="8"/>
  <c r="F29" i="8" s="1"/>
  <c r="J30" i="8"/>
  <c r="F30" i="8" s="1"/>
  <c r="O30" i="8" s="1"/>
  <c r="J162" i="9"/>
  <c r="F162" i="9" s="1"/>
  <c r="J130" i="9"/>
  <c r="F130" i="9" s="1"/>
  <c r="O130" i="9" s="1"/>
  <c r="J103" i="9"/>
  <c r="F103" i="9" s="1"/>
  <c r="O103" i="9" s="1"/>
  <c r="J155" i="9"/>
  <c r="F155" i="9" s="1"/>
  <c r="J156" i="9"/>
  <c r="F156" i="9" s="1"/>
  <c r="O156" i="9" s="1"/>
  <c r="J159" i="9"/>
  <c r="F159" i="9" s="1"/>
  <c r="O159" i="9" s="1"/>
  <c r="J160" i="9"/>
  <c r="F160" i="9" s="1"/>
  <c r="J161" i="9"/>
  <c r="F161" i="9" s="1"/>
  <c r="P161" i="9" s="1"/>
  <c r="J175" i="9"/>
  <c r="F175" i="9" s="1"/>
  <c r="J176" i="9"/>
  <c r="F176" i="9" s="1"/>
  <c r="J177" i="9"/>
  <c r="F177" i="9" s="1"/>
  <c r="P177" i="9" s="1"/>
  <c r="J178" i="9"/>
  <c r="F178" i="9" s="1"/>
  <c r="O178" i="9" s="1"/>
  <c r="J179" i="9"/>
  <c r="F179" i="9" s="1"/>
  <c r="O179" i="9" s="1"/>
  <c r="J181" i="9"/>
  <c r="O181" i="9" s="1"/>
  <c r="J182" i="9"/>
  <c r="F182" i="9" s="1"/>
  <c r="O182" i="9" s="1"/>
  <c r="J184" i="9"/>
  <c r="F184" i="9" s="1"/>
  <c r="J66" i="9"/>
  <c r="J166" i="9"/>
  <c r="J188" i="9"/>
  <c r="J143" i="9"/>
  <c r="F143" i="9" s="1"/>
  <c r="J189" i="9"/>
  <c r="J20" i="9"/>
  <c r="J68" i="9"/>
  <c r="J105" i="9"/>
  <c r="J106" i="9"/>
  <c r="J21" i="9"/>
  <c r="J144" i="9"/>
  <c r="F144" i="9" s="1"/>
  <c r="J167" i="9"/>
  <c r="J108" i="9"/>
  <c r="J107" i="9"/>
  <c r="J75" i="9"/>
  <c r="F75" i="9" s="1"/>
  <c r="J109" i="9"/>
  <c r="J110" i="9"/>
  <c r="J111" i="9"/>
  <c r="J145" i="9"/>
  <c r="J76" i="9"/>
  <c r="F76" i="9" s="1"/>
  <c r="J146" i="9"/>
  <c r="J169" i="9"/>
  <c r="J80" i="9"/>
  <c r="J38" i="9"/>
  <c r="J113" i="9"/>
  <c r="J24" i="9"/>
  <c r="F24" i="9" s="1"/>
  <c r="J25" i="9"/>
  <c r="J112" i="9"/>
  <c r="F112" i="9" s="1"/>
  <c r="O112" i="9" s="1"/>
  <c r="J170" i="9"/>
  <c r="J37" i="9"/>
  <c r="J62" i="9"/>
  <c r="F62" i="9" s="1"/>
  <c r="J74" i="4"/>
  <c r="F74" i="4" s="1"/>
  <c r="J145" i="10"/>
  <c r="F145" i="10" s="1"/>
  <c r="J144" i="10"/>
  <c r="F144" i="10" s="1"/>
  <c r="J192" i="10"/>
  <c r="F192" i="10" s="1"/>
  <c r="J75" i="8"/>
  <c r="F75" i="8" s="1"/>
  <c r="J28" i="8"/>
  <c r="F28" i="8" s="1"/>
  <c r="J27" i="8"/>
  <c r="F27" i="8" s="1"/>
  <c r="J102" i="9"/>
  <c r="F102" i="9" s="1"/>
  <c r="J101" i="9"/>
  <c r="F101" i="9" s="1"/>
  <c r="J61" i="9"/>
  <c r="F61" i="9" s="1"/>
  <c r="Q61" i="9" s="1"/>
  <c r="J14" i="9"/>
  <c r="F14" i="9" s="1"/>
  <c r="J60" i="9"/>
  <c r="F60" i="9" s="1"/>
  <c r="J100" i="9"/>
  <c r="F100" i="9" s="1"/>
  <c r="J13" i="9"/>
  <c r="F13" i="9" s="1"/>
  <c r="J129" i="9"/>
  <c r="J143" i="10"/>
  <c r="F143" i="10" s="1"/>
  <c r="J21" i="4"/>
  <c r="F21" i="4" s="1"/>
  <c r="J99" i="9"/>
  <c r="F99" i="9" s="1"/>
  <c r="J97" i="9"/>
  <c r="F97" i="9" s="1"/>
  <c r="J12" i="9"/>
  <c r="F12" i="9" s="1"/>
  <c r="J68" i="8"/>
  <c r="F68" i="8" s="1"/>
  <c r="J56" i="10"/>
  <c r="Q56" i="10" s="1"/>
  <c r="J95" i="4"/>
  <c r="F95" i="4" s="1"/>
  <c r="J14" i="5"/>
  <c r="F14" i="5" s="1"/>
  <c r="Q14" i="5" s="1"/>
  <c r="J64" i="5"/>
  <c r="F64" i="5" s="1"/>
  <c r="D45" i="7"/>
  <c r="E45" i="7" s="1"/>
  <c r="J12" i="4"/>
  <c r="F12" i="4" s="1"/>
  <c r="J12" i="5"/>
  <c r="O12" i="5" s="1"/>
  <c r="J13" i="5"/>
  <c r="Q13" i="5" s="1"/>
  <c r="J50" i="10"/>
  <c r="F50" i="10" s="1"/>
  <c r="O50" i="10" s="1"/>
  <c r="J5" i="4"/>
  <c r="F5" i="4" s="1"/>
  <c r="J6" i="4"/>
  <c r="F6" i="4" s="1"/>
  <c r="O6" i="4" s="1"/>
  <c r="J7" i="4"/>
  <c r="F7" i="4" s="1"/>
  <c r="Q7" i="4" s="1"/>
  <c r="J9" i="4"/>
  <c r="F9" i="4" s="1"/>
  <c r="P9" i="4" s="1"/>
  <c r="J10" i="4"/>
  <c r="F10" i="4" s="1"/>
  <c r="J11" i="4"/>
  <c r="F11" i="4" s="1"/>
  <c r="O11" i="4" s="1"/>
  <c r="J106" i="10"/>
  <c r="F106" i="10" s="1"/>
  <c r="J33" i="9"/>
  <c r="F33" i="9" s="1"/>
  <c r="Q33" i="9" s="1"/>
  <c r="F4" i="5"/>
  <c r="J6" i="5"/>
  <c r="F6" i="5" s="1"/>
  <c r="J39" i="5"/>
  <c r="F39" i="5" s="1"/>
  <c r="J58" i="5"/>
  <c r="F58" i="5" s="1"/>
  <c r="Q58" i="5" s="1"/>
  <c r="J7" i="5"/>
  <c r="F7" i="5" s="1"/>
  <c r="Q7" i="5" s="1"/>
  <c r="J59" i="5"/>
  <c r="F59" i="5" s="1"/>
  <c r="O59" i="5" s="1"/>
  <c r="J8" i="5"/>
  <c r="P8" i="5" s="1"/>
  <c r="J9" i="5"/>
  <c r="F9" i="5" s="1"/>
  <c r="J41" i="5"/>
  <c r="F41" i="5" s="1"/>
  <c r="J63" i="5"/>
  <c r="F63" i="5" s="1"/>
  <c r="J10" i="5"/>
  <c r="J60" i="5"/>
  <c r="J42" i="5"/>
  <c r="J11" i="5"/>
  <c r="J61" i="5"/>
  <c r="J62" i="5"/>
  <c r="J16" i="5"/>
  <c r="F16" i="5" s="1"/>
  <c r="J17" i="5"/>
  <c r="J46" i="5"/>
  <c r="F46" i="5" s="1"/>
  <c r="J69" i="5"/>
  <c r="J70" i="5"/>
  <c r="J47" i="5"/>
  <c r="J71" i="5"/>
  <c r="J18" i="5"/>
  <c r="J15" i="5"/>
  <c r="J65" i="5"/>
  <c r="J66" i="5"/>
  <c r="F66" i="5" s="1"/>
  <c r="J19" i="5"/>
  <c r="J48" i="5"/>
  <c r="J49" i="5"/>
  <c r="J72" i="5"/>
  <c r="J73" i="5"/>
  <c r="J50" i="5"/>
  <c r="J20" i="5"/>
  <c r="J52" i="5"/>
  <c r="F52" i="5" s="1"/>
  <c r="J79" i="5"/>
  <c r="J85" i="5"/>
  <c r="O85" i="5" s="1"/>
  <c r="J86" i="5"/>
  <c r="O86" i="5" s="1"/>
  <c r="J51" i="5"/>
  <c r="J89" i="5"/>
  <c r="Q89" i="5" s="1"/>
  <c r="J5" i="5"/>
  <c r="F5" i="5" s="1"/>
  <c r="J147" i="4"/>
  <c r="O147" i="4" s="1"/>
  <c r="J107" i="4"/>
  <c r="J4" i="4"/>
  <c r="F4" i="4" s="1"/>
  <c r="Q4" i="4" s="1"/>
  <c r="J15" i="4"/>
  <c r="J16" i="4"/>
  <c r="J46" i="4"/>
  <c r="J47" i="4"/>
  <c r="J17" i="4"/>
  <c r="J50" i="4"/>
  <c r="F50" i="4" s="1"/>
  <c r="J150" i="4"/>
  <c r="O150" i="4" s="1"/>
  <c r="J88" i="4"/>
  <c r="F88" i="4" s="1"/>
  <c r="J92" i="4"/>
  <c r="J89" i="4"/>
  <c r="O89" i="4" s="1"/>
  <c r="J90" i="4"/>
  <c r="O90" i="4" s="1"/>
  <c r="J91" i="4"/>
  <c r="O91" i="4" s="1"/>
  <c r="J86" i="4"/>
  <c r="F86" i="4" s="1"/>
  <c r="J87" i="4"/>
  <c r="Q87" i="4" s="1"/>
  <c r="J100" i="4"/>
  <c r="F100" i="4" s="1"/>
  <c r="J99" i="4"/>
  <c r="J93" i="4"/>
  <c r="F93" i="4" s="1"/>
  <c r="J98" i="4"/>
  <c r="F98" i="4" s="1"/>
  <c r="J68" i="4"/>
  <c r="F68" i="4" s="1"/>
  <c r="J69" i="4"/>
  <c r="F69" i="4" s="1"/>
  <c r="J59" i="4"/>
  <c r="F59" i="4" s="1"/>
  <c r="J60" i="4"/>
  <c r="F60" i="4" s="1"/>
  <c r="J94" i="4"/>
  <c r="J72" i="4"/>
  <c r="F72" i="4" s="1"/>
  <c r="J75" i="4"/>
  <c r="F75" i="4" s="1"/>
  <c r="J67" i="4"/>
  <c r="F67" i="4" s="1"/>
  <c r="J123" i="10"/>
  <c r="F123" i="10" s="1"/>
  <c r="J5" i="8"/>
  <c r="F5" i="8" s="1"/>
  <c r="P5" i="8" s="1"/>
  <c r="J181" i="10"/>
  <c r="N181" i="10" s="1"/>
  <c r="J182" i="10"/>
  <c r="N182" i="10" s="1"/>
  <c r="J176" i="10"/>
  <c r="F176" i="10" s="1"/>
  <c r="J184" i="10"/>
  <c r="F184" i="10" s="1"/>
  <c r="J179" i="10"/>
  <c r="F179" i="10" s="1"/>
  <c r="O179" i="10" s="1"/>
  <c r="J124" i="10"/>
  <c r="F124" i="10" s="1"/>
  <c r="O124" i="10" s="1"/>
  <c r="J177" i="10"/>
  <c r="F177" i="10" s="1"/>
  <c r="J125" i="10"/>
  <c r="F125" i="10" s="1"/>
  <c r="O125" i="10" s="1"/>
  <c r="J178" i="10"/>
  <c r="F178" i="10" s="1"/>
  <c r="J185" i="10"/>
  <c r="F185" i="10" s="1"/>
  <c r="O185" i="10" s="1"/>
  <c r="J134" i="10"/>
  <c r="O134" i="10" s="1"/>
  <c r="J186" i="10"/>
  <c r="N186" i="10" s="1"/>
  <c r="J138" i="10"/>
  <c r="F138" i="10" s="1"/>
  <c r="J157" i="10"/>
  <c r="F157" i="10" s="1"/>
  <c r="J257" i="10"/>
  <c r="Q257" i="10" s="1"/>
  <c r="J258" i="10"/>
  <c r="P258" i="10" s="1"/>
  <c r="J163" i="10"/>
  <c r="N163" i="10" s="1"/>
  <c r="J180" i="10"/>
  <c r="N180" i="10" s="1"/>
  <c r="J132" i="10"/>
  <c r="F132" i="10" s="1"/>
  <c r="J127" i="10"/>
  <c r="F127" i="10" s="1"/>
  <c r="J129" i="10"/>
  <c r="N129" i="10" s="1"/>
  <c r="J107" i="10"/>
  <c r="F107" i="10" s="1"/>
  <c r="J126" i="10"/>
  <c r="F126" i="10" s="1"/>
  <c r="O126" i="10" s="1"/>
  <c r="J135" i="10"/>
  <c r="F135" i="10" s="1"/>
  <c r="J136" i="10"/>
  <c r="F136" i="10" s="1"/>
  <c r="J154" i="10"/>
  <c r="N154" i="10" s="1"/>
  <c r="J137" i="10"/>
  <c r="F137" i="10" s="1"/>
  <c r="J110" i="10"/>
  <c r="F110" i="10" s="1"/>
  <c r="J156" i="10"/>
  <c r="N156" i="10" s="1"/>
  <c r="J232" i="10"/>
  <c r="O232" i="10" s="1"/>
  <c r="J233" i="10"/>
  <c r="O233" i="10" s="1"/>
  <c r="J160" i="10"/>
  <c r="N160" i="10" s="1"/>
  <c r="J161" i="10"/>
  <c r="N161" i="10" s="1"/>
  <c r="J141" i="10"/>
  <c r="N141" i="10" s="1"/>
  <c r="J142" i="10"/>
  <c r="F142" i="10" s="1"/>
  <c r="J152" i="10"/>
  <c r="N152" i="10" s="1"/>
  <c r="J133" i="10"/>
  <c r="F133" i="10" s="1"/>
  <c r="J131" i="10"/>
  <c r="O131" i="10" s="1"/>
  <c r="J23" i="10"/>
  <c r="J244" i="10"/>
  <c r="Q244" i="10" s="1"/>
  <c r="J151" i="10"/>
  <c r="F151" i="10" s="1"/>
  <c r="J155" i="10"/>
  <c r="N155" i="10" s="1"/>
  <c r="J115" i="10"/>
  <c r="J116" i="10"/>
  <c r="J215" i="10"/>
  <c r="O215" i="10" s="1"/>
  <c r="J216" i="10"/>
  <c r="O216" i="10" s="1"/>
  <c r="J111" i="10"/>
  <c r="J112" i="10"/>
  <c r="J30" i="10"/>
  <c r="J22" i="10"/>
  <c r="J109" i="10"/>
  <c r="J65" i="10"/>
  <c r="J62" i="10"/>
  <c r="F62" i="10" s="1"/>
  <c r="J83" i="10"/>
  <c r="J85" i="10"/>
  <c r="J45" i="10"/>
  <c r="F45" i="10" s="1"/>
  <c r="J46" i="10"/>
  <c r="F46" i="10" s="1"/>
  <c r="P46" i="10" s="1"/>
  <c r="J53" i="10"/>
  <c r="J51" i="10"/>
  <c r="J52" i="10"/>
  <c r="J54" i="10"/>
  <c r="J71" i="10"/>
  <c r="J44" i="10"/>
  <c r="F44" i="10" s="1"/>
  <c r="Q44" i="10" s="1"/>
  <c r="J48" i="10"/>
  <c r="F48" i="10" s="1"/>
  <c r="J63" i="10"/>
  <c r="O95" i="10"/>
  <c r="J206" i="10"/>
  <c r="P206" i="10" s="1"/>
  <c r="J207" i="10"/>
  <c r="Q207" i="10" s="1"/>
  <c r="J55" i="10"/>
  <c r="J57" i="10"/>
  <c r="O57" i="10" s="1"/>
  <c r="J49" i="10"/>
  <c r="J5" i="10"/>
  <c r="F5" i="10" s="1"/>
  <c r="Q5" i="10" s="1"/>
  <c r="J6" i="10"/>
  <c r="J7" i="10"/>
  <c r="J4" i="10"/>
  <c r="F4" i="10" s="1"/>
  <c r="O4" i="10" s="1"/>
  <c r="J6" i="9"/>
  <c r="F6" i="9" s="1"/>
  <c r="J5" i="9"/>
  <c r="F5" i="9" s="1"/>
  <c r="J50" i="9"/>
  <c r="F50" i="9" s="1"/>
  <c r="J31" i="9"/>
  <c r="F31" i="9" s="1"/>
  <c r="J122" i="9"/>
  <c r="F122" i="9" s="1"/>
  <c r="J123" i="9"/>
  <c r="F123" i="9" s="1"/>
  <c r="J51" i="9"/>
  <c r="F51" i="9" s="1"/>
  <c r="J7" i="9"/>
  <c r="F7" i="9" s="1"/>
  <c r="J8" i="9"/>
  <c r="J53" i="9"/>
  <c r="J90" i="9"/>
  <c r="J34" i="9"/>
  <c r="F34" i="9" s="1"/>
  <c r="J35" i="9"/>
  <c r="F35" i="9" s="1"/>
  <c r="J92" i="9"/>
  <c r="J125" i="9"/>
  <c r="F125" i="9" s="1"/>
  <c r="J55" i="9"/>
  <c r="J43" i="9"/>
  <c r="F43" i="9" s="1"/>
  <c r="J86" i="9"/>
  <c r="F86" i="9" s="1"/>
  <c r="J87" i="9"/>
  <c r="F87" i="9" s="1"/>
  <c r="J88" i="9"/>
  <c r="F88" i="9" s="1"/>
  <c r="Q88" i="9" s="1"/>
  <c r="J52" i="9"/>
  <c r="F52" i="9" s="1"/>
  <c r="J32" i="9"/>
  <c r="F32" i="9" s="1"/>
  <c r="Q32" i="9" s="1"/>
  <c r="J124" i="9"/>
  <c r="F124" i="9" s="1"/>
  <c r="J89" i="9"/>
  <c r="F89" i="9" s="1"/>
  <c r="J91" i="9"/>
  <c r="J10" i="9"/>
  <c r="J126" i="9"/>
  <c r="J94" i="9"/>
  <c r="J95" i="9"/>
  <c r="F95" i="9" s="1"/>
  <c r="J57" i="9"/>
  <c r="J11" i="9"/>
  <c r="J128" i="9"/>
  <c r="J98" i="9"/>
  <c r="J4" i="9"/>
  <c r="F4" i="9" s="1"/>
  <c r="J115" i="8"/>
  <c r="N115" i="8" s="1"/>
  <c r="J119" i="8"/>
  <c r="F119" i="8" s="1"/>
  <c r="J113" i="8"/>
  <c r="F113" i="8" s="1"/>
  <c r="J114" i="8"/>
  <c r="F114" i="8" s="1"/>
  <c r="J109" i="8"/>
  <c r="F109" i="8" s="1"/>
  <c r="J62" i="8"/>
  <c r="N62" i="8" s="1"/>
  <c r="J59" i="8"/>
  <c r="N59" i="8" s="1"/>
  <c r="J60" i="8"/>
  <c r="N60" i="8" s="1"/>
  <c r="J61" i="8"/>
  <c r="F61" i="8" s="1"/>
  <c r="P61" i="8" s="1"/>
  <c r="J65" i="8"/>
  <c r="F65" i="8" s="1"/>
  <c r="J66" i="8"/>
  <c r="F66" i="8" s="1"/>
  <c r="P66" i="8" s="1"/>
  <c r="J64" i="8"/>
  <c r="F64" i="8" s="1"/>
  <c r="P64" i="8" s="1"/>
  <c r="J63" i="8"/>
  <c r="F63" i="8" s="1"/>
  <c r="P63" i="8" s="1"/>
  <c r="J67" i="8"/>
  <c r="F67" i="8" s="1"/>
  <c r="O67" i="8" s="1"/>
  <c r="J90" i="8"/>
  <c r="F90" i="8" s="1"/>
  <c r="J91" i="8"/>
  <c r="F91" i="8" s="1"/>
  <c r="J97" i="8"/>
  <c r="F97" i="8" s="1"/>
  <c r="P97" i="8" s="1"/>
  <c r="J98" i="8"/>
  <c r="N98" i="8" s="1"/>
  <c r="J101" i="8"/>
  <c r="N101" i="8" s="1"/>
  <c r="J99" i="8"/>
  <c r="N99" i="8" s="1"/>
  <c r="J100" i="8"/>
  <c r="F100" i="8" s="1"/>
  <c r="J105" i="8"/>
  <c r="F105" i="8" s="1"/>
  <c r="J74" i="8"/>
  <c r="F74" i="8" s="1"/>
  <c r="P74" i="8" s="1"/>
  <c r="J58" i="8"/>
  <c r="F58" i="8" s="1"/>
  <c r="J6" i="8"/>
  <c r="F6" i="8" s="1"/>
  <c r="J12" i="8"/>
  <c r="F12" i="8" s="1"/>
  <c r="J10" i="8"/>
  <c r="N10" i="8" s="1"/>
  <c r="J4" i="8"/>
  <c r="F4" i="8" s="1"/>
  <c r="J9" i="8"/>
  <c r="F9" i="8" s="1"/>
  <c r="J16" i="8"/>
  <c r="F16" i="8" s="1"/>
  <c r="J7" i="8"/>
  <c r="F7" i="8" s="1"/>
  <c r="J8" i="8"/>
  <c r="F8" i="8" s="1"/>
  <c r="J13" i="8"/>
  <c r="F13" i="8" s="1"/>
  <c r="P13" i="8" s="1"/>
  <c r="J14" i="8"/>
  <c r="F14" i="8" s="1"/>
  <c r="J17" i="8"/>
  <c r="F17" i="8" s="1"/>
  <c r="P17" i="8" s="1"/>
  <c r="J19" i="8"/>
  <c r="F19" i="8" s="1"/>
  <c r="Q19" i="8" s="1"/>
  <c r="J25" i="8"/>
  <c r="F25" i="8" s="1"/>
  <c r="P25" i="8" s="1"/>
  <c r="J26" i="8"/>
  <c r="N26" i="8" s="1"/>
  <c r="J11" i="8"/>
  <c r="F11" i="8" s="1"/>
  <c r="P11" i="8" s="1"/>
  <c r="E35" i="7"/>
  <c r="E40" i="7"/>
  <c r="E41" i="7"/>
  <c r="D43" i="7"/>
  <c r="E43" i="7" s="1"/>
  <c r="D44" i="7"/>
  <c r="E44" i="7" s="1"/>
  <c r="D33" i="7"/>
  <c r="E33" i="7" s="1"/>
  <c r="D42" i="7"/>
  <c r="E42" i="7" s="1"/>
  <c r="D34" i="7"/>
  <c r="E34" i="7" s="1"/>
  <c r="D35" i="7"/>
  <c r="D36" i="7"/>
  <c r="E36" i="7" s="1"/>
  <c r="D37" i="7"/>
  <c r="E37" i="7" s="1"/>
  <c r="D38" i="7"/>
  <c r="E38" i="7" s="1"/>
  <c r="D39" i="7"/>
  <c r="E39" i="7" s="1"/>
  <c r="D40" i="7"/>
  <c r="D41" i="7"/>
  <c r="Q13" i="10" l="1"/>
  <c r="P13" i="10"/>
  <c r="O13" i="10"/>
  <c r="R13" i="10" s="1"/>
  <c r="N188" i="10"/>
  <c r="N187" i="10"/>
  <c r="J99" i="10"/>
  <c r="F18" i="8"/>
  <c r="N94" i="8"/>
  <c r="N116" i="8"/>
  <c r="N33" i="8"/>
  <c r="Q196" i="9"/>
  <c r="P196" i="9"/>
  <c r="O196" i="9"/>
  <c r="R196" i="9" s="1"/>
  <c r="Q105" i="10"/>
  <c r="O105" i="10"/>
  <c r="P105" i="10"/>
  <c r="Q40" i="5"/>
  <c r="P40" i="5"/>
  <c r="O40" i="5"/>
  <c r="Q54" i="4"/>
  <c r="P54" i="4"/>
  <c r="O54" i="4"/>
  <c r="R54" i="4" s="1"/>
  <c r="F22" i="8"/>
  <c r="Q22" i="8" s="1"/>
  <c r="F103" i="8"/>
  <c r="Q103" i="8" s="1"/>
  <c r="O21" i="8"/>
  <c r="P21" i="8"/>
  <c r="O102" i="8"/>
  <c r="Q102" i="8"/>
  <c r="N68" i="8"/>
  <c r="N42" i="8"/>
  <c r="N66" i="8"/>
  <c r="N41" i="8"/>
  <c r="N65" i="8"/>
  <c r="N40" i="8"/>
  <c r="N64" i="8"/>
  <c r="N86" i="8"/>
  <c r="N83" i="8"/>
  <c r="N100" i="8"/>
  <c r="N120" i="8"/>
  <c r="N114" i="8"/>
  <c r="N81" i="8"/>
  <c r="N47" i="8"/>
  <c r="N80" i="8"/>
  <c r="N44" i="8"/>
  <c r="F166" i="10"/>
  <c r="Q166" i="10" s="1"/>
  <c r="F167" i="10"/>
  <c r="N119" i="10"/>
  <c r="O119" i="10"/>
  <c r="P119" i="10"/>
  <c r="Q119" i="10"/>
  <c r="F118" i="10"/>
  <c r="N157" i="10"/>
  <c r="N143" i="10"/>
  <c r="N142" i="10"/>
  <c r="N127" i="10"/>
  <c r="N126" i="10"/>
  <c r="N124" i="10"/>
  <c r="N123" i="10"/>
  <c r="N202" i="10"/>
  <c r="F165" i="10"/>
  <c r="Q165" i="10" s="1"/>
  <c r="N200" i="10"/>
  <c r="F199" i="10"/>
  <c r="O199" i="10" s="1"/>
  <c r="F164" i="10"/>
  <c r="P165" i="10"/>
  <c r="F52" i="8"/>
  <c r="Q51" i="8"/>
  <c r="O51" i="8"/>
  <c r="P51" i="8"/>
  <c r="N51" i="8"/>
  <c r="Q12" i="10"/>
  <c r="P12" i="10"/>
  <c r="O12" i="10"/>
  <c r="Q11" i="10"/>
  <c r="P11" i="10"/>
  <c r="O11" i="10"/>
  <c r="N159" i="10"/>
  <c r="N203" i="10"/>
  <c r="N153" i="10"/>
  <c r="N140" i="10"/>
  <c r="N196" i="10"/>
  <c r="N139" i="10"/>
  <c r="N191" i="10"/>
  <c r="N138" i="10"/>
  <c r="N190" i="10"/>
  <c r="N137" i="10"/>
  <c r="N189" i="10"/>
  <c r="N134" i="10"/>
  <c r="O66" i="10"/>
  <c r="P66" i="10"/>
  <c r="N158" i="10"/>
  <c r="N201" i="10"/>
  <c r="N136" i="10"/>
  <c r="N149" i="10"/>
  <c r="N195" i="10"/>
  <c r="N176" i="10"/>
  <c r="N147" i="10"/>
  <c r="N131" i="10"/>
  <c r="N132" i="10"/>
  <c r="N194" i="10"/>
  <c r="N146" i="10"/>
  <c r="N130" i="10"/>
  <c r="N185" i="10"/>
  <c r="N184" i="10"/>
  <c r="N183" i="10"/>
  <c r="N148" i="10"/>
  <c r="N192" i="10"/>
  <c r="N162" i="10"/>
  <c r="N145" i="10"/>
  <c r="N125" i="10"/>
  <c r="N135" i="10"/>
  <c r="N150" i="10"/>
  <c r="N133" i="10"/>
  <c r="N177" i="10"/>
  <c r="N144" i="10"/>
  <c r="N128" i="10"/>
  <c r="N193" i="10"/>
  <c r="Q149" i="9"/>
  <c r="P149" i="9"/>
  <c r="O149" i="9"/>
  <c r="F204" i="10"/>
  <c r="Q204" i="10" s="1"/>
  <c r="O103" i="8"/>
  <c r="P103" i="8"/>
  <c r="Q195" i="9"/>
  <c r="O195" i="9"/>
  <c r="P195" i="9"/>
  <c r="Q139" i="4"/>
  <c r="P139" i="4"/>
  <c r="O139" i="4"/>
  <c r="R139" i="4" s="1"/>
  <c r="N179" i="10"/>
  <c r="N178" i="10"/>
  <c r="Q138" i="4"/>
  <c r="P138" i="4"/>
  <c r="O138" i="4"/>
  <c r="P102" i="8"/>
  <c r="F38" i="8"/>
  <c r="Q38" i="8" s="1"/>
  <c r="F37" i="8"/>
  <c r="N76" i="8"/>
  <c r="N110" i="8"/>
  <c r="N14" i="8"/>
  <c r="N75" i="8"/>
  <c r="N93" i="8"/>
  <c r="N4" i="8"/>
  <c r="N32" i="8"/>
  <c r="N13" i="8"/>
  <c r="N74" i="8"/>
  <c r="N58" i="8"/>
  <c r="N92" i="8"/>
  <c r="N50" i="8"/>
  <c r="N31" i="8"/>
  <c r="N12" i="8"/>
  <c r="N73" i="8"/>
  <c r="N87" i="8"/>
  <c r="N91" i="8"/>
  <c r="N49" i="8"/>
  <c r="N30" i="8"/>
  <c r="N11" i="8"/>
  <c r="N72" i="8"/>
  <c r="N109" i="8"/>
  <c r="N48" i="8"/>
  <c r="N29" i="8"/>
  <c r="N71" i="8"/>
  <c r="N85" i="8"/>
  <c r="N121" i="8"/>
  <c r="N28" i="8"/>
  <c r="N9" i="8"/>
  <c r="N70" i="8"/>
  <c r="N84" i="8"/>
  <c r="N46" i="8"/>
  <c r="N27" i="8"/>
  <c r="N8" i="8"/>
  <c r="N69" i="8"/>
  <c r="N119" i="8"/>
  <c r="N45" i="8"/>
  <c r="N7" i="8"/>
  <c r="N82" i="8"/>
  <c r="N118" i="8"/>
  <c r="N25" i="8"/>
  <c r="N6" i="8"/>
  <c r="N67" i="8"/>
  <c r="N117" i="8"/>
  <c r="N43" i="8"/>
  <c r="N24" i="8"/>
  <c r="N5" i="8"/>
  <c r="N23" i="8"/>
  <c r="N19" i="8"/>
  <c r="N79" i="8"/>
  <c r="N63" i="8"/>
  <c r="N97" i="8"/>
  <c r="N113" i="8"/>
  <c r="N39" i="8"/>
  <c r="N17" i="8"/>
  <c r="N78" i="8"/>
  <c r="N96" i="8"/>
  <c r="N112" i="8"/>
  <c r="N35" i="8"/>
  <c r="N16" i="8"/>
  <c r="F99" i="8"/>
  <c r="O99" i="8" s="1"/>
  <c r="N77" i="8"/>
  <c r="N61" i="8"/>
  <c r="N95" i="8"/>
  <c r="N111" i="8"/>
  <c r="N34" i="8"/>
  <c r="N15" i="8"/>
  <c r="N90" i="8"/>
  <c r="N151" i="10"/>
  <c r="Q36" i="10"/>
  <c r="P36" i="10"/>
  <c r="O36" i="10"/>
  <c r="Q10" i="10"/>
  <c r="P10" i="10"/>
  <c r="O10" i="10"/>
  <c r="Q74" i="5"/>
  <c r="P74" i="5"/>
  <c r="O74" i="5"/>
  <c r="R74" i="5" s="1"/>
  <c r="Q117" i="10"/>
  <c r="P117" i="10"/>
  <c r="O117" i="10"/>
  <c r="O100" i="10"/>
  <c r="P100" i="10"/>
  <c r="Q26" i="5"/>
  <c r="P26" i="5"/>
  <c r="O26" i="5"/>
  <c r="O52" i="4"/>
  <c r="P52" i="4"/>
  <c r="Q66" i="4"/>
  <c r="O88" i="4"/>
  <c r="Q51" i="4"/>
  <c r="P51" i="4"/>
  <c r="O51" i="4"/>
  <c r="O201" i="10"/>
  <c r="P201" i="10"/>
  <c r="O41" i="4"/>
  <c r="Q41" i="4"/>
  <c r="P41" i="4"/>
  <c r="Q64" i="4"/>
  <c r="O71" i="4"/>
  <c r="O76" i="4"/>
  <c r="P76" i="4"/>
  <c r="O122" i="4"/>
  <c r="P122" i="4"/>
  <c r="Q122" i="4"/>
  <c r="O93" i="4"/>
  <c r="F118" i="4"/>
  <c r="O118" i="4" s="1"/>
  <c r="Q119" i="4"/>
  <c r="P119" i="4"/>
  <c r="R119" i="4" s="1"/>
  <c r="Q84" i="10"/>
  <c r="P84" i="10"/>
  <c r="O84" i="10"/>
  <c r="F163" i="10"/>
  <c r="O163" i="10" s="1"/>
  <c r="Q48" i="4"/>
  <c r="P48" i="4"/>
  <c r="O48" i="4"/>
  <c r="F79" i="5"/>
  <c r="O79" i="5" s="1"/>
  <c r="F25" i="5"/>
  <c r="Q25" i="5" s="1"/>
  <c r="O121" i="4"/>
  <c r="P121" i="4"/>
  <c r="Q121" i="4"/>
  <c r="P120" i="4"/>
  <c r="Q120" i="4"/>
  <c r="Q50" i="4"/>
  <c r="F101" i="8"/>
  <c r="P101" i="8" s="1"/>
  <c r="O73" i="9"/>
  <c r="P73" i="9"/>
  <c r="Q141" i="9"/>
  <c r="P141" i="9"/>
  <c r="O141" i="9"/>
  <c r="Q200" i="10"/>
  <c r="P200" i="10"/>
  <c r="R200" i="10" s="1"/>
  <c r="Q199" i="10"/>
  <c r="F116" i="10"/>
  <c r="O116" i="10" s="1"/>
  <c r="P199" i="10"/>
  <c r="Q203" i="10"/>
  <c r="P203" i="10"/>
  <c r="Q202" i="10"/>
  <c r="P202" i="10"/>
  <c r="F98" i="8"/>
  <c r="O98" i="8" s="1"/>
  <c r="F115" i="10"/>
  <c r="O115" i="10" s="1"/>
  <c r="Q49" i="4"/>
  <c r="P49" i="4"/>
  <c r="O49" i="4"/>
  <c r="F113" i="9"/>
  <c r="O113" i="9" s="1"/>
  <c r="F38" i="9"/>
  <c r="O38" i="9" s="1"/>
  <c r="F80" i="9"/>
  <c r="P80" i="9" s="1"/>
  <c r="Q74" i="9"/>
  <c r="P74" i="9"/>
  <c r="O74" i="9"/>
  <c r="Q101" i="4"/>
  <c r="P101" i="4"/>
  <c r="O101" i="4"/>
  <c r="Q86" i="4"/>
  <c r="O46" i="9"/>
  <c r="P46" i="9"/>
  <c r="O86" i="8"/>
  <c r="P86" i="8"/>
  <c r="O104" i="9"/>
  <c r="P104" i="9"/>
  <c r="Q71" i="9"/>
  <c r="P71" i="9"/>
  <c r="O71" i="9"/>
  <c r="Q139" i="9"/>
  <c r="P139" i="9"/>
  <c r="O139" i="9"/>
  <c r="Q196" i="10"/>
  <c r="P196" i="10"/>
  <c r="O196" i="10"/>
  <c r="Q193" i="9"/>
  <c r="P193" i="9"/>
  <c r="O193" i="9"/>
  <c r="O194" i="9"/>
  <c r="P194" i="9"/>
  <c r="Q192" i="9"/>
  <c r="P192" i="9"/>
  <c r="O192" i="9"/>
  <c r="P65" i="4"/>
  <c r="Q65" i="4"/>
  <c r="O65" i="4"/>
  <c r="P66" i="4"/>
  <c r="O66" i="4"/>
  <c r="Q63" i="4"/>
  <c r="P63" i="4"/>
  <c r="O63" i="4"/>
  <c r="Q62" i="4"/>
  <c r="P62" i="4"/>
  <c r="O62" i="4"/>
  <c r="O61" i="4"/>
  <c r="P61" i="4"/>
  <c r="J135" i="4"/>
  <c r="O64" i="4"/>
  <c r="P64" i="4"/>
  <c r="O124" i="4"/>
  <c r="P124" i="4"/>
  <c r="O59" i="4"/>
  <c r="O67" i="4"/>
  <c r="Q73" i="4"/>
  <c r="P73" i="4"/>
  <c r="O73" i="4"/>
  <c r="O24" i="5"/>
  <c r="P24" i="5"/>
  <c r="Q23" i="5"/>
  <c r="P23" i="5"/>
  <c r="O23" i="5"/>
  <c r="O22" i="5"/>
  <c r="P22" i="5"/>
  <c r="Q21" i="5"/>
  <c r="P21" i="5"/>
  <c r="O21" i="5"/>
  <c r="O78" i="9"/>
  <c r="P78" i="9"/>
  <c r="O79" i="9"/>
  <c r="P79" i="9"/>
  <c r="O148" i="9"/>
  <c r="P148" i="9"/>
  <c r="Q147" i="9"/>
  <c r="P147" i="9"/>
  <c r="O147" i="9"/>
  <c r="Q121" i="8"/>
  <c r="P121" i="8"/>
  <c r="O121" i="8"/>
  <c r="Q48" i="8"/>
  <c r="P48" i="8"/>
  <c r="O48" i="8"/>
  <c r="O96" i="8"/>
  <c r="P96" i="8"/>
  <c r="Q95" i="8"/>
  <c r="P95" i="8"/>
  <c r="O95" i="8"/>
  <c r="Q180" i="9"/>
  <c r="P180" i="9"/>
  <c r="O180" i="9"/>
  <c r="Q21" i="10"/>
  <c r="P21" i="10"/>
  <c r="O21" i="10"/>
  <c r="Q20" i="10"/>
  <c r="P20" i="10"/>
  <c r="O20" i="10"/>
  <c r="O9" i="10"/>
  <c r="Q9" i="10"/>
  <c r="P9" i="10"/>
  <c r="O94" i="8"/>
  <c r="P94" i="8"/>
  <c r="O162" i="10"/>
  <c r="P162" i="10"/>
  <c r="O47" i="8"/>
  <c r="P47" i="8"/>
  <c r="Q53" i="4"/>
  <c r="P53" i="4"/>
  <c r="O53" i="4"/>
  <c r="O120" i="8"/>
  <c r="P120" i="8"/>
  <c r="P71" i="4"/>
  <c r="Q71" i="4"/>
  <c r="Q70" i="4"/>
  <c r="P70" i="4"/>
  <c r="O70" i="4"/>
  <c r="Q68" i="5"/>
  <c r="P68" i="5"/>
  <c r="O68" i="5"/>
  <c r="Q67" i="5"/>
  <c r="P67" i="5"/>
  <c r="O67" i="5"/>
  <c r="O117" i="4"/>
  <c r="P117" i="4"/>
  <c r="Q117" i="4"/>
  <c r="O116" i="4"/>
  <c r="P116" i="4"/>
  <c r="Q116" i="4"/>
  <c r="O115" i="4"/>
  <c r="P115" i="4"/>
  <c r="Q115" i="4"/>
  <c r="O113" i="4"/>
  <c r="P113" i="4"/>
  <c r="Q113" i="4"/>
  <c r="O112" i="4"/>
  <c r="P112" i="4"/>
  <c r="Q112" i="4"/>
  <c r="O109" i="4"/>
  <c r="P109" i="4"/>
  <c r="Q109" i="4"/>
  <c r="P111" i="4"/>
  <c r="O111" i="4"/>
  <c r="Q118" i="4"/>
  <c r="Q110" i="4"/>
  <c r="P118" i="4"/>
  <c r="P110" i="4"/>
  <c r="Q114" i="4"/>
  <c r="P114" i="4"/>
  <c r="Q14" i="4"/>
  <c r="P14" i="4"/>
  <c r="O14" i="4"/>
  <c r="O189" i="10"/>
  <c r="P189" i="10"/>
  <c r="O73" i="8"/>
  <c r="P73" i="8"/>
  <c r="O72" i="8"/>
  <c r="P72" i="8"/>
  <c r="O188" i="10"/>
  <c r="P188" i="10"/>
  <c r="O187" i="10"/>
  <c r="P187" i="10"/>
  <c r="O59" i="10"/>
  <c r="P59" i="10"/>
  <c r="Q140" i="10"/>
  <c r="P140" i="10"/>
  <c r="O140" i="10"/>
  <c r="Q58" i="10"/>
  <c r="P58" i="10"/>
  <c r="O58" i="10"/>
  <c r="Q139" i="10"/>
  <c r="P139" i="10"/>
  <c r="O139" i="10"/>
  <c r="O71" i="8"/>
  <c r="P71" i="8"/>
  <c r="F20" i="8"/>
  <c r="Q20" i="8" s="1"/>
  <c r="Q23" i="8"/>
  <c r="P23" i="8"/>
  <c r="O23" i="8"/>
  <c r="Q61" i="10"/>
  <c r="P61" i="10"/>
  <c r="O61" i="10"/>
  <c r="Q60" i="10"/>
  <c r="P60" i="10"/>
  <c r="O60" i="10"/>
  <c r="J81" i="10"/>
  <c r="J93" i="10"/>
  <c r="Q127" i="9"/>
  <c r="P127" i="9"/>
  <c r="O127" i="9"/>
  <c r="O183" i="9"/>
  <c r="P183" i="9"/>
  <c r="Q45" i="9"/>
  <c r="P45" i="9"/>
  <c r="O45" i="9"/>
  <c r="F37" i="9"/>
  <c r="O37" i="9" s="1"/>
  <c r="O96" i="9"/>
  <c r="P96" i="9"/>
  <c r="Q59" i="9"/>
  <c r="P59" i="9"/>
  <c r="O59" i="9"/>
  <c r="Q58" i="9"/>
  <c r="P58" i="9"/>
  <c r="O58" i="9"/>
  <c r="Q35" i="10"/>
  <c r="P35" i="10"/>
  <c r="O35" i="10"/>
  <c r="Q34" i="10"/>
  <c r="P34" i="10"/>
  <c r="O34" i="10"/>
  <c r="Q33" i="10"/>
  <c r="P33" i="10"/>
  <c r="O33" i="10"/>
  <c r="O29" i="10"/>
  <c r="P29" i="10"/>
  <c r="Q56" i="9"/>
  <c r="P56" i="9"/>
  <c r="O56" i="9"/>
  <c r="O54" i="9"/>
  <c r="P54" i="9"/>
  <c r="Q183" i="10"/>
  <c r="P183" i="10"/>
  <c r="O183" i="10"/>
  <c r="O93" i="9"/>
  <c r="P93" i="9"/>
  <c r="Q8" i="4"/>
  <c r="P8" i="4"/>
  <c r="O8" i="4"/>
  <c r="O100" i="4"/>
  <c r="F47" i="4"/>
  <c r="O47" i="4" s="1"/>
  <c r="O130" i="10"/>
  <c r="P130" i="10"/>
  <c r="Q36" i="9"/>
  <c r="P36" i="9"/>
  <c r="O36" i="9"/>
  <c r="O9" i="9"/>
  <c r="P9" i="9"/>
  <c r="O75" i="4"/>
  <c r="Q157" i="9"/>
  <c r="O157" i="9"/>
  <c r="P157" i="9"/>
  <c r="F161" i="10"/>
  <c r="O161" i="10" s="1"/>
  <c r="Q15" i="8"/>
  <c r="P15" i="8"/>
  <c r="O15" i="8"/>
  <c r="F160" i="10"/>
  <c r="O160" i="10" s="1"/>
  <c r="F85" i="10"/>
  <c r="O85" i="10" s="1"/>
  <c r="F83" i="10"/>
  <c r="P83" i="10" s="1"/>
  <c r="O171" i="9"/>
  <c r="F170" i="9"/>
  <c r="O170" i="9" s="1"/>
  <c r="P171" i="9"/>
  <c r="Q112" i="9"/>
  <c r="P112" i="9"/>
  <c r="P191" i="9"/>
  <c r="O190" i="9"/>
  <c r="O77" i="9"/>
  <c r="P77" i="9"/>
  <c r="F25" i="9"/>
  <c r="O25" i="9" s="1"/>
  <c r="O24" i="9"/>
  <c r="F111" i="10"/>
  <c r="O111" i="10" s="1"/>
  <c r="Q43" i="8"/>
  <c r="P43" i="8"/>
  <c r="O43" i="8"/>
  <c r="P39" i="8"/>
  <c r="Q46" i="8"/>
  <c r="P46" i="8"/>
  <c r="O46" i="8"/>
  <c r="Q39" i="8"/>
  <c r="Q41" i="8"/>
  <c r="P41" i="8"/>
  <c r="Q40" i="8"/>
  <c r="P40" i="8"/>
  <c r="Q42" i="8"/>
  <c r="P42" i="8"/>
  <c r="Q45" i="8"/>
  <c r="P45" i="8"/>
  <c r="O45" i="8"/>
  <c r="Q44" i="9"/>
  <c r="O44" i="9"/>
  <c r="P44" i="9"/>
  <c r="O32" i="10"/>
  <c r="P32" i="10"/>
  <c r="F30" i="10"/>
  <c r="O30" i="10" s="1"/>
  <c r="Q31" i="10"/>
  <c r="O31" i="10"/>
  <c r="P31" i="10"/>
  <c r="F51" i="5"/>
  <c r="P51" i="5" s="1"/>
  <c r="O25" i="5"/>
  <c r="P25" i="5"/>
  <c r="O52" i="5"/>
  <c r="F72" i="5"/>
  <c r="Q72" i="5" s="1"/>
  <c r="Q4" i="5"/>
  <c r="F20" i="5"/>
  <c r="P20" i="5" s="1"/>
  <c r="O98" i="4"/>
  <c r="F99" i="4"/>
  <c r="Q99" i="4" s="1"/>
  <c r="F72" i="10"/>
  <c r="O72" i="10" s="1"/>
  <c r="Q158" i="10"/>
  <c r="Q159" i="10"/>
  <c r="F156" i="10"/>
  <c r="O156" i="10" s="1"/>
  <c r="O158" i="10"/>
  <c r="P158" i="10"/>
  <c r="O159" i="10"/>
  <c r="P159" i="10"/>
  <c r="Q157" i="10"/>
  <c r="O198" i="10"/>
  <c r="P93" i="8"/>
  <c r="O113" i="10"/>
  <c r="P113" i="10"/>
  <c r="Q113" i="10"/>
  <c r="F71" i="10"/>
  <c r="P71" i="10" s="1"/>
  <c r="O110" i="10"/>
  <c r="F155" i="10"/>
  <c r="Q155" i="10" s="1"/>
  <c r="O28" i="10"/>
  <c r="P28" i="10"/>
  <c r="Q27" i="10"/>
  <c r="P27" i="10"/>
  <c r="O27" i="10"/>
  <c r="F26" i="10"/>
  <c r="Q26" i="10" s="1"/>
  <c r="F169" i="9"/>
  <c r="Q169" i="9" s="1"/>
  <c r="O168" i="9"/>
  <c r="P168" i="9"/>
  <c r="Q168" i="9"/>
  <c r="F146" i="9"/>
  <c r="O146" i="9" s="1"/>
  <c r="P76" i="9"/>
  <c r="F145" i="9"/>
  <c r="O145" i="9" s="1"/>
  <c r="F111" i="9"/>
  <c r="P111" i="9" s="1"/>
  <c r="F110" i="9"/>
  <c r="O110" i="9" s="1"/>
  <c r="F109" i="9"/>
  <c r="O109" i="9" s="1"/>
  <c r="O75" i="9"/>
  <c r="F49" i="5"/>
  <c r="O49" i="5" s="1"/>
  <c r="F50" i="5"/>
  <c r="Q50" i="5" s="1"/>
  <c r="F73" i="5"/>
  <c r="O73" i="5" s="1"/>
  <c r="F48" i="5"/>
  <c r="P48" i="5" s="1"/>
  <c r="F19" i="5"/>
  <c r="O19" i="5" s="1"/>
  <c r="Q24" i="8"/>
  <c r="P24" i="8"/>
  <c r="O24" i="8"/>
  <c r="O20" i="4"/>
  <c r="P20" i="4"/>
  <c r="Q19" i="4"/>
  <c r="O19" i="4"/>
  <c r="P19" i="4"/>
  <c r="Q18" i="4"/>
  <c r="O18" i="4"/>
  <c r="P18" i="4"/>
  <c r="F46" i="4"/>
  <c r="O46" i="4" s="1"/>
  <c r="F17" i="4"/>
  <c r="Q17" i="4" s="1"/>
  <c r="Q69" i="4"/>
  <c r="Q128" i="10"/>
  <c r="P128" i="10"/>
  <c r="O128" i="10"/>
  <c r="P76" i="5"/>
  <c r="Q76" i="5"/>
  <c r="O76" i="5"/>
  <c r="O77" i="5"/>
  <c r="P77" i="5"/>
  <c r="O78" i="5"/>
  <c r="P78" i="5"/>
  <c r="O112" i="8"/>
  <c r="P112" i="8"/>
  <c r="Q112" i="8"/>
  <c r="O111" i="8"/>
  <c r="P111" i="8"/>
  <c r="Q111" i="8"/>
  <c r="Q110" i="8"/>
  <c r="P110" i="8"/>
  <c r="O110" i="8"/>
  <c r="F197" i="10"/>
  <c r="O197" i="10" s="1"/>
  <c r="F141" i="10"/>
  <c r="O141" i="10" s="1"/>
  <c r="O142" i="10"/>
  <c r="F112" i="10"/>
  <c r="O112" i="10" s="1"/>
  <c r="Q193" i="10"/>
  <c r="O193" i="10"/>
  <c r="P193" i="10"/>
  <c r="O191" i="10"/>
  <c r="P191" i="10"/>
  <c r="Q190" i="10"/>
  <c r="P190" i="10"/>
  <c r="O190" i="10"/>
  <c r="F16" i="4"/>
  <c r="O16" i="4" s="1"/>
  <c r="F15" i="4"/>
  <c r="P15" i="4" s="1"/>
  <c r="O33" i="5"/>
  <c r="P33" i="5"/>
  <c r="F47" i="5"/>
  <c r="O47" i="5" s="1"/>
  <c r="F71" i="5"/>
  <c r="O71" i="5" s="1"/>
  <c r="F18" i="5"/>
  <c r="P18" i="5" s="1"/>
  <c r="O34" i="5"/>
  <c r="P34" i="5"/>
  <c r="O195" i="10"/>
  <c r="P195" i="10"/>
  <c r="Q194" i="10"/>
  <c r="P194" i="10"/>
  <c r="O194" i="10"/>
  <c r="Q85" i="8"/>
  <c r="P85" i="8"/>
  <c r="O85" i="8"/>
  <c r="O87" i="8"/>
  <c r="P87" i="8"/>
  <c r="P138" i="9"/>
  <c r="O138" i="9"/>
  <c r="Q138" i="9"/>
  <c r="O140" i="9"/>
  <c r="P140" i="9"/>
  <c r="Q72" i="9"/>
  <c r="P72" i="9"/>
  <c r="O72" i="9"/>
  <c r="Q70" i="9"/>
  <c r="P70" i="9"/>
  <c r="O70" i="9"/>
  <c r="O135" i="9"/>
  <c r="P135" i="9"/>
  <c r="Q187" i="9"/>
  <c r="P187" i="9"/>
  <c r="O187" i="9"/>
  <c r="O25" i="10"/>
  <c r="P25" i="10"/>
  <c r="O84" i="8"/>
  <c r="P84" i="8"/>
  <c r="Q137" i="9"/>
  <c r="P137" i="9"/>
  <c r="O137" i="9"/>
  <c r="Q186" i="9"/>
  <c r="P186" i="9"/>
  <c r="O186" i="9"/>
  <c r="O45" i="4"/>
  <c r="P45" i="4"/>
  <c r="O44" i="4"/>
  <c r="P44" i="4"/>
  <c r="O43" i="4"/>
  <c r="P43" i="4"/>
  <c r="O42" i="4"/>
  <c r="P42" i="4"/>
  <c r="O40" i="4"/>
  <c r="P40" i="4"/>
  <c r="Q39" i="4"/>
  <c r="P39" i="4"/>
  <c r="O39" i="4"/>
  <c r="O38" i="4"/>
  <c r="P38" i="4"/>
  <c r="O83" i="8"/>
  <c r="P83" i="8"/>
  <c r="Q150" i="10"/>
  <c r="P150" i="10"/>
  <c r="O150" i="10"/>
  <c r="O118" i="8"/>
  <c r="P118" i="8"/>
  <c r="Q97" i="8"/>
  <c r="Q108" i="10"/>
  <c r="P108" i="10"/>
  <c r="O108" i="10"/>
  <c r="O136" i="9"/>
  <c r="P136" i="9"/>
  <c r="O65" i="9"/>
  <c r="P65" i="9"/>
  <c r="Q33" i="8"/>
  <c r="P33" i="8"/>
  <c r="O33" i="8"/>
  <c r="P34" i="8"/>
  <c r="Q34" i="8"/>
  <c r="O34" i="8"/>
  <c r="P35" i="8"/>
  <c r="O134" i="9"/>
  <c r="P134" i="9"/>
  <c r="O75" i="5"/>
  <c r="P75" i="5"/>
  <c r="O70" i="8"/>
  <c r="P70" i="8"/>
  <c r="P90" i="8"/>
  <c r="O90" i="8"/>
  <c r="O97" i="8"/>
  <c r="Q69" i="8"/>
  <c r="P69" i="8"/>
  <c r="O69" i="8"/>
  <c r="Q92" i="8"/>
  <c r="O92" i="8"/>
  <c r="P92" i="8"/>
  <c r="Q90" i="8"/>
  <c r="Q96" i="4"/>
  <c r="P96" i="4"/>
  <c r="O96" i="4"/>
  <c r="O17" i="9"/>
  <c r="P17" i="9"/>
  <c r="O16" i="9"/>
  <c r="P16" i="9"/>
  <c r="O120" i="9"/>
  <c r="P120" i="9"/>
  <c r="O119" i="9"/>
  <c r="P119" i="9"/>
  <c r="O154" i="9"/>
  <c r="P154" i="9"/>
  <c r="F84" i="9"/>
  <c r="Q84" i="9" s="1"/>
  <c r="O118" i="9"/>
  <c r="P118" i="9"/>
  <c r="O85" i="9"/>
  <c r="P85" i="9"/>
  <c r="P144" i="9"/>
  <c r="F107" i="9"/>
  <c r="O107" i="9" s="1"/>
  <c r="F108" i="9"/>
  <c r="O108" i="9" s="1"/>
  <c r="Q153" i="9"/>
  <c r="P153" i="9"/>
  <c r="O153" i="9"/>
  <c r="Q37" i="4"/>
  <c r="P37" i="4"/>
  <c r="O37" i="4"/>
  <c r="O36" i="4"/>
  <c r="P36" i="4"/>
  <c r="P35" i="4"/>
  <c r="O35" i="4"/>
  <c r="F17" i="5"/>
  <c r="O17" i="5" s="1"/>
  <c r="F154" i="10"/>
  <c r="O154" i="10" s="1"/>
  <c r="F65" i="10"/>
  <c r="O65" i="10" s="1"/>
  <c r="F109" i="10"/>
  <c r="Q109" i="10" s="1"/>
  <c r="Q153" i="10"/>
  <c r="P153" i="10"/>
  <c r="O64" i="10"/>
  <c r="P64" i="10"/>
  <c r="Q151" i="10"/>
  <c r="Q47" i="10"/>
  <c r="P47" i="10"/>
  <c r="O47" i="10"/>
  <c r="F63" i="10"/>
  <c r="O63" i="10" s="1"/>
  <c r="F152" i="10"/>
  <c r="O152" i="10" s="1"/>
  <c r="Q8" i="10"/>
  <c r="P8" i="10"/>
  <c r="O8" i="10"/>
  <c r="P81" i="8"/>
  <c r="O81" i="8"/>
  <c r="F167" i="9"/>
  <c r="Q167" i="9" s="1"/>
  <c r="F21" i="9"/>
  <c r="Q21" i="9" s="1"/>
  <c r="F106" i="9"/>
  <c r="Q106" i="9" s="1"/>
  <c r="F105" i="9"/>
  <c r="P105" i="9" s="1"/>
  <c r="Q69" i="9"/>
  <c r="P69" i="9"/>
  <c r="O69" i="9"/>
  <c r="F68" i="9"/>
  <c r="O68" i="9" s="1"/>
  <c r="F20" i="9"/>
  <c r="P20" i="9" s="1"/>
  <c r="O144" i="9"/>
  <c r="F189" i="9"/>
  <c r="O189" i="9" s="1"/>
  <c r="P82" i="8"/>
  <c r="O82" i="8"/>
  <c r="O149" i="10"/>
  <c r="P149" i="10"/>
  <c r="O117" i="8"/>
  <c r="P117" i="8"/>
  <c r="O77" i="8"/>
  <c r="P77" i="8"/>
  <c r="O34" i="4"/>
  <c r="P34" i="4"/>
  <c r="Q79" i="8"/>
  <c r="P79" i="8"/>
  <c r="O80" i="8"/>
  <c r="Q80" i="8"/>
  <c r="P80" i="8"/>
  <c r="Q78" i="8"/>
  <c r="P78" i="8"/>
  <c r="Q32" i="4"/>
  <c r="P32" i="4"/>
  <c r="O32" i="4"/>
  <c r="Q15" i="9"/>
  <c r="P15" i="9"/>
  <c r="O15" i="9"/>
  <c r="O133" i="9"/>
  <c r="P133" i="9"/>
  <c r="O146" i="10"/>
  <c r="P146" i="10"/>
  <c r="O33" i="4"/>
  <c r="P33" i="4"/>
  <c r="Q185" i="9"/>
  <c r="P185" i="9"/>
  <c r="O185" i="9"/>
  <c r="Q45" i="5"/>
  <c r="P45" i="5"/>
  <c r="O45" i="5"/>
  <c r="F69" i="5"/>
  <c r="O69" i="5" s="1"/>
  <c r="P46" i="5"/>
  <c r="F70" i="5"/>
  <c r="O70" i="5" s="1"/>
  <c r="Q32" i="5"/>
  <c r="P32" i="5"/>
  <c r="O32" i="5"/>
  <c r="O148" i="10"/>
  <c r="P148" i="10"/>
  <c r="Q31" i="4"/>
  <c r="P31" i="4"/>
  <c r="O31" i="4"/>
  <c r="P147" i="10"/>
  <c r="O147" i="10"/>
  <c r="Q30" i="8"/>
  <c r="P30" i="8"/>
  <c r="O30" i="4"/>
  <c r="P30" i="4"/>
  <c r="Q29" i="4"/>
  <c r="P29" i="4"/>
  <c r="O29" i="4"/>
  <c r="O28" i="4"/>
  <c r="P28" i="4"/>
  <c r="Q64" i="9"/>
  <c r="P64" i="9"/>
  <c r="O64" i="9"/>
  <c r="Q132" i="9"/>
  <c r="P132" i="9"/>
  <c r="O132" i="9"/>
  <c r="O76" i="8"/>
  <c r="P76" i="8"/>
  <c r="O143" i="9"/>
  <c r="Q16" i="5"/>
  <c r="F188" i="9"/>
  <c r="O188" i="9" s="1"/>
  <c r="P38" i="9"/>
  <c r="F166" i="9"/>
  <c r="P166" i="9" s="1"/>
  <c r="F66" i="9"/>
  <c r="Q66" i="9" s="1"/>
  <c r="Q67" i="9"/>
  <c r="P67" i="9"/>
  <c r="O67" i="9"/>
  <c r="O191" i="9"/>
  <c r="Q19" i="9"/>
  <c r="P19" i="9"/>
  <c r="O19" i="9"/>
  <c r="Q38" i="9"/>
  <c r="Q31" i="8"/>
  <c r="O31" i="8"/>
  <c r="P31" i="8"/>
  <c r="O32" i="8"/>
  <c r="P32" i="8"/>
  <c r="O163" i="9"/>
  <c r="P163" i="9"/>
  <c r="Q131" i="9"/>
  <c r="P131" i="9"/>
  <c r="O131" i="9"/>
  <c r="O63" i="9"/>
  <c r="P63" i="9"/>
  <c r="Q27" i="4"/>
  <c r="P27" i="4"/>
  <c r="O27" i="4"/>
  <c r="O25" i="4"/>
  <c r="P25" i="4"/>
  <c r="O24" i="4"/>
  <c r="P24" i="4"/>
  <c r="Q114" i="10"/>
  <c r="P114" i="10"/>
  <c r="O114" i="10"/>
  <c r="Q13" i="4"/>
  <c r="P13" i="4"/>
  <c r="O13" i="4"/>
  <c r="Q116" i="8"/>
  <c r="O116" i="8"/>
  <c r="P116" i="8"/>
  <c r="O26" i="4"/>
  <c r="P26" i="4"/>
  <c r="F107" i="4"/>
  <c r="O107" i="4" s="1"/>
  <c r="F65" i="5"/>
  <c r="O65" i="5" s="1"/>
  <c r="P66" i="5"/>
  <c r="O43" i="5"/>
  <c r="P43" i="5"/>
  <c r="Q23" i="4"/>
  <c r="P23" i="4"/>
  <c r="O23" i="4"/>
  <c r="Q22" i="4"/>
  <c r="P22" i="4"/>
  <c r="O22" i="4"/>
  <c r="O24" i="10"/>
  <c r="Q24" i="10"/>
  <c r="P24" i="10"/>
  <c r="Q108" i="4"/>
  <c r="P108" i="4"/>
  <c r="P29" i="8"/>
  <c r="O29" i="8"/>
  <c r="Q29" i="8"/>
  <c r="O162" i="9"/>
  <c r="P162" i="9"/>
  <c r="Q162" i="9"/>
  <c r="P24" i="9"/>
  <c r="Q113" i="9"/>
  <c r="P113" i="9"/>
  <c r="Q130" i="9"/>
  <c r="P130" i="9"/>
  <c r="Q103" i="9"/>
  <c r="P103" i="9"/>
  <c r="O155" i="9"/>
  <c r="Q155" i="9"/>
  <c r="Q143" i="9"/>
  <c r="Q182" i="9"/>
  <c r="P182" i="9"/>
  <c r="O76" i="9"/>
  <c r="Q191" i="9"/>
  <c r="Q178" i="9"/>
  <c r="Q190" i="9"/>
  <c r="Q18" i="9"/>
  <c r="P190" i="9"/>
  <c r="P18" i="9"/>
  <c r="O161" i="9"/>
  <c r="O160" i="9"/>
  <c r="Q160" i="9"/>
  <c r="P160" i="9"/>
  <c r="P176" i="9"/>
  <c r="Q176" i="9"/>
  <c r="O176" i="9"/>
  <c r="O175" i="9"/>
  <c r="P175" i="9"/>
  <c r="Q175" i="9"/>
  <c r="O184" i="9"/>
  <c r="P184" i="9"/>
  <c r="Q184" i="9"/>
  <c r="Q80" i="9"/>
  <c r="Q144" i="9"/>
  <c r="O177" i="9"/>
  <c r="Q161" i="9"/>
  <c r="Q24" i="9"/>
  <c r="Q179" i="9"/>
  <c r="Q156" i="9"/>
  <c r="P179" i="9"/>
  <c r="P156" i="9"/>
  <c r="P37" i="9"/>
  <c r="Q76" i="9"/>
  <c r="P143" i="9"/>
  <c r="P178" i="9"/>
  <c r="P155" i="9"/>
  <c r="Q159" i="9"/>
  <c r="Q75" i="9"/>
  <c r="Q181" i="9"/>
  <c r="P159" i="9"/>
  <c r="P75" i="9"/>
  <c r="P181" i="9"/>
  <c r="Q177" i="9"/>
  <c r="Q62" i="9"/>
  <c r="P62" i="9"/>
  <c r="O62" i="9"/>
  <c r="Q74" i="4"/>
  <c r="P74" i="4"/>
  <c r="O74" i="4"/>
  <c r="P7" i="4"/>
  <c r="P59" i="4"/>
  <c r="Q59" i="4"/>
  <c r="O72" i="4"/>
  <c r="Q62" i="10"/>
  <c r="O137" i="10"/>
  <c r="O138" i="10"/>
  <c r="Q145" i="10"/>
  <c r="P145" i="10"/>
  <c r="O145" i="10"/>
  <c r="Q144" i="10"/>
  <c r="P144" i="10"/>
  <c r="O144" i="10"/>
  <c r="Q192" i="10"/>
  <c r="O192" i="10"/>
  <c r="P192" i="10"/>
  <c r="Q75" i="8"/>
  <c r="P75" i="8"/>
  <c r="O75" i="8"/>
  <c r="Q27" i="8"/>
  <c r="P27" i="8"/>
  <c r="O27" i="8"/>
  <c r="Q28" i="8"/>
  <c r="P28" i="8"/>
  <c r="O28" i="8"/>
  <c r="O16" i="8"/>
  <c r="Q102" i="9"/>
  <c r="P102" i="9"/>
  <c r="O102" i="9"/>
  <c r="Q101" i="9"/>
  <c r="P101" i="9"/>
  <c r="O101" i="9"/>
  <c r="P61" i="9"/>
  <c r="O61" i="9"/>
  <c r="Q14" i="9"/>
  <c r="P14" i="9"/>
  <c r="O14" i="9"/>
  <c r="Q60" i="9"/>
  <c r="P60" i="9"/>
  <c r="O60" i="9"/>
  <c r="Q100" i="9"/>
  <c r="P100" i="9"/>
  <c r="O100" i="9"/>
  <c r="Q13" i="9"/>
  <c r="P13" i="9"/>
  <c r="O13" i="9"/>
  <c r="Q129" i="9"/>
  <c r="P129" i="9"/>
  <c r="O129" i="9"/>
  <c r="Q143" i="10"/>
  <c r="P143" i="10"/>
  <c r="O143" i="10"/>
  <c r="Q21" i="4"/>
  <c r="P21" i="4"/>
  <c r="O21" i="4"/>
  <c r="O7" i="4"/>
  <c r="Q150" i="4"/>
  <c r="P150" i="4"/>
  <c r="P50" i="4"/>
  <c r="O50" i="4"/>
  <c r="Q99" i="9"/>
  <c r="P99" i="9"/>
  <c r="O99" i="9"/>
  <c r="F98" i="9"/>
  <c r="P98" i="9" s="1"/>
  <c r="Q97" i="9"/>
  <c r="O97" i="9"/>
  <c r="P97" i="9"/>
  <c r="F128" i="9"/>
  <c r="O128" i="9" s="1"/>
  <c r="Q95" i="9"/>
  <c r="Q12" i="9"/>
  <c r="P12" i="9"/>
  <c r="O12" i="9"/>
  <c r="F11" i="9"/>
  <c r="O11" i="9" s="1"/>
  <c r="Q68" i="8"/>
  <c r="P68" i="8"/>
  <c r="O68" i="8"/>
  <c r="O135" i="10"/>
  <c r="O56" i="10"/>
  <c r="P56" i="10"/>
  <c r="F55" i="10"/>
  <c r="O55" i="10" s="1"/>
  <c r="O136" i="10"/>
  <c r="F126" i="9"/>
  <c r="O126" i="9" s="1"/>
  <c r="Q125" i="9"/>
  <c r="O133" i="10"/>
  <c r="F186" i="10"/>
  <c r="Q186" i="10" s="1"/>
  <c r="P65" i="8"/>
  <c r="O5" i="4"/>
  <c r="P5" i="4"/>
  <c r="Q5" i="4"/>
  <c r="O10" i="4"/>
  <c r="P10" i="4"/>
  <c r="Q10" i="4"/>
  <c r="O9" i="4"/>
  <c r="P87" i="4"/>
  <c r="O87" i="4"/>
  <c r="O86" i="4"/>
  <c r="P86" i="4"/>
  <c r="Q147" i="4"/>
  <c r="P147" i="4"/>
  <c r="Q88" i="4"/>
  <c r="P88" i="4"/>
  <c r="Q9" i="4"/>
  <c r="F94" i="4"/>
  <c r="O94" i="4" s="1"/>
  <c r="F92" i="4"/>
  <c r="O92" i="4" s="1"/>
  <c r="Q95" i="4"/>
  <c r="P95" i="4"/>
  <c r="O95" i="4"/>
  <c r="O69" i="4"/>
  <c r="P69" i="4"/>
  <c r="F94" i="9"/>
  <c r="Q94" i="9" s="1"/>
  <c r="F57" i="9"/>
  <c r="O57" i="9" s="1"/>
  <c r="F10" i="9"/>
  <c r="O10" i="9" s="1"/>
  <c r="F15" i="5"/>
  <c r="O15" i="5" s="1"/>
  <c r="O63" i="5"/>
  <c r="O14" i="5"/>
  <c r="P14" i="5"/>
  <c r="Q64" i="5"/>
  <c r="P64" i="5"/>
  <c r="O64" i="5"/>
  <c r="Q100" i="4"/>
  <c r="F23" i="10"/>
  <c r="O23" i="10" s="1"/>
  <c r="F53" i="10"/>
  <c r="Q53" i="10" s="1"/>
  <c r="P107" i="10"/>
  <c r="F54" i="10"/>
  <c r="O54" i="10" s="1"/>
  <c r="Q132" i="10"/>
  <c r="Q12" i="4"/>
  <c r="O12" i="4"/>
  <c r="P12" i="4"/>
  <c r="P100" i="4"/>
  <c r="Q91" i="4"/>
  <c r="Q98" i="4"/>
  <c r="F182" i="10"/>
  <c r="Q182" i="10" s="1"/>
  <c r="F92" i="9"/>
  <c r="Q92" i="9" s="1"/>
  <c r="O43" i="9"/>
  <c r="Q31" i="9"/>
  <c r="P31" i="9"/>
  <c r="O31" i="9"/>
  <c r="Q4" i="9"/>
  <c r="P4" i="9"/>
  <c r="O4" i="9"/>
  <c r="O5" i="9"/>
  <c r="P5" i="9"/>
  <c r="Q5" i="9"/>
  <c r="P6" i="9"/>
  <c r="Q6" i="9"/>
  <c r="O6" i="9"/>
  <c r="O32" i="9"/>
  <c r="P32" i="9"/>
  <c r="Q34" i="9"/>
  <c r="O35" i="9"/>
  <c r="F55" i="9"/>
  <c r="Q55" i="9" s="1"/>
  <c r="F52" i="10"/>
  <c r="O52" i="10" s="1"/>
  <c r="O13" i="5"/>
  <c r="P13" i="5"/>
  <c r="P5" i="5"/>
  <c r="Q5" i="5"/>
  <c r="P4" i="5"/>
  <c r="O4" i="5"/>
  <c r="F10" i="5"/>
  <c r="O10" i="5" s="1"/>
  <c r="O41" i="5"/>
  <c r="F42" i="5"/>
  <c r="O42" i="5" s="1"/>
  <c r="F60" i="5"/>
  <c r="O60" i="5" s="1"/>
  <c r="O9" i="5"/>
  <c r="F11" i="5"/>
  <c r="Q11" i="5" s="1"/>
  <c r="F61" i="5"/>
  <c r="Q61" i="5" s="1"/>
  <c r="F62" i="5"/>
  <c r="O62" i="5" s="1"/>
  <c r="F22" i="10"/>
  <c r="O22" i="10" s="1"/>
  <c r="Q107" i="10"/>
  <c r="Q136" i="10"/>
  <c r="P136" i="10"/>
  <c r="Q135" i="10"/>
  <c r="Q216" i="10"/>
  <c r="P98" i="4"/>
  <c r="P91" i="4"/>
  <c r="Q90" i="4"/>
  <c r="P90" i="4"/>
  <c r="Q93" i="4"/>
  <c r="P93" i="4"/>
  <c r="Q89" i="4"/>
  <c r="P89" i="4"/>
  <c r="P89" i="5"/>
  <c r="O46" i="5"/>
  <c r="O89" i="5"/>
  <c r="Q66" i="5"/>
  <c r="O66" i="5"/>
  <c r="O18" i="5"/>
  <c r="Q63" i="5"/>
  <c r="Q71" i="5"/>
  <c r="P63" i="5"/>
  <c r="Q12" i="5"/>
  <c r="P72" i="5"/>
  <c r="P12" i="5"/>
  <c r="Q46" i="5"/>
  <c r="F91" i="9"/>
  <c r="P91" i="9" s="1"/>
  <c r="Q123" i="9"/>
  <c r="P123" i="9"/>
  <c r="O123" i="9"/>
  <c r="Q122" i="9"/>
  <c r="P122" i="9"/>
  <c r="Q185" i="10"/>
  <c r="P185" i="10"/>
  <c r="Q124" i="9"/>
  <c r="P124" i="9"/>
  <c r="O124" i="9"/>
  <c r="F51" i="10"/>
  <c r="O51" i="10" s="1"/>
  <c r="P216" i="10"/>
  <c r="O151" i="10"/>
  <c r="P151" i="10"/>
  <c r="Q215" i="10"/>
  <c r="F129" i="10"/>
  <c r="Q129" i="10" s="1"/>
  <c r="F49" i="10"/>
  <c r="O49" i="10" s="1"/>
  <c r="Q142" i="10"/>
  <c r="O48" i="10"/>
  <c r="P142" i="10"/>
  <c r="Q57" i="10"/>
  <c r="P57" i="10"/>
  <c r="Q6" i="4"/>
  <c r="P6" i="4"/>
  <c r="Q11" i="4"/>
  <c r="P11" i="4"/>
  <c r="O207" i="10"/>
  <c r="P207" i="10"/>
  <c r="Q206" i="10"/>
  <c r="P48" i="10"/>
  <c r="Q48" i="10"/>
  <c r="F7" i="10"/>
  <c r="Q7" i="10" s="1"/>
  <c r="F6" i="10"/>
  <c r="Q6" i="10" s="1"/>
  <c r="Q106" i="10"/>
  <c r="O106" i="10"/>
  <c r="P106" i="10"/>
  <c r="O46" i="10"/>
  <c r="P135" i="10"/>
  <c r="P62" i="10"/>
  <c r="O206" i="10"/>
  <c r="P215" i="10"/>
  <c r="O132" i="10"/>
  <c r="P244" i="10"/>
  <c r="Q134" i="10"/>
  <c r="O62" i="10"/>
  <c r="Q95" i="10"/>
  <c r="P132" i="10"/>
  <c r="O244" i="10"/>
  <c r="Q233" i="10"/>
  <c r="P134" i="10"/>
  <c r="Q46" i="10"/>
  <c r="P95" i="10"/>
  <c r="P233" i="10"/>
  <c r="Q110" i="10"/>
  <c r="P110" i="10"/>
  <c r="Q87" i="10"/>
  <c r="Q258" i="10"/>
  <c r="Q131" i="10"/>
  <c r="P87" i="10"/>
  <c r="Q232" i="10"/>
  <c r="Q137" i="10"/>
  <c r="P157" i="10"/>
  <c r="P131" i="10"/>
  <c r="P232" i="10"/>
  <c r="P137" i="10"/>
  <c r="O157" i="10"/>
  <c r="Q50" i="10"/>
  <c r="P50" i="10"/>
  <c r="Q133" i="10"/>
  <c r="Q86" i="10"/>
  <c r="O107" i="10"/>
  <c r="P133" i="10"/>
  <c r="P86" i="10"/>
  <c r="O127" i="10"/>
  <c r="P127" i="10"/>
  <c r="Q127" i="10"/>
  <c r="O123" i="10"/>
  <c r="P123" i="10"/>
  <c r="Q123" i="10"/>
  <c r="Q126" i="10"/>
  <c r="P126" i="10"/>
  <c r="Q124" i="10"/>
  <c r="P124" i="10"/>
  <c r="Q184" i="10"/>
  <c r="Q179" i="10"/>
  <c r="P179" i="10"/>
  <c r="F181" i="10"/>
  <c r="O181" i="10" s="1"/>
  <c r="F180" i="10"/>
  <c r="Q180" i="10" s="1"/>
  <c r="O258" i="10"/>
  <c r="Q163" i="10"/>
  <c r="O184" i="10"/>
  <c r="P163" i="10"/>
  <c r="P184" i="10"/>
  <c r="P257" i="10"/>
  <c r="P138" i="10"/>
  <c r="Q138" i="10"/>
  <c r="O257" i="10"/>
  <c r="P86" i="9"/>
  <c r="Q86" i="9"/>
  <c r="O86" i="9"/>
  <c r="O87" i="9"/>
  <c r="Q87" i="9"/>
  <c r="P87" i="9"/>
  <c r="Q51" i="9"/>
  <c r="P51" i="9"/>
  <c r="O51" i="9"/>
  <c r="O89" i="9"/>
  <c r="Q89" i="9"/>
  <c r="P89" i="9"/>
  <c r="O88" i="9"/>
  <c r="Q50" i="9"/>
  <c r="P88" i="9"/>
  <c r="F90" i="9"/>
  <c r="P90" i="9" s="1"/>
  <c r="F53" i="9"/>
  <c r="O53" i="9" s="1"/>
  <c r="O33" i="9"/>
  <c r="P33" i="9"/>
  <c r="F8" i="9"/>
  <c r="Q7" i="9"/>
  <c r="P7" i="9"/>
  <c r="O7" i="9"/>
  <c r="P34" i="9"/>
  <c r="O34" i="9"/>
  <c r="P125" i="9"/>
  <c r="O125" i="9"/>
  <c r="Q35" i="9"/>
  <c r="P35" i="9"/>
  <c r="P39" i="5"/>
  <c r="O39" i="5"/>
  <c r="Q39" i="5"/>
  <c r="Q8" i="5"/>
  <c r="Q85" i="5"/>
  <c r="Q9" i="5"/>
  <c r="P85" i="5"/>
  <c r="Q18" i="5"/>
  <c r="P9" i="5"/>
  <c r="Q51" i="5"/>
  <c r="P16" i="5"/>
  <c r="Q86" i="5"/>
  <c r="O16" i="5"/>
  <c r="Q41" i="5"/>
  <c r="P86" i="5"/>
  <c r="P41" i="5"/>
  <c r="O8" i="5"/>
  <c r="Q48" i="5"/>
  <c r="Q109" i="8"/>
  <c r="P109" i="8"/>
  <c r="O109" i="8"/>
  <c r="P114" i="8"/>
  <c r="Q114" i="8"/>
  <c r="O114" i="8"/>
  <c r="O113" i="8"/>
  <c r="P113" i="8"/>
  <c r="Q113" i="8"/>
  <c r="O119" i="8"/>
  <c r="P119" i="8"/>
  <c r="Q119" i="8"/>
  <c r="O115" i="8"/>
  <c r="P115" i="8"/>
  <c r="Q115" i="8"/>
  <c r="P91" i="8"/>
  <c r="O91" i="8"/>
  <c r="Q91" i="8"/>
  <c r="P105" i="8"/>
  <c r="O105" i="8"/>
  <c r="Q105" i="8"/>
  <c r="P58" i="8"/>
  <c r="Q58" i="8"/>
  <c r="O58" i="8"/>
  <c r="P67" i="8"/>
  <c r="O63" i="8"/>
  <c r="O64" i="8"/>
  <c r="F60" i="8"/>
  <c r="P60" i="8" s="1"/>
  <c r="O66" i="8"/>
  <c r="F59" i="8"/>
  <c r="P59" i="8" s="1"/>
  <c r="Q65" i="8"/>
  <c r="P100" i="8"/>
  <c r="F62" i="8"/>
  <c r="P62" i="8" s="1"/>
  <c r="O61" i="8"/>
  <c r="P14" i="8"/>
  <c r="O14" i="8"/>
  <c r="Q14" i="8"/>
  <c r="Q11" i="8"/>
  <c r="O11" i="8"/>
  <c r="Q5" i="8"/>
  <c r="Q7" i="8"/>
  <c r="P7" i="8"/>
  <c r="O7" i="8"/>
  <c r="O9" i="8"/>
  <c r="Q9" i="8"/>
  <c r="P9" i="8"/>
  <c r="O4" i="8"/>
  <c r="Q4" i="8"/>
  <c r="P4" i="8"/>
  <c r="P54" i="8"/>
  <c r="O54" i="8"/>
  <c r="Q54" i="8"/>
  <c r="P50" i="8"/>
  <c r="O50" i="8"/>
  <c r="Q50" i="8"/>
  <c r="O12" i="8"/>
  <c r="Q12" i="8"/>
  <c r="P12" i="8"/>
  <c r="O49" i="8"/>
  <c r="P49" i="8"/>
  <c r="Q49" i="8"/>
  <c r="Q6" i="8"/>
  <c r="P6" i="8"/>
  <c r="O6" i="8"/>
  <c r="P8" i="8"/>
  <c r="O8" i="8"/>
  <c r="Q8" i="8"/>
  <c r="Q25" i="8"/>
  <c r="F26" i="8"/>
  <c r="P26" i="8" s="1"/>
  <c r="P44" i="8"/>
  <c r="Q16" i="8"/>
  <c r="P16" i="8"/>
  <c r="F10" i="8"/>
  <c r="P10" i="8" s="1"/>
  <c r="F36" i="8"/>
  <c r="P36" i="8" s="1"/>
  <c r="O17" i="8"/>
  <c r="O13" i="8"/>
  <c r="Q176" i="10"/>
  <c r="P176" i="10"/>
  <c r="O176" i="10"/>
  <c r="O178" i="10"/>
  <c r="P178" i="10"/>
  <c r="Q178" i="10"/>
  <c r="O177" i="10"/>
  <c r="P177" i="10"/>
  <c r="Q177" i="10"/>
  <c r="Q125" i="10"/>
  <c r="P125" i="10"/>
  <c r="O44" i="10"/>
  <c r="P44" i="10"/>
  <c r="Q45" i="10"/>
  <c r="O45" i="10"/>
  <c r="P45" i="10"/>
  <c r="O5" i="10"/>
  <c r="P5" i="10"/>
  <c r="P4" i="10"/>
  <c r="O4" i="4"/>
  <c r="P4" i="4"/>
  <c r="Q59" i="5"/>
  <c r="P59" i="5"/>
  <c r="Q4" i="10"/>
  <c r="O101" i="8"/>
  <c r="P99" i="8"/>
  <c r="P98" i="8"/>
  <c r="Q99" i="8"/>
  <c r="Q98" i="8"/>
  <c r="O19" i="8"/>
  <c r="Q35" i="8"/>
  <c r="P19" i="8"/>
  <c r="O35" i="8"/>
  <c r="P95" i="9"/>
  <c r="O95" i="9"/>
  <c r="O122" i="9"/>
  <c r="O52" i="9"/>
  <c r="Q52" i="9"/>
  <c r="P52" i="9"/>
  <c r="P58" i="5"/>
  <c r="O58" i="5"/>
  <c r="Q6" i="5"/>
  <c r="P6" i="5"/>
  <c r="O6" i="5"/>
  <c r="O7" i="5"/>
  <c r="P7" i="5"/>
  <c r="O5" i="5"/>
  <c r="O50" i="9"/>
  <c r="P50" i="9"/>
  <c r="O5" i="8"/>
  <c r="Q17" i="8"/>
  <c r="Q61" i="8"/>
  <c r="O74" i="8"/>
  <c r="Q13" i="8"/>
  <c r="O65" i="8"/>
  <c r="Q63" i="8"/>
  <c r="Q64" i="8"/>
  <c r="Q101" i="8"/>
  <c r="Q66" i="8"/>
  <c r="Q74" i="8"/>
  <c r="Q67" i="8"/>
  <c r="O25" i="8"/>
  <c r="R68" i="5" l="1"/>
  <c r="R21" i="5"/>
  <c r="R11" i="10"/>
  <c r="R102" i="8"/>
  <c r="R141" i="9"/>
  <c r="R12" i="10"/>
  <c r="R62" i="4"/>
  <c r="Q18" i="8"/>
  <c r="P18" i="8"/>
  <c r="O18" i="8"/>
  <c r="P22" i="8"/>
  <c r="R120" i="4"/>
  <c r="R40" i="5"/>
  <c r="R105" i="10"/>
  <c r="O50" i="5"/>
  <c r="O22" i="8"/>
  <c r="R22" i="8" s="1"/>
  <c r="R15" i="8"/>
  <c r="R103" i="8"/>
  <c r="R21" i="8"/>
  <c r="O166" i="10"/>
  <c r="P166" i="10"/>
  <c r="R166" i="10"/>
  <c r="Q167" i="10"/>
  <c r="P167" i="10"/>
  <c r="O167" i="10"/>
  <c r="R167" i="10" s="1"/>
  <c r="R119" i="10"/>
  <c r="Q118" i="10"/>
  <c r="P118" i="10"/>
  <c r="O118" i="10"/>
  <c r="O165" i="10"/>
  <c r="R165" i="10"/>
  <c r="P116" i="10"/>
  <c r="Q116" i="10"/>
  <c r="Q164" i="10"/>
  <c r="P164" i="10"/>
  <c r="O164" i="10"/>
  <c r="R164" i="10" s="1"/>
  <c r="Q52" i="8"/>
  <c r="P52" i="8"/>
  <c r="O52" i="8"/>
  <c r="R51" i="8"/>
  <c r="R66" i="10"/>
  <c r="R10" i="10"/>
  <c r="R117" i="10"/>
  <c r="R84" i="10"/>
  <c r="R149" i="9"/>
  <c r="P204" i="10"/>
  <c r="O204" i="10"/>
  <c r="R195" i="9"/>
  <c r="R26" i="5"/>
  <c r="R138" i="4"/>
  <c r="P38" i="8"/>
  <c r="O38" i="8"/>
  <c r="Q37" i="8"/>
  <c r="P37" i="8"/>
  <c r="O37" i="8"/>
  <c r="P20" i="8"/>
  <c r="O20" i="8"/>
  <c r="R36" i="10"/>
  <c r="P69" i="5"/>
  <c r="P79" i="5"/>
  <c r="Q79" i="5"/>
  <c r="O72" i="5"/>
  <c r="R100" i="10"/>
  <c r="R52" i="4"/>
  <c r="R48" i="4"/>
  <c r="R76" i="4"/>
  <c r="R114" i="4"/>
  <c r="R110" i="4"/>
  <c r="R51" i="4"/>
  <c r="R201" i="10"/>
  <c r="R199" i="10"/>
  <c r="R41" i="4"/>
  <c r="R63" i="4"/>
  <c r="R101" i="4"/>
  <c r="R8" i="4"/>
  <c r="R64" i="4"/>
  <c r="R49" i="4"/>
  <c r="R122" i="4"/>
  <c r="R202" i="10"/>
  <c r="R35" i="10"/>
  <c r="P52" i="5"/>
  <c r="P111" i="10"/>
  <c r="Q111" i="10"/>
  <c r="R121" i="4"/>
  <c r="R73" i="9"/>
  <c r="O80" i="9"/>
  <c r="R74" i="9"/>
  <c r="O83" i="10"/>
  <c r="Q71" i="10"/>
  <c r="Q83" i="10"/>
  <c r="P30" i="10"/>
  <c r="Q160" i="10"/>
  <c r="R58" i="10"/>
  <c r="P85" i="10"/>
  <c r="P115" i="10"/>
  <c r="R203" i="10"/>
  <c r="Q115" i="10"/>
  <c r="Q85" i="10"/>
  <c r="Q72" i="10"/>
  <c r="P160" i="10"/>
  <c r="Q47" i="4"/>
  <c r="R171" i="9"/>
  <c r="P170" i="9"/>
  <c r="R71" i="9"/>
  <c r="R46" i="9"/>
  <c r="R86" i="8"/>
  <c r="P25" i="9"/>
  <c r="R127" i="9"/>
  <c r="Q25" i="9"/>
  <c r="R104" i="9"/>
  <c r="R139" i="9"/>
  <c r="R59" i="9"/>
  <c r="R78" i="9"/>
  <c r="R196" i="10"/>
  <c r="R193" i="9"/>
  <c r="R194" i="9"/>
  <c r="R192" i="9"/>
  <c r="R66" i="4"/>
  <c r="P67" i="4"/>
  <c r="Q67" i="4"/>
  <c r="R65" i="4"/>
  <c r="R61" i="4"/>
  <c r="P99" i="4"/>
  <c r="R124" i="4"/>
  <c r="R73" i="4"/>
  <c r="R111" i="4"/>
  <c r="P47" i="4"/>
  <c r="P46" i="4"/>
  <c r="R14" i="4"/>
  <c r="Q75" i="4"/>
  <c r="P75" i="4"/>
  <c r="O99" i="4"/>
  <c r="R118" i="4"/>
  <c r="R24" i="5"/>
  <c r="Q47" i="5"/>
  <c r="Q52" i="5"/>
  <c r="R52" i="5" s="1"/>
  <c r="O51" i="5"/>
  <c r="R51" i="5" s="1"/>
  <c r="P47" i="5"/>
  <c r="P71" i="5"/>
  <c r="R71" i="5" s="1"/>
  <c r="O48" i="5"/>
  <c r="R48" i="5" s="1"/>
  <c r="R23" i="5"/>
  <c r="R22" i="5"/>
  <c r="R4" i="5"/>
  <c r="P11" i="5"/>
  <c r="P19" i="5"/>
  <c r="Q19" i="5"/>
  <c r="R79" i="9"/>
  <c r="Q145" i="9"/>
  <c r="R148" i="9"/>
  <c r="R147" i="9"/>
  <c r="O169" i="9"/>
  <c r="P169" i="9"/>
  <c r="R121" i="8"/>
  <c r="R48" i="8"/>
  <c r="R96" i="8"/>
  <c r="R95" i="8"/>
  <c r="R180" i="9"/>
  <c r="Q37" i="9"/>
  <c r="R37" i="9" s="1"/>
  <c r="R21" i="10"/>
  <c r="Q30" i="10"/>
  <c r="R20" i="10"/>
  <c r="R34" i="10"/>
  <c r="R9" i="10"/>
  <c r="R94" i="8"/>
  <c r="R162" i="10"/>
  <c r="R47" i="8"/>
  <c r="R53" i="4"/>
  <c r="R120" i="8"/>
  <c r="R71" i="4"/>
  <c r="R70" i="4"/>
  <c r="P73" i="5"/>
  <c r="Q73" i="5"/>
  <c r="R76" i="5"/>
  <c r="R67" i="5"/>
  <c r="Q65" i="5"/>
  <c r="R112" i="4"/>
  <c r="R113" i="4"/>
  <c r="R109" i="4"/>
  <c r="R115" i="4"/>
  <c r="R116" i="4"/>
  <c r="R117" i="4"/>
  <c r="R139" i="10"/>
  <c r="R189" i="10"/>
  <c r="R73" i="8"/>
  <c r="R72" i="8"/>
  <c r="R61" i="10"/>
  <c r="R188" i="10"/>
  <c r="R187" i="10"/>
  <c r="R59" i="10"/>
  <c r="R140" i="10"/>
  <c r="Q156" i="10"/>
  <c r="R33" i="10"/>
  <c r="P161" i="10"/>
  <c r="Q161" i="10"/>
  <c r="P156" i="10"/>
  <c r="R23" i="8"/>
  <c r="R71" i="8"/>
  <c r="R39" i="8"/>
  <c r="R43" i="8"/>
  <c r="R60" i="10"/>
  <c r="R183" i="9"/>
  <c r="R45" i="9"/>
  <c r="R96" i="9"/>
  <c r="P110" i="9"/>
  <c r="R58" i="9"/>
  <c r="Q109" i="9"/>
  <c r="R112" i="9"/>
  <c r="P146" i="9"/>
  <c r="P145" i="9"/>
  <c r="R145" i="9" s="1"/>
  <c r="Q146" i="9"/>
  <c r="R29" i="10"/>
  <c r="R27" i="10"/>
  <c r="P198" i="10"/>
  <c r="Q198" i="10"/>
  <c r="R56" i="9"/>
  <c r="R54" i="9"/>
  <c r="R183" i="10"/>
  <c r="R93" i="9"/>
  <c r="O111" i="9"/>
  <c r="Q111" i="9"/>
  <c r="Q110" i="9"/>
  <c r="R130" i="10"/>
  <c r="R36" i="9"/>
  <c r="R9" i="9"/>
  <c r="R157" i="9"/>
  <c r="Q170" i="9"/>
  <c r="R170" i="9" s="1"/>
  <c r="R41" i="8"/>
  <c r="R42" i="8"/>
  <c r="R46" i="8"/>
  <c r="R40" i="8"/>
  <c r="R24" i="8"/>
  <c r="R110" i="8"/>
  <c r="R90" i="8"/>
  <c r="R79" i="8"/>
  <c r="P109" i="9"/>
  <c r="R77" i="9"/>
  <c r="R45" i="8"/>
  <c r="R44" i="9"/>
  <c r="R32" i="10"/>
  <c r="O71" i="10"/>
  <c r="P72" i="10"/>
  <c r="R31" i="10"/>
  <c r="R25" i="5"/>
  <c r="P49" i="5"/>
  <c r="Q69" i="5"/>
  <c r="P50" i="5"/>
  <c r="R50" i="5" s="1"/>
  <c r="Q49" i="5"/>
  <c r="Q20" i="5"/>
  <c r="O20" i="5"/>
  <c r="O17" i="4"/>
  <c r="P17" i="4"/>
  <c r="P16" i="4"/>
  <c r="Q16" i="4"/>
  <c r="R159" i="10"/>
  <c r="R158" i="10"/>
  <c r="R97" i="8"/>
  <c r="P155" i="10"/>
  <c r="O93" i="8"/>
  <c r="Q93" i="8"/>
  <c r="O155" i="10"/>
  <c r="R128" i="10"/>
  <c r="R113" i="10"/>
  <c r="Q141" i="10"/>
  <c r="P26" i="10"/>
  <c r="O26" i="10"/>
  <c r="Q197" i="10"/>
  <c r="P141" i="10"/>
  <c r="P112" i="10"/>
  <c r="Q112" i="10"/>
  <c r="R28" i="10"/>
  <c r="P107" i="9"/>
  <c r="R186" i="9"/>
  <c r="R168" i="9"/>
  <c r="Q108" i="9"/>
  <c r="P84" i="9"/>
  <c r="O84" i="9"/>
  <c r="R182" i="9"/>
  <c r="R20" i="4"/>
  <c r="R19" i="4"/>
  <c r="R18" i="4"/>
  <c r="Q46" i="4"/>
  <c r="Q15" i="4"/>
  <c r="O15" i="4"/>
  <c r="Q154" i="10"/>
  <c r="P154" i="10"/>
  <c r="R78" i="5"/>
  <c r="R77" i="5"/>
  <c r="R111" i="8"/>
  <c r="R112" i="8"/>
  <c r="P197" i="10"/>
  <c r="P65" i="10"/>
  <c r="P109" i="10"/>
  <c r="Q65" i="10"/>
  <c r="O109" i="10"/>
  <c r="R153" i="10"/>
  <c r="R193" i="10"/>
  <c r="R191" i="10"/>
  <c r="R190" i="10"/>
  <c r="R33" i="5"/>
  <c r="R33" i="8"/>
  <c r="P17" i="5"/>
  <c r="Q17" i="5"/>
  <c r="R34" i="5"/>
  <c r="R195" i="10"/>
  <c r="R194" i="10"/>
  <c r="R85" i="8"/>
  <c r="R72" i="9"/>
  <c r="R87" i="8"/>
  <c r="R140" i="9"/>
  <c r="R138" i="9"/>
  <c r="R70" i="9"/>
  <c r="Q107" i="9"/>
  <c r="R137" i="9"/>
  <c r="R135" i="9"/>
  <c r="R187" i="9"/>
  <c r="R25" i="10"/>
  <c r="R84" i="8"/>
  <c r="P189" i="9"/>
  <c r="Q188" i="9"/>
  <c r="R45" i="4"/>
  <c r="R44" i="4"/>
  <c r="R43" i="4"/>
  <c r="R42" i="4"/>
  <c r="R40" i="4"/>
  <c r="R39" i="4"/>
  <c r="R38" i="4"/>
  <c r="R83" i="8"/>
  <c r="R150" i="10"/>
  <c r="R118" i="8"/>
  <c r="R34" i="8"/>
  <c r="R108" i="10"/>
  <c r="R136" i="9"/>
  <c r="R65" i="9"/>
  <c r="R134" i="9"/>
  <c r="R75" i="5"/>
  <c r="R70" i="8"/>
  <c r="R69" i="8"/>
  <c r="R77" i="8"/>
  <c r="R96" i="4"/>
  <c r="R29" i="4"/>
  <c r="R74" i="4"/>
  <c r="R17" i="9"/>
  <c r="R16" i="9"/>
  <c r="R120" i="9"/>
  <c r="R119" i="9"/>
  <c r="R154" i="9"/>
  <c r="Q189" i="9"/>
  <c r="R153" i="9"/>
  <c r="O21" i="9"/>
  <c r="R185" i="9"/>
  <c r="R69" i="9"/>
  <c r="O106" i="9"/>
  <c r="R19" i="9"/>
  <c r="P108" i="9"/>
  <c r="R118" i="9"/>
  <c r="R85" i="9"/>
  <c r="O105" i="9"/>
  <c r="Q105" i="9"/>
  <c r="Q166" i="9"/>
  <c r="P167" i="9"/>
  <c r="Q20" i="9"/>
  <c r="R161" i="9"/>
  <c r="R15" i="9"/>
  <c r="O20" i="9"/>
  <c r="P21" i="9"/>
  <c r="R131" i="9"/>
  <c r="R155" i="9"/>
  <c r="R156" i="9"/>
  <c r="O166" i="9"/>
  <c r="P188" i="9"/>
  <c r="R178" i="9"/>
  <c r="R37" i="4"/>
  <c r="R35" i="4"/>
  <c r="R36" i="4"/>
  <c r="P60" i="5"/>
  <c r="R7" i="5"/>
  <c r="R63" i="5"/>
  <c r="R45" i="5"/>
  <c r="Q63" i="10"/>
  <c r="R145" i="10"/>
  <c r="P63" i="10"/>
  <c r="P152" i="10"/>
  <c r="Q152" i="10"/>
  <c r="R81" i="8"/>
  <c r="R64" i="10"/>
  <c r="R47" i="10"/>
  <c r="P54" i="10"/>
  <c r="R8" i="10"/>
  <c r="O167" i="9"/>
  <c r="R144" i="9"/>
  <c r="P106" i="9"/>
  <c r="Q68" i="9"/>
  <c r="P68" i="9"/>
  <c r="R38" i="9"/>
  <c r="R25" i="9"/>
  <c r="R82" i="8"/>
  <c r="R149" i="10"/>
  <c r="R117" i="8"/>
  <c r="R34" i="4"/>
  <c r="R80" i="8"/>
  <c r="R78" i="8"/>
  <c r="R92" i="8"/>
  <c r="R30" i="8"/>
  <c r="Q51" i="10"/>
  <c r="O53" i="10"/>
  <c r="Q59" i="8"/>
  <c r="P186" i="10"/>
  <c r="Q55" i="10"/>
  <c r="R27" i="8"/>
  <c r="R99" i="8"/>
  <c r="R32" i="4"/>
  <c r="R133" i="9"/>
  <c r="R146" i="10"/>
  <c r="R33" i="4"/>
  <c r="Q72" i="4"/>
  <c r="R27" i="4"/>
  <c r="Q70" i="5"/>
  <c r="P70" i="5"/>
  <c r="Q62" i="5"/>
  <c r="R8" i="5"/>
  <c r="P61" i="5"/>
  <c r="P62" i="5"/>
  <c r="P10" i="5"/>
  <c r="P65" i="5"/>
  <c r="R32" i="5"/>
  <c r="P55" i="10"/>
  <c r="R114" i="10"/>
  <c r="R148" i="10"/>
  <c r="R31" i="4"/>
  <c r="R147" i="10"/>
  <c r="R29" i="8"/>
  <c r="R30" i="4"/>
  <c r="P72" i="4"/>
  <c r="R28" i="4"/>
  <c r="R64" i="9"/>
  <c r="O66" i="9"/>
  <c r="P66" i="9"/>
  <c r="R132" i="9"/>
  <c r="R76" i="8"/>
  <c r="R89" i="5"/>
  <c r="R191" i="9"/>
  <c r="R190" i="9"/>
  <c r="R67" i="9"/>
  <c r="R143" i="9"/>
  <c r="R113" i="9"/>
  <c r="R18" i="9"/>
  <c r="R24" i="9"/>
  <c r="R76" i="9"/>
  <c r="R32" i="8"/>
  <c r="R31" i="8"/>
  <c r="O186" i="10"/>
  <c r="R136" i="10"/>
  <c r="R107" i="10"/>
  <c r="Q23" i="10"/>
  <c r="R163" i="9"/>
  <c r="R63" i="9"/>
  <c r="R13" i="4"/>
  <c r="R25" i="4"/>
  <c r="P107" i="4"/>
  <c r="Q107" i="4"/>
  <c r="R24" i="4"/>
  <c r="R116" i="8"/>
  <c r="R103" i="9"/>
  <c r="R26" i="4"/>
  <c r="R23" i="4"/>
  <c r="R43" i="5"/>
  <c r="O61" i="5"/>
  <c r="R22" i="4"/>
  <c r="R24" i="10"/>
  <c r="R108" i="4"/>
  <c r="R7" i="4"/>
  <c r="R59" i="4"/>
  <c r="R162" i="9"/>
  <c r="R75" i="9"/>
  <c r="R62" i="9"/>
  <c r="R177" i="9"/>
  <c r="R179" i="9"/>
  <c r="R80" i="9"/>
  <c r="R130" i="9"/>
  <c r="R4" i="9"/>
  <c r="Q128" i="9"/>
  <c r="R159" i="9"/>
  <c r="R181" i="9"/>
  <c r="R175" i="9"/>
  <c r="R160" i="9"/>
  <c r="R176" i="9"/>
  <c r="R184" i="9"/>
  <c r="R129" i="9"/>
  <c r="R60" i="9"/>
  <c r="R147" i="4"/>
  <c r="R87" i="4"/>
  <c r="R50" i="4"/>
  <c r="R88" i="4"/>
  <c r="P94" i="4"/>
  <c r="R150" i="4"/>
  <c r="R9" i="4"/>
  <c r="P92" i="4"/>
  <c r="Q94" i="4"/>
  <c r="Q92" i="4"/>
  <c r="R5" i="4"/>
  <c r="R144" i="10"/>
  <c r="R124" i="10"/>
  <c r="R143" i="10"/>
  <c r="R163" i="10"/>
  <c r="R192" i="10"/>
  <c r="R75" i="8"/>
  <c r="R28" i="8"/>
  <c r="R58" i="8"/>
  <c r="R102" i="9"/>
  <c r="R101" i="9"/>
  <c r="R61" i="9"/>
  <c r="R14" i="9"/>
  <c r="O98" i="9"/>
  <c r="P126" i="9"/>
  <c r="R100" i="9"/>
  <c r="R13" i="9"/>
  <c r="R21" i="4"/>
  <c r="R100" i="4"/>
  <c r="R99" i="9"/>
  <c r="P92" i="9"/>
  <c r="P43" i="9"/>
  <c r="P128" i="9"/>
  <c r="Q98" i="9"/>
  <c r="R97" i="9"/>
  <c r="R6" i="9"/>
  <c r="Q126" i="9"/>
  <c r="P11" i="9"/>
  <c r="Q11" i="9"/>
  <c r="P57" i="9"/>
  <c r="P94" i="9"/>
  <c r="Q57" i="9"/>
  <c r="R12" i="9"/>
  <c r="R68" i="8"/>
  <c r="P23" i="10"/>
  <c r="R56" i="10"/>
  <c r="Q54" i="10"/>
  <c r="P51" i="10"/>
  <c r="P53" i="10"/>
  <c r="R135" i="10"/>
  <c r="P22" i="10"/>
  <c r="Q22" i="10"/>
  <c r="O129" i="10"/>
  <c r="R61" i="8"/>
  <c r="R95" i="4"/>
  <c r="R10" i="4"/>
  <c r="R6" i="4"/>
  <c r="R86" i="4"/>
  <c r="R69" i="4"/>
  <c r="O94" i="9"/>
  <c r="O92" i="9"/>
  <c r="P10" i="9"/>
  <c r="Q10" i="9"/>
  <c r="R95" i="9"/>
  <c r="P15" i="5"/>
  <c r="Q15" i="5"/>
  <c r="R14" i="5"/>
  <c r="R64" i="5"/>
  <c r="R11" i="4"/>
  <c r="P182" i="10"/>
  <c r="R151" i="10"/>
  <c r="R5" i="10"/>
  <c r="Q52" i="10"/>
  <c r="R4" i="10"/>
  <c r="P52" i="10"/>
  <c r="R52" i="10" s="1"/>
  <c r="R207" i="10"/>
  <c r="R12" i="4"/>
  <c r="R125" i="9"/>
  <c r="R98" i="4"/>
  <c r="R93" i="4"/>
  <c r="R91" i="4"/>
  <c r="O182" i="10"/>
  <c r="R57" i="10"/>
  <c r="R109" i="8"/>
  <c r="R8" i="8"/>
  <c r="R14" i="8"/>
  <c r="R114" i="8"/>
  <c r="R105" i="8"/>
  <c r="R7" i="8"/>
  <c r="Q43" i="9"/>
  <c r="O91" i="9"/>
  <c r="Q91" i="9"/>
  <c r="O55" i="9"/>
  <c r="P55" i="9"/>
  <c r="R13" i="5"/>
  <c r="R46" i="5"/>
  <c r="P42" i="5"/>
  <c r="Q42" i="5"/>
  <c r="O11" i="5"/>
  <c r="R11" i="5" s="1"/>
  <c r="Q60" i="5"/>
  <c r="Q10" i="5"/>
  <c r="R85" i="5"/>
  <c r="R16" i="5"/>
  <c r="R185" i="10"/>
  <c r="P49" i="10"/>
  <c r="O7" i="10"/>
  <c r="R142" i="10"/>
  <c r="R216" i="10"/>
  <c r="R157" i="10"/>
  <c r="R116" i="10"/>
  <c r="R89" i="4"/>
  <c r="R90" i="4"/>
  <c r="Q62" i="8"/>
  <c r="R6" i="8"/>
  <c r="R91" i="8"/>
  <c r="R64" i="8"/>
  <c r="O100" i="8"/>
  <c r="O59" i="8"/>
  <c r="Q100" i="8"/>
  <c r="R65" i="8"/>
  <c r="R66" i="5"/>
  <c r="R18" i="5"/>
  <c r="R39" i="5"/>
  <c r="R79" i="5"/>
  <c r="R12" i="5"/>
  <c r="R47" i="5"/>
  <c r="R41" i="5"/>
  <c r="R9" i="5"/>
  <c r="R86" i="5"/>
  <c r="R72" i="5"/>
  <c r="R257" i="10"/>
  <c r="R86" i="10"/>
  <c r="Q49" i="10"/>
  <c r="R215" i="10"/>
  <c r="P129" i="10"/>
  <c r="R46" i="10"/>
  <c r="R206" i="10"/>
  <c r="R48" i="10"/>
  <c r="R258" i="10"/>
  <c r="R131" i="10"/>
  <c r="R110" i="10"/>
  <c r="R233" i="10"/>
  <c r="R244" i="10"/>
  <c r="R133" i="10"/>
  <c r="R137" i="10"/>
  <c r="R232" i="10"/>
  <c r="R7" i="9"/>
  <c r="P180" i="10"/>
  <c r="Q181" i="10"/>
  <c r="O180" i="10"/>
  <c r="P181" i="10"/>
  <c r="R127" i="10"/>
  <c r="R62" i="10"/>
  <c r="R50" i="10"/>
  <c r="R95" i="10"/>
  <c r="P6" i="10"/>
  <c r="P7" i="10"/>
  <c r="O6" i="10"/>
  <c r="R106" i="10"/>
  <c r="R138" i="10"/>
  <c r="R87" i="10"/>
  <c r="R134" i="10"/>
  <c r="R126" i="10"/>
  <c r="R132" i="10"/>
  <c r="R179" i="10"/>
  <c r="R123" i="10"/>
  <c r="R184" i="10"/>
  <c r="R35" i="9"/>
  <c r="R34" i="9"/>
  <c r="Q53" i="9"/>
  <c r="Q90" i="9"/>
  <c r="O90" i="9"/>
  <c r="P53" i="9"/>
  <c r="R33" i="9"/>
  <c r="P8" i="9"/>
  <c r="O8" i="9"/>
  <c r="Q8" i="9"/>
  <c r="R59" i="5"/>
  <c r="O60" i="8"/>
  <c r="Q60" i="8"/>
  <c r="O62" i="8"/>
  <c r="Q26" i="8"/>
  <c r="R98" i="8"/>
  <c r="R11" i="8"/>
  <c r="R119" i="8"/>
  <c r="R113" i="8"/>
  <c r="R67" i="8"/>
  <c r="R19" i="8"/>
  <c r="R49" i="8"/>
  <c r="R9" i="8"/>
  <c r="R50" i="8"/>
  <c r="R35" i="8"/>
  <c r="O44" i="8"/>
  <c r="R12" i="8"/>
  <c r="O26" i="8"/>
  <c r="R17" i="8"/>
  <c r="R54" i="8"/>
  <c r="Q36" i="8"/>
  <c r="O36" i="8"/>
  <c r="R4" i="8"/>
  <c r="R16" i="8"/>
  <c r="O10" i="8"/>
  <c r="Q10" i="8"/>
  <c r="Q44" i="8"/>
  <c r="R176" i="10"/>
  <c r="R178" i="10"/>
  <c r="R177" i="10"/>
  <c r="R125" i="10"/>
  <c r="R44" i="10"/>
  <c r="R45" i="10"/>
  <c r="R4" i="4"/>
  <c r="R58" i="5"/>
  <c r="R6" i="5"/>
  <c r="R5" i="5"/>
  <c r="R5" i="8"/>
  <c r="R88" i="9"/>
  <c r="R89" i="9"/>
  <c r="R50" i="9"/>
  <c r="R5" i="9"/>
  <c r="R123" i="9"/>
  <c r="R32" i="9"/>
  <c r="R31" i="9"/>
  <c r="R86" i="9"/>
  <c r="R122" i="9"/>
  <c r="R87" i="9"/>
  <c r="R51" i="9"/>
  <c r="R52" i="9"/>
  <c r="R124" i="9"/>
  <c r="R63" i="8"/>
  <c r="R101" i="8"/>
  <c r="R115" i="8"/>
  <c r="R66" i="8"/>
  <c r="R74" i="8"/>
  <c r="R13" i="8"/>
  <c r="R25" i="8"/>
  <c r="R65" i="5" l="1"/>
  <c r="R49" i="5"/>
  <c r="R37" i="8"/>
  <c r="R52" i="8"/>
  <c r="R69" i="5"/>
  <c r="R19" i="5"/>
  <c r="R115" i="10"/>
  <c r="R18" i="8"/>
  <c r="R20" i="8"/>
  <c r="R38" i="8"/>
  <c r="R118" i="10"/>
  <c r="R204" i="10"/>
  <c r="R72" i="10"/>
  <c r="R111" i="10"/>
  <c r="R85" i="10"/>
  <c r="R83" i="10"/>
  <c r="R70" i="5"/>
  <c r="R99" i="4"/>
  <c r="R47" i="4"/>
  <c r="R67" i="4"/>
  <c r="R71" i="10"/>
  <c r="R160" i="10"/>
  <c r="R30" i="10"/>
  <c r="R20" i="5"/>
  <c r="R161" i="10"/>
  <c r="R156" i="10"/>
  <c r="R155" i="10"/>
  <c r="R109" i="10"/>
  <c r="R110" i="9"/>
  <c r="R169" i="9"/>
  <c r="R46" i="4"/>
  <c r="R75" i="4"/>
  <c r="R16" i="4"/>
  <c r="R17" i="4"/>
  <c r="R73" i="5"/>
  <c r="R10" i="5"/>
  <c r="R146" i="9"/>
  <c r="R15" i="4"/>
  <c r="R198" i="10"/>
  <c r="R109" i="9"/>
  <c r="R111" i="9"/>
  <c r="R84" i="9"/>
  <c r="R152" i="10"/>
  <c r="R59" i="8"/>
  <c r="R107" i="9"/>
  <c r="R188" i="9"/>
  <c r="R108" i="9"/>
  <c r="R26" i="10"/>
  <c r="R141" i="10"/>
  <c r="R93" i="8"/>
  <c r="R112" i="10"/>
  <c r="R65" i="10"/>
  <c r="R197" i="10"/>
  <c r="R154" i="10"/>
  <c r="R51" i="10"/>
  <c r="R21" i="9"/>
  <c r="R68" i="9"/>
  <c r="R17" i="5"/>
  <c r="R62" i="5"/>
  <c r="R61" i="5"/>
  <c r="R54" i="10"/>
  <c r="R55" i="10"/>
  <c r="R63" i="10"/>
  <c r="R60" i="5"/>
  <c r="R106" i="9"/>
  <c r="R166" i="9"/>
  <c r="R189" i="9"/>
  <c r="R105" i="9"/>
  <c r="R72" i="4"/>
  <c r="R20" i="9"/>
  <c r="R167" i="9"/>
  <c r="R66" i="9"/>
  <c r="R98" i="9"/>
  <c r="R15" i="5"/>
  <c r="S13" i="5"/>
  <c r="R186" i="10"/>
  <c r="R53" i="10"/>
  <c r="R36" i="8"/>
  <c r="R22" i="10"/>
  <c r="R129" i="10"/>
  <c r="R26" i="8"/>
  <c r="R23" i="10"/>
  <c r="R107" i="4"/>
  <c r="R42" i="5"/>
  <c r="R60" i="8"/>
  <c r="R62" i="8"/>
  <c r="R128" i="9"/>
  <c r="R7" i="10"/>
  <c r="R94" i="4"/>
  <c r="R43" i="9"/>
  <c r="R126" i="9"/>
  <c r="R92" i="4"/>
  <c r="R100" i="8"/>
  <c r="R57" i="9"/>
  <c r="R55" i="9"/>
  <c r="R92" i="9"/>
  <c r="R11" i="9"/>
  <c r="R94" i="9"/>
  <c r="R91" i="9"/>
  <c r="R10" i="9"/>
  <c r="R53" i="9"/>
  <c r="R6" i="10"/>
  <c r="R182" i="10"/>
  <c r="R181" i="10"/>
  <c r="R180" i="10"/>
  <c r="R49" i="10"/>
  <c r="S90" i="4"/>
  <c r="R90" i="9"/>
  <c r="R8" i="9"/>
  <c r="R44" i="8"/>
  <c r="R10" i="8"/>
  <c r="O60" i="4" l="1"/>
  <c r="P60" i="4"/>
  <c r="Q60" i="4"/>
  <c r="R60" i="4" l="1"/>
  <c r="O68" i="4" l="1"/>
  <c r="P68" i="4"/>
  <c r="Q68" i="4"/>
  <c r="R68" i="4" l="1"/>
</calcChain>
</file>

<file path=xl/sharedStrings.xml><?xml version="1.0" encoding="utf-8"?>
<sst xmlns="http://schemas.openxmlformats.org/spreadsheetml/2006/main" count="1942" uniqueCount="1211">
  <si>
    <t>Infantry</t>
  </si>
  <si>
    <t>Vehicles</t>
  </si>
  <si>
    <t>Aircraft</t>
  </si>
  <si>
    <t>Buildings</t>
  </si>
  <si>
    <t>None</t>
  </si>
  <si>
    <t>Flak</t>
  </si>
  <si>
    <t>Plate</t>
  </si>
  <si>
    <t>Hero</t>
  </si>
  <si>
    <t>Scout</t>
  </si>
  <si>
    <t>Light</t>
  </si>
  <si>
    <t>Medium</t>
  </si>
  <si>
    <t>Heavy</t>
  </si>
  <si>
    <t>Superheavy</t>
  </si>
  <si>
    <t>Fighter</t>
  </si>
  <si>
    <t>Bomber</t>
  </si>
  <si>
    <t>Helicopter</t>
  </si>
  <si>
    <t>Spaceship</t>
  </si>
  <si>
    <t>Wood</t>
  </si>
  <si>
    <t>Concrete</t>
  </si>
  <si>
    <t>Steel</t>
  </si>
  <si>
    <t>Small Arms</t>
  </si>
  <si>
    <t>Tesla</t>
  </si>
  <si>
    <t>Laser</t>
  </si>
  <si>
    <t>Magic</t>
  </si>
  <si>
    <t>Arrow</t>
  </si>
  <si>
    <t>Sword</t>
  </si>
  <si>
    <t>Chemical</t>
  </si>
  <si>
    <t>Cannon</t>
  </si>
  <si>
    <t>Missile</t>
  </si>
  <si>
    <t>Grenade</t>
  </si>
  <si>
    <t>Vehicle</t>
  </si>
  <si>
    <t>Building</t>
  </si>
  <si>
    <t>Artillery</t>
  </si>
  <si>
    <t>Tank Destroyer</t>
  </si>
  <si>
    <t>Heavy Infantry</t>
  </si>
  <si>
    <t>Allied Medium Tank</t>
  </si>
  <si>
    <t>HP</t>
  </si>
  <si>
    <t>Speed</t>
  </si>
  <si>
    <t>Range</t>
  </si>
  <si>
    <t>Damage</t>
  </si>
  <si>
    <t>Reload Delay</t>
  </si>
  <si>
    <t>Cost</t>
  </si>
  <si>
    <t>Nod Light Tank</t>
  </si>
  <si>
    <t>GDI Mammoth Tank</t>
  </si>
  <si>
    <t>Minigunner</t>
  </si>
  <si>
    <t>Nod Flamethrower</t>
  </si>
  <si>
    <t>Chemical Warrior</t>
  </si>
  <si>
    <t>Engineer</t>
  </si>
  <si>
    <t>Commando</t>
  </si>
  <si>
    <t>Nod Artillery</t>
  </si>
  <si>
    <t>Nod Buggy</t>
  </si>
  <si>
    <t>Recon Bike</t>
  </si>
  <si>
    <t>SSM Launcher</t>
  </si>
  <si>
    <t>Stealth Tank</t>
  </si>
  <si>
    <t>Apache</t>
  </si>
  <si>
    <t>Orca</t>
  </si>
  <si>
    <t>Construction Yard</t>
  </si>
  <si>
    <t>Barracks</t>
  </si>
  <si>
    <t>Nod Gun Turret</t>
  </si>
  <si>
    <t>Nod SAM Site</t>
  </si>
  <si>
    <t>Guard Tower</t>
  </si>
  <si>
    <t>Advanced Guard Tower</t>
  </si>
  <si>
    <t>Chemical Rocket Soldier</t>
  </si>
  <si>
    <t>Chemical Stealth Tank</t>
  </si>
  <si>
    <t>Chemical SSM Launcher</t>
  </si>
  <si>
    <t>Nod Buggy Mk2</t>
  </si>
  <si>
    <t>Light Tank Mk2</t>
  </si>
  <si>
    <t>Flame Tank Mk2</t>
  </si>
  <si>
    <t>Laser Trooper</t>
  </si>
  <si>
    <t>Black Hand Flamer</t>
  </si>
  <si>
    <t>Stealth Soldier</t>
  </si>
  <si>
    <t>Stealth Harvester</t>
  </si>
  <si>
    <t>Specter</t>
  </si>
  <si>
    <t>Venom</t>
  </si>
  <si>
    <t>Laser Commando</t>
  </si>
  <si>
    <t>EMP Grenadier</t>
  </si>
  <si>
    <t>Assault APC</t>
  </si>
  <si>
    <t>Humvee Mk2</t>
  </si>
  <si>
    <t>Predator Tank</t>
  </si>
  <si>
    <t>Experimental Exosuit</t>
  </si>
  <si>
    <t>Shotgunner</t>
  </si>
  <si>
    <t>GDI Officer</t>
  </si>
  <si>
    <t>Havoc</t>
  </si>
  <si>
    <t>Refinery</t>
  </si>
  <si>
    <t>SmallArms</t>
  </si>
  <si>
    <t>Chaingun</t>
  </si>
  <si>
    <t>Scaling 6</t>
  </si>
  <si>
    <t>Scaling 5</t>
  </si>
  <si>
    <t>Scaling 4</t>
  </si>
  <si>
    <t>Scaling 3</t>
  </si>
  <si>
    <t>Scaling 2</t>
  </si>
  <si>
    <t>Scaling 1</t>
  </si>
  <si>
    <t>Railgun</t>
  </si>
  <si>
    <t>Superweapon</t>
  </si>
  <si>
    <t>Rifle Infantry</t>
  </si>
  <si>
    <t>Soviet Flamethrower</t>
  </si>
  <si>
    <t>Tanya</t>
  </si>
  <si>
    <t>Shock Trooper</t>
  </si>
  <si>
    <t>Samurai</t>
  </si>
  <si>
    <t>Archer Maiden</t>
  </si>
  <si>
    <t>Exorcist</t>
  </si>
  <si>
    <t>V2 Rocket Launcher</t>
  </si>
  <si>
    <t>Allied Light Tank</t>
  </si>
  <si>
    <t>Soviet Heavy Tank</t>
  </si>
  <si>
    <t>Soviet Mammoth Tank</t>
  </si>
  <si>
    <t>Monster Tank</t>
  </si>
  <si>
    <t>Allied Artillery</t>
  </si>
  <si>
    <t>Ranger</t>
  </si>
  <si>
    <t>Tesla Tank</t>
  </si>
  <si>
    <t>Longbow</t>
  </si>
  <si>
    <t>Black Hawk</t>
  </si>
  <si>
    <t>Hind</t>
  </si>
  <si>
    <t>Scout Car</t>
  </si>
  <si>
    <t>Grenade Buggy</t>
  </si>
  <si>
    <t>I-Go Medium Tank</t>
  </si>
  <si>
    <t>Chi-Ha Medium Tank</t>
  </si>
  <si>
    <t>Armored Car</t>
  </si>
  <si>
    <t>Nanodrone Buggy</t>
  </si>
  <si>
    <t>Waveforce Artillery</t>
  </si>
  <si>
    <t>Hovercraft Flametank</t>
  </si>
  <si>
    <t>OI Tank</t>
  </si>
  <si>
    <t>Cruiser</t>
  </si>
  <si>
    <t>Pillbox</t>
  </si>
  <si>
    <t>Allied Gun Turret</t>
  </si>
  <si>
    <t>AA Gun</t>
  </si>
  <si>
    <t>Flame Tower</t>
  </si>
  <si>
    <t>Tesla Coil</t>
  </si>
  <si>
    <t>Soviet SAM Site</t>
  </si>
  <si>
    <t>MG Nest</t>
  </si>
  <si>
    <t>Machine Gunner</t>
  </si>
  <si>
    <t>Sheridan</t>
  </si>
  <si>
    <t>Phase Transport</t>
  </si>
  <si>
    <t>Tiger Heavy Tank</t>
  </si>
  <si>
    <t>Chrono Tank</t>
  </si>
  <si>
    <t>Bastion</t>
  </si>
  <si>
    <t>Allied Tank Destroyer</t>
  </si>
  <si>
    <t>medium</t>
  </si>
  <si>
    <t>light</t>
  </si>
  <si>
    <t>heavy</t>
  </si>
  <si>
    <t>medium + heavy</t>
  </si>
  <si>
    <t>super</t>
  </si>
  <si>
    <t>light + medium + heavy</t>
  </si>
  <si>
    <t>Special</t>
  </si>
  <si>
    <t>Rocket Soldier TD</t>
  </si>
  <si>
    <t>Rocket Soldier RA</t>
  </si>
  <si>
    <t>Anti Air Defense</t>
  </si>
  <si>
    <t>Advanced Defense</t>
  </si>
  <si>
    <t>GDI Grenadier</t>
  </si>
  <si>
    <t>Fire</t>
  </si>
  <si>
    <t>Flak Truck</t>
  </si>
  <si>
    <r>
      <t>            None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100</t>
    </r>
  </si>
  <si>
    <r>
      <t>            Flak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96</t>
    </r>
  </si>
  <si>
    <r>
      <t>            Plate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92</t>
    </r>
  </si>
  <si>
    <r>
      <t>            Heroic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88</t>
    </r>
  </si>
  <si>
    <r>
      <t>            Superheavy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84</t>
    </r>
  </si>
  <si>
    <r>
      <t>            Heavy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80</t>
    </r>
  </si>
  <si>
    <r>
      <t>            Medium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76</t>
    </r>
  </si>
  <si>
    <r>
      <t>            Light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72</t>
    </r>
  </si>
  <si>
    <r>
      <t>            Scout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68</t>
    </r>
  </si>
  <si>
    <r>
      <t>            Steel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64</t>
    </r>
  </si>
  <si>
    <r>
      <t>            Concrete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60</t>
    </r>
  </si>
  <si>
    <r>
      <t>            Wood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56</t>
    </r>
  </si>
  <si>
    <r>
      <t>            Fighter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52</t>
    </r>
  </si>
  <si>
    <r>
      <t>            Bomber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48</t>
    </r>
  </si>
  <si>
    <r>
      <t>            Helicopter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44</t>
    </r>
  </si>
  <si>
    <r>
      <t>            Spaceship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40</t>
    </r>
  </si>
  <si>
    <t>scout</t>
  </si>
  <si>
    <t>none</t>
  </si>
  <si>
    <t>fighter</t>
  </si>
  <si>
    <t>flak</t>
  </si>
  <si>
    <t>bomber</t>
  </si>
  <si>
    <t>plate</t>
  </si>
  <si>
    <t>helicopter</t>
  </si>
  <si>
    <t>heroic</t>
  </si>
  <si>
    <t>spaceship</t>
  </si>
  <si>
    <t>superheavy</t>
  </si>
  <si>
    <t>wood</t>
  </si>
  <si>
    <t>concrete</t>
  </si>
  <si>
    <t>steel</t>
  </si>
  <si>
    <t>Obelisk</t>
  </si>
  <si>
    <t>Chemical Attack Bike</t>
  </si>
  <si>
    <t>Weapon Class</t>
  </si>
  <si>
    <t>Unit Class</t>
  </si>
  <si>
    <t>GDI Sniper</t>
  </si>
  <si>
    <t>Mammoth Mk3</t>
  </si>
  <si>
    <t>Japanese Flamethrower</t>
  </si>
  <si>
    <t>Allied Sniper</t>
  </si>
  <si>
    <t>Mig</t>
  </si>
  <si>
    <t>BTR</t>
  </si>
  <si>
    <t>Japanese Bomber</t>
  </si>
  <si>
    <t>Fire Rocket Soldier</t>
  </si>
  <si>
    <t>Nuclear Mig</t>
  </si>
  <si>
    <t>Nuclear V2</t>
  </si>
  <si>
    <t>Heavy Tesla Tank</t>
  </si>
  <si>
    <t>Waveforce Tank</t>
  </si>
  <si>
    <t>Rocket Angel</t>
  </si>
  <si>
    <t>Mortar Soldier</t>
  </si>
  <si>
    <t>Waveforce Turret</t>
  </si>
  <si>
    <t>Main Battle Tanks</t>
  </si>
  <si>
    <t>High Tech Tanks</t>
  </si>
  <si>
    <t>RA2 Pillbox</t>
  </si>
  <si>
    <t>G.I.</t>
  </si>
  <si>
    <t>Sentry Gun</t>
  </si>
  <si>
    <t>Patriot Missile System</t>
  </si>
  <si>
    <t>Prism Tower</t>
  </si>
  <si>
    <t>Artilleries</t>
  </si>
  <si>
    <t>Prism Tank</t>
  </si>
  <si>
    <t>Grand Cannon</t>
  </si>
  <si>
    <t>Guardian</t>
  </si>
  <si>
    <t>Grizzly Tank</t>
  </si>
  <si>
    <t>RA2 Tank Destroyer</t>
  </si>
  <si>
    <t>Robot Tank</t>
  </si>
  <si>
    <t>Mirage Tank</t>
  </si>
  <si>
    <t>Harrier</t>
  </si>
  <si>
    <t>Nod Laser Turret</t>
  </si>
  <si>
    <t>Flak Cannon</t>
  </si>
  <si>
    <t>RA2 Tesla Coil</t>
  </si>
  <si>
    <t>V2 Nuclear Rocket Launcher</t>
  </si>
  <si>
    <t>RA2 Tanya</t>
  </si>
  <si>
    <t>Seal</t>
  </si>
  <si>
    <t>Boris</t>
  </si>
  <si>
    <t>Conscript</t>
  </si>
  <si>
    <t>RA2 Sniper</t>
  </si>
  <si>
    <t>Desolator</t>
  </si>
  <si>
    <t>Tesla Trooper</t>
  </si>
  <si>
    <t>Rhino Heavy Tank</t>
  </si>
  <si>
    <t>RA2 Flak Track</t>
  </si>
  <si>
    <t>Apocalypse Tank</t>
  </si>
  <si>
    <t>V3 Rocket Launcher</t>
  </si>
  <si>
    <t>RA2 Tesla Tank</t>
  </si>
  <si>
    <t>Siege Chopper</t>
  </si>
  <si>
    <t>Kirov</t>
  </si>
  <si>
    <t>Black Eagle</t>
  </si>
  <si>
    <t>Rocketeer</t>
  </si>
  <si>
    <t>Yuri Initiate</t>
  </si>
  <si>
    <t>Brute</t>
  </si>
  <si>
    <t>Virus</t>
  </si>
  <si>
    <t>Yuri Gatling Tank</t>
  </si>
  <si>
    <t>Gatling Cannon</t>
  </si>
  <si>
    <t>Magnetron</t>
  </si>
  <si>
    <t>Floating Disc</t>
  </si>
  <si>
    <t>Night Hawk</t>
  </si>
  <si>
    <t>Cosmonaut</t>
  </si>
  <si>
    <t>Bio Trooper</t>
  </si>
  <si>
    <t>Gatling Trooper</t>
  </si>
  <si>
    <t>Recon Ranger</t>
  </si>
  <si>
    <t>Shock Infantry</t>
  </si>
  <si>
    <t>Rocket Trooper</t>
  </si>
  <si>
    <t>Light Infantry</t>
  </si>
  <si>
    <t>Ix Raider</t>
  </si>
  <si>
    <t>Shock Raider</t>
  </si>
  <si>
    <t>Ix Combat Tank</t>
  </si>
  <si>
    <t>Personnel Carrier</t>
  </si>
  <si>
    <t>Stealth Personnel Carrier</t>
  </si>
  <si>
    <t>Ix Projector</t>
  </si>
  <si>
    <t>Ix Duelist Tank</t>
  </si>
  <si>
    <t>Ix Combat Siege</t>
  </si>
  <si>
    <t>Ix Quake Tank</t>
  </si>
  <si>
    <t>Ix Missile Tank</t>
  </si>
  <si>
    <t>Air Drone</t>
  </si>
  <si>
    <t>Farasha</t>
  </si>
  <si>
    <t>Autonomous Carryall</t>
  </si>
  <si>
    <t>Transport Carryall</t>
  </si>
  <si>
    <t>Windtrap</t>
  </si>
  <si>
    <t>Mini Windtrap</t>
  </si>
  <si>
    <t>High Tech Factory</t>
  </si>
  <si>
    <t>Ix Research Center</t>
  </si>
  <si>
    <t>Outpost</t>
  </si>
  <si>
    <t>Starport</t>
  </si>
  <si>
    <t>Wall</t>
  </si>
  <si>
    <t>Munitions silo</t>
  </si>
  <si>
    <t>Storm Lasher</t>
  </si>
  <si>
    <t>Rocket Turret</t>
  </si>
  <si>
    <t>Repair pad</t>
  </si>
  <si>
    <t>Machine Gun Tower</t>
  </si>
  <si>
    <t>Spice Sifter</t>
  </si>
  <si>
    <t>Gun Turret</t>
  </si>
  <si>
    <t>Advanced Factory</t>
  </si>
  <si>
    <r>
      <t>        FactionImages</t>
    </r>
    <r>
      <rPr>
        <sz val="11"/>
        <color rgb="FFCCCCCC"/>
        <rFont val="Consolas"/>
        <family val="3"/>
      </rPr>
      <t>:</t>
    </r>
  </si>
  <si>
    <r>
      <t>            atreides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conyard.atreides</t>
    </r>
  </si>
  <si>
    <r>
      <t>            fremen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conyard.atreides</t>
    </r>
  </si>
  <si>
    <r>
      <t>            ixian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conyard.atreides</t>
    </r>
  </si>
  <si>
    <r>
      <t>            harkonnen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conyard.harkonnen</t>
    </r>
  </si>
  <si>
    <r>
      <t>            corrino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conyard.corrino</t>
    </r>
  </si>
  <si>
    <r>
      <t>            guild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conyard.harkonnen</t>
    </r>
  </si>
  <si>
    <r>
      <t>            emperor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conyard.corrino</t>
    </r>
  </si>
  <si>
    <r>
      <t>            atreides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barracks.atreides</t>
    </r>
  </si>
  <si>
    <r>
      <t>            fremen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barracks.atreides</t>
    </r>
  </si>
  <si>
    <r>
      <t>            harkonnen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barracks.harkonnen</t>
    </r>
  </si>
  <si>
    <r>
      <t>            emperor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barracks.harkonnen</t>
    </r>
  </si>
  <si>
    <r>
      <t>            corrino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barracks.corrino:</t>
    </r>
  </si>
  <si>
    <r>
      <t>            guild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barracks.merc</t>
    </r>
  </si>
  <si>
    <r>
      <t>            atreides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heavy.atreides</t>
    </r>
  </si>
  <si>
    <r>
      <t>            ixian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heavy.atreides</t>
    </r>
  </si>
  <si>
    <r>
      <t>            fremen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heavy.atreides</t>
    </r>
  </si>
  <si>
    <r>
      <t>            harkonnen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heavy.harkonnen</t>
    </r>
  </si>
  <si>
    <r>
      <t>            corrino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heavy.corrino</t>
    </r>
  </si>
  <si>
    <r>
      <t>            guild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heavy.harkonnen</t>
    </r>
  </si>
  <si>
    <r>
      <t>            emperor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heavy.corrino</t>
    </r>
  </si>
  <si>
    <r>
      <t>            atreides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repair_pad.atreides</t>
    </r>
  </si>
  <si>
    <r>
      <t>            fremen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repair_pad.atreides</t>
    </r>
  </si>
  <si>
    <r>
      <t>            ixian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repair_pad.atreides</t>
    </r>
  </si>
  <si>
    <r>
      <t>            harkonnen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repair_pad.dark</t>
    </r>
  </si>
  <si>
    <r>
      <t>            corrino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repair_pad.dark</t>
    </r>
  </si>
  <si>
    <r>
      <t>            guild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repair_pad.dark</t>
    </r>
  </si>
  <si>
    <r>
      <t>            emperor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repair_pad.dark</t>
    </r>
  </si>
  <si>
    <r>
      <t>            atreides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research.atreides</t>
    </r>
  </si>
  <si>
    <r>
      <t>            fremen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research.atreides</t>
    </r>
  </si>
  <si>
    <r>
      <t>            ixian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research.atreides</t>
    </r>
  </si>
  <si>
    <r>
      <t>            harkonnen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research.corrino</t>
    </r>
  </si>
  <si>
    <r>
      <t>            corrino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research.corrino</t>
    </r>
  </si>
  <si>
    <r>
      <t>            guild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research.corrino</t>
    </r>
  </si>
  <si>
    <r>
      <t>            emperor</t>
    </r>
    <r>
      <rPr>
        <sz val="11"/>
        <color rgb="FFCCCCCC"/>
        <rFont val="Consolas"/>
        <family val="3"/>
      </rPr>
      <t xml:space="preserve">: </t>
    </r>
    <r>
      <rPr>
        <sz val="11"/>
        <color rgb="FFCE9178"/>
        <rFont val="Consolas"/>
        <family val="3"/>
      </rPr>
      <t>research.corrino</t>
    </r>
  </si>
  <si>
    <t>Dune Light  Infantry</t>
  </si>
  <si>
    <t>Dune Rocket Trooper</t>
  </si>
  <si>
    <t>Dune</t>
  </si>
  <si>
    <t>Asian Alliance</t>
  </si>
  <si>
    <t>Yuri</t>
  </si>
  <si>
    <t>RA2 Soviets</t>
  </si>
  <si>
    <t>RA2 Allies</t>
  </si>
  <si>
    <t>RA1</t>
  </si>
  <si>
    <t>TD</t>
  </si>
  <si>
    <t>Ixian Gun Turret</t>
  </si>
  <si>
    <t>Dune Rocket Turret</t>
  </si>
  <si>
    <t>Ix Siege Tank</t>
  </si>
  <si>
    <t>AA Sentry Flamer</t>
  </si>
  <si>
    <t>AA Punisher</t>
  </si>
  <si>
    <t>AA Pulsar</t>
  </si>
  <si>
    <t>AA Rail Tower</t>
  </si>
  <si>
    <t>AA Plasma Cannon</t>
  </si>
  <si>
    <t xml:space="preserve">AA Hyperion </t>
  </si>
  <si>
    <t>Asian Militia</t>
  </si>
  <si>
    <t>Asian Militia (Grenade)</t>
  </si>
  <si>
    <t>Tank Killer</t>
  </si>
  <si>
    <t>Plasma Trooper</t>
  </si>
  <si>
    <t>Fanatic</t>
  </si>
  <si>
    <t>AA Samurai</t>
  </si>
  <si>
    <t>Shinobi</t>
  </si>
  <si>
    <t>Veteran Archer</t>
  </si>
  <si>
    <t>Alligator</t>
  </si>
  <si>
    <t>ASDF</t>
  </si>
  <si>
    <t>Scout Vehicles</t>
  </si>
  <si>
    <t>Quasar</t>
  </si>
  <si>
    <t>Dragonfly</t>
  </si>
  <si>
    <t>Pulverizer</t>
  </si>
  <si>
    <t>AA Flame Tank</t>
  </si>
  <si>
    <t>Pulverizer Mecha</t>
  </si>
  <si>
    <t>AA Howitzer</t>
  </si>
  <si>
    <t>Type 89 MLRS</t>
  </si>
  <si>
    <t>AA Viper</t>
  </si>
  <si>
    <t>AA Railgun Tank</t>
  </si>
  <si>
    <t>AA Heavy Railgun Tank</t>
  </si>
  <si>
    <t>AA Phoenix</t>
  </si>
  <si>
    <t>AA Plasma Tank</t>
  </si>
  <si>
    <t>Storm Raider</t>
  </si>
  <si>
    <t>Steel Clone Trooper</t>
  </si>
  <si>
    <t>Hover Board Grenadier</t>
  </si>
  <si>
    <t>Quantum Tank</t>
  </si>
  <si>
    <t>Mako</t>
  </si>
  <si>
    <t>Manta</t>
  </si>
  <si>
    <t>Beholder</t>
  </si>
  <si>
    <t>Consortium Artillery Tank (undeployed)</t>
  </si>
  <si>
    <t>Consortium Artillery Tank (deployed)</t>
  </si>
  <si>
    <t>Katy Tank</t>
  </si>
  <si>
    <t>Poseidon Tank</t>
  </si>
  <si>
    <t>Twister</t>
  </si>
  <si>
    <t>Dagger</t>
  </si>
  <si>
    <t>Defender Bot</t>
  </si>
  <si>
    <t>Consortium Sentry Turret</t>
  </si>
  <si>
    <t>Consortium Anti Air Turret</t>
  </si>
  <si>
    <t>Consortium Quantum Cannon</t>
  </si>
  <si>
    <t>BFG 10000</t>
  </si>
  <si>
    <t>Federation Hummer</t>
  </si>
  <si>
    <t>Federation Cougar</t>
  </si>
  <si>
    <t>Beta Quantum Tank</t>
  </si>
  <si>
    <t>Federation Cobra</t>
  </si>
  <si>
    <t>Quantum Missile Trooper</t>
  </si>
  <si>
    <t>Heavy Ix Raider</t>
  </si>
  <si>
    <t>Neo-Cymek</t>
  </si>
  <si>
    <t>Helicopter Drone</t>
  </si>
  <si>
    <t>A10 Strike</t>
  </si>
  <si>
    <t>Aircraft Armor</t>
  </si>
  <si>
    <t>Missile Targeting</t>
  </si>
  <si>
    <t>Cutting Edge</t>
  </si>
  <si>
    <t>Radar Tier</t>
  </si>
  <si>
    <t>Tech Tier</t>
  </si>
  <si>
    <t>Guerilla Tactics</t>
  </si>
  <si>
    <t>Elemental Warfare</t>
  </si>
  <si>
    <t>Elite Capacitors</t>
  </si>
  <si>
    <t>Improved Artilleries</t>
  </si>
  <si>
    <t>Black Market Upgrades</t>
  </si>
  <si>
    <t>Tiberium Infusion</t>
  </si>
  <si>
    <t>Cybernetics</t>
  </si>
  <si>
    <t>Advanced Guerilla Tactics</t>
  </si>
  <si>
    <t>Conscription</t>
  </si>
  <si>
    <t>Advanced Thermobarics</t>
  </si>
  <si>
    <t>Soviet Steel</t>
  </si>
  <si>
    <t>Afterburners</t>
  </si>
  <si>
    <t>Nuclear Engines</t>
  </si>
  <si>
    <t>Experimental Tesla Weaponry</t>
  </si>
  <si>
    <t>Rocket Enhancements</t>
  </si>
  <si>
    <t>Consortium</t>
  </si>
  <si>
    <t>Advanced Soviet Mammoth Tank</t>
  </si>
  <si>
    <t>RA2 Hind</t>
  </si>
  <si>
    <t>Diablo</t>
  </si>
  <si>
    <t>Wirbelwind</t>
  </si>
  <si>
    <t>Panzerschreck</t>
  </si>
  <si>
    <t>Ratte</t>
  </si>
  <si>
    <t>Maus</t>
  </si>
  <si>
    <t>Rifle Soldier</t>
  </si>
  <si>
    <t xml:space="preserve">Naxis </t>
  </si>
  <si>
    <t>Syndicate</t>
  </si>
  <si>
    <t>Helicopters</t>
  </si>
  <si>
    <t>Spaceships</t>
  </si>
  <si>
    <t>RA2 Mig</t>
  </si>
  <si>
    <t>Su-57 (Missiles)</t>
  </si>
  <si>
    <t>Naxi Guard Tower</t>
  </si>
  <si>
    <t>Firehawk (Bombs)</t>
  </si>
  <si>
    <t>Firehawk (Missiles)</t>
  </si>
  <si>
    <t>Nuclear Mig Bomber</t>
  </si>
  <si>
    <t>Syndicate Militia (Molotov)</t>
  </si>
  <si>
    <t>Syndicate Militia (AK47)</t>
  </si>
  <si>
    <t>Freedom Fighter (AK47)</t>
  </si>
  <si>
    <t>Freedom Fighter (Rockets)</t>
  </si>
  <si>
    <t>Syndicate Flame Trooper</t>
  </si>
  <si>
    <t>Narco</t>
  </si>
  <si>
    <t>Fighters</t>
  </si>
  <si>
    <t>Bombers</t>
  </si>
  <si>
    <t>Rapier Jumpjet (Bombs)</t>
  </si>
  <si>
    <t>Rapier Jumpjet (Missiles)</t>
  </si>
  <si>
    <t>Mig 21</t>
  </si>
  <si>
    <t>LARS</t>
  </si>
  <si>
    <t>Burrito</t>
  </si>
  <si>
    <t>Syndicate Missile Truck</t>
  </si>
  <si>
    <t>Mortar Bike</t>
  </si>
  <si>
    <t>Smoker Tank</t>
  </si>
  <si>
    <t>Smoker Tank (Grenade Pack)</t>
  </si>
  <si>
    <t>Asian Flame Trooper</t>
  </si>
  <si>
    <t>Narco Hummer</t>
  </si>
  <si>
    <t>Cartel Truck</t>
  </si>
  <si>
    <t>King Tiger Heavy Tank</t>
  </si>
  <si>
    <t>Syndicate APC</t>
  </si>
  <si>
    <t>Syndicate APC (Missiles)</t>
  </si>
  <si>
    <t>Hot Fire</t>
  </si>
  <si>
    <t>Industrial Methods</t>
  </si>
  <si>
    <t>Chainguns</t>
  </si>
  <si>
    <t>Lightposts</t>
  </si>
  <si>
    <t>Elite Guerillas</t>
  </si>
  <si>
    <t>Stolen Tech</t>
  </si>
  <si>
    <t>Miraging + APC Missiles</t>
  </si>
  <si>
    <t>Cash Recovery</t>
  </si>
  <si>
    <t>Hetzer</t>
  </si>
  <si>
    <t>Jagdpanzer</t>
  </si>
  <si>
    <t>Latin Sentry Gun</t>
  </si>
  <si>
    <t>AA Defender</t>
  </si>
  <si>
    <t>SS Soldier</t>
  </si>
  <si>
    <t>Naxi Halftrack</t>
  </si>
  <si>
    <t>APC (Allies)</t>
  </si>
  <si>
    <t>APC (GDI)</t>
  </si>
  <si>
    <t>Japanese Hovercraft</t>
  </si>
  <si>
    <t>Japanese Hovercraft (Flak)</t>
  </si>
  <si>
    <t>Anti Air Support Vehicles</t>
  </si>
  <si>
    <t>Transport Support Vehicles</t>
  </si>
  <si>
    <t>Allied Tiger Heavy Tank</t>
  </si>
  <si>
    <t>Epic Units</t>
  </si>
  <si>
    <t>Soviet Gatling Tank</t>
  </si>
  <si>
    <t>Parzival</t>
  </si>
  <si>
    <t>Battle Fortress</t>
  </si>
  <si>
    <t>Dune Shock Infantry</t>
  </si>
  <si>
    <t>Dune Storm Infantry</t>
  </si>
  <si>
    <t>Storm Infantry</t>
  </si>
  <si>
    <t>Apparition</t>
  </si>
  <si>
    <t>Heavy Air Drone</t>
  </si>
  <si>
    <t>Grenade Monkey</t>
  </si>
  <si>
    <t>Haunebu II</t>
  </si>
  <si>
    <t>Flak 88</t>
  </si>
  <si>
    <t>Soviet Autoloaders</t>
  </si>
  <si>
    <t>Long Range Sensors</t>
  </si>
  <si>
    <t>Armor Piercing Bullets</t>
  </si>
  <si>
    <t>High Velocity Cannons</t>
  </si>
  <si>
    <t>Lightweight Armor</t>
  </si>
  <si>
    <t>Heavy Machine Guns</t>
  </si>
  <si>
    <t>Ixians:</t>
  </si>
  <si>
    <t>Advanced Windtraps</t>
  </si>
  <si>
    <t>Reinforced Barrels</t>
  </si>
  <si>
    <t>Heavy Missiles Upgrade</t>
  </si>
  <si>
    <t>Personal Shields</t>
  </si>
  <si>
    <t>Advanced Ixian Technology</t>
  </si>
  <si>
    <t>Efficent Filtering</t>
  </si>
  <si>
    <t>Latin Syndicate:</t>
  </si>
  <si>
    <t>RA1 Soviets:</t>
  </si>
  <si>
    <t>TD GDI:</t>
  </si>
  <si>
    <t>TD Nod:</t>
  </si>
  <si>
    <t>Heavy Infantry and Tank Armor</t>
  </si>
  <si>
    <t>RA1 Allies:</t>
  </si>
  <si>
    <t>RA1 Japan:</t>
  </si>
  <si>
    <t>Laser Targeting Systems</t>
  </si>
  <si>
    <t>Adaptive Armor Plating</t>
  </si>
  <si>
    <t>Air Superiority Doctrine</t>
  </si>
  <si>
    <t>Reinforced Structures</t>
  </si>
  <si>
    <t>Advanced Radar Systems</t>
  </si>
  <si>
    <t>Chrono Armor</t>
  </si>
  <si>
    <t>Stealth Suit Integration</t>
  </si>
  <si>
    <t>Bushido Discipline</t>
  </si>
  <si>
    <t>Waveforce Generators</t>
  </si>
  <si>
    <t>Advanced Nanotech Armor</t>
  </si>
  <si>
    <t>Rocket Propulsion Upgrades</t>
  </si>
  <si>
    <t>Advanced Plasma Weaponry</t>
  </si>
  <si>
    <t>Energy Shields</t>
  </si>
  <si>
    <t>Nanotechnology Repairs</t>
  </si>
  <si>
    <t>Quantum Reactor Boost</t>
  </si>
  <si>
    <t>Ninja Stealth Systems</t>
  </si>
  <si>
    <t>Yamato Engineering</t>
  </si>
  <si>
    <t>Nanotech Armor Plating</t>
  </si>
  <si>
    <t>Superior War Engines</t>
  </si>
  <si>
    <t>Waveforce Bullets</t>
  </si>
  <si>
    <t>Divine Wind Protocol</t>
  </si>
  <si>
    <t>GPS Satellite Support</t>
  </si>
  <si>
    <t>Cryo Missiles</t>
  </si>
  <si>
    <t>Soviet</t>
  </si>
  <si>
    <t>GDI</t>
  </si>
  <si>
    <t>Nod</t>
  </si>
  <si>
    <t>Allies</t>
  </si>
  <si>
    <t>Nanotech Repair</t>
  </si>
  <si>
    <t>Energized Arrows</t>
  </si>
  <si>
    <t>Sonic Missile Soldier</t>
  </si>
  <si>
    <t>Assault APC (Sniper)</t>
  </si>
  <si>
    <t>Assault APC (Missile Soldier)</t>
  </si>
  <si>
    <t>Ballista</t>
  </si>
  <si>
    <t>Ballista Tower</t>
  </si>
  <si>
    <t>Japan</t>
  </si>
  <si>
    <t>Tank Buster</t>
  </si>
  <si>
    <t>Ixian</t>
  </si>
  <si>
    <t>Haunebu</t>
  </si>
  <si>
    <t>TD (Stealth)</t>
  </si>
  <si>
    <t>RA1 (Japan)</t>
  </si>
  <si>
    <t>Imperial Scoutsman</t>
  </si>
  <si>
    <t>Archer Artillery</t>
  </si>
  <si>
    <t>Archer Maiden (upgrade)</t>
  </si>
  <si>
    <t>Yak (Chaingun)</t>
  </si>
  <si>
    <t>Yak (Bombs)</t>
  </si>
  <si>
    <t>Zero Fighter (Chaingun)</t>
  </si>
  <si>
    <t>Zero Fighter (Arrows)</t>
  </si>
  <si>
    <t>Heavy Mirage Tank</t>
  </si>
  <si>
    <t>DPS</t>
  </si>
  <si>
    <t>Exorcist OI Tank</t>
  </si>
  <si>
    <t>Scout Infantry</t>
  </si>
  <si>
    <t>Anti Tank Anti Air</t>
  </si>
  <si>
    <t>Minigunner (Laser)</t>
  </si>
  <si>
    <t>Minigunner (AP Bullets)</t>
  </si>
  <si>
    <t>Melee Infantry</t>
  </si>
  <si>
    <t>Hero  Infantry</t>
  </si>
  <si>
    <t>Nod Flame Tank</t>
  </si>
  <si>
    <t>GDI Humvee</t>
  </si>
  <si>
    <t>Fire Supports</t>
  </si>
  <si>
    <t>GDI MLRS</t>
  </si>
  <si>
    <t>Basic Defense</t>
  </si>
  <si>
    <t>Grenadier Infantry</t>
  </si>
  <si>
    <t>Sniper Infantry</t>
  </si>
  <si>
    <t>GDI Battle Tank</t>
  </si>
  <si>
    <t>All Defenses have a Speed of 100 in this formula</t>
  </si>
  <si>
    <t>All Bombers have a range of at least 5 in this formula</t>
  </si>
  <si>
    <t>Soviet Grenadier</t>
  </si>
  <si>
    <t>V1 Rocket Truck</t>
  </si>
  <si>
    <t>Allied Heavy AA Tank</t>
  </si>
  <si>
    <t>Sky Hawk</t>
  </si>
  <si>
    <t>Camo Pillbox (MG)</t>
  </si>
  <si>
    <t>Camo Pillbox (Rockets)</t>
  </si>
  <si>
    <t>Schwarzer Mond</t>
  </si>
  <si>
    <t>Lunar Naxi Laser Tower</t>
  </si>
  <si>
    <t>Dune Machine Gun Turret</t>
  </si>
  <si>
    <t>D2K</t>
  </si>
  <si>
    <t>Ixian Air Drone (Rockets)</t>
  </si>
  <si>
    <t>Ixian Air Drone (Guns)</t>
  </si>
  <si>
    <t>Heavy Ix Raider (Guns)</t>
  </si>
  <si>
    <t>Heavy Ix Raider (Rockets)</t>
  </si>
  <si>
    <t>Naxi Rifle Soldier</t>
  </si>
  <si>
    <t>Naxi Rifle Recruit</t>
  </si>
  <si>
    <t>Naxi</t>
  </si>
  <si>
    <t>Naxi Flame Recruit</t>
  </si>
  <si>
    <t>Naxi Sniper</t>
  </si>
  <si>
    <t>Naxis</t>
  </si>
  <si>
    <t>Sky Mage</t>
  </si>
  <si>
    <t>Anti Tank Cannon</t>
  </si>
  <si>
    <t>Übermutant</t>
  </si>
  <si>
    <t>Naxi Alien</t>
  </si>
  <si>
    <t>Naxi Machinegunners</t>
  </si>
  <si>
    <t>Portable Flak</t>
  </si>
  <si>
    <t>Lunar Soldier</t>
  </si>
  <si>
    <t>Lunar Rocket</t>
  </si>
  <si>
    <t>Übermensch</t>
  </si>
  <si>
    <t>Noid MG Armor</t>
  </si>
  <si>
    <t>Laser Beetle</t>
  </si>
  <si>
    <t>Lunar Panzer</t>
  </si>
  <si>
    <t>Lunar Tiger</t>
  </si>
  <si>
    <t>Neo Jagdpanzer</t>
  </si>
  <si>
    <t>Ix Duelist Tank (Guns)</t>
  </si>
  <si>
    <t>Ix Duelist Tank (Cannon)</t>
  </si>
  <si>
    <t>Korruptes Biest</t>
  </si>
  <si>
    <t>Crystal Tank</t>
  </si>
  <si>
    <t>BF 109</t>
  </si>
  <si>
    <t>Terran Marine</t>
  </si>
  <si>
    <t>Jim Raynor</t>
  </si>
  <si>
    <t>Marauder</t>
  </si>
  <si>
    <t>Firebat</t>
  </si>
  <si>
    <t>StarCraft</t>
  </si>
  <si>
    <t>Ghost</t>
  </si>
  <si>
    <t>Siege Tank (Tank Mode)</t>
  </si>
  <si>
    <t>Siege Tank (Siege Mode)</t>
  </si>
  <si>
    <t>Goliath (Guns)</t>
  </si>
  <si>
    <t>Goliath (Rockets)</t>
  </si>
  <si>
    <t>Battlecruiser</t>
  </si>
  <si>
    <t>Vulture</t>
  </si>
  <si>
    <t>Wraith (Laser)</t>
  </si>
  <si>
    <t>Wraith (Rockets)</t>
  </si>
  <si>
    <t>Missile Turret</t>
  </si>
  <si>
    <t>Valkyrie</t>
  </si>
  <si>
    <t>Panzerfaust Trooper</t>
  </si>
  <si>
    <t>Shogun Executioner</t>
  </si>
  <si>
    <t>Ix Drone</t>
  </si>
  <si>
    <t>Laser Tank</t>
  </si>
  <si>
    <t>Phobos</t>
  </si>
  <si>
    <t>Sun Dog (Laser)</t>
  </si>
  <si>
    <t>Sun Dog (Rockets)</t>
  </si>
  <si>
    <t>Wyvern</t>
  </si>
  <si>
    <t>Madcap</t>
  </si>
  <si>
    <t>Harakan</t>
  </si>
  <si>
    <t>Matador (Tank Mode)</t>
  </si>
  <si>
    <t>Matador (Siege Mode)</t>
  </si>
  <si>
    <t>RA2</t>
  </si>
  <si>
    <t>G.I. (deployed)</t>
  </si>
  <si>
    <t>Guardian G.I. (MG)</t>
  </si>
  <si>
    <t>Guardian G.I. (Rocket)</t>
  </si>
  <si>
    <t>Warhound</t>
  </si>
  <si>
    <t>Mortar Infantry</t>
  </si>
  <si>
    <t>Soviet Mortar Soldier</t>
  </si>
  <si>
    <t>Zergling</t>
  </si>
  <si>
    <t>Hydralisk</t>
  </si>
  <si>
    <t>Mutalisk</t>
  </si>
  <si>
    <t>Devourer</t>
  </si>
  <si>
    <t>Queen</t>
  </si>
  <si>
    <t>Ultralisk</t>
  </si>
  <si>
    <t>Lurker</t>
  </si>
  <si>
    <t>Behemoth (Missile)</t>
  </si>
  <si>
    <t>Behemoth (Hydra)</t>
  </si>
  <si>
    <t>Defiler</t>
  </si>
  <si>
    <t>Advanced Scout Vehicles</t>
  </si>
  <si>
    <t>Sunken Colony</t>
  </si>
  <si>
    <t>Spore Colony</t>
  </si>
  <si>
    <t>Kerrigan</t>
  </si>
  <si>
    <t>Swarmling</t>
  </si>
  <si>
    <t>Cyclone</t>
  </si>
  <si>
    <t>Goliath Mk2 (Guns)</t>
  </si>
  <si>
    <t>Goliath Mk2 (Rockets)</t>
  </si>
  <si>
    <t>Talon</t>
  </si>
  <si>
    <t>Spithid</t>
  </si>
  <si>
    <t>Shriek</t>
  </si>
  <si>
    <t>Gorekraken</t>
  </si>
  <si>
    <t>Hermit</t>
  </si>
  <si>
    <t>Sporemaw</t>
  </si>
  <si>
    <t>Goremaw</t>
  </si>
  <si>
    <t>Dune Rashinan</t>
  </si>
  <si>
    <t>Flak Trooper (Ground)</t>
  </si>
  <si>
    <t>Flak Trooper (AA)</t>
  </si>
  <si>
    <t>IFV (MG)</t>
  </si>
  <si>
    <t>Flak Track</t>
  </si>
  <si>
    <t>Corruptor</t>
  </si>
  <si>
    <t>Dreadshroud</t>
  </si>
  <si>
    <t>Broodweaver</t>
  </si>
  <si>
    <t>XCOM</t>
  </si>
  <si>
    <t>XCOM Sniper</t>
  </si>
  <si>
    <t>XCOM Heavy (Chaingun)</t>
  </si>
  <si>
    <t>(+800)</t>
  </si>
  <si>
    <t>XCOM Heavy (Rocket)</t>
  </si>
  <si>
    <t>(+2600)</t>
  </si>
  <si>
    <t>XCOM Assault (Carbine)</t>
  </si>
  <si>
    <t>XCOM Assault (Shotgun)</t>
  </si>
  <si>
    <t>XCOM Assault (Shard Gun)</t>
  </si>
  <si>
    <t>(+700)</t>
  </si>
  <si>
    <t>Reaper (Pistols)</t>
  </si>
  <si>
    <t>Reaper (Grenade)</t>
  </si>
  <si>
    <t>Neo Cymek (Stormgun)</t>
  </si>
  <si>
    <t>Neo Cymek (Rockets)</t>
  </si>
  <si>
    <t>Photon Cannon</t>
  </si>
  <si>
    <t>Zealot</t>
  </si>
  <si>
    <t>Dragoon</t>
  </si>
  <si>
    <t>High Templar</t>
  </si>
  <si>
    <t>Dark Templar</t>
  </si>
  <si>
    <t>Manifold</t>
  </si>
  <si>
    <t>Idol</t>
  </si>
  <si>
    <t>Reaver</t>
  </si>
  <si>
    <t>Archon</t>
  </si>
  <si>
    <t>Scout (MG)</t>
  </si>
  <si>
    <t>Scout (Rockets)</t>
  </si>
  <si>
    <t>Epigraph</t>
  </si>
  <si>
    <t>Gladius</t>
  </si>
  <si>
    <t>Corsair (EMP)</t>
  </si>
  <si>
    <t>Carrier</t>
  </si>
  <si>
    <t>Starship Sovereign</t>
  </si>
  <si>
    <t>Arbiter</t>
  </si>
  <si>
    <t>Corsair (AA)</t>
  </si>
  <si>
    <t>Zeratul</t>
  </si>
  <si>
    <t>Amaranth</t>
  </si>
  <si>
    <t>Atreus</t>
  </si>
  <si>
    <t>Positron</t>
  </si>
  <si>
    <t>Patriach</t>
  </si>
  <si>
    <t>Legionnaire</t>
  </si>
  <si>
    <t>WarCraft</t>
  </si>
  <si>
    <t>Elven Archer</t>
  </si>
  <si>
    <t>Troll Axethrower</t>
  </si>
  <si>
    <t>Footman</t>
  </si>
  <si>
    <t>Grunt</t>
  </si>
  <si>
    <t>Knight</t>
  </si>
  <si>
    <t>Ogre</t>
  </si>
  <si>
    <t>Catapult</t>
  </si>
  <si>
    <t>Gryphon Rider</t>
  </si>
  <si>
    <t>Dragon</t>
  </si>
  <si>
    <t>Cannon Tower</t>
  </si>
  <si>
    <t>Lunar Grille</t>
  </si>
  <si>
    <t>Grille</t>
  </si>
  <si>
    <t>Brummbär</t>
  </si>
  <si>
    <t>GDI Rig (Phalanx)</t>
  </si>
  <si>
    <t>GDI Rig (Railgun)</t>
  </si>
  <si>
    <t>GDI Rig (Missiles)</t>
  </si>
  <si>
    <t>RA2 Modded</t>
  </si>
  <si>
    <t>Transport Kirov</t>
  </si>
  <si>
    <t>Mongoose</t>
  </si>
  <si>
    <t>(Anti Water)</t>
  </si>
  <si>
    <t>IFV (Rockets)</t>
  </si>
  <si>
    <t>IFV (default)</t>
  </si>
  <si>
    <t>IFV (HMG)</t>
  </si>
  <si>
    <t>Lynx Tank (Cannon)</t>
  </si>
  <si>
    <t>Lynx Tank (MG)</t>
  </si>
  <si>
    <t>Militia</t>
  </si>
  <si>
    <t>Flame Trooper</t>
  </si>
  <si>
    <t>Archer</t>
  </si>
  <si>
    <t>War Turtle</t>
  </si>
  <si>
    <t>Syndicate Buggy (MG)</t>
  </si>
  <si>
    <t>Syndicate Buggy (Rockets)</t>
  </si>
  <si>
    <t>Syndicate Buggy (Chaingun)</t>
  </si>
  <si>
    <t>Smoker Tank (Rockets)</t>
  </si>
  <si>
    <t>Smoker Tank (Cannon)</t>
  </si>
  <si>
    <t>Rusher Tank (Cannon)</t>
  </si>
  <si>
    <t>Rusher Tank (Rockets)</t>
  </si>
  <si>
    <t>Terrorist</t>
  </si>
  <si>
    <t>Demo Truck</t>
  </si>
  <si>
    <t>Nuke Truck</t>
  </si>
  <si>
    <t>Buggy</t>
  </si>
  <si>
    <t>APC</t>
  </si>
  <si>
    <t>Topol M</t>
  </si>
  <si>
    <t>Asian Tank Killer</t>
  </si>
  <si>
    <t>Latin Tank Killer</t>
  </si>
  <si>
    <t>Narco (Pistol)</t>
  </si>
  <si>
    <t>Narco (Grenade)</t>
  </si>
  <si>
    <t>Hammer Tank</t>
  </si>
  <si>
    <t>Kotin Nuclear Tank</t>
  </si>
  <si>
    <t>Soviet Commissar</t>
  </si>
  <si>
    <t>Yakovlev</t>
  </si>
  <si>
    <t>Tech Tree</t>
  </si>
  <si>
    <t>Units</t>
  </si>
  <si>
    <t>Doctrine 1</t>
  </si>
  <si>
    <t>Industrial</t>
  </si>
  <si>
    <t>Inferno</t>
  </si>
  <si>
    <t>Tier 1</t>
  </si>
  <si>
    <t>Grenadier</t>
  </si>
  <si>
    <t>Rocket Soldier</t>
  </si>
  <si>
    <t>Fire 
Rocket Soldier</t>
  </si>
  <si>
    <t>Ore Miner</t>
  </si>
  <si>
    <t>Industrial Miner</t>
  </si>
  <si>
    <t>Heavy Tank</t>
  </si>
  <si>
    <t>BTR-80</t>
  </si>
  <si>
    <t>Tier 2</t>
  </si>
  <si>
    <t>Flamethrower</t>
  </si>
  <si>
    <t>Hammer Tank Research</t>
  </si>
  <si>
    <t>Commisar</t>
  </si>
  <si>
    <t>Superfactory /
Large Airfield</t>
  </si>
  <si>
    <t>Heatray Tank</t>
  </si>
  <si>
    <t>Doctrine 2</t>
  </si>
  <si>
    <t>Experimental</t>
  </si>
  <si>
    <t>Heavy Armor</t>
  </si>
  <si>
    <t>Nuclear War</t>
  </si>
  <si>
    <t>Tesla Yak</t>
  </si>
  <si>
    <t>Armored Yak</t>
  </si>
  <si>
    <t>Yak</t>
  </si>
  <si>
    <t>Kamov</t>
  </si>
  <si>
    <t>Tesla Charger</t>
  </si>
  <si>
    <t>Repair Truck</t>
  </si>
  <si>
    <t>Tier 3</t>
  </si>
  <si>
    <t>Zapper</t>
  </si>
  <si>
    <t>Mammoth Tank</t>
  </si>
  <si>
    <t>Siege
Mammoth Tank</t>
  </si>
  <si>
    <t>Tesla Mig</t>
  </si>
  <si>
    <t>Su-57</t>
  </si>
  <si>
    <t>V2 Launcher</t>
  </si>
  <si>
    <t>Grad</t>
  </si>
  <si>
    <t>Heavy
Tesla Tank</t>
  </si>
  <si>
    <t>Advanced
Hammer Tank</t>
  </si>
  <si>
    <t>Kotin
Nuclear Tank</t>
  </si>
  <si>
    <t>Upgrades and Support Powers</t>
  </si>
  <si>
    <t>Upgrade</t>
  </si>
  <si>
    <t>Vengeance</t>
  </si>
  <si>
    <t>Incendiary
Bullets</t>
  </si>
  <si>
    <t>Team Upgrade</t>
  </si>
  <si>
    <t>Men of Steel</t>
  </si>
  <si>
    <t>War Economy</t>
  </si>
  <si>
    <t>Scorched Earth</t>
  </si>
  <si>
    <t>Upgrade 1</t>
  </si>
  <si>
    <t>Tesla Arcing</t>
  </si>
  <si>
    <t>Auto Loaders</t>
  </si>
  <si>
    <t>Unstable 
Isotopes</t>
  </si>
  <si>
    <t>Upgrade 2</t>
  </si>
  <si>
    <t>Tesla Rockets</t>
  </si>
  <si>
    <t>High Explosive
Rockets</t>
  </si>
  <si>
    <t>Thermonuclear 
Rockets</t>
  </si>
  <si>
    <t>Reactor 
Overdrive</t>
  </si>
  <si>
    <t>Stalinium</t>
  </si>
  <si>
    <t>Nuclear 
Tank Shells</t>
  </si>
  <si>
    <t>Support Power</t>
  </si>
  <si>
    <t>Tesla Missile</t>
  </si>
  <si>
    <t>Tank Drop</t>
  </si>
  <si>
    <t>Father of 
all Bombs</t>
  </si>
  <si>
    <t>Hazard Suits</t>
  </si>
  <si>
    <t>AK-47 Conscript</t>
  </si>
  <si>
    <t>Molotov Conscript</t>
  </si>
  <si>
    <t>Enhanced 
Infantry Optics</t>
  </si>
  <si>
    <t>Emergency 
Repair Lv1</t>
  </si>
  <si>
    <t>Paratroopers Lv2</t>
  </si>
  <si>
    <t>Gattling Tank</t>
  </si>
  <si>
    <t>Parabombs Lv2</t>
  </si>
  <si>
    <t>Super
Spy Plane</t>
  </si>
  <si>
    <t>Increased
Ammo Pool</t>
  </si>
  <si>
    <t>Paratroopers Lv3</t>
  </si>
  <si>
    <t>Advanced 
Targeting 
Computers</t>
  </si>
  <si>
    <t>Parabombs Lv3</t>
  </si>
  <si>
    <t>Volkov and Cyberdog</t>
  </si>
  <si>
    <t>MAD Tank and
Nuclear Bomber</t>
  </si>
  <si>
    <t>Mass Production</t>
  </si>
  <si>
    <t>Dragunov</t>
  </si>
  <si>
    <t>Twin Rocket Trooper</t>
  </si>
  <si>
    <t>Empress Station</t>
  </si>
  <si>
    <t>IFV (Engineer)</t>
  </si>
  <si>
    <t>Engineering Truck</t>
  </si>
  <si>
    <t>Engineering Armor</t>
  </si>
  <si>
    <t>Scout Robot</t>
  </si>
  <si>
    <t>Defenses:</t>
  </si>
  <si>
    <t>Tier 1 (Basic)</t>
  </si>
  <si>
    <t>Tier 2 (Anti Air)</t>
  </si>
  <si>
    <t>Tier 3 (Advanced)</t>
  </si>
  <si>
    <t>Atreides</t>
  </si>
  <si>
    <t>Harkonnen</t>
  </si>
  <si>
    <t>Ordos</t>
  </si>
  <si>
    <t>Ixians</t>
  </si>
  <si>
    <t>Corrino</t>
  </si>
  <si>
    <t>Sonic Turret</t>
  </si>
  <si>
    <t>Flame Turret</t>
  </si>
  <si>
    <t>Quad Turret</t>
  </si>
  <si>
    <t>Devastator Turret</t>
  </si>
  <si>
    <t>Chemical Spray</t>
  </si>
  <si>
    <t>Laser Turret</t>
  </si>
  <si>
    <t>Machine Gun Turret</t>
  </si>
  <si>
    <t>Shock Turret</t>
  </si>
  <si>
    <t>Artillery Turret</t>
  </si>
  <si>
    <t>Autogun Turret</t>
  </si>
  <si>
    <t>Kodiak</t>
  </si>
  <si>
    <t>AA Trooper</t>
  </si>
  <si>
    <t>AA Trooper (AG)</t>
  </si>
  <si>
    <t>AA Trooper (AA)</t>
  </si>
  <si>
    <t>Ordos Chemical Trooper</t>
  </si>
  <si>
    <t>Ordos Mortar Trooper</t>
  </si>
  <si>
    <t>Facedancer</t>
  </si>
  <si>
    <t>Contaminator</t>
  </si>
  <si>
    <t>Raider</t>
  </si>
  <si>
    <t>Dust Drone</t>
  </si>
  <si>
    <t>Stealth Raider</t>
  </si>
  <si>
    <t>Combat Tank</t>
  </si>
  <si>
    <t>Cobra Tank</t>
  </si>
  <si>
    <t>Heavy Autogun Tank</t>
  </si>
  <si>
    <t>Deviator Artillery</t>
  </si>
  <si>
    <t>Ordos APC</t>
  </si>
  <si>
    <t>swarmer</t>
  </si>
  <si>
    <t>air mine</t>
  </si>
  <si>
    <t>eye in the sky</t>
  </si>
  <si>
    <t>banshee</t>
  </si>
  <si>
    <t>wraith</t>
  </si>
  <si>
    <t>Deviator Tank</t>
  </si>
  <si>
    <t>Mortar Trooper</t>
  </si>
  <si>
    <t>Banshee</t>
  </si>
  <si>
    <t>Python</t>
  </si>
  <si>
    <t>Laboratory Crawler</t>
  </si>
  <si>
    <t>Ordos Combat Tank</t>
  </si>
  <si>
    <t>Autogun Tank</t>
  </si>
  <si>
    <t>Chemical Trooper</t>
  </si>
  <si>
    <t>Leech</t>
  </si>
  <si>
    <t>Wraith</t>
  </si>
  <si>
    <t>Ordos Tank Destroyer</t>
  </si>
  <si>
    <t>Ordos Raider</t>
  </si>
  <si>
    <t>Cobra</t>
  </si>
  <si>
    <t>Artillery Platform</t>
  </si>
  <si>
    <t>Swarmer Drone</t>
  </si>
  <si>
    <t>Eye in the Sky</t>
  </si>
  <si>
    <t>Dalek</t>
  </si>
  <si>
    <t>TS</t>
  </si>
  <si>
    <t>Cannon Attack Robot</t>
  </si>
  <si>
    <t>Missile Attack Robot</t>
  </si>
  <si>
    <t>Shotgun Attack Robot</t>
  </si>
  <si>
    <t>Salamander IFV</t>
  </si>
  <si>
    <t>Volkov (Magnetic Weapon)</t>
  </si>
  <si>
    <t>Volkov (Tesla)</t>
  </si>
  <si>
    <t>Gatling Super Mech</t>
  </si>
  <si>
    <t>Plasma Super Mech</t>
  </si>
  <si>
    <t>Guardian Heavy Tank</t>
  </si>
  <si>
    <t>Future Tank</t>
  </si>
  <si>
    <t>Future Enforcer (Shotgun)</t>
  </si>
  <si>
    <t>Future Enforcer (Deployed)</t>
  </si>
  <si>
    <t>Javelin Soldier (Rocket)</t>
  </si>
  <si>
    <t>Javelin Soldier (Deployed)</t>
  </si>
  <si>
    <t>Multi Rocket System (normal)</t>
  </si>
  <si>
    <t>Javelin Rocket System</t>
  </si>
  <si>
    <t xml:space="preserve">Frag Rocket System </t>
  </si>
  <si>
    <t>Sigma Rocket System</t>
  </si>
  <si>
    <t>Me 262 (MG)</t>
  </si>
  <si>
    <t>Me 262 (Rockets)</t>
  </si>
  <si>
    <t>Pythean</t>
  </si>
  <si>
    <t>Marine</t>
  </si>
  <si>
    <t>Reaper</t>
  </si>
  <si>
    <t>Medic</t>
  </si>
  <si>
    <t>Tesla Yak (Chaingun)</t>
  </si>
  <si>
    <t>Nuclear Yak (Chaingun)</t>
  </si>
  <si>
    <t>Tesla Yak (Bombs)</t>
  </si>
  <si>
    <t>Tesla Yak (Tesla)</t>
  </si>
  <si>
    <t>Nuclear Yak (Bomb)</t>
  </si>
  <si>
    <t>Consortium Stalker</t>
  </si>
  <si>
    <t xml:space="preserve">Doctrines: </t>
  </si>
  <si>
    <t>Kaida Flux</t>
  </si>
  <si>
    <t>Shadowcrew</t>
  </si>
  <si>
    <t>Old Federation</t>
  </si>
  <si>
    <t>Upgrades</t>
  </si>
  <si>
    <t>Ravage Protocol</t>
  </si>
  <si>
    <t>Flux Capacitors</t>
  </si>
  <si>
    <t>Others</t>
  </si>
  <si>
    <t>Reinforced Hull Alloys</t>
  </si>
  <si>
    <t>Steel Phalanx Plating</t>
  </si>
  <si>
    <t>Adaptive Targeting Suite</t>
  </si>
  <si>
    <t>Consortium Logistics Network</t>
  </si>
  <si>
    <t>Steel Exchange Futures</t>
  </si>
  <si>
    <t>Micro Forge Reactors</t>
  </si>
  <si>
    <t>Neural Command Lattice</t>
  </si>
  <si>
    <t>Overwatch Subnet</t>
  </si>
  <si>
    <t>Ghost Protocol Firmware</t>
  </si>
  <si>
    <t>Ferrocrete Curtain</t>
  </si>
  <si>
    <t>Fire Control Grid</t>
  </si>
  <si>
    <t>Black Budget Ops</t>
  </si>
  <si>
    <t>Shadewalker</t>
  </si>
  <si>
    <t>Echo Drone</t>
  </si>
  <si>
    <t>Flux Diver</t>
  </si>
  <si>
    <t>Chorno Lance</t>
  </si>
  <si>
    <t>Ashfield Ordinance</t>
  </si>
  <si>
    <t>Megalodon</t>
  </si>
  <si>
    <t>Stun Attack</t>
  </si>
  <si>
    <t>Barracuda</t>
  </si>
  <si>
    <t xml:space="preserve">Cybernetic Unity Implant </t>
  </si>
  <si>
    <t>Plasma Arcs</t>
  </si>
  <si>
    <t>Aftershock</t>
  </si>
  <si>
    <t>Scalpel Drones</t>
  </si>
  <si>
    <t>Cargo Ship</t>
  </si>
  <si>
    <t>Flying Turret</t>
  </si>
  <si>
    <t>Hover Stabilizers</t>
  </si>
  <si>
    <t>Neural Firelink</t>
  </si>
  <si>
    <t>Plasma Lens Array</t>
  </si>
  <si>
    <t>Plasma Calibrators</t>
  </si>
  <si>
    <t>Hover Thrusters</t>
  </si>
  <si>
    <t>Fusion Overload</t>
  </si>
  <si>
    <t>Phantom Net</t>
  </si>
  <si>
    <t>Quantum Shield</t>
  </si>
  <si>
    <t>Implant Overclock</t>
  </si>
  <si>
    <t>Steel Line Trooper</t>
  </si>
  <si>
    <t>Aegis Gunner</t>
  </si>
  <si>
    <t>Flux Tech</t>
  </si>
  <si>
    <t>Lance Artillery</t>
  </si>
  <si>
    <t>Fluxlance Artillery</t>
  </si>
  <si>
    <t>Bastion MBT</t>
  </si>
  <si>
    <t>Federation Guard Tank</t>
  </si>
  <si>
    <t>Pulse IFV</t>
  </si>
  <si>
    <t>Strider IFV</t>
  </si>
  <si>
    <t>Shredder Hoverbike</t>
  </si>
  <si>
    <t>Von</t>
  </si>
  <si>
    <t>Core Upgrade</t>
  </si>
  <si>
    <t>Hover Interals</t>
  </si>
  <si>
    <t>Resonance Ammunition</t>
  </si>
  <si>
    <t>Pacific Core Cooling</t>
  </si>
  <si>
    <t>Sentient Lane XML</t>
  </si>
  <si>
    <t>Skyframe Compensators</t>
  </si>
  <si>
    <t>Artillery Autosync Protocol</t>
  </si>
  <si>
    <t>Guardian Unity Implants</t>
  </si>
  <si>
    <t>Temporal Preview Node</t>
  </si>
  <si>
    <t>Legacy Railworks</t>
  </si>
  <si>
    <t>Gravity Surge Array</t>
  </si>
  <si>
    <t>Hard Light Shielding</t>
  </si>
  <si>
    <t>Steel Trooper</t>
  </si>
  <si>
    <t>Hammerhead</t>
  </si>
  <si>
    <t>No Witness Directive</t>
  </si>
  <si>
    <t>Clone Trooper</t>
  </si>
  <si>
    <t>Stalker</t>
  </si>
  <si>
    <t>White Rabbit</t>
  </si>
  <si>
    <t>Support Shield Generator</t>
  </si>
  <si>
    <t>Hammerhead Artillery</t>
  </si>
  <si>
    <t>Dark Colony Reaper</t>
  </si>
  <si>
    <t>Dark Colony Explorer</t>
  </si>
  <si>
    <t>Upgrade1 (Tier 2)</t>
  </si>
  <si>
    <t>MBT (Tier 1)</t>
  </si>
  <si>
    <t>Upgrade2 (Tier 3)</t>
  </si>
  <si>
    <t>Anti Air / Scout</t>
  </si>
  <si>
    <t>Federation Hummer / Cougar</t>
  </si>
  <si>
    <t>Mech (Support)</t>
  </si>
  <si>
    <t>Dark Colony Osprey</t>
  </si>
  <si>
    <t>Dark Colony Barrager</t>
  </si>
  <si>
    <t>Promotions</t>
  </si>
  <si>
    <t>Shared</t>
  </si>
  <si>
    <t>Dark Colony Sentinel Laser Rover</t>
  </si>
  <si>
    <t>Siege Engine</t>
  </si>
  <si>
    <t>Footman 2</t>
  </si>
  <si>
    <t>High Elven Archer</t>
  </si>
  <si>
    <t>Dwarven Rifleman</t>
  </si>
  <si>
    <t>Knight2</t>
  </si>
  <si>
    <t>Mortar Team</t>
  </si>
  <si>
    <t>Titan Frame</t>
  </si>
  <si>
    <t>Overcharge Protocol</t>
  </si>
  <si>
    <t>Plasma Vortex</t>
  </si>
  <si>
    <t>Hazard Geometry</t>
  </si>
  <si>
    <t>Arcstorm Relay</t>
  </si>
  <si>
    <t>Blackout Layer</t>
  </si>
  <si>
    <t>Cloaking Dome</t>
  </si>
  <si>
    <t>Neural Disruptor Grid</t>
  </si>
  <si>
    <t>Nano Swarm</t>
  </si>
  <si>
    <t>Nanite Infusion</t>
  </si>
  <si>
    <t>Replicator Hive</t>
  </si>
  <si>
    <t>Plasma Forge</t>
  </si>
  <si>
    <t>Melting Firepower</t>
  </si>
  <si>
    <t>Heat Sink Arrays</t>
  </si>
  <si>
    <t>Orbital Dominion</t>
  </si>
  <si>
    <t>Satellite Supremacy</t>
  </si>
  <si>
    <t>Kinetic Boosters</t>
  </si>
  <si>
    <t>Disruptor Array</t>
  </si>
  <si>
    <t>Colossal Behemoths</t>
  </si>
  <si>
    <t>Titan Legion</t>
  </si>
  <si>
    <t>Apex Command</t>
  </si>
  <si>
    <t>Colossus Prime</t>
  </si>
  <si>
    <t>Void Engine</t>
  </si>
  <si>
    <t>Alloy Storm</t>
  </si>
  <si>
    <t>Industrial Overproduction</t>
  </si>
  <si>
    <t>Swarm Synergy</t>
  </si>
  <si>
    <t>Phase Cloak</t>
  </si>
  <si>
    <t>Rift Anchor</t>
  </si>
  <si>
    <t>Ixian EMP Bomber</t>
  </si>
  <si>
    <t>Orca Bomber</t>
  </si>
  <si>
    <t>Kodo Beast</t>
  </si>
  <si>
    <t>Steel Cargo Ship</t>
  </si>
  <si>
    <t>Hover Grenadier</t>
  </si>
  <si>
    <t>Quantum Missile</t>
  </si>
  <si>
    <t>Grunt 2</t>
  </si>
  <si>
    <t>Troll Headhunter</t>
  </si>
  <si>
    <t>Syndicate Capital</t>
  </si>
  <si>
    <t>Industrial Ascetism</t>
  </si>
  <si>
    <t>Synthetic Dominion</t>
  </si>
  <si>
    <t>Grave Contract</t>
  </si>
  <si>
    <t>Red Foundry Revolt</t>
  </si>
  <si>
    <t>Distributed AI Core</t>
  </si>
  <si>
    <t>Zero-Lux Production (less power)</t>
  </si>
  <si>
    <t>Hostile Acquisition</t>
  </si>
  <si>
    <t>Market Manipulation</t>
  </si>
  <si>
    <t>Executive Strike Teams</t>
  </si>
  <si>
    <t>Golden Parachute</t>
  </si>
  <si>
    <t>Imperial Plating</t>
  </si>
  <si>
    <t>Chain of Command</t>
  </si>
  <si>
    <t>Martial Law</t>
  </si>
  <si>
    <t>Spectral Cloak Weave</t>
  </si>
  <si>
    <t>Blackline Sabotage</t>
  </si>
  <si>
    <t>Phase-Linked Reactors</t>
  </si>
  <si>
    <t>Viral Code</t>
  </si>
  <si>
    <t>Bioforge</t>
  </si>
  <si>
    <t>Quantum Void</t>
  </si>
  <si>
    <t>PsyNet</t>
  </si>
  <si>
    <t>BioForge</t>
  </si>
  <si>
    <t>Bio Plating</t>
  </si>
  <si>
    <t>Adaptive Genome</t>
  </si>
  <si>
    <t>Nano Infusion</t>
  </si>
  <si>
    <t>Adaptive Matrix</t>
  </si>
  <si>
    <t>Reinforced Plating</t>
  </si>
  <si>
    <t>Legacy Forge</t>
  </si>
  <si>
    <t>Cloak Network</t>
  </si>
  <si>
    <t>Phantom Echo</t>
  </si>
  <si>
    <t>Traitor Code</t>
  </si>
  <si>
    <t>Plasma Overcharge</t>
  </si>
  <si>
    <t>Refractive Shielding</t>
  </si>
  <si>
    <t>Quantum Flux Core</t>
  </si>
  <si>
    <t>Psi Amp</t>
  </si>
  <si>
    <t>Collective Will</t>
  </si>
  <si>
    <t>Entanglement Link</t>
  </si>
  <si>
    <t>Phase Variance</t>
  </si>
  <si>
    <t>Forge Ascendant</t>
  </si>
  <si>
    <t>Autonomous Foundries</t>
  </si>
  <si>
    <t>Final Production Surge</t>
  </si>
  <si>
    <t>Event Horizon Emitters</t>
  </si>
  <si>
    <t>Entropy Munitions</t>
  </si>
  <si>
    <t>Reality Fracture Pulse</t>
  </si>
  <si>
    <t>Hyperledger Combine</t>
  </si>
  <si>
    <t>Iron Synod</t>
  </si>
  <si>
    <t>Signal Bleed Injectors</t>
  </si>
  <si>
    <t>Blacksite Fabrication</t>
  </si>
  <si>
    <t>Aegis Station</t>
  </si>
  <si>
    <t>Helix Directorate</t>
  </si>
  <si>
    <t>Skygrid Sensors</t>
  </si>
  <si>
    <t>Vector Thrusters</t>
  </si>
  <si>
    <t>Null Horizon / Division</t>
  </si>
  <si>
    <t>Bulwark Plating</t>
  </si>
  <si>
    <t>Phase Shielding</t>
  </si>
  <si>
    <t>Obsidian Control</t>
  </si>
  <si>
    <t>Cloudbreaker (Cannons)</t>
  </si>
  <si>
    <t>Cloudbreaker (Artillery)</t>
  </si>
  <si>
    <t>Pelican (Rockets)</t>
  </si>
  <si>
    <t>Pelican (MG)</t>
  </si>
  <si>
    <t>TOPOL-M</t>
  </si>
  <si>
    <t>Void Ray</t>
  </si>
  <si>
    <t>Cryo Copter (Cryo Beam)</t>
  </si>
  <si>
    <t>Cryo Copter (Rockets)</t>
  </si>
  <si>
    <t>Freezer Turret</t>
  </si>
  <si>
    <t>Riptide ACV</t>
  </si>
  <si>
    <t>HP/DPS</t>
  </si>
  <si>
    <t>Attack Buggy</t>
  </si>
  <si>
    <t>Attack Cycle</t>
  </si>
  <si>
    <t>Psionic Legion</t>
  </si>
  <si>
    <t>Psionic Fanatics</t>
  </si>
  <si>
    <t>Psionic Elite</t>
  </si>
  <si>
    <t>Doctrine 3</t>
  </si>
  <si>
    <t>Laser Lasher</t>
  </si>
  <si>
    <t>Toxic Lasher</t>
  </si>
  <si>
    <t>HE Cannon Lasher</t>
  </si>
  <si>
    <t>Chaos Gas Emitters</t>
  </si>
  <si>
    <t>Psionic Shields</t>
  </si>
  <si>
    <t>Lasher Armor</t>
  </si>
  <si>
    <t>Scrap Armor</t>
  </si>
  <si>
    <t>Initiate Power</t>
  </si>
  <si>
    <t>Brute Strength</t>
  </si>
  <si>
    <t>Radar</t>
  </si>
  <si>
    <t>Battle Lab</t>
  </si>
  <si>
    <t>Lunar Command</t>
  </si>
  <si>
    <t>Cloning Vats</t>
  </si>
  <si>
    <t>Melting Virus</t>
  </si>
  <si>
    <t>Corrosive Ammo</t>
  </si>
  <si>
    <t>Gatling Power</t>
  </si>
  <si>
    <t>Gatling Speed</t>
  </si>
  <si>
    <t>Bio Reactor Efficiency</t>
  </si>
  <si>
    <t>Bio Engineering</t>
  </si>
  <si>
    <t>Genetic Boost</t>
  </si>
  <si>
    <t>Domination</t>
  </si>
  <si>
    <t>Psionic Armor</t>
  </si>
  <si>
    <t>Psionic Plasma Beams</t>
  </si>
  <si>
    <t>Psionic Vision</t>
  </si>
  <si>
    <t>Psychic Range</t>
  </si>
  <si>
    <t>Siphon Attack</t>
  </si>
  <si>
    <t>Super Magnets</t>
  </si>
  <si>
    <t>Toxic Engines</t>
  </si>
  <si>
    <t>Graviton Drive</t>
  </si>
  <si>
    <t>Disk Laser</t>
  </si>
  <si>
    <t>Stealth Suits</t>
  </si>
  <si>
    <t>Add-Ons</t>
  </si>
  <si>
    <t>Lasher Tank (Cannon)</t>
  </si>
  <si>
    <t>Lasher Tank (Toxic Mortar)</t>
  </si>
  <si>
    <t>Lasher Tank (Laser)</t>
  </si>
  <si>
    <t>Tortuga Tank</t>
  </si>
  <si>
    <t>Harbinger (Cannon)</t>
  </si>
  <si>
    <t>Harbinger (Flak)</t>
  </si>
  <si>
    <t>Cryo Legionaire</t>
  </si>
  <si>
    <t>Orion Tank</t>
  </si>
  <si>
    <t>Athena Cannon</t>
  </si>
  <si>
    <t>Black Widow</t>
  </si>
  <si>
    <t>Donnerschlag</t>
  </si>
  <si>
    <t>Kübelwagen</t>
  </si>
  <si>
    <t>Shotgun Droid</t>
  </si>
  <si>
    <t>Cannon Droid</t>
  </si>
  <si>
    <t>Missile Droid</t>
  </si>
  <si>
    <t>Salamander</t>
  </si>
  <si>
    <t>Pacifier</t>
  </si>
  <si>
    <t>Harbinger</t>
  </si>
  <si>
    <t>Cryo Copter</t>
  </si>
  <si>
    <t>Gatling Strider</t>
  </si>
  <si>
    <t>Plasma Strider</t>
  </si>
  <si>
    <t>Outpost 2</t>
  </si>
  <si>
    <t>Eden Scout</t>
  </si>
  <si>
    <t>Plymouth Scout</t>
  </si>
  <si>
    <t>Eden Laser Lynx</t>
  </si>
  <si>
    <t>Eden Laser Tiger</t>
  </si>
  <si>
    <t>Eden Railgun Lynx</t>
  </si>
  <si>
    <t>Eden EMP Lynx</t>
  </si>
  <si>
    <t>Eden EMP Tiger</t>
  </si>
  <si>
    <t>Eden ThorsHammer Lynx</t>
  </si>
  <si>
    <t>Eden ThorsHammer Tiger</t>
  </si>
  <si>
    <t>Ordos Heavy Combat Tank (Cannon)</t>
  </si>
  <si>
    <t>Ordos Heavy Combat Tank (Missiles)</t>
  </si>
  <si>
    <t>Jumpjet Infantry</t>
  </si>
  <si>
    <t>Skyshield</t>
  </si>
  <si>
    <t>Boxer</t>
  </si>
  <si>
    <t>Noid MG</t>
  </si>
  <si>
    <t>Bradley</t>
  </si>
  <si>
    <t>Piercer</t>
  </si>
  <si>
    <t>Haunebu 3</t>
  </si>
  <si>
    <t>Die Glocke</t>
  </si>
  <si>
    <t>Sky Hammer</t>
  </si>
  <si>
    <t>Steel Runner</t>
  </si>
  <si>
    <t>Shrine Tank</t>
  </si>
  <si>
    <t>Ordos Raider Buggy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</si>
</sst>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CCCCCC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FF0000"/>
      <name val="Calibri"/>
      <family val="2"/>
      <scheme val="minor"/>
    </font>
    <font>
      <sz val="11"/>
      <color rgb="FFCE9178"/>
      <name val="Consolas"/>
      <family val="3"/>
    </font>
    <font>
      <sz val="11"/>
      <color rgb="FF0061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sz val="10"/>
      <color rgb="FF4285F4"/>
      <name val="Arial"/>
      <family val="2"/>
    </font>
    <font>
      <sz val="10"/>
      <color rgb="FFFF0000"/>
      <name val="Arial"/>
      <family val="2"/>
    </font>
    <font>
      <sz val="10"/>
      <color rgb="FFEA4335"/>
      <name val="Arial"/>
      <family val="2"/>
    </font>
    <font>
      <sz val="10"/>
      <color rgb="FF34A853"/>
      <name val="Arial"/>
      <family val="2"/>
    </font>
    <font>
      <sz val="10"/>
      <color rgb="FFFF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</borders>
  <cellStyleXfs count="2">
    <xf numFmtId="0" fontId="0" fillId="0" borderId="0"/>
    <xf numFmtId="0" fontId="7" fillId="2" borderId="0" applyNumberFormat="0" applyBorder="0" applyAlignment="0" applyProtection="0"/>
  </cellStyleXfs>
  <cellXfs count="50">
    <xf numFmtId="0" fontId="0" fillId="0" borderId="0" xfId="0"/>
    <xf numFmtId="0" fontId="0" fillId="0" borderId="0" xfId="0" quotePrefix="1"/>
    <xf numFmtId="20" fontId="0" fillId="0" borderId="0" xfId="0" applyNumberFormat="1"/>
    <xf numFmtId="0" fontId="3" fillId="0" borderId="0" xfId="0" applyFont="1" applyAlignment="1">
      <alignment vertical="center"/>
    </xf>
    <xf numFmtId="0" fontId="5" fillId="0" borderId="0" xfId="0" applyFont="1"/>
    <xf numFmtId="0" fontId="7" fillId="2" borderId="0" xfId="1"/>
    <xf numFmtId="0" fontId="8" fillId="0" borderId="0" xfId="0" applyFont="1"/>
    <xf numFmtId="0" fontId="10" fillId="0" borderId="0" xfId="0" applyFont="1"/>
    <xf numFmtId="0" fontId="9" fillId="0" borderId="0" xfId="0" applyFont="1"/>
    <xf numFmtId="0" fontId="11" fillId="0" borderId="0" xfId="0" applyFont="1"/>
    <xf numFmtId="2" fontId="0" fillId="0" borderId="0" xfId="0" applyNumberFormat="1"/>
    <xf numFmtId="164" fontId="0" fillId="0" borderId="0" xfId="0" applyNumberFormat="1"/>
    <xf numFmtId="0" fontId="0" fillId="0" borderId="0" xfId="0" applyAlignment="1">
      <alignment horizontal="left"/>
    </xf>
    <xf numFmtId="0" fontId="8" fillId="0" borderId="0" xfId="0" applyFont="1" applyAlignment="1">
      <alignment horizontal="left"/>
    </xf>
    <xf numFmtId="2" fontId="8" fillId="0" borderId="0" xfId="0" applyNumberFormat="1" applyFont="1"/>
    <xf numFmtId="0" fontId="12" fillId="0" borderId="1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6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0" borderId="2" xfId="0" applyFont="1" applyBorder="1" applyAlignment="1">
      <alignment vertical="center" wrapText="1"/>
    </xf>
    <xf numFmtId="0" fontId="15" fillId="0" borderId="7" xfId="0" applyFont="1" applyBorder="1" applyAlignment="1">
      <alignment horizontal="center" vertical="center" wrapText="1"/>
    </xf>
    <xf numFmtId="0" fontId="14" fillId="3" borderId="7" xfId="0" applyFont="1" applyFill="1" applyBorder="1" applyAlignment="1">
      <alignment horizontal="center" vertical="center" wrapText="1"/>
    </xf>
    <xf numFmtId="0" fontId="12" fillId="3" borderId="7" xfId="0" applyFont="1" applyFill="1" applyBorder="1" applyAlignment="1">
      <alignment horizontal="center" vertical="center" wrapText="1"/>
    </xf>
    <xf numFmtId="0" fontId="15" fillId="3" borderId="7" xfId="0" applyFont="1" applyFill="1" applyBorder="1" applyAlignment="1">
      <alignment horizontal="center" vertical="center" wrapText="1"/>
    </xf>
    <xf numFmtId="0" fontId="13" fillId="0" borderId="13" xfId="0" applyFont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7" fillId="0" borderId="15" xfId="0" applyFont="1" applyBorder="1" applyAlignment="1">
      <alignment horizontal="center" vertical="center" wrapText="1"/>
    </xf>
    <xf numFmtId="0" fontId="13" fillId="0" borderId="16" xfId="0" applyFont="1" applyBorder="1" applyAlignment="1">
      <alignment horizontal="center" vertical="center" wrapText="1"/>
    </xf>
    <xf numFmtId="0" fontId="15" fillId="0" borderId="15" xfId="0" applyFont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0" fontId="12" fillId="3" borderId="10" xfId="0" applyFont="1" applyFill="1" applyBorder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12" fillId="3" borderId="9" xfId="0" applyFont="1" applyFill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 wrapText="1"/>
    </xf>
    <xf numFmtId="0" fontId="13" fillId="3" borderId="12" xfId="0" applyFont="1" applyFill="1" applyBorder="1" applyAlignment="1">
      <alignment horizontal="center" vertical="center" wrapText="1"/>
    </xf>
    <xf numFmtId="0" fontId="13" fillId="3" borderId="1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2">
    <cellStyle name="Gut" xfId="1" builtinId="26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18" Type="http://schemas.microsoft.com/office/2017/10/relationships/person" Target="persons/person7.xml"/><Relationship Id="rId26" Type="http://schemas.microsoft.com/office/2017/10/relationships/person" Target="persons/person14.xml"/><Relationship Id="rId3" Type="http://schemas.openxmlformats.org/officeDocument/2006/relationships/worksheet" Target="worksheets/sheet3.xml"/><Relationship Id="rId21" Type="http://schemas.microsoft.com/office/2017/10/relationships/person" Target="persons/person10.xml"/><Relationship Id="rId34" Type="http://schemas.microsoft.com/office/2017/10/relationships/person" Target="persons/person2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microsoft.com/office/2017/10/relationships/person" Target="persons/person6.xml"/><Relationship Id="rId25" Type="http://schemas.microsoft.com/office/2017/10/relationships/person" Target="persons/person13.xml"/><Relationship Id="rId33" Type="http://schemas.microsoft.com/office/2017/10/relationships/person" Target="persons/person4.xml"/><Relationship Id="rId2" Type="http://schemas.openxmlformats.org/officeDocument/2006/relationships/worksheet" Target="worksheets/sheet2.xml"/><Relationship Id="rId16" Type="http://schemas.microsoft.com/office/2017/10/relationships/person" Target="persons/person5.xml"/><Relationship Id="rId20" Type="http://schemas.microsoft.com/office/2017/10/relationships/person" Target="persons/person9.xml"/><Relationship Id="rId29" Type="http://schemas.microsoft.com/office/2017/10/relationships/person" Target="persons/person1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microsoft.com/office/2017/10/relationships/person" Target="persons/person12.xml"/><Relationship Id="rId32" Type="http://schemas.microsoft.com/office/2017/10/relationships/person" Target="persons/person16.xml"/><Relationship Id="rId5" Type="http://schemas.openxmlformats.org/officeDocument/2006/relationships/worksheet" Target="worksheets/sheet5.xml"/><Relationship Id="rId23" Type="http://schemas.microsoft.com/office/2017/10/relationships/person" Target="persons/person0.xml"/><Relationship Id="rId28" Type="http://schemas.microsoft.com/office/2017/10/relationships/person" Target="persons/person15.xml"/><Relationship Id="rId10" Type="http://schemas.openxmlformats.org/officeDocument/2006/relationships/theme" Target="theme/theme1.xml"/><Relationship Id="rId19" Type="http://schemas.microsoft.com/office/2017/10/relationships/person" Target="persons/person8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7" Type="http://schemas.microsoft.com/office/2017/10/relationships/person" Target="persons/person1.xml"/><Relationship Id="rId30" Type="http://schemas.microsoft.com/office/2017/10/relationships/person" Target="persons/person3.xml"/><Relationship Id="rId22" Type="http://schemas.microsoft.com/office/2017/10/relationships/person" Target="persons/person1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persons/person2.xml><?xml version="1.0" encoding="utf-8"?>
<personList xmlns="http://schemas.microsoft.com/office/spreadsheetml/2018/threadedcomments" xmlns:x="http://schemas.openxmlformats.org/spreadsheetml/2006/main"/>
</file>

<file path=xl/persons/person3.xml><?xml version="1.0" encoding="utf-8"?>
<personList xmlns="http://schemas.microsoft.com/office/spreadsheetml/2018/threadedcomments" xmlns:x="http://schemas.openxmlformats.org/spreadsheetml/2006/main"/>
</file>

<file path=xl/persons/person4.xml><?xml version="1.0" encoding="utf-8"?>
<personList xmlns="http://schemas.microsoft.com/office/spreadsheetml/2018/threadedcomments" xmlns:x="http://schemas.openxmlformats.org/spreadsheetml/2006/main"/>
</file>

<file path=xl/persons/person5.xml><?xml version="1.0" encoding="utf-8"?>
<personList xmlns="http://schemas.microsoft.com/office/spreadsheetml/2018/threadedcomments" xmlns:x="http://schemas.openxmlformats.org/spreadsheetml/2006/main"/>
</file>

<file path=xl/persons/person6.xml><?xml version="1.0" encoding="utf-8"?>
<personList xmlns="http://schemas.microsoft.com/office/spreadsheetml/2018/threadedcomments" xmlns:x="http://schemas.openxmlformats.org/spreadsheetml/2006/main"/>
</file>

<file path=xl/persons/person7.xml><?xml version="1.0" encoding="utf-8"?>
<personList xmlns="http://schemas.microsoft.com/office/spreadsheetml/2018/threadedcomments" xmlns:x="http://schemas.openxmlformats.org/spreadsheetml/2006/main"/>
</file>

<file path=xl/persons/person8.xml><?xml version="1.0" encoding="utf-8"?>
<personList xmlns="http://schemas.microsoft.com/office/spreadsheetml/2018/threadedcomments" xmlns:x="http://schemas.openxmlformats.org/spreadsheetml/2006/main"/>
</file>

<file path=xl/persons/person9.xml><?xml version="1.0" encoding="utf-8"?>
<personList xmlns="http://schemas.microsoft.com/office/spreadsheetml/2018/threadedcomments" xmlns:x="http://schemas.openxmlformats.org/spreadsheetml/2006/main"/>
</file>

<file path=xl/persons/person10.xml><?xml version="1.0" encoding="utf-8"?>
<personList xmlns="http://schemas.microsoft.com/office/spreadsheetml/2018/threadedcomments" xmlns:x="http://schemas.openxmlformats.org/spreadsheetml/2006/main"/>
</file>

<file path=xl/persons/person11.xml><?xml version="1.0" encoding="utf-8"?>
<personList xmlns="http://schemas.microsoft.com/office/spreadsheetml/2018/threadedcomments" xmlns:x="http://schemas.openxmlformats.org/spreadsheetml/2006/main"/>
</file>

<file path=xl/persons/person12.xml><?xml version="1.0" encoding="utf-8"?>
<personList xmlns="http://schemas.microsoft.com/office/spreadsheetml/2018/threadedcomments" xmlns:x="http://schemas.openxmlformats.org/spreadsheetml/2006/main"/>
</file>

<file path=xl/persons/person13.xml><?xml version="1.0" encoding="utf-8"?>
<personList xmlns="http://schemas.microsoft.com/office/spreadsheetml/2018/threadedcomments" xmlns:x="http://schemas.openxmlformats.org/spreadsheetml/2006/main"/>
</file>

<file path=xl/persons/person14.xml><?xml version="1.0" encoding="utf-8"?>
<personList xmlns="http://schemas.microsoft.com/office/spreadsheetml/2018/threadedcomments" xmlns:x="http://schemas.openxmlformats.org/spreadsheetml/2006/main"/>
</file>

<file path=xl/persons/person15.xml><?xml version="1.0" encoding="utf-8"?>
<personList xmlns="http://schemas.microsoft.com/office/spreadsheetml/2018/threadedcomments" xmlns:x="http://schemas.openxmlformats.org/spreadsheetml/2006/main"/>
</file>

<file path=xl/persons/person16.xml><?xml version="1.0" encoding="utf-8"?>
<personList xmlns="http://schemas.microsoft.com/office/spreadsheetml/2018/threadedcomments" xmlns:x="http://schemas.openxmlformats.org/spreadsheetml/2006/main"/>
</file>

<file path=xl/persons/person17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A99FC-5294-4B46-B894-D3E77A6B19A7}">
  <dimension ref="B3:G26"/>
  <sheetViews>
    <sheetView workbookViewId="0">
      <selection activeCell="F26" sqref="F26"/>
    </sheetView>
  </sheetViews>
  <sheetFormatPr baseColWidth="10" defaultRowHeight="15" x14ac:dyDescent="0.25"/>
  <sheetData>
    <row r="3" spans="2:7" x14ac:dyDescent="0.25">
      <c r="B3" s="4" t="s">
        <v>0</v>
      </c>
      <c r="C3" t="s">
        <v>4</v>
      </c>
      <c r="D3" t="s">
        <v>5</v>
      </c>
      <c r="E3" t="s">
        <v>6</v>
      </c>
      <c r="F3" t="s">
        <v>7</v>
      </c>
    </row>
    <row r="4" spans="2:7" x14ac:dyDescent="0.25">
      <c r="B4" s="4" t="s">
        <v>1</v>
      </c>
      <c r="C4" t="s">
        <v>8</v>
      </c>
      <c r="D4" t="s">
        <v>9</v>
      </c>
      <c r="E4" t="s">
        <v>10</v>
      </c>
      <c r="F4" t="s">
        <v>11</v>
      </c>
      <c r="G4" t="s">
        <v>12</v>
      </c>
    </row>
    <row r="5" spans="2:7" x14ac:dyDescent="0.25">
      <c r="B5" s="4" t="s">
        <v>2</v>
      </c>
      <c r="C5" t="s">
        <v>13</v>
      </c>
      <c r="D5" t="s">
        <v>14</v>
      </c>
      <c r="E5" t="s">
        <v>15</v>
      </c>
      <c r="F5" t="s">
        <v>16</v>
      </c>
    </row>
    <row r="6" spans="2:7" x14ac:dyDescent="0.25">
      <c r="B6" s="4" t="s">
        <v>3</v>
      </c>
      <c r="C6" t="s">
        <v>17</v>
      </c>
      <c r="D6" t="s">
        <v>18</v>
      </c>
      <c r="E6" t="s">
        <v>19</v>
      </c>
    </row>
    <row r="11" spans="2:7" x14ac:dyDescent="0.25">
      <c r="B11" s="3" t="s">
        <v>150</v>
      </c>
      <c r="E11" t="s">
        <v>166</v>
      </c>
      <c r="F11" t="s">
        <v>175</v>
      </c>
    </row>
    <row r="12" spans="2:7" x14ac:dyDescent="0.25">
      <c r="B12" s="3" t="s">
        <v>151</v>
      </c>
      <c r="E12" t="s">
        <v>167</v>
      </c>
      <c r="F12" t="s">
        <v>174</v>
      </c>
    </row>
    <row r="13" spans="2:7" x14ac:dyDescent="0.25">
      <c r="B13" s="3" t="s">
        <v>152</v>
      </c>
      <c r="E13" t="s">
        <v>168</v>
      </c>
      <c r="F13" t="s">
        <v>178</v>
      </c>
    </row>
    <row r="14" spans="2:7" x14ac:dyDescent="0.25">
      <c r="B14" s="3" t="s">
        <v>153</v>
      </c>
      <c r="E14" t="s">
        <v>176</v>
      </c>
      <c r="F14" t="s">
        <v>171</v>
      </c>
    </row>
    <row r="15" spans="2:7" x14ac:dyDescent="0.25">
      <c r="B15" s="3" t="s">
        <v>154</v>
      </c>
      <c r="E15" t="s">
        <v>137</v>
      </c>
      <c r="F15" t="s">
        <v>138</v>
      </c>
    </row>
    <row r="16" spans="2:7" x14ac:dyDescent="0.25">
      <c r="B16" s="3" t="s">
        <v>155</v>
      </c>
      <c r="E16" t="s">
        <v>169</v>
      </c>
      <c r="F16" t="s">
        <v>172</v>
      </c>
    </row>
    <row r="17" spans="2:6" x14ac:dyDescent="0.25">
      <c r="B17" s="3" t="s">
        <v>156</v>
      </c>
      <c r="E17" t="s">
        <v>170</v>
      </c>
      <c r="F17" t="s">
        <v>177</v>
      </c>
    </row>
    <row r="18" spans="2:6" x14ac:dyDescent="0.25">
      <c r="B18" s="3" t="s">
        <v>157</v>
      </c>
      <c r="E18" t="s">
        <v>177</v>
      </c>
      <c r="F18" t="s">
        <v>169</v>
      </c>
    </row>
    <row r="19" spans="2:6" x14ac:dyDescent="0.25">
      <c r="B19" s="3" t="s">
        <v>158</v>
      </c>
      <c r="E19" t="s">
        <v>136</v>
      </c>
      <c r="F19" t="s">
        <v>136</v>
      </c>
    </row>
    <row r="20" spans="2:6" x14ac:dyDescent="0.25">
      <c r="B20" s="3" t="s">
        <v>159</v>
      </c>
      <c r="E20" t="s">
        <v>171</v>
      </c>
      <c r="F20" t="s">
        <v>170</v>
      </c>
    </row>
    <row r="21" spans="2:6" x14ac:dyDescent="0.25">
      <c r="B21" s="3" t="s">
        <v>160</v>
      </c>
      <c r="E21" t="s">
        <v>172</v>
      </c>
      <c r="F21" t="s">
        <v>176</v>
      </c>
    </row>
    <row r="22" spans="2:6" x14ac:dyDescent="0.25">
      <c r="B22" s="3" t="s">
        <v>161</v>
      </c>
      <c r="E22" t="s">
        <v>178</v>
      </c>
      <c r="F22" t="s">
        <v>167</v>
      </c>
    </row>
    <row r="23" spans="2:6" x14ac:dyDescent="0.25">
      <c r="B23" s="3" t="s">
        <v>162</v>
      </c>
      <c r="E23" t="s">
        <v>138</v>
      </c>
      <c r="F23" t="s">
        <v>137</v>
      </c>
    </row>
    <row r="24" spans="2:6" x14ac:dyDescent="0.25">
      <c r="B24" s="3" t="s">
        <v>163</v>
      </c>
      <c r="E24" t="s">
        <v>173</v>
      </c>
      <c r="F24" t="s">
        <v>168</v>
      </c>
    </row>
    <row r="25" spans="2:6" x14ac:dyDescent="0.25">
      <c r="B25" s="3" t="s">
        <v>164</v>
      </c>
      <c r="E25" t="s">
        <v>174</v>
      </c>
      <c r="F25" t="s">
        <v>173</v>
      </c>
    </row>
    <row r="26" spans="2:6" x14ac:dyDescent="0.25">
      <c r="B26" s="3" t="s">
        <v>165</v>
      </c>
      <c r="E26" t="s">
        <v>175</v>
      </c>
      <c r="F26" t="s">
        <v>166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75B6D-72C0-457F-B038-F66318ADC738}">
  <dimension ref="B1:N35"/>
  <sheetViews>
    <sheetView workbookViewId="0">
      <selection activeCell="H35" sqref="H35"/>
    </sheetView>
  </sheetViews>
  <sheetFormatPr baseColWidth="10" defaultRowHeight="15" x14ac:dyDescent="0.25"/>
  <cols>
    <col min="2" max="2" width="14.28515625" bestFit="1" customWidth="1"/>
    <col min="7" max="7" width="21.7109375" bestFit="1" customWidth="1"/>
    <col min="9" max="9" width="10.42578125" bestFit="1" customWidth="1"/>
    <col min="10" max="12" width="8.5703125" bestFit="1" customWidth="1"/>
    <col min="14" max="14" width="13.28515625" bestFit="1" customWidth="1"/>
  </cols>
  <sheetData>
    <row r="1" spans="2:14" x14ac:dyDescent="0.25">
      <c r="I1" t="s">
        <v>84</v>
      </c>
      <c r="J1" t="s">
        <v>9</v>
      </c>
      <c r="K1" t="s">
        <v>10</v>
      </c>
      <c r="L1" t="s">
        <v>11</v>
      </c>
      <c r="M1" t="s">
        <v>12</v>
      </c>
      <c r="N1" t="s">
        <v>93</v>
      </c>
    </row>
    <row r="2" spans="2:14" x14ac:dyDescent="0.25">
      <c r="C2" t="s">
        <v>0</v>
      </c>
      <c r="D2" t="s">
        <v>30</v>
      </c>
      <c r="E2" t="s">
        <v>2</v>
      </c>
      <c r="F2" t="s">
        <v>31</v>
      </c>
      <c r="I2" t="s">
        <v>86</v>
      </c>
      <c r="J2" t="s">
        <v>87</v>
      </c>
      <c r="K2" t="s">
        <v>88</v>
      </c>
      <c r="L2" t="s">
        <v>89</v>
      </c>
      <c r="M2" t="s">
        <v>90</v>
      </c>
      <c r="N2" t="s">
        <v>91</v>
      </c>
    </row>
    <row r="3" spans="2:14" x14ac:dyDescent="0.25">
      <c r="B3" t="s">
        <v>20</v>
      </c>
      <c r="C3" s="1">
        <v>4</v>
      </c>
      <c r="D3">
        <v>3</v>
      </c>
      <c r="E3" s="1">
        <v>1</v>
      </c>
      <c r="F3">
        <v>2</v>
      </c>
      <c r="G3" t="s">
        <v>137</v>
      </c>
      <c r="H3">
        <v>1</v>
      </c>
      <c r="I3">
        <v>100</v>
      </c>
      <c r="J3">
        <v>100</v>
      </c>
      <c r="K3">
        <v>100</v>
      </c>
      <c r="L3">
        <v>100</v>
      </c>
      <c r="M3">
        <v>100</v>
      </c>
      <c r="N3">
        <v>100</v>
      </c>
    </row>
    <row r="4" spans="2:14" x14ac:dyDescent="0.25">
      <c r="B4" t="s">
        <v>85</v>
      </c>
      <c r="C4">
        <v>3</v>
      </c>
      <c r="D4">
        <v>2</v>
      </c>
      <c r="E4">
        <v>2</v>
      </c>
      <c r="F4">
        <v>1</v>
      </c>
      <c r="G4" t="s">
        <v>136</v>
      </c>
      <c r="H4">
        <v>2</v>
      </c>
      <c r="I4">
        <v>94</v>
      </c>
      <c r="J4">
        <v>95</v>
      </c>
      <c r="K4">
        <v>96</v>
      </c>
      <c r="L4">
        <v>97</v>
      </c>
      <c r="M4">
        <v>98</v>
      </c>
      <c r="N4">
        <v>99</v>
      </c>
    </row>
    <row r="5" spans="2:14" x14ac:dyDescent="0.25">
      <c r="B5" t="s">
        <v>5</v>
      </c>
      <c r="C5">
        <v>3</v>
      </c>
      <c r="D5">
        <v>2</v>
      </c>
      <c r="E5">
        <v>4</v>
      </c>
      <c r="F5">
        <v>1</v>
      </c>
      <c r="G5" t="s">
        <v>136</v>
      </c>
      <c r="H5">
        <v>3</v>
      </c>
      <c r="I5">
        <v>88</v>
      </c>
      <c r="J5">
        <v>90</v>
      </c>
      <c r="K5">
        <v>92</v>
      </c>
      <c r="L5">
        <v>94</v>
      </c>
      <c r="M5">
        <v>96</v>
      </c>
      <c r="N5">
        <v>98</v>
      </c>
    </row>
    <row r="6" spans="2:14" x14ac:dyDescent="0.25">
      <c r="B6" t="s">
        <v>33</v>
      </c>
      <c r="C6">
        <v>2</v>
      </c>
      <c r="D6">
        <v>4</v>
      </c>
      <c r="E6">
        <v>1</v>
      </c>
      <c r="F6">
        <v>3</v>
      </c>
      <c r="G6" t="s">
        <v>137</v>
      </c>
      <c r="H6">
        <v>4</v>
      </c>
      <c r="I6">
        <v>82</v>
      </c>
      <c r="J6">
        <v>85</v>
      </c>
      <c r="K6">
        <v>88</v>
      </c>
      <c r="L6">
        <v>91</v>
      </c>
      <c r="M6">
        <v>94</v>
      </c>
      <c r="N6">
        <v>97</v>
      </c>
    </row>
    <row r="7" spans="2:14" x14ac:dyDescent="0.25">
      <c r="B7" t="s">
        <v>27</v>
      </c>
      <c r="C7">
        <v>2</v>
      </c>
      <c r="D7">
        <v>3</v>
      </c>
      <c r="E7">
        <v>1</v>
      </c>
      <c r="F7">
        <v>3</v>
      </c>
      <c r="G7" t="s">
        <v>139</v>
      </c>
      <c r="H7">
        <v>5</v>
      </c>
      <c r="I7">
        <v>76</v>
      </c>
      <c r="J7">
        <v>80</v>
      </c>
      <c r="K7">
        <v>84</v>
      </c>
      <c r="L7">
        <v>88</v>
      </c>
      <c r="M7">
        <v>92</v>
      </c>
      <c r="N7">
        <v>96</v>
      </c>
    </row>
    <row r="8" spans="2:14" x14ac:dyDescent="0.25">
      <c r="B8" t="s">
        <v>28</v>
      </c>
      <c r="C8">
        <v>1</v>
      </c>
      <c r="D8">
        <v>3</v>
      </c>
      <c r="E8">
        <v>3</v>
      </c>
      <c r="F8">
        <v>2</v>
      </c>
      <c r="G8" t="s">
        <v>139</v>
      </c>
      <c r="H8">
        <v>6</v>
      </c>
      <c r="I8">
        <v>70</v>
      </c>
      <c r="J8">
        <v>75</v>
      </c>
      <c r="K8">
        <v>80</v>
      </c>
      <c r="L8">
        <v>85</v>
      </c>
      <c r="M8">
        <v>90</v>
      </c>
      <c r="N8">
        <v>95</v>
      </c>
    </row>
    <row r="9" spans="2:14" x14ac:dyDescent="0.25">
      <c r="B9" t="s">
        <v>29</v>
      </c>
      <c r="C9">
        <v>3</v>
      </c>
      <c r="D9">
        <v>2</v>
      </c>
      <c r="E9">
        <v>1</v>
      </c>
      <c r="F9">
        <v>3</v>
      </c>
      <c r="G9" t="s">
        <v>136</v>
      </c>
      <c r="H9">
        <v>7</v>
      </c>
      <c r="I9">
        <v>64</v>
      </c>
      <c r="J9">
        <v>70</v>
      </c>
      <c r="K9">
        <v>76</v>
      </c>
      <c r="L9">
        <v>82</v>
      </c>
      <c r="M9">
        <v>88</v>
      </c>
      <c r="N9">
        <v>94</v>
      </c>
    </row>
    <row r="10" spans="2:14" x14ac:dyDescent="0.25">
      <c r="B10" t="s">
        <v>21</v>
      </c>
      <c r="C10">
        <v>4</v>
      </c>
      <c r="D10">
        <v>3</v>
      </c>
      <c r="E10">
        <v>1</v>
      </c>
      <c r="F10">
        <v>2</v>
      </c>
      <c r="G10" t="s">
        <v>138</v>
      </c>
      <c r="H10">
        <v>8</v>
      </c>
      <c r="I10">
        <v>58</v>
      </c>
      <c r="J10">
        <v>65</v>
      </c>
      <c r="K10">
        <v>72</v>
      </c>
      <c r="L10">
        <v>79</v>
      </c>
      <c r="M10">
        <v>86</v>
      </c>
      <c r="N10">
        <v>93</v>
      </c>
    </row>
    <row r="11" spans="2:14" x14ac:dyDescent="0.25">
      <c r="B11" t="s">
        <v>22</v>
      </c>
      <c r="C11">
        <v>2</v>
      </c>
      <c r="D11">
        <v>2</v>
      </c>
      <c r="E11">
        <v>2</v>
      </c>
      <c r="F11">
        <v>1</v>
      </c>
      <c r="G11" t="s">
        <v>138</v>
      </c>
      <c r="H11">
        <v>9</v>
      </c>
      <c r="I11">
        <v>52</v>
      </c>
      <c r="J11">
        <v>60</v>
      </c>
      <c r="K11">
        <v>68</v>
      </c>
      <c r="L11">
        <v>76</v>
      </c>
      <c r="M11">
        <v>84</v>
      </c>
      <c r="N11">
        <v>92</v>
      </c>
    </row>
    <row r="12" spans="2:14" x14ac:dyDescent="0.25">
      <c r="B12" t="s">
        <v>92</v>
      </c>
      <c r="C12">
        <v>3</v>
      </c>
      <c r="D12">
        <v>4</v>
      </c>
      <c r="E12">
        <v>1</v>
      </c>
      <c r="F12">
        <v>2</v>
      </c>
      <c r="G12" t="s">
        <v>138</v>
      </c>
      <c r="H12">
        <v>10</v>
      </c>
      <c r="I12">
        <v>46</v>
      </c>
      <c r="J12">
        <v>55</v>
      </c>
      <c r="K12">
        <v>64</v>
      </c>
      <c r="L12">
        <v>73</v>
      </c>
      <c r="M12">
        <v>82</v>
      </c>
      <c r="N12">
        <v>91</v>
      </c>
    </row>
    <row r="13" spans="2:14" x14ac:dyDescent="0.25">
      <c r="B13" t="s">
        <v>148</v>
      </c>
      <c r="C13">
        <v>4</v>
      </c>
      <c r="D13">
        <v>2</v>
      </c>
      <c r="E13">
        <v>1</v>
      </c>
      <c r="F13">
        <v>3</v>
      </c>
      <c r="G13" t="s">
        <v>141</v>
      </c>
      <c r="H13">
        <v>11</v>
      </c>
      <c r="I13">
        <v>40</v>
      </c>
      <c r="J13">
        <v>50</v>
      </c>
      <c r="K13">
        <v>60</v>
      </c>
      <c r="L13">
        <v>70</v>
      </c>
      <c r="M13">
        <v>80</v>
      </c>
      <c r="N13">
        <v>90</v>
      </c>
    </row>
    <row r="14" spans="2:14" x14ac:dyDescent="0.25">
      <c r="B14" t="s">
        <v>26</v>
      </c>
      <c r="C14">
        <v>3</v>
      </c>
      <c r="D14">
        <v>3</v>
      </c>
      <c r="E14">
        <v>1</v>
      </c>
      <c r="F14">
        <v>2</v>
      </c>
      <c r="G14" t="s">
        <v>141</v>
      </c>
      <c r="H14">
        <v>12</v>
      </c>
      <c r="I14">
        <v>34</v>
      </c>
      <c r="J14">
        <v>45</v>
      </c>
      <c r="K14">
        <v>56</v>
      </c>
      <c r="L14">
        <v>67</v>
      </c>
      <c r="M14">
        <v>78</v>
      </c>
      <c r="N14">
        <v>89</v>
      </c>
    </row>
    <row r="15" spans="2:14" x14ac:dyDescent="0.25">
      <c r="B15" t="s">
        <v>25</v>
      </c>
      <c r="C15">
        <v>4</v>
      </c>
      <c r="D15">
        <v>3</v>
      </c>
      <c r="E15">
        <v>1</v>
      </c>
      <c r="F15">
        <v>2</v>
      </c>
      <c r="G15" t="s">
        <v>136</v>
      </c>
      <c r="H15">
        <v>13</v>
      </c>
      <c r="I15">
        <v>28</v>
      </c>
      <c r="J15">
        <v>40</v>
      </c>
      <c r="K15">
        <v>52</v>
      </c>
      <c r="L15">
        <v>64</v>
      </c>
      <c r="M15">
        <v>76</v>
      </c>
      <c r="N15">
        <v>88</v>
      </c>
    </row>
    <row r="16" spans="2:14" x14ac:dyDescent="0.25">
      <c r="B16" t="s">
        <v>24</v>
      </c>
      <c r="C16">
        <v>3</v>
      </c>
      <c r="D16">
        <v>2</v>
      </c>
      <c r="E16">
        <v>3</v>
      </c>
      <c r="F16">
        <v>1</v>
      </c>
      <c r="G16" t="s">
        <v>137</v>
      </c>
      <c r="H16">
        <v>14</v>
      </c>
      <c r="I16">
        <v>22</v>
      </c>
      <c r="J16">
        <v>35</v>
      </c>
      <c r="K16">
        <v>48</v>
      </c>
      <c r="L16">
        <v>61</v>
      </c>
      <c r="M16">
        <v>74</v>
      </c>
      <c r="N16">
        <v>87</v>
      </c>
    </row>
    <row r="17" spans="2:14" x14ac:dyDescent="0.25">
      <c r="B17" t="s">
        <v>23</v>
      </c>
      <c r="C17">
        <v>3</v>
      </c>
      <c r="D17">
        <v>3</v>
      </c>
      <c r="E17">
        <v>2</v>
      </c>
      <c r="F17">
        <v>1</v>
      </c>
      <c r="G17" t="s">
        <v>138</v>
      </c>
      <c r="H17">
        <v>15</v>
      </c>
      <c r="I17">
        <v>16</v>
      </c>
      <c r="J17">
        <v>30</v>
      </c>
      <c r="K17">
        <v>44</v>
      </c>
      <c r="L17">
        <v>58</v>
      </c>
      <c r="M17">
        <v>72</v>
      </c>
      <c r="N17">
        <v>86</v>
      </c>
    </row>
    <row r="18" spans="2:14" x14ac:dyDescent="0.25">
      <c r="H18">
        <v>16</v>
      </c>
      <c r="I18">
        <v>10</v>
      </c>
      <c r="J18">
        <v>25</v>
      </c>
      <c r="K18">
        <v>40</v>
      </c>
      <c r="L18">
        <v>55</v>
      </c>
      <c r="M18">
        <v>70</v>
      </c>
      <c r="N18">
        <v>85</v>
      </c>
    </row>
    <row r="20" spans="2:14" x14ac:dyDescent="0.25">
      <c r="H20">
        <v>1</v>
      </c>
      <c r="I20">
        <v>15</v>
      </c>
      <c r="J20">
        <v>20</v>
      </c>
      <c r="K20">
        <v>25</v>
      </c>
      <c r="L20">
        <v>30</v>
      </c>
      <c r="M20">
        <v>35</v>
      </c>
      <c r="N20">
        <v>40</v>
      </c>
    </row>
    <row r="21" spans="2:14" x14ac:dyDescent="0.25">
      <c r="H21">
        <v>2</v>
      </c>
      <c r="I21">
        <v>14</v>
      </c>
      <c r="J21">
        <v>19</v>
      </c>
      <c r="K21">
        <v>24</v>
      </c>
      <c r="L21">
        <v>29</v>
      </c>
      <c r="M21">
        <v>34</v>
      </c>
      <c r="N21">
        <v>39</v>
      </c>
    </row>
    <row r="22" spans="2:14" x14ac:dyDescent="0.25">
      <c r="H22">
        <v>3</v>
      </c>
      <c r="I22">
        <v>13</v>
      </c>
      <c r="J22">
        <v>18</v>
      </c>
      <c r="K22">
        <v>23</v>
      </c>
      <c r="L22">
        <v>28</v>
      </c>
      <c r="M22">
        <v>33</v>
      </c>
      <c r="N22">
        <v>38</v>
      </c>
    </row>
    <row r="23" spans="2:14" x14ac:dyDescent="0.25">
      <c r="H23">
        <v>4</v>
      </c>
      <c r="I23">
        <v>12</v>
      </c>
      <c r="J23">
        <v>17</v>
      </c>
      <c r="K23">
        <v>22</v>
      </c>
      <c r="L23">
        <v>27</v>
      </c>
      <c r="M23">
        <v>32</v>
      </c>
      <c r="N23">
        <v>37</v>
      </c>
    </row>
    <row r="24" spans="2:14" x14ac:dyDescent="0.25">
      <c r="H24">
        <v>5</v>
      </c>
      <c r="I24">
        <v>11</v>
      </c>
      <c r="J24">
        <v>16</v>
      </c>
      <c r="K24">
        <v>21</v>
      </c>
      <c r="L24">
        <v>26</v>
      </c>
      <c r="M24">
        <v>31</v>
      </c>
      <c r="N24">
        <v>36</v>
      </c>
    </row>
    <row r="25" spans="2:14" x14ac:dyDescent="0.25">
      <c r="H25">
        <v>6</v>
      </c>
      <c r="I25">
        <v>11</v>
      </c>
      <c r="J25">
        <v>15</v>
      </c>
      <c r="K25">
        <v>20</v>
      </c>
      <c r="L25">
        <v>25</v>
      </c>
      <c r="M25">
        <v>30</v>
      </c>
      <c r="N25">
        <v>35</v>
      </c>
    </row>
    <row r="26" spans="2:14" x14ac:dyDescent="0.25">
      <c r="H26">
        <v>7</v>
      </c>
      <c r="I26">
        <v>10</v>
      </c>
      <c r="J26">
        <v>14</v>
      </c>
      <c r="K26">
        <v>19</v>
      </c>
      <c r="L26">
        <v>24</v>
      </c>
      <c r="M26">
        <v>29</v>
      </c>
      <c r="N26">
        <v>34</v>
      </c>
    </row>
    <row r="27" spans="2:14" x14ac:dyDescent="0.25">
      <c r="H27">
        <v>8</v>
      </c>
      <c r="I27">
        <v>9</v>
      </c>
      <c r="J27">
        <v>13</v>
      </c>
      <c r="K27">
        <v>18</v>
      </c>
      <c r="L27">
        <v>23</v>
      </c>
      <c r="M27">
        <v>28</v>
      </c>
      <c r="N27">
        <v>33</v>
      </c>
    </row>
    <row r="28" spans="2:14" x14ac:dyDescent="0.25">
      <c r="H28">
        <v>9</v>
      </c>
      <c r="I28">
        <v>8</v>
      </c>
      <c r="J28">
        <v>12</v>
      </c>
      <c r="K28">
        <v>17</v>
      </c>
      <c r="L28">
        <v>22</v>
      </c>
      <c r="M28">
        <v>27</v>
      </c>
      <c r="N28">
        <v>32</v>
      </c>
    </row>
    <row r="29" spans="2:14" x14ac:dyDescent="0.25">
      <c r="H29">
        <v>10</v>
      </c>
      <c r="I29">
        <v>7</v>
      </c>
      <c r="J29">
        <v>11</v>
      </c>
      <c r="K29">
        <v>16</v>
      </c>
      <c r="L29">
        <v>21</v>
      </c>
      <c r="M29">
        <v>26</v>
      </c>
      <c r="N29">
        <v>31</v>
      </c>
    </row>
    <row r="30" spans="2:14" x14ac:dyDescent="0.25">
      <c r="B30" t="s">
        <v>93</v>
      </c>
      <c r="C30">
        <v>1</v>
      </c>
      <c r="D30">
        <v>1</v>
      </c>
      <c r="E30">
        <v>1</v>
      </c>
      <c r="F30">
        <v>1</v>
      </c>
      <c r="G30" t="s">
        <v>140</v>
      </c>
      <c r="H30">
        <v>11</v>
      </c>
      <c r="I30">
        <v>6</v>
      </c>
      <c r="J30">
        <v>10</v>
      </c>
      <c r="K30">
        <v>15</v>
      </c>
      <c r="L30">
        <v>20</v>
      </c>
      <c r="M30">
        <v>25</v>
      </c>
      <c r="N30">
        <v>30</v>
      </c>
    </row>
    <row r="31" spans="2:14" x14ac:dyDescent="0.25">
      <c r="H31">
        <v>12</v>
      </c>
      <c r="I31">
        <v>5</v>
      </c>
      <c r="J31">
        <v>9</v>
      </c>
      <c r="K31">
        <v>14</v>
      </c>
      <c r="L31">
        <v>19</v>
      </c>
      <c r="M31">
        <v>24</v>
      </c>
      <c r="N31">
        <v>29</v>
      </c>
    </row>
    <row r="32" spans="2:14" x14ac:dyDescent="0.25">
      <c r="H32">
        <v>13</v>
      </c>
      <c r="I32">
        <v>4</v>
      </c>
      <c r="J32">
        <v>8</v>
      </c>
      <c r="K32">
        <v>13</v>
      </c>
      <c r="L32">
        <v>18</v>
      </c>
      <c r="M32">
        <v>23</v>
      </c>
      <c r="N32">
        <v>28</v>
      </c>
    </row>
    <row r="33" spans="8:14" x14ac:dyDescent="0.25">
      <c r="H33">
        <v>14</v>
      </c>
      <c r="I33">
        <v>3</v>
      </c>
      <c r="J33">
        <v>7</v>
      </c>
      <c r="K33">
        <v>12</v>
      </c>
      <c r="L33">
        <v>17</v>
      </c>
      <c r="M33">
        <v>22</v>
      </c>
      <c r="N33">
        <v>27</v>
      </c>
    </row>
    <row r="34" spans="8:14" x14ac:dyDescent="0.25">
      <c r="H34">
        <v>15</v>
      </c>
      <c r="I34">
        <v>2</v>
      </c>
      <c r="J34">
        <v>6</v>
      </c>
      <c r="K34">
        <v>11</v>
      </c>
      <c r="L34">
        <v>16</v>
      </c>
      <c r="M34">
        <v>21</v>
      </c>
      <c r="N34">
        <v>26</v>
      </c>
    </row>
    <row r="35" spans="8:14" x14ac:dyDescent="0.25">
      <c r="H35">
        <v>16</v>
      </c>
      <c r="I35">
        <v>2</v>
      </c>
      <c r="J35">
        <v>5</v>
      </c>
      <c r="K35">
        <v>10</v>
      </c>
      <c r="L35">
        <v>15</v>
      </c>
      <c r="M35">
        <v>20</v>
      </c>
      <c r="N35">
        <v>25</v>
      </c>
    </row>
  </sheetData>
  <phoneticPr fontId="1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97D69-3039-4A21-88B4-F5124562BEBC}">
  <dimension ref="A2:S196"/>
  <sheetViews>
    <sheetView tabSelected="1" topLeftCell="A137" workbookViewId="0">
      <selection activeCell="S161" sqref="S161"/>
    </sheetView>
  </sheetViews>
  <sheetFormatPr baseColWidth="10" defaultRowHeight="15" x14ac:dyDescent="0.25"/>
  <cols>
    <col min="1" max="1" width="12.28515625" bestFit="1" customWidth="1"/>
    <col min="2" max="2" width="25.28515625" bestFit="1" customWidth="1"/>
  </cols>
  <sheetData>
    <row r="2" spans="1:19" x14ac:dyDescent="0.25">
      <c r="B2" t="s">
        <v>546</v>
      </c>
      <c r="D2" t="s">
        <v>36</v>
      </c>
      <c r="E2" t="s">
        <v>37</v>
      </c>
      <c r="F2" t="s">
        <v>38</v>
      </c>
      <c r="G2" t="s">
        <v>39</v>
      </c>
      <c r="H2" t="s">
        <v>181</v>
      </c>
      <c r="I2" t="s">
        <v>40</v>
      </c>
      <c r="J2" s="10" t="s">
        <v>544</v>
      </c>
      <c r="K2" t="s">
        <v>142</v>
      </c>
      <c r="L2" t="s">
        <v>182</v>
      </c>
      <c r="M2" t="s">
        <v>385</v>
      </c>
      <c r="O2" s="10"/>
      <c r="P2" s="10"/>
      <c r="Q2" s="10"/>
      <c r="R2" s="10"/>
      <c r="S2" t="s">
        <v>41</v>
      </c>
    </row>
    <row r="3" spans="1:19" x14ac:dyDescent="0.25">
      <c r="J3" s="10"/>
      <c r="O3" s="10"/>
      <c r="P3" s="10"/>
      <c r="Q3" s="10"/>
      <c r="R3" s="10"/>
    </row>
    <row r="4" spans="1:19" x14ac:dyDescent="0.25">
      <c r="A4" t="s">
        <v>321</v>
      </c>
      <c r="B4" t="s">
        <v>44</v>
      </c>
      <c r="D4">
        <v>16000</v>
      </c>
      <c r="E4">
        <v>60</v>
      </c>
      <c r="F4" s="11">
        <f t="shared" ref="F4:F9" si="0">(S4*37500000/(L4*M4*D4*E4*K4*J4)-((500/(K4*J4))+(2500000000/(D4*E4*K4*J4)*(D4/100000+E4/100+J4/200))))/(1+5000000/(D4*E4)+(500000000/(D4*E4*J4)))</f>
        <v>3.9157110091743128</v>
      </c>
      <c r="G4">
        <v>2000</v>
      </c>
      <c r="H4">
        <v>0.75</v>
      </c>
      <c r="I4">
        <v>17</v>
      </c>
      <c r="J4" s="10">
        <f t="shared" ref="J4:J25" si="1">G4/I4*H4</f>
        <v>88.235294117647058</v>
      </c>
      <c r="K4">
        <v>1</v>
      </c>
      <c r="L4">
        <v>0.5</v>
      </c>
      <c r="M4">
        <v>1</v>
      </c>
      <c r="O4" s="10">
        <f t="shared" ref="O4:O21" si="2">(D4/100000+E4/100+F4*K4/5+J4/200)*200*L4*M4</f>
        <v>198.43186724230978</v>
      </c>
      <c r="P4" s="10">
        <f t="shared" ref="P4:P21" si="3">((D4*E4/25000)+(F4*K4*J4/2.5))*L4*M4</f>
        <v>88.300782514840819</v>
      </c>
      <c r="Q4" s="10">
        <f t="shared" ref="Q4:Q21" si="4">(D4*E4*F4*K4*J4*L4*M4)/12500000</f>
        <v>13.267350242849435</v>
      </c>
      <c r="R4" s="10">
        <f t="shared" ref="R4:R21" si="5">(O4+P4+Q4)/3</f>
        <v>100.00000000000001</v>
      </c>
      <c r="S4">
        <v>100</v>
      </c>
    </row>
    <row r="5" spans="1:19" x14ac:dyDescent="0.25">
      <c r="B5" t="s">
        <v>549</v>
      </c>
      <c r="D5">
        <v>16000</v>
      </c>
      <c r="E5">
        <v>60</v>
      </c>
      <c r="F5" s="11">
        <f t="shared" si="0"/>
        <v>4.4447989789406508</v>
      </c>
      <c r="G5">
        <v>4000</v>
      </c>
      <c r="H5">
        <v>1</v>
      </c>
      <c r="I5">
        <v>15</v>
      </c>
      <c r="J5" s="10">
        <f t="shared" si="1"/>
        <v>266.66666666666669</v>
      </c>
      <c r="K5">
        <v>1</v>
      </c>
      <c r="L5">
        <v>0.5</v>
      </c>
      <c r="M5">
        <v>1</v>
      </c>
      <c r="O5" s="10">
        <f t="shared" si="2"/>
        <v>298.22931291214638</v>
      </c>
      <c r="P5" s="10">
        <f t="shared" si="3"/>
        <v>256.25594554350141</v>
      </c>
      <c r="Q5" s="10">
        <f t="shared" si="4"/>
        <v>45.514741544352262</v>
      </c>
      <c r="R5" s="10">
        <f t="shared" si="5"/>
        <v>200</v>
      </c>
      <c r="S5">
        <v>200</v>
      </c>
    </row>
    <row r="6" spans="1:19" x14ac:dyDescent="0.25">
      <c r="B6" t="s">
        <v>548</v>
      </c>
      <c r="D6">
        <v>16000</v>
      </c>
      <c r="E6">
        <v>60</v>
      </c>
      <c r="F6" s="11">
        <f t="shared" si="0"/>
        <v>4.9834231247409875</v>
      </c>
      <c r="G6">
        <v>6000</v>
      </c>
      <c r="H6">
        <v>1</v>
      </c>
      <c r="I6">
        <v>25</v>
      </c>
      <c r="J6" s="10">
        <f t="shared" si="1"/>
        <v>240</v>
      </c>
      <c r="K6">
        <v>1</v>
      </c>
      <c r="L6">
        <v>0.5</v>
      </c>
      <c r="M6">
        <v>1</v>
      </c>
      <c r="O6" s="10">
        <f t="shared" si="2"/>
        <v>295.66846249481972</v>
      </c>
      <c r="P6" s="10">
        <f t="shared" si="3"/>
        <v>258.40430998756739</v>
      </c>
      <c r="Q6" s="10">
        <f t="shared" si="4"/>
        <v>45.927227517612941</v>
      </c>
      <c r="R6" s="10">
        <f t="shared" si="5"/>
        <v>200</v>
      </c>
      <c r="S6">
        <v>200</v>
      </c>
    </row>
    <row r="7" spans="1:19" x14ac:dyDescent="0.25">
      <c r="A7" t="s">
        <v>320</v>
      </c>
      <c r="B7" t="s">
        <v>94</v>
      </c>
      <c r="D7">
        <v>14000</v>
      </c>
      <c r="E7">
        <v>58</v>
      </c>
      <c r="F7" s="11">
        <f t="shared" si="0"/>
        <v>4.6548776578694309</v>
      </c>
      <c r="G7">
        <v>2000</v>
      </c>
      <c r="H7">
        <v>0.75</v>
      </c>
      <c r="I7">
        <v>20</v>
      </c>
      <c r="J7" s="10">
        <f t="shared" si="1"/>
        <v>75</v>
      </c>
      <c r="K7">
        <v>1</v>
      </c>
      <c r="L7">
        <v>0.5</v>
      </c>
      <c r="M7">
        <v>1</v>
      </c>
      <c r="O7" s="10">
        <f t="shared" si="2"/>
        <v>202.5975531573886</v>
      </c>
      <c r="P7" s="10">
        <f t="shared" si="3"/>
        <v>86.063164868041454</v>
      </c>
      <c r="Q7" s="10">
        <f t="shared" si="4"/>
        <v>11.339281974569934</v>
      </c>
      <c r="R7" s="10">
        <f t="shared" si="5"/>
        <v>100</v>
      </c>
      <c r="S7">
        <v>100</v>
      </c>
    </row>
    <row r="8" spans="1:19" x14ac:dyDescent="0.25">
      <c r="B8" t="s">
        <v>536</v>
      </c>
      <c r="D8">
        <v>11000</v>
      </c>
      <c r="E8">
        <v>55</v>
      </c>
      <c r="F8" s="11">
        <f t="shared" si="0"/>
        <v>5.5470366636599993</v>
      </c>
      <c r="G8">
        <v>4000</v>
      </c>
      <c r="H8">
        <v>0.875</v>
      </c>
      <c r="I8">
        <v>55</v>
      </c>
      <c r="J8" s="10">
        <f t="shared" si="1"/>
        <v>63.63636363636364</v>
      </c>
      <c r="K8">
        <v>1</v>
      </c>
      <c r="L8">
        <v>0.5</v>
      </c>
      <c r="M8">
        <v>1</v>
      </c>
      <c r="O8" s="10">
        <f t="shared" si="2"/>
        <v>208.75891509138182</v>
      </c>
      <c r="P8" s="10">
        <f t="shared" si="3"/>
        <v>82.698648446581799</v>
      </c>
      <c r="Q8" s="10">
        <f t="shared" si="4"/>
        <v>8.5424364620363988</v>
      </c>
      <c r="R8" s="10">
        <f t="shared" si="5"/>
        <v>100</v>
      </c>
      <c r="S8">
        <v>100</v>
      </c>
    </row>
    <row r="9" spans="1:19" x14ac:dyDescent="0.25">
      <c r="B9" t="s">
        <v>822</v>
      </c>
      <c r="D9">
        <v>22000</v>
      </c>
      <c r="E9">
        <v>71</v>
      </c>
      <c r="F9" s="11">
        <f t="shared" si="0"/>
        <v>4.4198641152722615</v>
      </c>
      <c r="G9">
        <v>4000</v>
      </c>
      <c r="H9">
        <v>0.875</v>
      </c>
      <c r="I9">
        <v>15</v>
      </c>
      <c r="J9" s="10">
        <f t="shared" si="1"/>
        <v>233.33333333333334</v>
      </c>
      <c r="K9">
        <v>1</v>
      </c>
      <c r="L9">
        <v>0.5</v>
      </c>
      <c r="M9">
        <v>1</v>
      </c>
      <c r="O9" s="10">
        <f t="shared" si="2"/>
        <v>298.06394897211186</v>
      </c>
      <c r="P9" s="10">
        <f t="shared" si="3"/>
        <v>237.50032537937221</v>
      </c>
      <c r="Q9" s="10">
        <f t="shared" si="4"/>
        <v>64.435725648515884</v>
      </c>
      <c r="R9" s="10">
        <f t="shared" si="5"/>
        <v>200</v>
      </c>
      <c r="S9">
        <v>200</v>
      </c>
    </row>
    <row r="10" spans="1:19" x14ac:dyDescent="0.25">
      <c r="A10" t="s">
        <v>571</v>
      </c>
      <c r="B10" t="s">
        <v>313</v>
      </c>
      <c r="D10">
        <v>18000</v>
      </c>
      <c r="E10">
        <v>52</v>
      </c>
      <c r="F10" s="11">
        <f t="shared" ref="F10:F18" si="6">(S10*37500000/(L10*M10*D10*E10*K10*J10)-((500/(K10*J10))+(2500000000/(D10*E10*K10*J10)*(D10/100000+E10/100+J10/200))))/(1+5000000/(D10*E10)+(500000000/(D10*E10*J10)))</f>
        <v>4.4479464517806093</v>
      </c>
      <c r="G10">
        <v>4000</v>
      </c>
      <c r="H10">
        <v>0.875</v>
      </c>
      <c r="I10">
        <v>20</v>
      </c>
      <c r="J10" s="10">
        <f t="shared" si="1"/>
        <v>175</v>
      </c>
      <c r="K10">
        <v>1</v>
      </c>
      <c r="L10">
        <v>0.5</v>
      </c>
      <c r="M10">
        <v>1</v>
      </c>
      <c r="O10" s="10">
        <f t="shared" si="2"/>
        <v>246.45892903561219</v>
      </c>
      <c r="P10" s="10">
        <f t="shared" si="3"/>
        <v>174.39812581232133</v>
      </c>
      <c r="Q10" s="10">
        <f t="shared" si="4"/>
        <v>29.142945152066549</v>
      </c>
      <c r="R10" s="10">
        <f t="shared" si="5"/>
        <v>150.00000000000003</v>
      </c>
      <c r="S10">
        <v>150</v>
      </c>
    </row>
    <row r="11" spans="1:19" x14ac:dyDescent="0.25">
      <c r="A11" t="s">
        <v>578</v>
      </c>
      <c r="B11" t="s">
        <v>576</v>
      </c>
      <c r="D11">
        <v>15000</v>
      </c>
      <c r="E11">
        <v>50</v>
      </c>
      <c r="F11" s="11">
        <f t="shared" si="6"/>
        <v>5.6213017751479279</v>
      </c>
      <c r="G11">
        <v>6000</v>
      </c>
      <c r="H11">
        <v>0.75</v>
      </c>
      <c r="I11">
        <v>75</v>
      </c>
      <c r="J11" s="10">
        <f t="shared" si="1"/>
        <v>60</v>
      </c>
      <c r="K11">
        <v>1</v>
      </c>
      <c r="L11">
        <v>0.5</v>
      </c>
      <c r="M11">
        <v>1</v>
      </c>
      <c r="O11" s="10">
        <f t="shared" si="2"/>
        <v>207.42603550295854</v>
      </c>
      <c r="P11" s="10">
        <f t="shared" si="3"/>
        <v>82.455621301775139</v>
      </c>
      <c r="Q11" s="10">
        <f t="shared" si="4"/>
        <v>10.118343195266272</v>
      </c>
      <c r="R11" s="10">
        <f t="shared" si="5"/>
        <v>99.999999999999986</v>
      </c>
      <c r="S11">
        <v>100</v>
      </c>
    </row>
    <row r="12" spans="1:19" x14ac:dyDescent="0.25">
      <c r="B12" t="s">
        <v>577</v>
      </c>
      <c r="D12">
        <v>10000</v>
      </c>
      <c r="E12">
        <v>45</v>
      </c>
      <c r="F12" s="11">
        <f t="shared" si="6"/>
        <v>5.5011303692539562</v>
      </c>
      <c r="G12">
        <v>4000</v>
      </c>
      <c r="H12">
        <v>0.75</v>
      </c>
      <c r="I12">
        <v>100</v>
      </c>
      <c r="J12" s="10">
        <f t="shared" si="1"/>
        <v>30</v>
      </c>
      <c r="K12">
        <v>1</v>
      </c>
      <c r="L12">
        <v>0.5</v>
      </c>
      <c r="M12">
        <v>1</v>
      </c>
      <c r="O12" s="10">
        <f t="shared" si="2"/>
        <v>180.02260738507911</v>
      </c>
      <c r="P12" s="10">
        <f t="shared" si="3"/>
        <v>42.006782215523735</v>
      </c>
      <c r="Q12" s="10">
        <f t="shared" si="4"/>
        <v>2.9706103993971364</v>
      </c>
      <c r="R12" s="10">
        <f t="shared" si="5"/>
        <v>75</v>
      </c>
      <c r="S12">
        <v>75</v>
      </c>
    </row>
    <row r="13" spans="1:19" x14ac:dyDescent="0.25">
      <c r="B13" t="s">
        <v>585</v>
      </c>
      <c r="D13">
        <v>15000</v>
      </c>
      <c r="E13">
        <v>40</v>
      </c>
      <c r="F13" s="11">
        <f t="shared" si="6"/>
        <v>5.1362158647594267</v>
      </c>
      <c r="G13">
        <v>8000</v>
      </c>
      <c r="H13">
        <v>1.125</v>
      </c>
      <c r="I13">
        <v>53</v>
      </c>
      <c r="J13" s="10">
        <f t="shared" si="1"/>
        <v>169.811320754717</v>
      </c>
      <c r="K13">
        <v>1</v>
      </c>
      <c r="L13">
        <v>0.5</v>
      </c>
      <c r="M13">
        <v>1</v>
      </c>
      <c r="O13" s="10">
        <f t="shared" si="2"/>
        <v>242.62997767254703</v>
      </c>
      <c r="P13" s="10">
        <f t="shared" si="3"/>
        <v>186.43751993522582</v>
      </c>
      <c r="Q13" s="10">
        <f t="shared" si="4"/>
        <v>20.9325023922271</v>
      </c>
      <c r="R13" s="10">
        <f t="shared" si="5"/>
        <v>149.99999999999997</v>
      </c>
      <c r="S13">
        <v>150</v>
      </c>
    </row>
    <row r="14" spans="1:19" x14ac:dyDescent="0.25">
      <c r="B14" t="s">
        <v>588</v>
      </c>
      <c r="D14">
        <v>12000</v>
      </c>
      <c r="E14">
        <v>60</v>
      </c>
      <c r="F14" s="11">
        <f t="shared" si="6"/>
        <v>4.0971488912354799</v>
      </c>
      <c r="G14">
        <v>8000</v>
      </c>
      <c r="H14">
        <v>1</v>
      </c>
      <c r="I14">
        <v>60</v>
      </c>
      <c r="J14" s="10">
        <f t="shared" si="1"/>
        <v>133.33333333333334</v>
      </c>
      <c r="K14">
        <v>1</v>
      </c>
      <c r="L14">
        <v>0.5</v>
      </c>
      <c r="M14">
        <v>1</v>
      </c>
      <c r="O14" s="10">
        <f t="shared" si="2"/>
        <v>220.60964449137623</v>
      </c>
      <c r="P14" s="10">
        <f t="shared" si="3"/>
        <v>123.65730376627947</v>
      </c>
      <c r="Q14" s="10">
        <f t="shared" si="4"/>
        <v>15.733051742344243</v>
      </c>
      <c r="R14" s="10">
        <f t="shared" si="5"/>
        <v>119.99999999999999</v>
      </c>
      <c r="S14">
        <v>120</v>
      </c>
    </row>
    <row r="15" spans="1:19" x14ac:dyDescent="0.25">
      <c r="A15" t="s">
        <v>605</v>
      </c>
      <c r="B15" t="s">
        <v>655</v>
      </c>
      <c r="D15">
        <v>40000</v>
      </c>
      <c r="E15">
        <v>110</v>
      </c>
      <c r="F15" s="11">
        <f t="shared" si="6"/>
        <v>3.8554216867469879</v>
      </c>
      <c r="G15">
        <v>6000</v>
      </c>
      <c r="H15">
        <v>0.75</v>
      </c>
      <c r="I15">
        <v>15</v>
      </c>
      <c r="J15" s="10">
        <f t="shared" si="1"/>
        <v>300</v>
      </c>
      <c r="K15">
        <v>1</v>
      </c>
      <c r="L15">
        <v>0.5</v>
      </c>
      <c r="M15">
        <v>1</v>
      </c>
      <c r="O15" s="10">
        <f t="shared" si="2"/>
        <v>377.10843373493975</v>
      </c>
      <c r="P15" s="10">
        <f t="shared" si="3"/>
        <v>319.32530120481931</v>
      </c>
      <c r="Q15" s="10">
        <f t="shared" si="4"/>
        <v>203.56626506024094</v>
      </c>
      <c r="R15" s="10">
        <f t="shared" si="5"/>
        <v>300</v>
      </c>
      <c r="S15">
        <v>300</v>
      </c>
    </row>
    <row r="16" spans="1:19" x14ac:dyDescent="0.25">
      <c r="B16" t="s">
        <v>679</v>
      </c>
      <c r="D16">
        <v>60000</v>
      </c>
      <c r="E16">
        <v>120</v>
      </c>
      <c r="F16" s="11">
        <f t="shared" si="6"/>
        <v>4.3752969121140142</v>
      </c>
      <c r="G16">
        <v>8000</v>
      </c>
      <c r="H16">
        <v>0.75</v>
      </c>
      <c r="I16">
        <v>22</v>
      </c>
      <c r="J16" s="10">
        <f t="shared" si="1"/>
        <v>272.72727272727275</v>
      </c>
      <c r="K16">
        <v>2</v>
      </c>
      <c r="L16">
        <v>0.5</v>
      </c>
      <c r="M16">
        <v>1</v>
      </c>
      <c r="O16" s="10">
        <f t="shared" si="2"/>
        <v>491.37551284819693</v>
      </c>
      <c r="P16" s="10">
        <f t="shared" si="3"/>
        <v>621.30511768516521</v>
      </c>
      <c r="Q16" s="10">
        <f t="shared" si="4"/>
        <v>687.31936946663791</v>
      </c>
      <c r="R16" s="10">
        <f t="shared" si="5"/>
        <v>600</v>
      </c>
      <c r="S16">
        <v>600</v>
      </c>
    </row>
    <row r="17" spans="1:19" x14ac:dyDescent="0.25">
      <c r="B17" t="s">
        <v>680</v>
      </c>
      <c r="D17">
        <v>60000</v>
      </c>
      <c r="E17">
        <v>120</v>
      </c>
      <c r="F17" s="11">
        <f t="shared" si="6"/>
        <v>4.4715808170515086</v>
      </c>
      <c r="G17">
        <v>12000</v>
      </c>
      <c r="H17">
        <v>1</v>
      </c>
      <c r="I17">
        <v>45</v>
      </c>
      <c r="J17" s="10">
        <f t="shared" si="1"/>
        <v>266.66666666666669</v>
      </c>
      <c r="K17">
        <v>2</v>
      </c>
      <c r="L17">
        <v>0.5</v>
      </c>
      <c r="M17">
        <v>1</v>
      </c>
      <c r="O17" s="10">
        <f t="shared" si="2"/>
        <v>492.19656601539373</v>
      </c>
      <c r="P17" s="10">
        <f t="shared" si="3"/>
        <v>620.96862048549428</v>
      </c>
      <c r="Q17" s="10">
        <f t="shared" si="4"/>
        <v>686.83481349911176</v>
      </c>
      <c r="R17" s="10">
        <f t="shared" si="5"/>
        <v>599.99999999999989</v>
      </c>
      <c r="S17">
        <v>600</v>
      </c>
    </row>
    <row r="18" spans="1:19" x14ac:dyDescent="0.25">
      <c r="A18" t="s">
        <v>629</v>
      </c>
      <c r="B18" t="s">
        <v>201</v>
      </c>
      <c r="D18">
        <v>25000</v>
      </c>
      <c r="E18">
        <v>50</v>
      </c>
      <c r="F18" s="11">
        <f t="shared" si="6"/>
        <v>3.8538205980066449</v>
      </c>
      <c r="G18">
        <v>6000</v>
      </c>
      <c r="H18">
        <v>0.75</v>
      </c>
      <c r="I18">
        <v>19</v>
      </c>
      <c r="J18" s="10">
        <f t="shared" si="1"/>
        <v>236.84210526315789</v>
      </c>
      <c r="K18">
        <v>1.25</v>
      </c>
      <c r="L18">
        <v>0.5</v>
      </c>
      <c r="M18">
        <v>1</v>
      </c>
      <c r="O18" s="10">
        <f t="shared" si="2"/>
        <v>289.76656758174511</v>
      </c>
      <c r="P18" s="10">
        <f t="shared" si="3"/>
        <v>253.18674593460395</v>
      </c>
      <c r="Q18" s="10">
        <f t="shared" si="4"/>
        <v>57.046686483650987</v>
      </c>
      <c r="R18" s="10">
        <f t="shared" si="5"/>
        <v>200</v>
      </c>
      <c r="S18">
        <v>200</v>
      </c>
    </row>
    <row r="19" spans="1:19" x14ac:dyDescent="0.25">
      <c r="B19" t="s">
        <v>630</v>
      </c>
      <c r="D19">
        <v>25000</v>
      </c>
      <c r="E19">
        <v>50</v>
      </c>
      <c r="F19" s="11">
        <f t="shared" ref="F19:F25" si="7">(S19*37500000/(L19*M19*D19*E19*K19*J19)-((500/(K19*J19))+(2500000000/(D19*E19*K19*J19)*(D19/100000+E19/100+J19/200))))/(1+5000000/(D19*E19)+(500000000/(D19*E19*J19)))</f>
        <v>4.75</v>
      </c>
      <c r="G19">
        <v>6000</v>
      </c>
      <c r="H19">
        <v>1</v>
      </c>
      <c r="I19">
        <v>25</v>
      </c>
      <c r="J19" s="10">
        <f t="shared" si="1"/>
        <v>240</v>
      </c>
      <c r="K19">
        <v>1</v>
      </c>
      <c r="L19">
        <v>0.5</v>
      </c>
      <c r="M19">
        <v>1</v>
      </c>
      <c r="O19" s="10">
        <f t="shared" si="2"/>
        <v>290</v>
      </c>
      <c r="P19" s="10">
        <f t="shared" si="3"/>
        <v>253</v>
      </c>
      <c r="Q19" s="10">
        <f t="shared" si="4"/>
        <v>57</v>
      </c>
      <c r="R19" s="10">
        <f t="shared" si="5"/>
        <v>200</v>
      </c>
      <c r="S19">
        <v>200</v>
      </c>
    </row>
    <row r="20" spans="1:19" x14ac:dyDescent="0.25">
      <c r="B20" t="s">
        <v>221</v>
      </c>
      <c r="D20">
        <v>13000</v>
      </c>
      <c r="E20">
        <v>57</v>
      </c>
      <c r="F20" s="11">
        <f t="shared" si="7"/>
        <v>4.433523549953156</v>
      </c>
      <c r="G20">
        <v>2000</v>
      </c>
      <c r="H20">
        <v>0.75</v>
      </c>
      <c r="I20">
        <v>18</v>
      </c>
      <c r="J20" s="10">
        <f t="shared" si="1"/>
        <v>83.333333333333343</v>
      </c>
      <c r="K20">
        <v>1</v>
      </c>
      <c r="L20">
        <v>0.5</v>
      </c>
      <c r="M20">
        <v>1</v>
      </c>
      <c r="O20" s="10">
        <f t="shared" si="2"/>
        <v>200.33713766572978</v>
      </c>
      <c r="P20" s="10">
        <f t="shared" si="3"/>
        <v>88.712059165885933</v>
      </c>
      <c r="Q20" s="10">
        <f t="shared" si="4"/>
        <v>10.950803168384297</v>
      </c>
      <c r="R20" s="10">
        <f t="shared" si="5"/>
        <v>100.00000000000001</v>
      </c>
      <c r="S20">
        <v>100</v>
      </c>
    </row>
    <row r="21" spans="1:19" x14ac:dyDescent="0.25">
      <c r="B21" t="s">
        <v>234</v>
      </c>
      <c r="D21">
        <v>24000</v>
      </c>
      <c r="E21">
        <v>66</v>
      </c>
      <c r="F21" s="11">
        <f t="shared" si="7"/>
        <v>4.4401519119958097</v>
      </c>
      <c r="G21">
        <v>4000</v>
      </c>
      <c r="H21">
        <v>0.875</v>
      </c>
      <c r="I21">
        <v>15</v>
      </c>
      <c r="J21" s="10">
        <f t="shared" si="1"/>
        <v>233.33333333333334</v>
      </c>
      <c r="K21">
        <v>1</v>
      </c>
      <c r="L21">
        <v>0.5</v>
      </c>
      <c r="M21">
        <v>1</v>
      </c>
      <c r="O21" s="10">
        <f t="shared" si="2"/>
        <v>295.46970490658293</v>
      </c>
      <c r="P21" s="10">
        <f t="shared" si="3"/>
        <v>238.88708922647115</v>
      </c>
      <c r="Q21" s="10">
        <f t="shared" si="4"/>
        <v>65.643205866946062</v>
      </c>
      <c r="R21" s="10">
        <f t="shared" si="5"/>
        <v>200.00000000000009</v>
      </c>
      <c r="S21">
        <v>200</v>
      </c>
    </row>
    <row r="22" spans="1:19" x14ac:dyDescent="0.25">
      <c r="A22" t="s">
        <v>724</v>
      </c>
      <c r="B22" s="6" t="s">
        <v>331</v>
      </c>
      <c r="C22" s="6"/>
      <c r="D22" s="6">
        <v>12000</v>
      </c>
      <c r="E22" s="6">
        <v>52</v>
      </c>
      <c r="F22" s="11">
        <f t="shared" si="7"/>
        <v>4.5670460746862078</v>
      </c>
      <c r="G22" s="6">
        <v>6000</v>
      </c>
      <c r="H22" s="6">
        <v>0.75</v>
      </c>
      <c r="I22" s="6">
        <v>52</v>
      </c>
      <c r="J22" s="10">
        <f t="shared" si="1"/>
        <v>86.538461538461547</v>
      </c>
      <c r="K22" s="6">
        <v>1</v>
      </c>
      <c r="L22">
        <v>0.5</v>
      </c>
      <c r="M22" s="6">
        <v>1</v>
      </c>
      <c r="N22" s="6"/>
      <c r="O22" s="14">
        <v>604.13</v>
      </c>
      <c r="P22" s="14">
        <v>292.13</v>
      </c>
      <c r="Q22" s="14">
        <v>32.909999999999997</v>
      </c>
      <c r="R22" s="14">
        <v>309.72000000000003</v>
      </c>
      <c r="S22" s="6">
        <v>100</v>
      </c>
    </row>
    <row r="23" spans="1:19" x14ac:dyDescent="0.25">
      <c r="B23" s="6" t="s">
        <v>332</v>
      </c>
      <c r="C23" s="6"/>
      <c r="D23" s="6">
        <v>12000</v>
      </c>
      <c r="E23" s="6">
        <v>52</v>
      </c>
      <c r="F23" s="11">
        <f t="shared" si="7"/>
        <v>4.5509055741164053</v>
      </c>
      <c r="G23" s="6">
        <v>8000</v>
      </c>
      <c r="H23" s="6">
        <v>1</v>
      </c>
      <c r="I23" s="6">
        <v>92</v>
      </c>
      <c r="J23" s="10">
        <f t="shared" si="1"/>
        <v>86.956521739130437</v>
      </c>
      <c r="K23" s="6">
        <v>1</v>
      </c>
      <c r="L23">
        <v>0.5</v>
      </c>
      <c r="M23" s="6">
        <v>1</v>
      </c>
      <c r="N23" s="6"/>
      <c r="O23" s="14">
        <v>623.5</v>
      </c>
      <c r="P23" s="14">
        <v>327</v>
      </c>
      <c r="Q23" s="14">
        <v>37.44</v>
      </c>
      <c r="R23" s="14">
        <v>329.31</v>
      </c>
      <c r="S23" s="6">
        <v>100</v>
      </c>
    </row>
    <row r="24" spans="1:19" x14ac:dyDescent="0.25">
      <c r="B24" t="s">
        <v>421</v>
      </c>
      <c r="D24">
        <v>13000</v>
      </c>
      <c r="E24">
        <v>52</v>
      </c>
      <c r="F24" s="11">
        <f t="shared" si="7"/>
        <v>4.3747225099896418</v>
      </c>
      <c r="G24">
        <v>6000</v>
      </c>
      <c r="H24">
        <v>0.75</v>
      </c>
      <c r="I24">
        <v>30</v>
      </c>
      <c r="J24" s="10">
        <f t="shared" si="1"/>
        <v>150</v>
      </c>
      <c r="K24">
        <v>1</v>
      </c>
      <c r="L24">
        <v>0.5</v>
      </c>
      <c r="M24">
        <v>1</v>
      </c>
      <c r="O24" s="10">
        <f>(D24/100000+E24/100+F24*K24/5+J24/200)*200*L24*M24</f>
        <v>227.49445019979282</v>
      </c>
      <c r="P24" s="10">
        <f>((D24*E24/25000)+(F24*K24*J24/2.5))*L24*M24</f>
        <v>144.76167529968924</v>
      </c>
      <c r="Q24" s="10">
        <f>(D24*E24*F24*K24*J24*L24*M24)/12500000</f>
        <v>17.743874500517986</v>
      </c>
      <c r="R24" s="10">
        <f>(O24+P24+Q24)/3</f>
        <v>130.00000000000003</v>
      </c>
      <c r="S24">
        <v>130</v>
      </c>
    </row>
    <row r="25" spans="1:19" x14ac:dyDescent="0.25">
      <c r="B25" t="s">
        <v>420</v>
      </c>
      <c r="D25">
        <v>13000</v>
      </c>
      <c r="E25">
        <v>52</v>
      </c>
      <c r="F25" s="11">
        <f t="shared" si="7"/>
        <v>4.3599044171350547</v>
      </c>
      <c r="G25">
        <v>16000</v>
      </c>
      <c r="H25">
        <v>0.875</v>
      </c>
      <c r="I25">
        <v>93</v>
      </c>
      <c r="J25" s="10">
        <f t="shared" si="1"/>
        <v>150.53763440860214</v>
      </c>
      <c r="K25">
        <v>1</v>
      </c>
      <c r="L25">
        <v>0.5</v>
      </c>
      <c r="M25">
        <v>1</v>
      </c>
      <c r="O25" s="10">
        <f>(D25/100000+E25/100+F25*K25/5+J25/200)*200*L25*M25</f>
        <v>227.46690554700217</v>
      </c>
      <c r="P25" s="10">
        <f>((D25*E25/25000)+(F25*K25*J25/2.5))*L25*M25</f>
        <v>144.7859394406253</v>
      </c>
      <c r="Q25" s="10">
        <f>(D25*E25*F25*K25*J25*L25*M25)/12500000</f>
        <v>17.747155012372541</v>
      </c>
      <c r="R25" s="10">
        <f>(O25+P25+Q25)/3</f>
        <v>130</v>
      </c>
      <c r="S25">
        <v>130</v>
      </c>
    </row>
    <row r="29" spans="1:19" x14ac:dyDescent="0.25">
      <c r="B29" t="s">
        <v>557</v>
      </c>
      <c r="D29" t="s">
        <v>36</v>
      </c>
      <c r="E29" t="s">
        <v>37</v>
      </c>
      <c r="F29" t="s">
        <v>38</v>
      </c>
      <c r="G29" t="s">
        <v>39</v>
      </c>
      <c r="H29" t="s">
        <v>181</v>
      </c>
      <c r="I29" t="s">
        <v>40</v>
      </c>
      <c r="J29" s="10" t="s">
        <v>544</v>
      </c>
      <c r="K29" t="s">
        <v>142</v>
      </c>
      <c r="L29" t="s">
        <v>182</v>
      </c>
      <c r="M29" t="s">
        <v>385</v>
      </c>
      <c r="O29" s="10"/>
      <c r="P29" s="10"/>
      <c r="Q29" s="10"/>
      <c r="R29" s="10"/>
      <c r="S29" t="s">
        <v>41</v>
      </c>
    </row>
    <row r="30" spans="1:19" x14ac:dyDescent="0.25">
      <c r="J30" s="10"/>
      <c r="O30" s="10"/>
      <c r="P30" s="10"/>
      <c r="Q30" s="10"/>
      <c r="R30" s="10"/>
    </row>
    <row r="31" spans="1:19" x14ac:dyDescent="0.25">
      <c r="A31" t="s">
        <v>321</v>
      </c>
      <c r="B31" t="s">
        <v>147</v>
      </c>
      <c r="D31">
        <v>8000</v>
      </c>
      <c r="E31">
        <v>75</v>
      </c>
      <c r="F31" s="11">
        <f t="shared" ref="F31:F38" si="8">(S31*37500000/(L31*M31*D31*E31*K31*J31)-((500/(K31*J31))+(2500000000/(D31*E31*K31*J31)*(D31/100000+E31/100+J31/200))))/(1+5000000/(D31*E31)+(500000000/(D31*E31*J31)))</f>
        <v>6.0969387755102042</v>
      </c>
      <c r="G31">
        <v>16000</v>
      </c>
      <c r="H31">
        <v>0.75</v>
      </c>
      <c r="I31">
        <v>42</v>
      </c>
      <c r="J31" s="10">
        <f t="shared" ref="J31:J38" si="9">G31/I31*H31</f>
        <v>285.71428571428572</v>
      </c>
      <c r="K31">
        <v>1</v>
      </c>
      <c r="L31">
        <v>0.4</v>
      </c>
      <c r="M31">
        <v>1</v>
      </c>
      <c r="O31" s="10">
        <f t="shared" ref="O31:O38" si="10">(D31/100000+E31/100+F31*K31/5+J31/200)*200*L31*M31</f>
        <v>278.23673469387762</v>
      </c>
      <c r="P31" s="10">
        <f t="shared" ref="P31:P38" si="11">((D31*E31/25000)+(F31*K31*J31/2.5))*L31*M31</f>
        <v>288.31720116618084</v>
      </c>
      <c r="Q31" s="10">
        <f t="shared" ref="Q31:Q38" si="12">(D31*E31*F31*K31*J31*L31*M31)/12500000</f>
        <v>33.44606413994169</v>
      </c>
      <c r="R31" s="10">
        <f t="shared" ref="R31:R38" si="13">(O31+P31+Q31)/3</f>
        <v>200.00000000000003</v>
      </c>
      <c r="S31">
        <v>200</v>
      </c>
    </row>
    <row r="32" spans="1:19" x14ac:dyDescent="0.25">
      <c r="B32" t="s">
        <v>75</v>
      </c>
      <c r="D32">
        <v>32000</v>
      </c>
      <c r="E32">
        <v>60</v>
      </c>
      <c r="F32" s="11">
        <f t="shared" si="8"/>
        <v>5.6940296890237301</v>
      </c>
      <c r="G32">
        <v>64000</v>
      </c>
      <c r="H32">
        <v>1.125</v>
      </c>
      <c r="I32">
        <v>111</v>
      </c>
      <c r="J32" s="10">
        <f t="shared" si="9"/>
        <v>648.64864864864865</v>
      </c>
      <c r="K32">
        <v>1.25</v>
      </c>
      <c r="L32">
        <v>0.4</v>
      </c>
      <c r="M32">
        <v>1</v>
      </c>
      <c r="O32" s="10">
        <f t="shared" si="10"/>
        <v>446.94005323993406</v>
      </c>
      <c r="P32" s="10">
        <f t="shared" si="11"/>
        <v>769.40493263010558</v>
      </c>
      <c r="Q32" s="10">
        <f t="shared" si="12"/>
        <v>283.65501412996053</v>
      </c>
      <c r="R32" s="10">
        <f t="shared" si="13"/>
        <v>500.00000000000006</v>
      </c>
      <c r="S32">
        <v>500</v>
      </c>
    </row>
    <row r="33" spans="1:19" x14ac:dyDescent="0.25">
      <c r="A33" t="s">
        <v>320</v>
      </c>
      <c r="B33" t="s">
        <v>562</v>
      </c>
      <c r="D33">
        <v>8000</v>
      </c>
      <c r="E33">
        <v>75</v>
      </c>
      <c r="F33" s="11">
        <f t="shared" si="8"/>
        <v>5.7912844036697244</v>
      </c>
      <c r="G33">
        <v>16000</v>
      </c>
      <c r="H33">
        <v>0.75</v>
      </c>
      <c r="I33">
        <v>40</v>
      </c>
      <c r="J33" s="10">
        <f t="shared" si="9"/>
        <v>300</v>
      </c>
      <c r="K33">
        <v>1</v>
      </c>
      <c r="L33">
        <v>0.4</v>
      </c>
      <c r="M33">
        <v>1</v>
      </c>
      <c r="O33" s="10">
        <f t="shared" si="10"/>
        <v>279.06055045871557</v>
      </c>
      <c r="P33" s="10">
        <f t="shared" si="11"/>
        <v>287.58165137614679</v>
      </c>
      <c r="Q33" s="10">
        <f t="shared" si="12"/>
        <v>33.357798165137616</v>
      </c>
      <c r="R33" s="10">
        <f t="shared" si="13"/>
        <v>200</v>
      </c>
      <c r="S33">
        <v>200</v>
      </c>
    </row>
    <row r="34" spans="1:19" x14ac:dyDescent="0.25">
      <c r="B34" t="s">
        <v>95</v>
      </c>
      <c r="D34">
        <v>16000</v>
      </c>
      <c r="E34">
        <v>56</v>
      </c>
      <c r="F34" s="11">
        <f t="shared" si="8"/>
        <v>5.0035154137371558</v>
      </c>
      <c r="G34">
        <v>8000</v>
      </c>
      <c r="H34">
        <v>1</v>
      </c>
      <c r="I34">
        <v>24</v>
      </c>
      <c r="J34" s="10">
        <f t="shared" si="9"/>
        <v>333.33333333333331</v>
      </c>
      <c r="K34">
        <v>1</v>
      </c>
      <c r="L34">
        <v>0.4</v>
      </c>
      <c r="M34">
        <v>1</v>
      </c>
      <c r="O34" s="10">
        <f t="shared" si="10"/>
        <v>270.98957995312787</v>
      </c>
      <c r="P34" s="10">
        <f t="shared" si="11"/>
        <v>281.19015539931496</v>
      </c>
      <c r="Q34" s="10">
        <f t="shared" si="12"/>
        <v>47.820264647557252</v>
      </c>
      <c r="R34" s="10">
        <f t="shared" si="13"/>
        <v>200</v>
      </c>
      <c r="S34">
        <v>200</v>
      </c>
    </row>
    <row r="35" spans="1:19" x14ac:dyDescent="0.25">
      <c r="B35" t="s">
        <v>185</v>
      </c>
      <c r="D35">
        <v>15000</v>
      </c>
      <c r="E35">
        <v>50</v>
      </c>
      <c r="F35" s="11">
        <f t="shared" si="8"/>
        <v>3.6032388663967607</v>
      </c>
      <c r="G35">
        <v>30000</v>
      </c>
      <c r="H35">
        <v>0.75</v>
      </c>
      <c r="I35">
        <v>50</v>
      </c>
      <c r="J35" s="10">
        <f t="shared" si="9"/>
        <v>450</v>
      </c>
      <c r="K35">
        <v>1</v>
      </c>
      <c r="L35">
        <v>0.4</v>
      </c>
      <c r="M35">
        <v>1</v>
      </c>
      <c r="O35" s="10">
        <f t="shared" si="10"/>
        <v>289.65182186234819</v>
      </c>
      <c r="P35" s="10">
        <f t="shared" si="11"/>
        <v>271.43319838056681</v>
      </c>
      <c r="Q35" s="10">
        <f t="shared" si="12"/>
        <v>38.914979757085021</v>
      </c>
      <c r="R35" s="10">
        <f t="shared" si="13"/>
        <v>200</v>
      </c>
      <c r="S35">
        <v>200</v>
      </c>
    </row>
    <row r="36" spans="1:19" x14ac:dyDescent="0.25">
      <c r="B36" t="s">
        <v>823</v>
      </c>
      <c r="D36">
        <v>11000</v>
      </c>
      <c r="E36">
        <v>67</v>
      </c>
      <c r="F36" s="11">
        <f t="shared" si="8"/>
        <v>5.7250330335450323</v>
      </c>
      <c r="G36">
        <v>16000</v>
      </c>
      <c r="H36">
        <v>0.75</v>
      </c>
      <c r="I36">
        <v>50</v>
      </c>
      <c r="J36" s="10">
        <f t="shared" si="9"/>
        <v>240</v>
      </c>
      <c r="K36">
        <v>1.25</v>
      </c>
      <c r="L36">
        <v>0.4</v>
      </c>
      <c r="M36">
        <v>1</v>
      </c>
      <c r="O36" s="10">
        <f t="shared" si="10"/>
        <v>272.90066067090066</v>
      </c>
      <c r="P36" s="10">
        <f t="shared" si="11"/>
        <v>286.59358561016154</v>
      </c>
      <c r="Q36" s="10">
        <f t="shared" si="12"/>
        <v>40.505753718937818</v>
      </c>
      <c r="R36" s="10">
        <f t="shared" si="13"/>
        <v>200.00000000000003</v>
      </c>
      <c r="S36">
        <v>200</v>
      </c>
    </row>
    <row r="37" spans="1:19" x14ac:dyDescent="0.25">
      <c r="A37" t="s">
        <v>724</v>
      </c>
      <c r="B37" t="s">
        <v>473</v>
      </c>
      <c r="D37">
        <v>30000</v>
      </c>
      <c r="E37">
        <v>80</v>
      </c>
      <c r="F37" s="11">
        <f t="shared" si="8"/>
        <v>6.5</v>
      </c>
      <c r="G37">
        <v>30000</v>
      </c>
      <c r="H37">
        <v>1</v>
      </c>
      <c r="I37">
        <v>60</v>
      </c>
      <c r="J37" s="10">
        <f t="shared" si="9"/>
        <v>500</v>
      </c>
      <c r="K37">
        <v>1</v>
      </c>
      <c r="L37">
        <v>0.4</v>
      </c>
      <c r="M37">
        <v>1</v>
      </c>
      <c r="O37" s="10">
        <f t="shared" si="10"/>
        <v>392.00000000000006</v>
      </c>
      <c r="P37" s="10">
        <f t="shared" si="11"/>
        <v>558.4</v>
      </c>
      <c r="Q37" s="10">
        <f t="shared" si="12"/>
        <v>249.6</v>
      </c>
      <c r="R37" s="10">
        <f t="shared" si="13"/>
        <v>400</v>
      </c>
      <c r="S37">
        <v>400</v>
      </c>
    </row>
    <row r="38" spans="1:19" x14ac:dyDescent="0.25">
      <c r="B38" t="s">
        <v>356</v>
      </c>
      <c r="D38">
        <v>22000</v>
      </c>
      <c r="E38">
        <v>130</v>
      </c>
      <c r="F38" s="11">
        <f t="shared" si="8"/>
        <v>6.0278691619027081</v>
      </c>
      <c r="G38">
        <v>44000</v>
      </c>
      <c r="H38" s="6">
        <v>1</v>
      </c>
      <c r="I38" s="6">
        <v>50</v>
      </c>
      <c r="J38" s="10">
        <f t="shared" si="9"/>
        <v>880</v>
      </c>
      <c r="K38" s="6">
        <v>1</v>
      </c>
      <c r="L38">
        <v>0.4</v>
      </c>
      <c r="M38">
        <v>1</v>
      </c>
      <c r="N38" s="6"/>
      <c r="O38" s="10">
        <f t="shared" si="10"/>
        <v>570.04590659044345</v>
      </c>
      <c r="P38" s="10">
        <f t="shared" si="11"/>
        <v>894.48397799590134</v>
      </c>
      <c r="Q38" s="10">
        <f t="shared" si="12"/>
        <v>485.47011541365555</v>
      </c>
      <c r="R38" s="10">
        <f t="shared" si="13"/>
        <v>650.00000000000011</v>
      </c>
      <c r="S38" s="6">
        <v>650</v>
      </c>
    </row>
    <row r="41" spans="1:19" x14ac:dyDescent="0.25">
      <c r="B41" t="s">
        <v>634</v>
      </c>
      <c r="D41" t="s">
        <v>36</v>
      </c>
      <c r="E41" t="s">
        <v>37</v>
      </c>
      <c r="F41" t="s">
        <v>38</v>
      </c>
      <c r="G41" t="s">
        <v>39</v>
      </c>
      <c r="H41" t="s">
        <v>181</v>
      </c>
      <c r="I41" t="s">
        <v>40</v>
      </c>
      <c r="J41" s="10" t="s">
        <v>544</v>
      </c>
      <c r="K41" t="s">
        <v>142</v>
      </c>
      <c r="L41" t="s">
        <v>182</v>
      </c>
      <c r="M41" t="s">
        <v>385</v>
      </c>
      <c r="O41" s="10"/>
      <c r="P41" s="10"/>
      <c r="Q41" s="10"/>
      <c r="R41" s="10"/>
      <c r="S41" t="s">
        <v>41</v>
      </c>
    </row>
    <row r="42" spans="1:19" x14ac:dyDescent="0.25">
      <c r="J42" s="10"/>
      <c r="O42" s="10"/>
      <c r="P42" s="10"/>
      <c r="Q42" s="10"/>
      <c r="R42" s="10"/>
    </row>
    <row r="43" spans="1:19" x14ac:dyDescent="0.25">
      <c r="A43" t="s">
        <v>320</v>
      </c>
      <c r="B43" t="s">
        <v>635</v>
      </c>
      <c r="D43">
        <v>16000</v>
      </c>
      <c r="E43">
        <v>48</v>
      </c>
      <c r="F43" s="11">
        <f>(S43*37500000/(L43*M43*D43*E43*K43*J43)-((500/(K43*J43))+(2500000000/(D43*E43*K43*J43)*(D43/100000+E43/100+J43/200))))/(1+5000000/(D43*E43)+(500000000/(D43*E43*J43)))</f>
        <v>10.82902522578636</v>
      </c>
      <c r="G43">
        <v>32000</v>
      </c>
      <c r="H43">
        <v>0.875</v>
      </c>
      <c r="I43">
        <v>88</v>
      </c>
      <c r="J43" s="10">
        <f>G43/I43*H43</f>
        <v>318.18181818181819</v>
      </c>
      <c r="K43">
        <v>1</v>
      </c>
      <c r="L43">
        <v>0.6</v>
      </c>
      <c r="M43">
        <v>1</v>
      </c>
      <c r="O43" s="10">
        <f>(D43/100000+E43/100+F43*K43/5+J43/200)*200*L43*M43</f>
        <v>527.60569632796353</v>
      </c>
      <c r="P43" s="10">
        <f>((D43*E43/25000)+(F43*K43*J43/2.5))*L43*M43</f>
        <v>845.37574451459477</v>
      </c>
      <c r="Q43" s="10">
        <f>(D43*E43*F43*K43*J43*L43*M43)/12500000</f>
        <v>127.01855915744177</v>
      </c>
      <c r="R43" s="10">
        <f>(O43+P43+Q43)/3</f>
        <v>500</v>
      </c>
      <c r="S43">
        <v>500</v>
      </c>
    </row>
    <row r="44" spans="1:19" x14ac:dyDescent="0.25">
      <c r="A44" t="s">
        <v>724</v>
      </c>
      <c r="B44" t="s">
        <v>434</v>
      </c>
      <c r="D44">
        <v>28000</v>
      </c>
      <c r="E44">
        <v>140</v>
      </c>
      <c r="F44" s="11">
        <f>(S44*37500000/(L44*M44*D44*E44*K44*J44)-((500/(K44*J44))+(2500000000/(D44*E44*K44*J44)*(D44/100000+E44/100+J44/200))))/(1+5000000/(D44*E44)+(500000000/(D44*E44*J44)))</f>
        <v>7.5029887663609189</v>
      </c>
      <c r="G44">
        <v>18000</v>
      </c>
      <c r="H44">
        <v>1</v>
      </c>
      <c r="I44">
        <v>67</v>
      </c>
      <c r="J44" s="10">
        <f>G44/I44*H44</f>
        <v>268.65671641791045</v>
      </c>
      <c r="K44">
        <v>1</v>
      </c>
      <c r="L44">
        <v>0.6</v>
      </c>
      <c r="M44">
        <v>1</v>
      </c>
      <c r="O44" s="10">
        <f>(D44/100000+E44/100+F44*K44/5+J44/200)*200*L44*M44</f>
        <v>542.86576024340832</v>
      </c>
      <c r="P44" s="10">
        <f>((D44*E44/25000)+(F44*K44*J44/2.5))*L44*M44</f>
        <v>577.85479806983835</v>
      </c>
      <c r="Q44" s="10">
        <f>(D44*E44*F44*K44*J44*L44*M44)/12500000</f>
        <v>379.27944168675322</v>
      </c>
      <c r="R44" s="10">
        <f>(O44+P44+Q44)/3</f>
        <v>500</v>
      </c>
      <c r="S44">
        <v>500</v>
      </c>
    </row>
    <row r="45" spans="1:19" x14ac:dyDescent="0.25">
      <c r="A45" t="s">
        <v>571</v>
      </c>
      <c r="B45" t="s">
        <v>868</v>
      </c>
      <c r="D45">
        <v>20000</v>
      </c>
      <c r="E45">
        <v>40</v>
      </c>
      <c r="F45" s="11">
        <f>(S45*37500000/(L45*M45*D45*E45*K45*J45)-((500/(K45*J45))+(2500000000/(D45*E45*K45*J45)*(D45/100000+E45/100+J45/200))))/(1+5000000/(D45*E45)+(500000000/(D45*E45*J45)))</f>
        <v>9.9197530864197514</v>
      </c>
      <c r="G45">
        <v>40000</v>
      </c>
      <c r="H45">
        <v>0.875</v>
      </c>
      <c r="I45">
        <v>80</v>
      </c>
      <c r="J45" s="10">
        <f>G45/I45*H45</f>
        <v>437.5</v>
      </c>
      <c r="K45">
        <v>1</v>
      </c>
      <c r="L45">
        <v>0.6</v>
      </c>
      <c r="M45">
        <v>1</v>
      </c>
      <c r="O45" s="10">
        <f>(D45/100000+E45/100+F45*K45/5+J45/200)*200*L45*M45</f>
        <v>572.57407407407391</v>
      </c>
      <c r="P45" s="10">
        <f>((D45*E45/25000)+(F45*K45*J45/2.5))*L45*M45</f>
        <v>1060.7740740740737</v>
      </c>
      <c r="Q45" s="10">
        <f>(D45*E45*F45*K45*J45*L45*M45)/12500000</f>
        <v>166.6518518518518</v>
      </c>
      <c r="R45" s="10">
        <f>(O45+P45+Q45)/3</f>
        <v>599.99999999999989</v>
      </c>
      <c r="S45">
        <v>600</v>
      </c>
    </row>
    <row r="46" spans="1:19" x14ac:dyDescent="0.25">
      <c r="A46" t="s">
        <v>707</v>
      </c>
      <c r="B46" t="s">
        <v>1024</v>
      </c>
      <c r="D46">
        <v>40000</v>
      </c>
      <c r="E46">
        <v>80</v>
      </c>
      <c r="F46" s="11">
        <f>(S46*37500000/(L46*M46*D46*E46*K46*J46)-((500/(K46*J46))+(2500000000/(D46*E46*K46*J46)*(D46/100000+E46/100+J46/200))))/(1+5000000/(D46*E46)+(500000000/(D46*E46*J46)))</f>
        <v>11.99089134677944</v>
      </c>
      <c r="G46">
        <v>80000</v>
      </c>
      <c r="H46">
        <v>1</v>
      </c>
      <c r="I46">
        <v>225</v>
      </c>
      <c r="J46" s="10">
        <f>G46/I46*H46</f>
        <v>355.55555555555554</v>
      </c>
      <c r="K46">
        <v>1</v>
      </c>
      <c r="L46">
        <v>0.6</v>
      </c>
      <c r="M46">
        <v>1</v>
      </c>
      <c r="O46" s="10">
        <f>(D46/100000+E46/100+F46*K46/5+J46/200)*200*L46*M46</f>
        <v>645.11472565603992</v>
      </c>
      <c r="P46" s="10">
        <f>((D46*E46/25000)+(F46*K46*J46/2.5))*L46*M46</f>
        <v>1100.0227282585122</v>
      </c>
      <c r="Q46" s="10">
        <f>(D46*E46*F46*K46*J46*L46*M46)/12500000</f>
        <v>654.86254608544766</v>
      </c>
      <c r="R46" s="10">
        <f>(O46+P46+Q46)/3</f>
        <v>800</v>
      </c>
      <c r="S46">
        <v>800</v>
      </c>
    </row>
    <row r="48" spans="1:19" x14ac:dyDescent="0.25">
      <c r="B48" t="s">
        <v>547</v>
      </c>
      <c r="D48" t="s">
        <v>36</v>
      </c>
      <c r="E48" t="s">
        <v>37</v>
      </c>
      <c r="F48" t="s">
        <v>38</v>
      </c>
      <c r="G48" t="s">
        <v>39</v>
      </c>
      <c r="H48" t="s">
        <v>181</v>
      </c>
      <c r="I48" t="s">
        <v>40</v>
      </c>
      <c r="J48" s="10" t="s">
        <v>544</v>
      </c>
      <c r="K48" t="s">
        <v>142</v>
      </c>
      <c r="L48" t="s">
        <v>182</v>
      </c>
      <c r="M48" t="s">
        <v>385</v>
      </c>
      <c r="O48" s="10"/>
      <c r="P48" s="10"/>
      <c r="Q48" s="10"/>
      <c r="R48" s="10"/>
      <c r="S48" t="s">
        <v>41</v>
      </c>
    </row>
    <row r="50" spans="1:19" x14ac:dyDescent="0.25">
      <c r="A50" t="s">
        <v>321</v>
      </c>
      <c r="B50" t="s">
        <v>143</v>
      </c>
      <c r="D50">
        <v>9000</v>
      </c>
      <c r="E50">
        <v>50</v>
      </c>
      <c r="F50" s="11">
        <f>(S50*37500000/(L50*M50*D50*E50*K50*J50)-((500/(K50*J50))+(2500000000/(D50*E50*K50*J50)*(D50/100000+E50/100+J50/200))))/(1+5000000/(D50*E50)+(500000000/(D50*E50*J50)))</f>
        <v>6.3683083511777303</v>
      </c>
      <c r="G50">
        <v>18000</v>
      </c>
      <c r="H50">
        <v>0.75</v>
      </c>
      <c r="I50">
        <v>63</v>
      </c>
      <c r="J50" s="10">
        <f>G50/I50*H50</f>
        <v>214.28571428571428</v>
      </c>
      <c r="K50">
        <v>1</v>
      </c>
      <c r="L50">
        <v>0.5</v>
      </c>
      <c r="M50">
        <v>1</v>
      </c>
      <c r="O50" s="10">
        <f>(D50/100000+E50/100+F50*K50/5+J50/200)*200*L50*M50</f>
        <v>293.50902416641179</v>
      </c>
      <c r="P50" s="10">
        <f>((D50*E50/25000)+(F50*K50*J50/2.5))*L50*M50</f>
        <v>281.92750076475988</v>
      </c>
      <c r="Q50" s="10">
        <f>(D50*E50*F50*K50*J50*L50*M50)/12500000</f>
        <v>24.563475068828389</v>
      </c>
      <c r="R50" s="10">
        <f>(O50+P50+Q50)/3</f>
        <v>200.00000000000003</v>
      </c>
      <c r="S50">
        <v>200</v>
      </c>
    </row>
    <row r="51" spans="1:19" x14ac:dyDescent="0.25">
      <c r="B51" t="s">
        <v>62</v>
      </c>
      <c r="D51">
        <v>18000</v>
      </c>
      <c r="E51">
        <v>60</v>
      </c>
      <c r="F51" s="11">
        <f>(S51*37500000/(L51*M51*D51*E51*K51*J51)-((500/(K51*J51))+(2500000000/(D51*E51*K51*J51)*(D51/100000+E51/100+J51/200))))/(1+5000000/(D51*E51)+(500000000/(D51*E51*J51)))</f>
        <v>6.0056497175141237</v>
      </c>
      <c r="G51">
        <v>36000</v>
      </c>
      <c r="H51">
        <v>0.75</v>
      </c>
      <c r="I51">
        <v>54</v>
      </c>
      <c r="J51" s="10">
        <f>G51/I51*H51</f>
        <v>500</v>
      </c>
      <c r="K51">
        <v>1</v>
      </c>
      <c r="L51">
        <v>0.5</v>
      </c>
      <c r="M51">
        <v>1</v>
      </c>
      <c r="O51" s="10">
        <f>(D51/100000+E51/100+F51*K51/5+J51/200)*200*L51*M51</f>
        <v>448.11299435028246</v>
      </c>
      <c r="P51" s="10">
        <f>((D51*E51/25000)+(F51*K51*J51/2.5))*L51*M51</f>
        <v>622.16497175141239</v>
      </c>
      <c r="Q51" s="10">
        <f>(D51*E51*F51*K51*J51*L51*M51)/12500000</f>
        <v>129.72203389830509</v>
      </c>
      <c r="R51" s="10">
        <f>(O51+P51+Q51)/3</f>
        <v>400</v>
      </c>
      <c r="S51">
        <v>400</v>
      </c>
    </row>
    <row r="52" spans="1:19" x14ac:dyDescent="0.25">
      <c r="B52" t="s">
        <v>525</v>
      </c>
      <c r="D52">
        <v>25000</v>
      </c>
      <c r="E52">
        <v>50</v>
      </c>
      <c r="F52" s="11">
        <f>(S52*37500000/(L52*M52*D52*E52*K52*J52)-((500/(K52*J52))+(2500000000/(D52*E52*K52*J52)*(D52/100000+E52/100+J52/200))))/(1+5000000/(D52*E52)+(500000000/(D52*E52*J52)))</f>
        <v>7.5</v>
      </c>
      <c r="G52">
        <v>50000</v>
      </c>
      <c r="H52">
        <v>1</v>
      </c>
      <c r="I52">
        <v>125</v>
      </c>
      <c r="J52" s="10">
        <f>G52/I52*H52</f>
        <v>400</v>
      </c>
      <c r="K52">
        <v>1</v>
      </c>
      <c r="L52">
        <v>0.5</v>
      </c>
      <c r="M52">
        <v>1</v>
      </c>
      <c r="O52" s="10">
        <f>(D52/100000+E52/100+F52*K52/5+J52/200)*200*L52*M52</f>
        <v>425</v>
      </c>
      <c r="P52" s="10">
        <f>((D52*E52/25000)+(F52*K52*J52/2.5))*L52*M52</f>
        <v>625</v>
      </c>
      <c r="Q52" s="10">
        <f>(D52*E52*F52*K52*J52*L52*M52)/12500000</f>
        <v>150</v>
      </c>
      <c r="R52" s="10">
        <f>(O52+P52+Q52)/3</f>
        <v>400</v>
      </c>
      <c r="S52">
        <v>400</v>
      </c>
    </row>
    <row r="53" spans="1:19" x14ac:dyDescent="0.25">
      <c r="A53" t="s">
        <v>320</v>
      </c>
      <c r="B53" t="s">
        <v>144</v>
      </c>
      <c r="D53">
        <v>10000</v>
      </c>
      <c r="E53">
        <v>55</v>
      </c>
      <c r="F53" s="11">
        <f>(S53*37500000/(L53*M53*D53*E53*K53*J53)-((500/(K53*J53))+(2500000000/(D53*E53*K53*J53)*(D53/100000+E53/100+J53/200))))/(1+5000000/(D53*E53)+(500000000/(D53*E53*J53)))</f>
        <v>6.6427840327533252</v>
      </c>
      <c r="G53">
        <v>20000</v>
      </c>
      <c r="H53">
        <v>0.875</v>
      </c>
      <c r="I53">
        <v>50</v>
      </c>
      <c r="J53" s="10">
        <f>G53/I53*H53</f>
        <v>350</v>
      </c>
      <c r="K53">
        <v>1</v>
      </c>
      <c r="L53">
        <v>0.5</v>
      </c>
      <c r="M53">
        <v>1</v>
      </c>
      <c r="O53" s="10">
        <f>(D53/100000+E53/100+F53*K53/5+J53/200)*200*L53*M53</f>
        <v>372.85568065506652</v>
      </c>
      <c r="P53" s="10">
        <f>((D53*E53/25000)+(F53*K53*J53/2.5))*L53*M53</f>
        <v>475.99488229273277</v>
      </c>
      <c r="Q53" s="10">
        <f>(D53*E53*F53*K53*J53*L53*M53)/12500000</f>
        <v>51.149437052200604</v>
      </c>
      <c r="R53" s="10">
        <f>(O53+P53+Q53)/3</f>
        <v>299.99999999999994</v>
      </c>
      <c r="S53">
        <v>300</v>
      </c>
    </row>
    <row r="54" spans="1:19" x14ac:dyDescent="0.25">
      <c r="B54" t="s">
        <v>837</v>
      </c>
      <c r="D54">
        <v>20000</v>
      </c>
      <c r="E54">
        <v>40</v>
      </c>
      <c r="F54" s="11">
        <f>(S54*37500000/(L54*M54*D54*E54*K54*J54)-((500/(K54*J54))+(2500000000/(D54*E54*K54*J54)*(D54/100000+E54/100+J54/200))))/(1+5000000/(D54*E54)+(500000000/(D54*E54*J54)))</f>
        <v>6.8797814207650276</v>
      </c>
      <c r="G54">
        <v>40000</v>
      </c>
      <c r="H54">
        <v>1</v>
      </c>
      <c r="I54">
        <v>85</v>
      </c>
      <c r="J54" s="10">
        <f>G54/I54*H54</f>
        <v>470.58823529411762</v>
      </c>
      <c r="K54">
        <v>1</v>
      </c>
      <c r="L54">
        <v>0.5</v>
      </c>
      <c r="M54">
        <v>1</v>
      </c>
      <c r="O54" s="10">
        <f>(D54/100000+E54/100+F54*K54/5+J54/200)*200*L54*M54</f>
        <v>432.88974606235939</v>
      </c>
      <c r="P54" s="10">
        <f>((D54*E54/25000)+(F54*K54*J54/2.5))*L54*M54</f>
        <v>663.50883960141437</v>
      </c>
      <c r="Q54" s="10">
        <f>(D54*E54*F54*K54*J54*L54*M54)/12500000</f>
        <v>103.6014143362263</v>
      </c>
      <c r="R54" s="10">
        <f>(O54+P54+Q54)/3</f>
        <v>400</v>
      </c>
      <c r="S54">
        <v>400</v>
      </c>
    </row>
    <row r="55" spans="1:19" x14ac:dyDescent="0.25">
      <c r="B55" t="s">
        <v>190</v>
      </c>
      <c r="D55">
        <v>16000</v>
      </c>
      <c r="E55">
        <v>48</v>
      </c>
      <c r="F55" s="11">
        <f t="shared" ref="F55:F61" si="14">(S55*37500000/(L55*M55*D55*E55*K55*J55)-((500/(K55*J55))+(2500000000/(D55*E55*K55*J55)*(D55/100000+E55/100+J55/200))))/(1+5000000/(D55*E55)+(500000000/(D55*E55*J55)))</f>
        <v>6.0362971000616996</v>
      </c>
      <c r="G55">
        <v>32000</v>
      </c>
      <c r="H55">
        <v>0.875</v>
      </c>
      <c r="I55">
        <v>53</v>
      </c>
      <c r="J55" s="10">
        <f t="shared" ref="J55:J61" si="15">G55/I55*H55</f>
        <v>528.30188679245282</v>
      </c>
      <c r="K55">
        <v>1</v>
      </c>
      <c r="L55">
        <v>0.5</v>
      </c>
      <c r="M55">
        <v>1</v>
      </c>
      <c r="O55" s="10">
        <f t="shared" ref="O55:O61" si="16">(D55/100000+E55/100+F55*K55/5+J55/200)*200*L55*M55</f>
        <v>448.87688539746034</v>
      </c>
      <c r="P55" s="10">
        <f t="shared" ref="P55:P61" si="17">((D55*E55/25000)+(F55*K55*J55/2.5))*L55*M55</f>
        <v>653.15742944048145</v>
      </c>
      <c r="Q55" s="10">
        <f t="shared" ref="Q55:Q61" si="18">(D55*E55*F55*K55*J55*L55*M55)/12500000</f>
        <v>97.965685162057952</v>
      </c>
      <c r="R55" s="10">
        <f t="shared" ref="R55:R61" si="19">(O55+P55+Q55)/3</f>
        <v>399.99999999999994</v>
      </c>
      <c r="S55">
        <v>400</v>
      </c>
    </row>
    <row r="56" spans="1:19" x14ac:dyDescent="0.25">
      <c r="A56" t="s">
        <v>571</v>
      </c>
      <c r="B56" t="s">
        <v>314</v>
      </c>
      <c r="D56">
        <v>12000</v>
      </c>
      <c r="E56">
        <v>48</v>
      </c>
      <c r="F56" s="11">
        <f t="shared" si="14"/>
        <v>6.1846777306059435</v>
      </c>
      <c r="G56">
        <v>24000</v>
      </c>
      <c r="H56">
        <v>1</v>
      </c>
      <c r="I56">
        <v>64</v>
      </c>
      <c r="J56" s="10">
        <f t="shared" si="15"/>
        <v>375</v>
      </c>
      <c r="K56">
        <v>1</v>
      </c>
      <c r="L56">
        <v>0.5</v>
      </c>
      <c r="M56">
        <v>1</v>
      </c>
      <c r="O56" s="10">
        <f t="shared" si="16"/>
        <v>371.19355461211887</v>
      </c>
      <c r="P56" s="10">
        <f t="shared" si="17"/>
        <v>475.37082979544573</v>
      </c>
      <c r="Q56" s="10">
        <f t="shared" si="18"/>
        <v>53.435615592435347</v>
      </c>
      <c r="R56" s="10">
        <f t="shared" si="19"/>
        <v>300</v>
      </c>
      <c r="S56">
        <v>300</v>
      </c>
    </row>
    <row r="57" spans="1:19" x14ac:dyDescent="0.25">
      <c r="B57" t="s">
        <v>838</v>
      </c>
      <c r="D57">
        <v>24000</v>
      </c>
      <c r="E57">
        <v>48</v>
      </c>
      <c r="F57" s="11">
        <f t="shared" si="14"/>
        <v>6.5015643332029738</v>
      </c>
      <c r="G57">
        <v>48000</v>
      </c>
      <c r="H57">
        <v>1</v>
      </c>
      <c r="I57">
        <v>64</v>
      </c>
      <c r="J57" s="10">
        <f t="shared" si="15"/>
        <v>750</v>
      </c>
      <c r="K57">
        <v>1</v>
      </c>
      <c r="L57">
        <v>0.5</v>
      </c>
      <c r="M57">
        <v>1</v>
      </c>
      <c r="O57" s="10">
        <f t="shared" si="16"/>
        <v>577.03128666405951</v>
      </c>
      <c r="P57" s="10">
        <f t="shared" si="17"/>
        <v>998.27464998044593</v>
      </c>
      <c r="Q57" s="10">
        <f t="shared" si="18"/>
        <v>224.69406335549476</v>
      </c>
      <c r="R57" s="10">
        <f t="shared" si="19"/>
        <v>600.00000000000011</v>
      </c>
      <c r="S57">
        <v>600</v>
      </c>
    </row>
    <row r="58" spans="1:19" x14ac:dyDescent="0.25">
      <c r="B58" t="s">
        <v>865</v>
      </c>
      <c r="D58">
        <v>15000</v>
      </c>
      <c r="E58">
        <v>45</v>
      </c>
      <c r="F58" s="11">
        <f t="shared" si="14"/>
        <v>6.2516005121638907</v>
      </c>
      <c r="G58">
        <v>30000</v>
      </c>
      <c r="H58">
        <v>1</v>
      </c>
      <c r="I58">
        <v>50</v>
      </c>
      <c r="J58" s="10">
        <f t="shared" si="15"/>
        <v>600</v>
      </c>
      <c r="K58">
        <v>1</v>
      </c>
      <c r="L58">
        <v>0.5</v>
      </c>
      <c r="M58">
        <v>1</v>
      </c>
      <c r="O58" s="10">
        <f t="shared" si="16"/>
        <v>485.03201024327785</v>
      </c>
      <c r="P58" s="10">
        <f t="shared" si="17"/>
        <v>763.69206145966689</v>
      </c>
      <c r="Q58" s="10">
        <f t="shared" si="18"/>
        <v>101.27592829705502</v>
      </c>
      <c r="R58" s="10">
        <f t="shared" si="19"/>
        <v>449.99999999999994</v>
      </c>
      <c r="S58">
        <v>450</v>
      </c>
    </row>
    <row r="59" spans="1:19" x14ac:dyDescent="0.25">
      <c r="B59" t="s">
        <v>866</v>
      </c>
      <c r="D59">
        <v>15000</v>
      </c>
      <c r="E59">
        <v>45</v>
      </c>
      <c r="F59" s="11">
        <f t="shared" si="14"/>
        <v>9.7157039711191331</v>
      </c>
      <c r="G59">
        <v>30000</v>
      </c>
      <c r="H59">
        <v>1</v>
      </c>
      <c r="I59">
        <v>75</v>
      </c>
      <c r="J59" s="10">
        <f t="shared" si="15"/>
        <v>400</v>
      </c>
      <c r="K59">
        <v>1</v>
      </c>
      <c r="L59">
        <v>0.5</v>
      </c>
      <c r="M59">
        <v>1</v>
      </c>
      <c r="O59" s="10">
        <f t="shared" si="16"/>
        <v>454.31407942238263</v>
      </c>
      <c r="P59" s="10">
        <f t="shared" si="17"/>
        <v>790.75631768953065</v>
      </c>
      <c r="Q59" s="10">
        <f t="shared" si="18"/>
        <v>104.92960288808662</v>
      </c>
      <c r="R59" s="10">
        <f t="shared" si="19"/>
        <v>450</v>
      </c>
      <c r="S59">
        <v>450</v>
      </c>
    </row>
    <row r="60" spans="1:19" x14ac:dyDescent="0.25">
      <c r="A60" t="s">
        <v>578</v>
      </c>
      <c r="B60" t="s">
        <v>587</v>
      </c>
      <c r="D60">
        <v>12000</v>
      </c>
      <c r="E60">
        <v>55</v>
      </c>
      <c r="F60" s="11">
        <f t="shared" si="14"/>
        <v>8.8875119161105811</v>
      </c>
      <c r="G60">
        <v>24000</v>
      </c>
      <c r="H60">
        <v>1</v>
      </c>
      <c r="I60">
        <v>64</v>
      </c>
      <c r="J60" s="10">
        <f t="shared" si="15"/>
        <v>375</v>
      </c>
      <c r="K60">
        <v>1</v>
      </c>
      <c r="L60">
        <v>0.5</v>
      </c>
      <c r="M60">
        <v>1</v>
      </c>
      <c r="O60" s="10">
        <f t="shared" si="16"/>
        <v>432.25023832221166</v>
      </c>
      <c r="P60" s="10">
        <f t="shared" si="17"/>
        <v>679.76339370829362</v>
      </c>
      <c r="Q60" s="10">
        <f t="shared" si="18"/>
        <v>87.986367969494765</v>
      </c>
      <c r="R60" s="10">
        <f t="shared" si="19"/>
        <v>400</v>
      </c>
      <c r="S60">
        <v>400</v>
      </c>
    </row>
    <row r="61" spans="1:19" x14ac:dyDescent="0.25">
      <c r="B61" t="s">
        <v>589</v>
      </c>
      <c r="D61">
        <v>18000</v>
      </c>
      <c r="E61">
        <v>60</v>
      </c>
      <c r="F61" s="11">
        <f t="shared" si="14"/>
        <v>6.05494954208715</v>
      </c>
      <c r="G61">
        <v>12000</v>
      </c>
      <c r="H61">
        <v>1</v>
      </c>
      <c r="I61">
        <v>50</v>
      </c>
      <c r="J61" s="10">
        <f t="shared" si="15"/>
        <v>240</v>
      </c>
      <c r="K61">
        <v>1.75</v>
      </c>
      <c r="L61">
        <v>0.5</v>
      </c>
      <c r="M61">
        <v>1</v>
      </c>
      <c r="O61" s="10">
        <f t="shared" si="16"/>
        <v>409.92323397305029</v>
      </c>
      <c r="P61" s="10">
        <f t="shared" si="17"/>
        <v>530.21576153532055</v>
      </c>
      <c r="Q61" s="10">
        <f t="shared" si="18"/>
        <v>109.86100449162926</v>
      </c>
      <c r="R61" s="10">
        <f t="shared" si="19"/>
        <v>350</v>
      </c>
      <c r="S61">
        <v>350</v>
      </c>
    </row>
    <row r="62" spans="1:19" x14ac:dyDescent="0.25">
      <c r="A62" t="s">
        <v>605</v>
      </c>
      <c r="B62" t="s">
        <v>601</v>
      </c>
      <c r="D62">
        <v>40000</v>
      </c>
      <c r="E62">
        <v>60</v>
      </c>
      <c r="F62" s="11">
        <f t="shared" ref="F62:F74" si="20">(S62*37500000/(L62*M62*D62*E62*K62*J62)-((500/(K62*J62))+(2500000000/(D62*E62*K62*J62)*(D62/100000+E62/100+J62/200))))/(1+5000000/(D62*E62)+(500000000/(D62*E62*J62)))</f>
        <v>4.4444444444444446</v>
      </c>
      <c r="G62">
        <v>6000</v>
      </c>
      <c r="H62">
        <v>1</v>
      </c>
      <c r="I62">
        <v>30</v>
      </c>
      <c r="J62" s="10">
        <f t="shared" ref="J62:J74" si="21">G62/I62*H62</f>
        <v>200</v>
      </c>
      <c r="K62">
        <v>1</v>
      </c>
      <c r="L62">
        <v>0.5</v>
      </c>
      <c r="M62">
        <v>1</v>
      </c>
      <c r="O62" s="10">
        <f t="shared" ref="O62:O74" si="22">(D62/100000+E62/100+F62*K62/5+J62/200)*200*L62*M62</f>
        <v>288.88888888888886</v>
      </c>
      <c r="P62" s="10">
        <f t="shared" ref="P62:P74" si="23">((D62*E62/25000)+(F62*K62*J62/2.5))*L62*M62</f>
        <v>225.77777777777777</v>
      </c>
      <c r="Q62" s="10">
        <f t="shared" ref="Q62:Q74" si="24">(D62*E62*F62*K62*J62*L62*M62)/12500000</f>
        <v>85.333333333333343</v>
      </c>
      <c r="R62" s="10">
        <f t="shared" ref="R62:R74" si="25">(O62+P62+Q62)/3</f>
        <v>200</v>
      </c>
      <c r="S62">
        <v>200</v>
      </c>
    </row>
    <row r="63" spans="1:19" x14ac:dyDescent="0.25">
      <c r="B63" t="s">
        <v>625</v>
      </c>
      <c r="D63">
        <v>60000</v>
      </c>
      <c r="E63">
        <v>60</v>
      </c>
      <c r="F63" s="11">
        <f t="shared" si="20"/>
        <v>4.5865834633385338</v>
      </c>
      <c r="G63">
        <v>6000</v>
      </c>
      <c r="H63">
        <v>1</v>
      </c>
      <c r="I63">
        <v>25</v>
      </c>
      <c r="J63" s="10">
        <f t="shared" si="21"/>
        <v>240</v>
      </c>
      <c r="K63">
        <v>1.25</v>
      </c>
      <c r="L63">
        <v>0.5</v>
      </c>
      <c r="M63">
        <v>1</v>
      </c>
      <c r="O63" s="10">
        <f t="shared" si="22"/>
        <v>354.66458658346329</v>
      </c>
      <c r="P63" s="10">
        <f t="shared" si="23"/>
        <v>347.19500780031206</v>
      </c>
      <c r="Q63" s="10">
        <f t="shared" si="24"/>
        <v>198.14040561622468</v>
      </c>
      <c r="R63" s="10">
        <f t="shared" si="25"/>
        <v>300.00000000000006</v>
      </c>
      <c r="S63">
        <v>300</v>
      </c>
    </row>
    <row r="64" spans="1:19" x14ac:dyDescent="0.25">
      <c r="B64" t="s">
        <v>637</v>
      </c>
      <c r="D64">
        <v>80000</v>
      </c>
      <c r="E64">
        <v>75</v>
      </c>
      <c r="F64" s="11">
        <f t="shared" si="20"/>
        <v>5.2295918367346923</v>
      </c>
      <c r="G64">
        <v>8000</v>
      </c>
      <c r="H64">
        <v>0.75</v>
      </c>
      <c r="I64">
        <v>15</v>
      </c>
      <c r="J64" s="10">
        <f t="shared" si="21"/>
        <v>400</v>
      </c>
      <c r="K64">
        <v>1</v>
      </c>
      <c r="L64">
        <v>0.5</v>
      </c>
      <c r="M64">
        <v>1</v>
      </c>
      <c r="O64" s="10">
        <f t="shared" si="22"/>
        <v>459.59183673469386</v>
      </c>
      <c r="P64" s="10">
        <f t="shared" si="23"/>
        <v>538.36734693877543</v>
      </c>
      <c r="Q64" s="10">
        <f t="shared" si="24"/>
        <v>502.04081632653043</v>
      </c>
      <c r="R64" s="10">
        <f t="shared" si="25"/>
        <v>499.99999999999994</v>
      </c>
      <c r="S64">
        <v>500</v>
      </c>
    </row>
    <row r="65" spans="1:19" x14ac:dyDescent="0.25">
      <c r="B65" t="s">
        <v>686</v>
      </c>
      <c r="D65">
        <v>35000</v>
      </c>
      <c r="E65">
        <v>70</v>
      </c>
      <c r="F65" s="11">
        <f t="shared" si="20"/>
        <v>6.4050314465408809</v>
      </c>
      <c r="G65">
        <v>8000</v>
      </c>
      <c r="H65">
        <v>1</v>
      </c>
      <c r="I65">
        <v>8</v>
      </c>
      <c r="J65" s="10">
        <f t="shared" si="21"/>
        <v>1000</v>
      </c>
      <c r="K65">
        <v>1.25</v>
      </c>
      <c r="L65">
        <v>0.5</v>
      </c>
      <c r="M65">
        <v>0.75</v>
      </c>
      <c r="O65" s="10">
        <f t="shared" si="22"/>
        <v>573.84433962264143</v>
      </c>
      <c r="P65" s="10">
        <f t="shared" si="23"/>
        <v>1237.693396226415</v>
      </c>
      <c r="Q65" s="10">
        <f t="shared" si="24"/>
        <v>588.4622641509435</v>
      </c>
      <c r="R65" s="10">
        <f t="shared" si="25"/>
        <v>800</v>
      </c>
      <c r="S65">
        <v>800</v>
      </c>
    </row>
    <row r="66" spans="1:19" x14ac:dyDescent="0.25">
      <c r="A66" t="s">
        <v>629</v>
      </c>
      <c r="B66" t="s">
        <v>631</v>
      </c>
      <c r="D66">
        <v>45000</v>
      </c>
      <c r="E66">
        <v>45</v>
      </c>
      <c r="F66" s="11">
        <f t="shared" si="20"/>
        <v>4.7615216440752066</v>
      </c>
      <c r="G66">
        <v>12000</v>
      </c>
      <c r="H66">
        <v>0.875</v>
      </c>
      <c r="I66">
        <v>24</v>
      </c>
      <c r="J66" s="10">
        <f t="shared" si="21"/>
        <v>437.5</v>
      </c>
      <c r="K66">
        <v>1.25</v>
      </c>
      <c r="L66">
        <v>0.5</v>
      </c>
      <c r="M66">
        <v>1</v>
      </c>
      <c r="O66" s="10">
        <f t="shared" si="22"/>
        <v>427.7880411018802</v>
      </c>
      <c r="P66" s="10">
        <f t="shared" si="23"/>
        <v>561.29142982072574</v>
      </c>
      <c r="Q66" s="10">
        <f t="shared" si="24"/>
        <v>210.92052907739392</v>
      </c>
      <c r="R66" s="10">
        <f t="shared" si="25"/>
        <v>399.99999999999994</v>
      </c>
      <c r="S66">
        <v>400</v>
      </c>
    </row>
    <row r="67" spans="1:19" x14ac:dyDescent="0.25">
      <c r="B67" t="s">
        <v>632</v>
      </c>
      <c r="D67">
        <v>45000</v>
      </c>
      <c r="E67">
        <v>45</v>
      </c>
      <c r="F67" s="11">
        <f t="shared" si="20"/>
        <v>6.5672205438066475</v>
      </c>
      <c r="G67">
        <v>24000</v>
      </c>
      <c r="H67">
        <v>0.75</v>
      </c>
      <c r="I67">
        <v>45</v>
      </c>
      <c r="J67" s="10">
        <f t="shared" si="21"/>
        <v>400</v>
      </c>
      <c r="K67">
        <v>1</v>
      </c>
      <c r="L67">
        <v>0.5</v>
      </c>
      <c r="M67">
        <v>1</v>
      </c>
      <c r="O67" s="10">
        <f t="shared" si="22"/>
        <v>421.344410876133</v>
      </c>
      <c r="P67" s="10">
        <f t="shared" si="23"/>
        <v>565.87764350453176</v>
      </c>
      <c r="Q67" s="10">
        <f t="shared" si="24"/>
        <v>212.77794561933536</v>
      </c>
      <c r="R67" s="10">
        <f t="shared" si="25"/>
        <v>400</v>
      </c>
      <c r="S67">
        <v>400</v>
      </c>
    </row>
    <row r="68" spans="1:19" x14ac:dyDescent="0.25">
      <c r="B68" t="s">
        <v>662</v>
      </c>
      <c r="D68">
        <v>10000</v>
      </c>
      <c r="E68">
        <v>45</v>
      </c>
      <c r="F68" s="11">
        <f t="shared" si="20"/>
        <v>4.9001919385796553</v>
      </c>
      <c r="G68">
        <v>8000</v>
      </c>
      <c r="H68">
        <v>1</v>
      </c>
      <c r="I68">
        <v>17</v>
      </c>
      <c r="J68" s="10">
        <f t="shared" si="21"/>
        <v>470.58823529411762</v>
      </c>
      <c r="K68">
        <v>1</v>
      </c>
      <c r="L68">
        <v>0.5</v>
      </c>
      <c r="M68">
        <v>1</v>
      </c>
      <c r="O68" s="10">
        <f t="shared" si="22"/>
        <v>388.29795641865195</v>
      </c>
      <c r="P68" s="10">
        <f t="shared" si="23"/>
        <v>470.19453539573226</v>
      </c>
      <c r="Q68" s="10">
        <f t="shared" si="24"/>
        <v>41.507508185615904</v>
      </c>
      <c r="R68" s="10">
        <f t="shared" si="25"/>
        <v>300.00000000000006</v>
      </c>
      <c r="S68">
        <v>300</v>
      </c>
    </row>
    <row r="69" spans="1:19" x14ac:dyDescent="0.25">
      <c r="B69" t="s">
        <v>663</v>
      </c>
      <c r="D69">
        <v>10000</v>
      </c>
      <c r="E69">
        <v>45</v>
      </c>
      <c r="F69" s="11">
        <f t="shared" si="20"/>
        <v>7.8339222614841004</v>
      </c>
      <c r="G69">
        <v>8000</v>
      </c>
      <c r="H69">
        <v>1</v>
      </c>
      <c r="I69">
        <v>26</v>
      </c>
      <c r="J69" s="10">
        <f t="shared" si="21"/>
        <v>307.69230769230768</v>
      </c>
      <c r="K69">
        <v>1</v>
      </c>
      <c r="L69">
        <v>0.5</v>
      </c>
      <c r="M69">
        <v>1</v>
      </c>
      <c r="O69" s="10">
        <f t="shared" si="22"/>
        <v>365.52459907583585</v>
      </c>
      <c r="P69" s="10">
        <f t="shared" si="23"/>
        <v>491.08752378363698</v>
      </c>
      <c r="Q69" s="10">
        <f t="shared" si="24"/>
        <v>43.387877140527323</v>
      </c>
      <c r="R69" s="10">
        <f t="shared" si="25"/>
        <v>300.00000000000006</v>
      </c>
      <c r="S69">
        <v>300</v>
      </c>
    </row>
    <row r="70" spans="1:19" x14ac:dyDescent="0.25">
      <c r="A70" t="s">
        <v>707</v>
      </c>
      <c r="B70" t="s">
        <v>708</v>
      </c>
      <c r="D70">
        <v>25000</v>
      </c>
      <c r="E70">
        <v>75</v>
      </c>
      <c r="F70" s="11">
        <f t="shared" si="20"/>
        <v>6.9728331177231562</v>
      </c>
      <c r="G70">
        <v>18000</v>
      </c>
      <c r="H70">
        <v>0.875</v>
      </c>
      <c r="I70">
        <v>25</v>
      </c>
      <c r="J70" s="10">
        <f t="shared" si="21"/>
        <v>630</v>
      </c>
      <c r="K70">
        <v>1</v>
      </c>
      <c r="L70">
        <v>0.5</v>
      </c>
      <c r="M70">
        <v>1</v>
      </c>
      <c r="O70" s="10">
        <f t="shared" si="22"/>
        <v>554.45666235446311</v>
      </c>
      <c r="P70" s="10">
        <f t="shared" si="23"/>
        <v>916.07697283311768</v>
      </c>
      <c r="Q70" s="10">
        <f t="shared" si="24"/>
        <v>329.4663648124191</v>
      </c>
      <c r="R70" s="10">
        <f t="shared" si="25"/>
        <v>600</v>
      </c>
      <c r="S70">
        <v>600</v>
      </c>
    </row>
    <row r="71" spans="1:19" x14ac:dyDescent="0.25">
      <c r="B71" t="s">
        <v>1021</v>
      </c>
      <c r="D71">
        <v>35000</v>
      </c>
      <c r="E71">
        <v>85</v>
      </c>
      <c r="F71" s="11">
        <f t="shared" si="20"/>
        <v>7.486662836506893</v>
      </c>
      <c r="G71">
        <v>36000</v>
      </c>
      <c r="H71">
        <v>1</v>
      </c>
      <c r="I71">
        <v>35</v>
      </c>
      <c r="J71" s="10">
        <f t="shared" si="21"/>
        <v>1028.5714285714287</v>
      </c>
      <c r="K71">
        <v>1</v>
      </c>
      <c r="L71">
        <v>0.5</v>
      </c>
      <c r="M71">
        <v>1</v>
      </c>
      <c r="O71" s="10">
        <f t="shared" si="22"/>
        <v>784.01897101585223</v>
      </c>
      <c r="P71" s="10">
        <f t="shared" si="23"/>
        <v>1599.613497795704</v>
      </c>
      <c r="Q71" s="10">
        <f t="shared" si="24"/>
        <v>916.36753118844376</v>
      </c>
      <c r="R71" s="10">
        <f t="shared" si="25"/>
        <v>1100</v>
      </c>
      <c r="S71">
        <v>1100</v>
      </c>
    </row>
    <row r="72" spans="1:19" x14ac:dyDescent="0.25">
      <c r="B72" t="s">
        <v>709</v>
      </c>
      <c r="D72">
        <v>30000</v>
      </c>
      <c r="E72">
        <v>60</v>
      </c>
      <c r="F72" s="11">
        <f t="shared" si="20"/>
        <v>6.4449938195302847</v>
      </c>
      <c r="G72">
        <v>24000</v>
      </c>
      <c r="H72">
        <v>0.875</v>
      </c>
      <c r="I72">
        <v>38</v>
      </c>
      <c r="J72" s="10">
        <f t="shared" si="21"/>
        <v>552.63157894736844</v>
      </c>
      <c r="K72">
        <v>1</v>
      </c>
      <c r="L72">
        <v>0.5</v>
      </c>
      <c r="M72">
        <v>1</v>
      </c>
      <c r="O72" s="10">
        <f t="shared" si="22"/>
        <v>495.21566586428992</v>
      </c>
      <c r="P72" s="10">
        <f t="shared" si="23"/>
        <v>748.3414221586105</v>
      </c>
      <c r="Q72" s="10">
        <f t="shared" si="24"/>
        <v>256.44291197709975</v>
      </c>
      <c r="R72" s="10">
        <f t="shared" si="25"/>
        <v>500.00000000000006</v>
      </c>
      <c r="S72">
        <v>500</v>
      </c>
    </row>
    <row r="73" spans="1:19" x14ac:dyDescent="0.25">
      <c r="B73" t="s">
        <v>1060</v>
      </c>
      <c r="D73">
        <v>40000</v>
      </c>
      <c r="E73">
        <v>75</v>
      </c>
      <c r="F73" s="11">
        <f t="shared" si="20"/>
        <v>7.7110389610389607</v>
      </c>
      <c r="G73">
        <v>36000</v>
      </c>
      <c r="H73">
        <v>1</v>
      </c>
      <c r="I73">
        <v>40</v>
      </c>
      <c r="J73" s="10">
        <f t="shared" si="21"/>
        <v>900</v>
      </c>
      <c r="K73">
        <v>1</v>
      </c>
      <c r="L73">
        <v>0.5</v>
      </c>
      <c r="M73">
        <v>1</v>
      </c>
      <c r="O73" s="10">
        <f t="shared" si="22"/>
        <v>719.22077922077926</v>
      </c>
      <c r="P73" s="10">
        <f t="shared" si="23"/>
        <v>1447.9870129870128</v>
      </c>
      <c r="Q73" s="10">
        <f t="shared" si="24"/>
        <v>832.79220779220782</v>
      </c>
      <c r="R73" s="10">
        <f t="shared" si="25"/>
        <v>1000</v>
      </c>
      <c r="S73">
        <v>1000</v>
      </c>
    </row>
    <row r="74" spans="1:19" x14ac:dyDescent="0.25">
      <c r="B74" t="s">
        <v>1055</v>
      </c>
      <c r="D74">
        <v>125000</v>
      </c>
      <c r="E74">
        <v>60</v>
      </c>
      <c r="F74" s="11">
        <f t="shared" si="20"/>
        <v>6.4490230905861452</v>
      </c>
      <c r="G74">
        <v>24000</v>
      </c>
      <c r="H74">
        <v>0.875</v>
      </c>
      <c r="I74">
        <v>38</v>
      </c>
      <c r="J74" s="10">
        <f t="shared" si="21"/>
        <v>552.63157894736844</v>
      </c>
      <c r="K74">
        <v>1.25</v>
      </c>
      <c r="L74">
        <v>0.5</v>
      </c>
      <c r="M74">
        <v>1</v>
      </c>
      <c r="O74" s="10">
        <f t="shared" si="22"/>
        <v>622.54136673833784</v>
      </c>
      <c r="P74" s="10">
        <f t="shared" si="23"/>
        <v>1040.9834533046649</v>
      </c>
      <c r="Q74" s="10">
        <f t="shared" si="24"/>
        <v>1336.4751799569972</v>
      </c>
      <c r="R74" s="10">
        <f t="shared" si="25"/>
        <v>1000</v>
      </c>
      <c r="S74">
        <v>1000</v>
      </c>
    </row>
    <row r="75" spans="1:19" x14ac:dyDescent="0.25">
      <c r="A75" t="s">
        <v>724</v>
      </c>
      <c r="B75" t="s">
        <v>750</v>
      </c>
      <c r="D75">
        <v>17000</v>
      </c>
      <c r="E75">
        <v>51</v>
      </c>
      <c r="F75" s="11">
        <f t="shared" ref="F75:F80" si="26">(S75*37500000/(L75*M75*D75*E75*K75*J75)-((500/(K75*J75))+(2500000000/(D75*E75*K75*J75)*(D75/100000+E75/100+J75/200))))/(1+5000000/(D75*E75)+(500000000/(D75*E75*J75)))</f>
        <v>6.4600886651327976</v>
      </c>
      <c r="G75">
        <v>34000</v>
      </c>
      <c r="H75">
        <v>0.75</v>
      </c>
      <c r="I75">
        <v>75</v>
      </c>
      <c r="J75" s="10">
        <f t="shared" ref="J75:J80" si="27">G75/I75*H75</f>
        <v>340</v>
      </c>
      <c r="K75">
        <v>1</v>
      </c>
      <c r="L75">
        <v>0.5</v>
      </c>
      <c r="M75">
        <v>1</v>
      </c>
      <c r="O75" s="10">
        <f t="shared" ref="O75:O80" si="28">(D75/100000+E75/100+F75*K75/5+J75/200)*200*L75*M75</f>
        <v>367.20177330265597</v>
      </c>
      <c r="P75" s="10">
        <f t="shared" ref="P75:P80" si="29">((D75*E75/25000)+(F75*K75*J75/2.5))*L75*M75</f>
        <v>456.62602922903017</v>
      </c>
      <c r="Q75" s="10">
        <f t="shared" ref="Q75:Q80" si="30">(D75*E75*F75*K75*J75*L75*M75)/12500000</f>
        <v>76.17219746831384</v>
      </c>
      <c r="R75" s="10">
        <f t="shared" ref="R75:R80" si="31">(O75+P75+Q75)/3</f>
        <v>299.99999999999994</v>
      </c>
      <c r="S75">
        <v>300</v>
      </c>
    </row>
    <row r="76" spans="1:19" x14ac:dyDescent="0.25">
      <c r="B76" t="s">
        <v>338</v>
      </c>
      <c r="D76">
        <v>14000</v>
      </c>
      <c r="E76">
        <v>68</v>
      </c>
      <c r="F76" s="11">
        <f t="shared" si="26"/>
        <v>6.7395115035122783</v>
      </c>
      <c r="G76">
        <v>36000</v>
      </c>
      <c r="H76">
        <v>1</v>
      </c>
      <c r="I76">
        <v>68</v>
      </c>
      <c r="J76" s="10">
        <f t="shared" si="27"/>
        <v>529.41176470588232</v>
      </c>
      <c r="K76">
        <v>1</v>
      </c>
      <c r="L76">
        <v>0.5</v>
      </c>
      <c r="M76">
        <v>1</v>
      </c>
      <c r="O76" s="10">
        <f t="shared" si="28"/>
        <v>481.49611242318679</v>
      </c>
      <c r="P76" s="10">
        <f t="shared" si="29"/>
        <v>732.63533566600586</v>
      </c>
      <c r="Q76" s="10">
        <f t="shared" si="30"/>
        <v>135.86855191080753</v>
      </c>
      <c r="R76" s="10">
        <f t="shared" si="31"/>
        <v>450.00000000000006</v>
      </c>
      <c r="S76">
        <v>450</v>
      </c>
    </row>
    <row r="77" spans="1:19" x14ac:dyDescent="0.25">
      <c r="B77" t="s">
        <v>751</v>
      </c>
      <c r="D77">
        <v>13000</v>
      </c>
      <c r="E77">
        <v>53</v>
      </c>
      <c r="F77" s="11">
        <f t="shared" si="26"/>
        <v>6.6773867461467109</v>
      </c>
      <c r="G77">
        <v>26000</v>
      </c>
      <c r="H77">
        <v>0.75</v>
      </c>
      <c r="I77">
        <v>66</v>
      </c>
      <c r="J77" s="10">
        <f t="shared" si="27"/>
        <v>295.45454545454544</v>
      </c>
      <c r="K77">
        <v>1</v>
      </c>
      <c r="L77">
        <v>0.5</v>
      </c>
      <c r="M77">
        <v>1</v>
      </c>
      <c r="O77" s="10">
        <f t="shared" si="28"/>
        <v>347.27500765020693</v>
      </c>
      <c r="P77" s="10">
        <f t="shared" si="29"/>
        <v>408.35285318139648</v>
      </c>
      <c r="Q77" s="10">
        <f t="shared" si="30"/>
        <v>54.372139168396444</v>
      </c>
      <c r="R77" s="10">
        <f t="shared" si="31"/>
        <v>269.99999999999994</v>
      </c>
      <c r="S77">
        <v>270</v>
      </c>
    </row>
    <row r="78" spans="1:19" x14ac:dyDescent="0.25">
      <c r="B78" t="s">
        <v>914</v>
      </c>
      <c r="D78">
        <v>25000</v>
      </c>
      <c r="E78">
        <v>50</v>
      </c>
      <c r="F78" s="11">
        <f t="shared" si="26"/>
        <v>6</v>
      </c>
      <c r="G78">
        <v>10000</v>
      </c>
      <c r="H78">
        <v>1</v>
      </c>
      <c r="I78">
        <v>25</v>
      </c>
      <c r="J78" s="10">
        <f t="shared" si="27"/>
        <v>400</v>
      </c>
      <c r="K78">
        <v>1.25</v>
      </c>
      <c r="L78">
        <v>0.5</v>
      </c>
      <c r="M78">
        <v>1</v>
      </c>
      <c r="O78" s="10">
        <f t="shared" si="28"/>
        <v>425</v>
      </c>
      <c r="P78" s="10">
        <f t="shared" si="29"/>
        <v>625</v>
      </c>
      <c r="Q78" s="10">
        <f t="shared" si="30"/>
        <v>150</v>
      </c>
      <c r="R78" s="10">
        <f t="shared" si="31"/>
        <v>400</v>
      </c>
      <c r="S78">
        <v>400</v>
      </c>
    </row>
    <row r="79" spans="1:19" x14ac:dyDescent="0.25">
      <c r="B79" t="s">
        <v>915</v>
      </c>
      <c r="D79">
        <v>25000</v>
      </c>
      <c r="E79">
        <v>50</v>
      </c>
      <c r="F79" s="11">
        <f t="shared" si="26"/>
        <v>7.5</v>
      </c>
      <c r="G79">
        <v>10000</v>
      </c>
      <c r="H79">
        <v>1</v>
      </c>
      <c r="I79">
        <v>25</v>
      </c>
      <c r="J79" s="10">
        <f t="shared" si="27"/>
        <v>400</v>
      </c>
      <c r="K79">
        <v>1</v>
      </c>
      <c r="L79">
        <v>0.5</v>
      </c>
      <c r="M79">
        <v>1</v>
      </c>
      <c r="O79" s="10">
        <f t="shared" si="28"/>
        <v>425</v>
      </c>
      <c r="P79" s="10">
        <f t="shared" si="29"/>
        <v>625</v>
      </c>
      <c r="Q79" s="10">
        <f t="shared" si="30"/>
        <v>150</v>
      </c>
      <c r="R79" s="10">
        <f t="shared" si="31"/>
        <v>400</v>
      </c>
      <c r="S79">
        <v>400</v>
      </c>
    </row>
    <row r="80" spans="1:19" x14ac:dyDescent="0.25">
      <c r="B80" t="s">
        <v>355</v>
      </c>
      <c r="D80">
        <v>17000</v>
      </c>
      <c r="E80">
        <v>57</v>
      </c>
      <c r="F80" s="11">
        <f t="shared" si="26"/>
        <v>5.0013971105683659</v>
      </c>
      <c r="G80">
        <v>6000</v>
      </c>
      <c r="H80">
        <v>1</v>
      </c>
      <c r="I80">
        <v>25</v>
      </c>
      <c r="J80" s="10">
        <f t="shared" si="27"/>
        <v>240</v>
      </c>
      <c r="K80">
        <v>1</v>
      </c>
      <c r="L80">
        <v>0.5</v>
      </c>
      <c r="M80">
        <v>1</v>
      </c>
      <c r="O80" s="10">
        <f t="shared" si="28"/>
        <v>294.0279422113673</v>
      </c>
      <c r="P80" s="10">
        <f t="shared" si="29"/>
        <v>259.44706130728156</v>
      </c>
      <c r="Q80" s="10">
        <f t="shared" si="30"/>
        <v>46.524996481351167</v>
      </c>
      <c r="R80" s="10">
        <f t="shared" si="31"/>
        <v>200.00000000000003</v>
      </c>
      <c r="S80">
        <v>200</v>
      </c>
    </row>
    <row r="82" spans="1:19" x14ac:dyDescent="0.25">
      <c r="B82" t="s">
        <v>34</v>
      </c>
      <c r="D82" t="s">
        <v>36</v>
      </c>
      <c r="E82" t="s">
        <v>37</v>
      </c>
      <c r="F82" t="s">
        <v>38</v>
      </c>
      <c r="G82" t="s">
        <v>39</v>
      </c>
      <c r="H82" t="s">
        <v>181</v>
      </c>
      <c r="I82" t="s">
        <v>40</v>
      </c>
      <c r="J82" s="10" t="s">
        <v>544</v>
      </c>
      <c r="K82" t="s">
        <v>142</v>
      </c>
      <c r="L82" t="s">
        <v>182</v>
      </c>
      <c r="M82" t="s">
        <v>385</v>
      </c>
      <c r="O82" s="10"/>
      <c r="P82" s="10"/>
      <c r="Q82" s="10"/>
      <c r="R82" s="10"/>
      <c r="S82" t="s">
        <v>41</v>
      </c>
    </row>
    <row r="84" spans="1:19" x14ac:dyDescent="0.25">
      <c r="A84" t="s">
        <v>669</v>
      </c>
      <c r="B84" t="s">
        <v>671</v>
      </c>
      <c r="D84">
        <v>150000</v>
      </c>
      <c r="E84">
        <v>50</v>
      </c>
      <c r="F84" s="11">
        <f>(S84*37500000/(L84*M84*D84*E84*K84*J84)-((500/(K84*J84))+(2500000000/(D84*E84*K84*J84)*(D84/100000+E84/100+J84/200))))/(1+5000000/(D84*E84)+(500000000/(D84*E84*J84)))</f>
        <v>5.0848952590959211</v>
      </c>
      <c r="G84">
        <v>20000</v>
      </c>
      <c r="H84">
        <v>0.875</v>
      </c>
      <c r="I84">
        <v>16</v>
      </c>
      <c r="J84" s="10">
        <f>G84/I84*H84</f>
        <v>1093.75</v>
      </c>
      <c r="K84">
        <v>1.25</v>
      </c>
      <c r="L84">
        <v>0.8</v>
      </c>
      <c r="M84">
        <v>0.75</v>
      </c>
      <c r="O84" s="10">
        <f>(D84/100000+E84/100+F84*K84/5+J84/200)*200*L84*M84</f>
        <v>1048.7968577728777</v>
      </c>
      <c r="P84" s="10">
        <f>((D84*E84/25000)+(F84*K84*J84/2.5))*L84*M84</f>
        <v>1848.4812568908492</v>
      </c>
      <c r="Q84" s="10">
        <f>(D84*E84*F84*K84*J84*L84*M84)/12500000</f>
        <v>2502.7218853362742</v>
      </c>
      <c r="R84" s="10">
        <f>(O84+P84+Q84)/3</f>
        <v>1800.0000000000007</v>
      </c>
      <c r="S84">
        <v>1800</v>
      </c>
    </row>
    <row r="85" spans="1:19" x14ac:dyDescent="0.25">
      <c r="B85" t="s">
        <v>673</v>
      </c>
      <c r="D85">
        <v>150000</v>
      </c>
      <c r="E85">
        <v>50</v>
      </c>
      <c r="F85" s="11">
        <v>7.5</v>
      </c>
      <c r="G85">
        <v>150000</v>
      </c>
      <c r="H85">
        <v>1</v>
      </c>
      <c r="I85">
        <v>75</v>
      </c>
      <c r="J85" s="10">
        <f>G85/I85*H85</f>
        <v>2000</v>
      </c>
      <c r="K85">
        <v>1.25</v>
      </c>
      <c r="L85">
        <v>0.8</v>
      </c>
      <c r="M85">
        <v>0.75</v>
      </c>
      <c r="O85" s="10">
        <f>(D85/100000+E85/100+F85*K85/5+J85/200)*200*L85*M85</f>
        <v>1665</v>
      </c>
      <c r="P85" s="10">
        <f>((D85*E85/25000)+(F85*K85*J85/2.5))*L85*M85</f>
        <v>4680</v>
      </c>
      <c r="Q85" s="10">
        <f>(D85*E85*F85*K85*J85*L85*M85)/12500000</f>
        <v>6750</v>
      </c>
      <c r="R85" s="10">
        <f>(O85+P85+Q85)/3</f>
        <v>4365</v>
      </c>
      <c r="S85" t="s">
        <v>674</v>
      </c>
    </row>
    <row r="86" spans="1:19" x14ac:dyDescent="0.25">
      <c r="A86" t="s">
        <v>321</v>
      </c>
      <c r="B86" t="s">
        <v>68</v>
      </c>
      <c r="D86">
        <v>60000</v>
      </c>
      <c r="E86">
        <v>60</v>
      </c>
      <c r="F86" s="11">
        <f t="shared" ref="F86:F92" si="32">(S86*37500000/(L86*M86*D86*E86*K86*J86)-((500/(K86*J86))+(2500000000/(D86*E86*K86*J86)*(D86/100000+E86/100+J86/200))))/(1+5000000/(D86*E86)+(500000000/(D86*E86*J86)))</f>
        <v>5.299999999999998</v>
      </c>
      <c r="G86">
        <v>30000</v>
      </c>
      <c r="H86">
        <v>1.25</v>
      </c>
      <c r="I86">
        <v>60</v>
      </c>
      <c r="J86" s="10">
        <f t="shared" ref="J86:J92" si="33">G86/I86*H86</f>
        <v>625</v>
      </c>
      <c r="K86">
        <v>1</v>
      </c>
      <c r="L86">
        <v>0.8</v>
      </c>
      <c r="M86">
        <v>0.75</v>
      </c>
      <c r="O86" s="10">
        <f t="shared" ref="O86:O92" si="34">(D86/100000+E86/100+F86*K86/5+J86/200)*200*L86*M86</f>
        <v>646.20000000000005</v>
      </c>
      <c r="P86" s="10">
        <f t="shared" ref="P86:P92" si="35">((D86*E86/25000)+(F86*K86*J86/2.5))*L86*M86</f>
        <v>881.39999999999964</v>
      </c>
      <c r="Q86" s="10">
        <f t="shared" ref="Q86:Q92" si="36">(D86*E86*F86*K86*J86*L86*M86)/12500000</f>
        <v>572.39999999999986</v>
      </c>
      <c r="R86" s="10">
        <f t="shared" ref="R86:R92" si="37">(O86+P86+Q86)/3</f>
        <v>699.99999999999989</v>
      </c>
      <c r="S86">
        <v>700</v>
      </c>
    </row>
    <row r="87" spans="1:19" x14ac:dyDescent="0.25">
      <c r="B87" t="s">
        <v>69</v>
      </c>
      <c r="D87">
        <v>36000</v>
      </c>
      <c r="E87">
        <v>66</v>
      </c>
      <c r="F87" s="11">
        <f t="shared" si="32"/>
        <v>4.9881613529882305</v>
      </c>
      <c r="G87">
        <v>24000</v>
      </c>
      <c r="H87">
        <v>1</v>
      </c>
      <c r="I87">
        <v>66</v>
      </c>
      <c r="J87" s="10">
        <f t="shared" si="33"/>
        <v>363.63636363636363</v>
      </c>
      <c r="K87">
        <v>1.25</v>
      </c>
      <c r="L87">
        <v>0.8</v>
      </c>
      <c r="M87">
        <v>1</v>
      </c>
      <c r="O87" s="10">
        <f t="shared" si="34"/>
        <v>653.63554502862019</v>
      </c>
      <c r="P87" s="10">
        <f t="shared" si="35"/>
        <v>801.58274225283344</v>
      </c>
      <c r="Q87" s="10">
        <f t="shared" si="36"/>
        <v>344.78171271854654</v>
      </c>
      <c r="R87" s="10">
        <f t="shared" si="37"/>
        <v>600.00000000000011</v>
      </c>
      <c r="S87">
        <v>600</v>
      </c>
    </row>
    <row r="88" spans="1:19" x14ac:dyDescent="0.25">
      <c r="B88" t="s">
        <v>70</v>
      </c>
      <c r="D88">
        <v>25000</v>
      </c>
      <c r="E88">
        <v>72</v>
      </c>
      <c r="F88" s="11">
        <f t="shared" si="32"/>
        <v>4.6300752807602112</v>
      </c>
      <c r="G88">
        <v>32000</v>
      </c>
      <c r="H88">
        <v>1</v>
      </c>
      <c r="I88">
        <v>105</v>
      </c>
      <c r="J88" s="10">
        <f t="shared" si="33"/>
        <v>304.76190476190476</v>
      </c>
      <c r="K88">
        <v>1.5</v>
      </c>
      <c r="L88">
        <v>0.8</v>
      </c>
      <c r="M88">
        <v>0.75</v>
      </c>
      <c r="O88" s="10">
        <f t="shared" si="34"/>
        <v>465.93985296451046</v>
      </c>
      <c r="P88" s="10">
        <f t="shared" si="35"/>
        <v>551.18540223197749</v>
      </c>
      <c r="Q88" s="10">
        <f t="shared" si="36"/>
        <v>182.87474480351187</v>
      </c>
      <c r="R88" s="10">
        <f t="shared" si="37"/>
        <v>399.99999999999994</v>
      </c>
      <c r="S88">
        <v>400</v>
      </c>
    </row>
    <row r="89" spans="1:19" x14ac:dyDescent="0.25">
      <c r="B89" t="s">
        <v>81</v>
      </c>
      <c r="D89">
        <v>32000</v>
      </c>
      <c r="E89">
        <v>80</v>
      </c>
      <c r="F89" s="11">
        <f t="shared" si="32"/>
        <v>4.8879842416283648</v>
      </c>
      <c r="G89">
        <v>16000</v>
      </c>
      <c r="H89">
        <v>0.875</v>
      </c>
      <c r="I89">
        <v>32</v>
      </c>
      <c r="J89" s="10">
        <f t="shared" si="33"/>
        <v>437.5</v>
      </c>
      <c r="K89">
        <v>1.25</v>
      </c>
      <c r="L89">
        <v>0.8</v>
      </c>
      <c r="M89">
        <v>1</v>
      </c>
      <c r="O89" s="10">
        <f t="shared" si="34"/>
        <v>724.71936966513465</v>
      </c>
      <c r="P89" s="10">
        <f t="shared" si="35"/>
        <v>937.31724228496387</v>
      </c>
      <c r="Q89" s="10">
        <f t="shared" si="36"/>
        <v>437.96338804990148</v>
      </c>
      <c r="R89" s="10">
        <f t="shared" si="37"/>
        <v>700</v>
      </c>
      <c r="S89">
        <v>700</v>
      </c>
    </row>
    <row r="90" spans="1:19" x14ac:dyDescent="0.25">
      <c r="B90" t="s">
        <v>531</v>
      </c>
      <c r="D90">
        <v>48000</v>
      </c>
      <c r="E90">
        <v>48</v>
      </c>
      <c r="F90" s="11">
        <f t="shared" si="32"/>
        <v>5.1904557179707655</v>
      </c>
      <c r="G90">
        <v>24000</v>
      </c>
      <c r="H90">
        <v>1</v>
      </c>
      <c r="I90">
        <v>96</v>
      </c>
      <c r="J90" s="10">
        <f t="shared" si="33"/>
        <v>250</v>
      </c>
      <c r="K90">
        <v>1</v>
      </c>
      <c r="L90">
        <v>0.8</v>
      </c>
      <c r="M90">
        <v>1</v>
      </c>
      <c r="O90" s="10">
        <f t="shared" si="34"/>
        <v>519.69458297506458</v>
      </c>
      <c r="P90" s="10">
        <f t="shared" si="35"/>
        <v>488.96445743766117</v>
      </c>
      <c r="Q90" s="10">
        <f t="shared" si="36"/>
        <v>191.34095958727431</v>
      </c>
      <c r="R90" s="10">
        <f t="shared" si="37"/>
        <v>400</v>
      </c>
      <c r="S90">
        <v>400</v>
      </c>
    </row>
    <row r="91" spans="1:19" x14ac:dyDescent="0.25">
      <c r="A91" t="s">
        <v>320</v>
      </c>
      <c r="B91" t="s">
        <v>129</v>
      </c>
      <c r="D91">
        <v>20000</v>
      </c>
      <c r="E91">
        <v>50</v>
      </c>
      <c r="F91" s="11">
        <f t="shared" si="32"/>
        <v>5.7129629629629628</v>
      </c>
      <c r="G91">
        <v>20000</v>
      </c>
      <c r="H91">
        <v>0.875</v>
      </c>
      <c r="I91">
        <v>60</v>
      </c>
      <c r="J91" s="10">
        <f t="shared" si="33"/>
        <v>291.66666666666663</v>
      </c>
      <c r="K91">
        <v>1</v>
      </c>
      <c r="L91">
        <v>0.8</v>
      </c>
      <c r="M91">
        <v>1</v>
      </c>
      <c r="O91" s="10">
        <f t="shared" si="34"/>
        <v>528.14814814814815</v>
      </c>
      <c r="P91" s="10">
        <f t="shared" si="35"/>
        <v>565.20987654320982</v>
      </c>
      <c r="Q91" s="10">
        <f t="shared" si="36"/>
        <v>106.64197530864197</v>
      </c>
      <c r="R91" s="10">
        <f t="shared" si="37"/>
        <v>400</v>
      </c>
      <c r="S91">
        <v>400</v>
      </c>
    </row>
    <row r="92" spans="1:19" x14ac:dyDescent="0.25">
      <c r="B92" t="s">
        <v>97</v>
      </c>
      <c r="D92">
        <v>40000</v>
      </c>
      <c r="E92">
        <v>40</v>
      </c>
      <c r="F92" s="11">
        <f t="shared" si="32"/>
        <v>4.6508108108108104</v>
      </c>
      <c r="G92">
        <v>20000</v>
      </c>
      <c r="H92">
        <v>1.25</v>
      </c>
      <c r="I92">
        <v>40</v>
      </c>
      <c r="J92" s="10">
        <f t="shared" si="33"/>
        <v>625</v>
      </c>
      <c r="K92">
        <v>1.25</v>
      </c>
      <c r="L92">
        <v>0.8</v>
      </c>
      <c r="M92">
        <v>0.75</v>
      </c>
      <c r="O92" s="10">
        <f t="shared" si="34"/>
        <v>610.52432432432431</v>
      </c>
      <c r="P92" s="10">
        <f t="shared" si="35"/>
        <v>910.42702702702707</v>
      </c>
      <c r="Q92" s="10">
        <f t="shared" si="36"/>
        <v>279.04864864864868</v>
      </c>
      <c r="R92" s="10">
        <f t="shared" si="37"/>
        <v>600</v>
      </c>
      <c r="S92">
        <v>600</v>
      </c>
    </row>
    <row r="93" spans="1:19" x14ac:dyDescent="0.25">
      <c r="B93" t="s">
        <v>788</v>
      </c>
      <c r="D93">
        <v>60000</v>
      </c>
      <c r="E93">
        <v>30</v>
      </c>
      <c r="F93" s="11">
        <f>(S93*37500000/(L93*M93*D93*E93*K93*J93)-((500/(K93*J93))+(2500000000/(D93*E93*K93*J93)*(D93/100000+E93/100+J93/200))))/(1+5000000/(D93*E93)+(500000000/(D93*E93*J93)))</f>
        <v>4.9977777777777774</v>
      </c>
      <c r="G93">
        <v>30000</v>
      </c>
      <c r="H93">
        <v>1.25</v>
      </c>
      <c r="I93">
        <v>30</v>
      </c>
      <c r="J93" s="10">
        <f>G93/I93*H93</f>
        <v>1250</v>
      </c>
      <c r="K93">
        <v>1.25</v>
      </c>
      <c r="L93">
        <v>0.8</v>
      </c>
      <c r="M93">
        <v>0.75</v>
      </c>
      <c r="O93" s="10">
        <f>(D93/100000+E93/100+F93*K93/5+J93/200)*200*L93*M93</f>
        <v>1007.9333333333334</v>
      </c>
      <c r="P93" s="10">
        <f>((D93*E93/25000)+(F93*K93*J93/2.5))*L93*M93</f>
        <v>1917.3666666666668</v>
      </c>
      <c r="Q93" s="10">
        <f>(D93*E93*F93*K93*J93*L93*M93)/12500000</f>
        <v>674.7</v>
      </c>
      <c r="R93" s="10">
        <f>(O93+P93+Q93)/3</f>
        <v>1200</v>
      </c>
      <c r="S93">
        <v>1200</v>
      </c>
    </row>
    <row r="94" spans="1:19" x14ac:dyDescent="0.25">
      <c r="A94" t="s">
        <v>571</v>
      </c>
      <c r="B94" t="s">
        <v>468</v>
      </c>
      <c r="D94">
        <v>36000</v>
      </c>
      <c r="E94">
        <v>45</v>
      </c>
      <c r="F94" s="11">
        <f>(S94*37500000/(L94*M94*D94*E94*K94*J94)-((500/(K94*J94))+(2500000000/(D94*E94*K94*J94)*(D94/100000+E94/100+J94/200))))/(1+5000000/(D94*E94)+(500000000/(D94*E94*J94)))</f>
        <v>5.8175853018372692</v>
      </c>
      <c r="G94">
        <v>18000</v>
      </c>
      <c r="H94">
        <v>1.25</v>
      </c>
      <c r="I94">
        <v>45</v>
      </c>
      <c r="J94" s="10">
        <f>G94/I94*H94</f>
        <v>500</v>
      </c>
      <c r="K94">
        <v>1</v>
      </c>
      <c r="L94">
        <v>0.8</v>
      </c>
      <c r="M94">
        <v>0.75</v>
      </c>
      <c r="O94" s="10">
        <f>(D94/100000+E94/100+F94*K94/5+J94/200)*200*L94*M94</f>
        <v>536.82204724409462</v>
      </c>
      <c r="P94" s="10">
        <f>((D94*E94/25000)+(F94*K94*J94/2.5))*L94*M94</f>
        <v>736.9902362204723</v>
      </c>
      <c r="Q94" s="10">
        <f>(D94*E94*F94*K94*J94*L94*M94)/12500000</f>
        <v>226.18771653543305</v>
      </c>
      <c r="R94" s="10">
        <f>(O94+P94+Q94)/3</f>
        <v>500</v>
      </c>
      <c r="S94">
        <v>500</v>
      </c>
    </row>
    <row r="95" spans="1:19" x14ac:dyDescent="0.25">
      <c r="B95" t="s">
        <v>469</v>
      </c>
      <c r="D95">
        <v>44000</v>
      </c>
      <c r="E95">
        <v>44</v>
      </c>
      <c r="F95" s="11">
        <f>(S95*37500000/(L95*M95*D95*E95*K95*J95)-((500/(K95*J95))+(2500000000/(D95*E95*K95*J95)*(D95/100000+E95/100+J95/200))))/(1+5000000/(D95*E95)+(500000000/(D95*E95*J95)))</f>
        <v>6.2748033847685427</v>
      </c>
      <c r="G95">
        <v>24000</v>
      </c>
      <c r="H95">
        <v>1.25</v>
      </c>
      <c r="I95">
        <v>66</v>
      </c>
      <c r="J95" s="10">
        <f>G95/I95*H95</f>
        <v>454.5454545454545</v>
      </c>
      <c r="K95">
        <v>1.25</v>
      </c>
      <c r="L95">
        <v>0.8</v>
      </c>
      <c r="M95">
        <v>1</v>
      </c>
      <c r="O95" s="10">
        <f>(D95/100000+E95/100+F95*K95/5+J95/200)*200*L95*M95</f>
        <v>755.42849902710532</v>
      </c>
      <c r="P95" s="10">
        <f>((D95*E95/25000)+(F95*K95*J95/2.5))*L95*M95</f>
        <v>1202.8253426851895</v>
      </c>
      <c r="Q95" s="10">
        <f>(D95*E95*F95*K95*J95*L95*M95)/12500000</f>
        <v>441.74615828770538</v>
      </c>
      <c r="R95" s="10">
        <f>(O95+P95+Q95)/3</f>
        <v>800</v>
      </c>
      <c r="S95">
        <v>800</v>
      </c>
    </row>
    <row r="96" spans="1:19" x14ac:dyDescent="0.25">
      <c r="B96" t="s">
        <v>867</v>
      </c>
      <c r="D96">
        <v>30000</v>
      </c>
      <c r="E96">
        <v>45</v>
      </c>
      <c r="F96" s="11">
        <f>(S96*37500000/(L96*M96*D96*E96*K96*J96)-((500/(K96*J96))+(2500000000/(D96*E96*K96*J96)*(D96/100000+E96/100+J96/200))))/(1+5000000/(D96*E96)+(500000000/(D96*E96*J96)))</f>
        <v>5.1767151767151764</v>
      </c>
      <c r="G96">
        <v>30000</v>
      </c>
      <c r="H96">
        <v>0.75</v>
      </c>
      <c r="I96">
        <v>75</v>
      </c>
      <c r="J96" s="10">
        <f>G96/I96*H96</f>
        <v>300</v>
      </c>
      <c r="K96">
        <v>1</v>
      </c>
      <c r="L96">
        <v>0.8</v>
      </c>
      <c r="M96">
        <v>1</v>
      </c>
      <c r="O96" s="10">
        <f>(D96/100000+E96/100+F96*K96/5+J96/200)*200*L96*M96</f>
        <v>525.65488565488567</v>
      </c>
      <c r="P96" s="10">
        <f>((D96*E96/25000)+(F96*K96*J96/2.5))*L96*M96</f>
        <v>540.16465696465696</v>
      </c>
      <c r="Q96" s="10">
        <f>(D96*E96*F96*K96*J96*L96*M96)/12500000</f>
        <v>134.18045738045737</v>
      </c>
      <c r="R96" s="10">
        <f>(O96+P96+Q96)/3</f>
        <v>400</v>
      </c>
      <c r="S96">
        <v>400</v>
      </c>
    </row>
    <row r="97" spans="1:19" x14ac:dyDescent="0.25">
      <c r="A97" t="s">
        <v>578</v>
      </c>
      <c r="B97" t="s">
        <v>579</v>
      </c>
      <c r="D97">
        <v>24000</v>
      </c>
      <c r="E97">
        <v>48</v>
      </c>
      <c r="F97" s="11">
        <f t="shared" ref="F97:F103" si="38">(S97*37500000/(L97*M97*D97*E97*K97*J97)-((500/(K97*J97))+(2500000000/(D97*E97*K97*J97)*(D97/100000+E97/100+J97/200))))/(1+5000000/(D97*E97)+(500000000/(D97*E97*J97)))</f>
        <v>4.8295508555133075</v>
      </c>
      <c r="G97">
        <v>12000</v>
      </c>
      <c r="H97">
        <v>0.75</v>
      </c>
      <c r="I97">
        <v>66</v>
      </c>
      <c r="J97" s="10">
        <f t="shared" ref="J97:J103" si="39">G97/I97*H97</f>
        <v>136.36363636363637</v>
      </c>
      <c r="K97">
        <v>1</v>
      </c>
      <c r="L97">
        <v>0.8</v>
      </c>
      <c r="M97">
        <v>1</v>
      </c>
      <c r="O97" s="10">
        <f t="shared" ref="O97:O102" si="40">(D97/100000+E97/100+F97*K97/5+J97/200)*200*L97*M97</f>
        <v>378.83653646733495</v>
      </c>
      <c r="P97" s="10">
        <f t="shared" ref="P97:P102" si="41">((D97*E97/25000)+(F97*K97*J97/2.5))*L97*M97</f>
        <v>247.60803733148984</v>
      </c>
      <c r="Q97" s="10">
        <f t="shared" ref="Q97:Q102" si="42">(D97*E97*F97*K97*J97*L97*M97)/12500000</f>
        <v>48.555426201175251</v>
      </c>
      <c r="R97" s="10">
        <f t="shared" ref="R97:R102" si="43">(O97+P97+Q97)/3</f>
        <v>225</v>
      </c>
      <c r="S97">
        <v>225</v>
      </c>
    </row>
    <row r="98" spans="1:19" x14ac:dyDescent="0.25">
      <c r="B98" t="s">
        <v>406</v>
      </c>
      <c r="D98">
        <v>96000</v>
      </c>
      <c r="E98">
        <v>42</v>
      </c>
      <c r="F98" s="11">
        <f t="shared" si="38"/>
        <v>6.8051887249362286</v>
      </c>
      <c r="G98">
        <v>48000</v>
      </c>
      <c r="H98">
        <v>1</v>
      </c>
      <c r="I98">
        <v>124</v>
      </c>
      <c r="J98" s="10">
        <f t="shared" si="39"/>
        <v>387.09677419354841</v>
      </c>
      <c r="K98">
        <v>1</v>
      </c>
      <c r="L98">
        <v>0.8</v>
      </c>
      <c r="M98">
        <v>0.75</v>
      </c>
      <c r="O98" s="10">
        <f t="shared" si="40"/>
        <v>561.18259391459856</v>
      </c>
      <c r="P98" s="10">
        <f t="shared" si="41"/>
        <v>728.99198476826905</v>
      </c>
      <c r="Q98" s="10">
        <f t="shared" si="42"/>
        <v>509.82542131713211</v>
      </c>
      <c r="R98" s="10">
        <f t="shared" si="43"/>
        <v>599.99999999999989</v>
      </c>
      <c r="S98">
        <v>600</v>
      </c>
    </row>
    <row r="99" spans="1:19" x14ac:dyDescent="0.25">
      <c r="B99" t="s">
        <v>617</v>
      </c>
      <c r="D99">
        <v>36000</v>
      </c>
      <c r="E99">
        <v>46</v>
      </c>
      <c r="F99" s="11">
        <f t="shared" si="38"/>
        <v>5.5116633454460207</v>
      </c>
      <c r="G99">
        <v>36000</v>
      </c>
      <c r="H99">
        <v>1</v>
      </c>
      <c r="I99">
        <v>135</v>
      </c>
      <c r="J99" s="10">
        <f t="shared" si="39"/>
        <v>266.66666666666669</v>
      </c>
      <c r="K99">
        <v>1</v>
      </c>
      <c r="L99">
        <v>0.8</v>
      </c>
      <c r="M99">
        <v>1</v>
      </c>
      <c r="O99" s="10">
        <f t="shared" si="40"/>
        <v>520.90656038760596</v>
      </c>
      <c r="P99" s="10">
        <f t="shared" si="41"/>
        <v>523.32060547806054</v>
      </c>
      <c r="Q99" s="10">
        <f t="shared" si="42"/>
        <v>155.77283413433364</v>
      </c>
      <c r="R99" s="10">
        <f t="shared" si="43"/>
        <v>400</v>
      </c>
      <c r="S99">
        <v>400</v>
      </c>
    </row>
    <row r="100" spans="1:19" x14ac:dyDescent="0.25">
      <c r="B100" t="s">
        <v>586</v>
      </c>
      <c r="D100">
        <v>60000</v>
      </c>
      <c r="E100">
        <v>55</v>
      </c>
      <c r="F100" s="11">
        <f t="shared" si="38"/>
        <v>8.9701117318435735</v>
      </c>
      <c r="G100">
        <v>40000</v>
      </c>
      <c r="H100">
        <v>0.875</v>
      </c>
      <c r="I100">
        <v>135</v>
      </c>
      <c r="J100" s="10">
        <f t="shared" si="39"/>
        <v>259.25925925925924</v>
      </c>
      <c r="K100">
        <v>1.25</v>
      </c>
      <c r="L100">
        <v>0.8</v>
      </c>
      <c r="M100">
        <v>0.75</v>
      </c>
      <c r="O100" s="10">
        <f t="shared" si="40"/>
        <v>562.65890751086283</v>
      </c>
      <c r="P100" s="10">
        <f t="shared" si="41"/>
        <v>776.87535692116683</v>
      </c>
      <c r="Q100" s="10">
        <f t="shared" si="42"/>
        <v>460.46573556797006</v>
      </c>
      <c r="R100" s="10">
        <f t="shared" si="43"/>
        <v>599.99999999999989</v>
      </c>
      <c r="S100">
        <v>600</v>
      </c>
    </row>
    <row r="101" spans="1:19" x14ac:dyDescent="0.25">
      <c r="B101" t="s">
        <v>590</v>
      </c>
      <c r="D101">
        <v>64000</v>
      </c>
      <c r="E101">
        <v>64</v>
      </c>
      <c r="F101" s="11">
        <f t="shared" si="38"/>
        <v>5.8013516212797107</v>
      </c>
      <c r="G101">
        <v>16000</v>
      </c>
      <c r="H101">
        <v>1.125</v>
      </c>
      <c r="I101">
        <v>33</v>
      </c>
      <c r="J101" s="10">
        <f t="shared" si="39"/>
        <v>545.4545454545455</v>
      </c>
      <c r="K101">
        <v>1</v>
      </c>
      <c r="L101">
        <v>0.8</v>
      </c>
      <c r="M101">
        <v>0.75</v>
      </c>
      <c r="O101" s="10">
        <f t="shared" si="40"/>
        <v>620.10516618344047</v>
      </c>
      <c r="P101" s="10">
        <f t="shared" si="41"/>
        <v>857.75366678570754</v>
      </c>
      <c r="Q101" s="10">
        <f t="shared" si="42"/>
        <v>622.14116703085165</v>
      </c>
      <c r="R101" s="10">
        <f t="shared" si="43"/>
        <v>699.99999999999989</v>
      </c>
      <c r="S101">
        <v>700</v>
      </c>
    </row>
    <row r="102" spans="1:19" x14ac:dyDescent="0.25">
      <c r="B102" t="s">
        <v>591</v>
      </c>
      <c r="D102">
        <v>50000</v>
      </c>
      <c r="E102">
        <v>40</v>
      </c>
      <c r="F102" s="11">
        <f t="shared" si="38"/>
        <v>4.3841463414634143</v>
      </c>
      <c r="G102">
        <v>50000</v>
      </c>
      <c r="H102">
        <v>1</v>
      </c>
      <c r="I102">
        <v>120</v>
      </c>
      <c r="J102" s="10">
        <f t="shared" si="39"/>
        <v>416.66666666666669</v>
      </c>
      <c r="K102">
        <v>1</v>
      </c>
      <c r="L102">
        <v>0.8</v>
      </c>
      <c r="M102">
        <v>1</v>
      </c>
      <c r="O102" s="10">
        <f t="shared" si="40"/>
        <v>617.62601626016271</v>
      </c>
      <c r="P102" s="10">
        <f t="shared" si="41"/>
        <v>648.55284552845535</v>
      </c>
      <c r="Q102" s="10">
        <f t="shared" si="42"/>
        <v>233.82113821138211</v>
      </c>
      <c r="R102" s="10">
        <f t="shared" si="43"/>
        <v>500.00000000000006</v>
      </c>
      <c r="S102">
        <v>500</v>
      </c>
    </row>
    <row r="103" spans="1:19" x14ac:dyDescent="0.25">
      <c r="A103" t="s">
        <v>605</v>
      </c>
      <c r="B103" s="12" t="s">
        <v>603</v>
      </c>
      <c r="C103" s="12"/>
      <c r="D103">
        <v>90000</v>
      </c>
      <c r="E103">
        <v>45</v>
      </c>
      <c r="F103" s="11">
        <f t="shared" si="38"/>
        <v>7.0099502487562182</v>
      </c>
      <c r="G103">
        <v>30000</v>
      </c>
      <c r="H103">
        <v>1</v>
      </c>
      <c r="I103">
        <v>60</v>
      </c>
      <c r="J103" s="10">
        <f t="shared" si="39"/>
        <v>500</v>
      </c>
      <c r="K103">
        <v>1</v>
      </c>
      <c r="L103">
        <v>0.8</v>
      </c>
      <c r="M103">
        <v>1</v>
      </c>
      <c r="O103" s="10">
        <f>(D103/100000+E103/100+F103*K103/5+J103/200)*200*L103*M103</f>
        <v>840.31840796019924</v>
      </c>
      <c r="P103" s="10">
        <f>((D103*E103/25000)+(F103*K103*J103/2.5))*L103*M103</f>
        <v>1251.1920398009952</v>
      </c>
      <c r="Q103" s="10">
        <f>(D103*E103*F103*K103*J103*L103*M103)/12500000</f>
        <v>908.48955223880603</v>
      </c>
      <c r="R103" s="10">
        <f>(O103+P103+Q103)/3</f>
        <v>1000.0000000000001</v>
      </c>
      <c r="S103">
        <v>1000</v>
      </c>
    </row>
    <row r="104" spans="1:19" x14ac:dyDescent="0.25">
      <c r="A104" t="s">
        <v>707</v>
      </c>
      <c r="B104" t="s">
        <v>1022</v>
      </c>
      <c r="D104">
        <v>24000</v>
      </c>
      <c r="E104">
        <v>64</v>
      </c>
      <c r="F104" s="11">
        <f t="shared" ref="F104:F113" si="44">(S104*37500000/(L104*M104*D104*E104*K104*J104)-((500/(K104*J104))+(2500000000/(D104*E104*K104*J104)*(D104/100000+E104/100+J104/200))))/(1+5000000/(D104*E104)+(500000000/(D104*E104*J104)))</f>
        <v>6.9364622161978975</v>
      </c>
      <c r="G104">
        <v>24000</v>
      </c>
      <c r="H104">
        <v>1</v>
      </c>
      <c r="I104">
        <v>64</v>
      </c>
      <c r="J104" s="10">
        <f t="shared" ref="J104:J112" si="45">G104/I104*H104</f>
        <v>375</v>
      </c>
      <c r="K104">
        <v>1</v>
      </c>
      <c r="L104">
        <v>0.8</v>
      </c>
      <c r="M104">
        <v>1</v>
      </c>
      <c r="O104" s="10">
        <f>(D104/100000+E104/100+F104*K104/5+J104/200)*200*L104*M104</f>
        <v>662.76679091833284</v>
      </c>
      <c r="P104" s="10">
        <f>((D104*E104/25000)+(F104*K104*J104/2.5))*L104*M104</f>
        <v>881.52746594374776</v>
      </c>
      <c r="Q104" s="10">
        <f>(D104*E104*F104*K104*J104*L104*M104)/12500000</f>
        <v>255.70574313791931</v>
      </c>
      <c r="R104" s="10">
        <f>(O104+P104+Q104)/3</f>
        <v>600</v>
      </c>
      <c r="S104">
        <v>600</v>
      </c>
    </row>
    <row r="105" spans="1:19" x14ac:dyDescent="0.25">
      <c r="A105" t="s">
        <v>629</v>
      </c>
      <c r="B105" t="s">
        <v>223</v>
      </c>
      <c r="D105">
        <v>30000</v>
      </c>
      <c r="E105">
        <v>59</v>
      </c>
      <c r="F105" s="11">
        <f t="shared" si="44"/>
        <v>6.4441489361702118</v>
      </c>
      <c r="G105">
        <v>30000</v>
      </c>
      <c r="H105">
        <v>1</v>
      </c>
      <c r="I105">
        <v>45</v>
      </c>
      <c r="J105" s="10">
        <f t="shared" si="45"/>
        <v>666.66666666666663</v>
      </c>
      <c r="K105">
        <v>1</v>
      </c>
      <c r="L105">
        <v>0.8</v>
      </c>
      <c r="M105">
        <v>0.75</v>
      </c>
      <c r="O105" s="10">
        <f t="shared" ref="O105:O111" si="46">(D105/100000+E105/100+F105*K105/5+J105/200)*200*L105*M105</f>
        <v>661.45957446808518</v>
      </c>
      <c r="P105" s="10">
        <f t="shared" ref="P105:P111" si="47">((D105*E105/25000)+(F105*K105*J105/2.5))*L105*M105</f>
        <v>1073.5438297872338</v>
      </c>
      <c r="Q105" s="10">
        <f t="shared" ref="Q105:Q111" si="48">(D105*E105*F105*K105*J105*L105*M105)/12500000</f>
        <v>364.9965957446808</v>
      </c>
      <c r="R105" s="10">
        <f t="shared" ref="R105:R111" si="49">(O105+P105+Q105)/3</f>
        <v>699.99999999999989</v>
      </c>
      <c r="S105">
        <v>700</v>
      </c>
    </row>
    <row r="106" spans="1:19" x14ac:dyDescent="0.25">
      <c r="B106" t="s">
        <v>224</v>
      </c>
      <c r="D106">
        <v>48000</v>
      </c>
      <c r="E106">
        <v>38</v>
      </c>
      <c r="F106" s="11">
        <f t="shared" si="44"/>
        <v>5.2215766331658289</v>
      </c>
      <c r="G106">
        <v>24000</v>
      </c>
      <c r="H106">
        <v>1.25</v>
      </c>
      <c r="I106">
        <v>100</v>
      </c>
      <c r="J106" s="10">
        <f t="shared" si="45"/>
        <v>300</v>
      </c>
      <c r="K106">
        <v>1.25</v>
      </c>
      <c r="L106">
        <v>0.8</v>
      </c>
      <c r="M106">
        <v>1</v>
      </c>
      <c r="O106" s="10">
        <f t="shared" si="46"/>
        <v>586.46306532663323</v>
      </c>
      <c r="P106" s="10">
        <f t="shared" si="47"/>
        <v>684.95719597989955</v>
      </c>
      <c r="Q106" s="10">
        <f t="shared" si="48"/>
        <v>228.57973869346731</v>
      </c>
      <c r="R106" s="10">
        <f t="shared" si="49"/>
        <v>500</v>
      </c>
      <c r="S106">
        <v>500</v>
      </c>
    </row>
    <row r="107" spans="1:19" x14ac:dyDescent="0.25">
      <c r="B107" t="s">
        <v>244</v>
      </c>
      <c r="D107">
        <v>36000</v>
      </c>
      <c r="E107">
        <v>45</v>
      </c>
      <c r="F107" s="11">
        <f t="shared" si="44"/>
        <v>5.0857515487447005</v>
      </c>
      <c r="G107">
        <v>4000</v>
      </c>
      <c r="H107">
        <v>0.875</v>
      </c>
      <c r="I107">
        <v>15</v>
      </c>
      <c r="J107" s="10">
        <f t="shared" si="45"/>
        <v>233.33333333333334</v>
      </c>
      <c r="K107">
        <v>1.25</v>
      </c>
      <c r="L107">
        <v>0.8</v>
      </c>
      <c r="M107">
        <v>0.75</v>
      </c>
      <c r="O107" s="10">
        <f t="shared" si="46"/>
        <v>389.7725464623411</v>
      </c>
      <c r="P107" s="10">
        <f t="shared" si="47"/>
        <v>394.882608412129</v>
      </c>
      <c r="Q107" s="10">
        <f t="shared" si="48"/>
        <v>115.3448451255298</v>
      </c>
      <c r="R107" s="10">
        <f t="shared" si="49"/>
        <v>299.99999999999994</v>
      </c>
      <c r="S107">
        <v>300</v>
      </c>
    </row>
    <row r="108" spans="1:19" x14ac:dyDescent="0.25">
      <c r="B108" t="s">
        <v>243</v>
      </c>
      <c r="D108">
        <v>96000</v>
      </c>
      <c r="E108">
        <v>64</v>
      </c>
      <c r="F108" s="11">
        <f t="shared" si="44"/>
        <v>4.8402676752982252</v>
      </c>
      <c r="G108">
        <v>24000</v>
      </c>
      <c r="H108">
        <v>1</v>
      </c>
      <c r="I108">
        <v>70</v>
      </c>
      <c r="J108" s="10">
        <f t="shared" si="45"/>
        <v>342.85714285714283</v>
      </c>
      <c r="K108">
        <v>1.25</v>
      </c>
      <c r="L108">
        <v>0.8</v>
      </c>
      <c r="M108">
        <v>0.5</v>
      </c>
      <c r="O108" s="10">
        <f t="shared" si="46"/>
        <v>361.94821064882166</v>
      </c>
      <c r="P108" s="10">
        <f t="shared" si="47"/>
        <v>430.20806916330685</v>
      </c>
      <c r="Q108" s="10">
        <f t="shared" si="48"/>
        <v>407.8437201878715</v>
      </c>
      <c r="R108" s="10">
        <f t="shared" si="49"/>
        <v>400</v>
      </c>
      <c r="S108">
        <v>400</v>
      </c>
    </row>
    <row r="109" spans="1:19" x14ac:dyDescent="0.25">
      <c r="A109" t="s">
        <v>724</v>
      </c>
      <c r="B109" t="s">
        <v>334</v>
      </c>
      <c r="D109">
        <v>64000</v>
      </c>
      <c r="E109">
        <v>42</v>
      </c>
      <c r="F109" s="11">
        <f t="shared" si="44"/>
        <v>5.1904462602137009</v>
      </c>
      <c r="G109">
        <v>16000</v>
      </c>
      <c r="H109">
        <v>1</v>
      </c>
      <c r="I109">
        <v>34</v>
      </c>
      <c r="J109" s="10">
        <f t="shared" si="45"/>
        <v>470.58823529411762</v>
      </c>
      <c r="K109">
        <v>1</v>
      </c>
      <c r="L109">
        <v>0.8</v>
      </c>
      <c r="M109">
        <v>0.75</v>
      </c>
      <c r="O109" s="10">
        <f t="shared" si="46"/>
        <v>534.12365142159956</v>
      </c>
      <c r="P109" s="10">
        <f t="shared" si="47"/>
        <v>650.7271070359003</v>
      </c>
      <c r="Q109" s="10">
        <f t="shared" si="48"/>
        <v>315.14924154250002</v>
      </c>
      <c r="R109" s="10">
        <f t="shared" si="49"/>
        <v>500</v>
      </c>
      <c r="S109">
        <v>500</v>
      </c>
    </row>
    <row r="110" spans="1:19" x14ac:dyDescent="0.25">
      <c r="B110" t="s">
        <v>437</v>
      </c>
      <c r="D110">
        <v>26000</v>
      </c>
      <c r="E110">
        <v>53</v>
      </c>
      <c r="F110" s="11">
        <f t="shared" si="44"/>
        <v>4.4411906244692299</v>
      </c>
      <c r="G110">
        <v>24000</v>
      </c>
      <c r="H110">
        <v>0.75</v>
      </c>
      <c r="I110">
        <v>53</v>
      </c>
      <c r="J110" s="10">
        <f t="shared" si="45"/>
        <v>339.62264150943395</v>
      </c>
      <c r="K110">
        <v>1</v>
      </c>
      <c r="L110">
        <v>0.8</v>
      </c>
      <c r="M110">
        <v>1</v>
      </c>
      <c r="O110" s="10">
        <f t="shared" si="46"/>
        <v>540.21621319056248</v>
      </c>
      <c r="P110" s="10">
        <f t="shared" si="47"/>
        <v>526.76124522533519</v>
      </c>
      <c r="Q110" s="10">
        <f t="shared" si="48"/>
        <v>133.02254158410236</v>
      </c>
      <c r="R110" s="10">
        <f t="shared" si="49"/>
        <v>400</v>
      </c>
      <c r="S110">
        <v>400</v>
      </c>
    </row>
    <row r="111" spans="1:19" x14ac:dyDescent="0.25">
      <c r="B111" t="s">
        <v>335</v>
      </c>
      <c r="D111">
        <v>24000</v>
      </c>
      <c r="E111">
        <v>63</v>
      </c>
      <c r="F111" s="11">
        <f t="shared" si="44"/>
        <v>4.9853720389890066</v>
      </c>
      <c r="G111">
        <v>8000</v>
      </c>
      <c r="H111">
        <v>0.875</v>
      </c>
      <c r="I111">
        <v>50</v>
      </c>
      <c r="J111" s="10">
        <f t="shared" si="45"/>
        <v>140</v>
      </c>
      <c r="K111">
        <v>1</v>
      </c>
      <c r="L111">
        <v>0.8</v>
      </c>
      <c r="M111">
        <v>1</v>
      </c>
      <c r="O111" s="10">
        <f t="shared" si="46"/>
        <v>410.73190524764823</v>
      </c>
      <c r="P111" s="10">
        <f t="shared" si="47"/>
        <v>271.72866734670754</v>
      </c>
      <c r="Q111" s="10">
        <f t="shared" si="48"/>
        <v>67.539427405644346</v>
      </c>
      <c r="R111" s="10">
        <f t="shared" si="49"/>
        <v>250.00000000000003</v>
      </c>
      <c r="S111">
        <v>250</v>
      </c>
    </row>
    <row r="112" spans="1:19" x14ac:dyDescent="0.25">
      <c r="B112" t="s">
        <v>424</v>
      </c>
      <c r="D112">
        <v>55000</v>
      </c>
      <c r="E112">
        <v>55</v>
      </c>
      <c r="F112" s="11">
        <f t="shared" si="44"/>
        <v>5.490933816863099</v>
      </c>
      <c r="G112">
        <v>24000</v>
      </c>
      <c r="H112">
        <v>1</v>
      </c>
      <c r="I112">
        <v>56</v>
      </c>
      <c r="J112" s="10">
        <f t="shared" si="45"/>
        <v>428.57142857142856</v>
      </c>
      <c r="K112">
        <v>1</v>
      </c>
      <c r="L112">
        <v>0.8</v>
      </c>
      <c r="M112">
        <v>0.75</v>
      </c>
      <c r="O112" s="10">
        <f>(D112/100000+E112/100+F112*K112/5+J112/200)*200*L112*M112</f>
        <v>520.92526874757152</v>
      </c>
      <c r="P112" s="10">
        <f>((D112*E112/25000)+(F112*K112*J112/2.5))*L112*M112</f>
        <v>637.38176402020451</v>
      </c>
      <c r="Q112" s="10">
        <f>(D112*E112*F112*K112*J112*L112*M112)/12500000</f>
        <v>341.69296723222368</v>
      </c>
      <c r="R112" s="10">
        <f>(O112+P112+Q112)/3</f>
        <v>499.99999999999994</v>
      </c>
      <c r="S112">
        <v>500</v>
      </c>
    </row>
    <row r="113" spans="1:19" x14ac:dyDescent="0.25">
      <c r="B113" t="s">
        <v>376</v>
      </c>
      <c r="D113">
        <v>64000</v>
      </c>
      <c r="E113">
        <v>48</v>
      </c>
      <c r="F113" s="11">
        <f t="shared" si="44"/>
        <v>8.0533665835411448</v>
      </c>
      <c r="G113">
        <v>32000</v>
      </c>
      <c r="H113">
        <v>1</v>
      </c>
      <c r="I113">
        <v>48</v>
      </c>
      <c r="J113" s="10">
        <f>G113/I113*H113</f>
        <v>666.66666666666663</v>
      </c>
      <c r="K113">
        <v>1.25</v>
      </c>
      <c r="L113">
        <v>0.8</v>
      </c>
      <c r="M113">
        <v>0.75</v>
      </c>
      <c r="O113" s="10">
        <f>(D113/100000+E113/100+F113*K113/5+J113/200)*200*L113*M113</f>
        <v>776.0009975062344</v>
      </c>
      <c r="P113" s="10">
        <f>((D113*E113/25000)+(F113*K113*J113/2.5))*L113*M113</f>
        <v>1684.4013167082289</v>
      </c>
      <c r="Q113" s="10">
        <f>(D113*E113*F113*K113*J113*L113*M113)/12500000</f>
        <v>989.59768578553587</v>
      </c>
      <c r="R113" s="10">
        <f>(O113+P113+Q113)/3</f>
        <v>1149.9999999999998</v>
      </c>
      <c r="S113">
        <v>1150</v>
      </c>
    </row>
    <row r="116" spans="1:19" x14ac:dyDescent="0.25">
      <c r="B116" t="s">
        <v>550</v>
      </c>
      <c r="D116" t="s">
        <v>36</v>
      </c>
      <c r="E116" t="s">
        <v>37</v>
      </c>
      <c r="F116" t="s">
        <v>38</v>
      </c>
      <c r="G116" t="s">
        <v>39</v>
      </c>
      <c r="H116" t="s">
        <v>181</v>
      </c>
      <c r="I116" t="s">
        <v>40</v>
      </c>
      <c r="J116" s="10" t="s">
        <v>544</v>
      </c>
      <c r="K116" t="s">
        <v>142</v>
      </c>
      <c r="L116" t="s">
        <v>182</v>
      </c>
      <c r="M116" t="s">
        <v>385</v>
      </c>
      <c r="O116" s="10"/>
      <c r="P116" s="10"/>
      <c r="Q116" s="10"/>
      <c r="R116" s="10"/>
      <c r="S116" t="s">
        <v>41</v>
      </c>
    </row>
    <row r="118" spans="1:19" x14ac:dyDescent="0.25">
      <c r="A118" t="s">
        <v>669</v>
      </c>
      <c r="B118" t="s">
        <v>675</v>
      </c>
      <c r="D118">
        <v>100000</v>
      </c>
      <c r="E118">
        <v>75</v>
      </c>
      <c r="F118" s="11">
        <f>(S118*37500000/(L118*M118*D118*E118*K118*J118)-((500/(K118*J118))+(2500000000/(D118*E118*K118*J118)*(D118/100000+E118/100+J118/200))))/(1+5000000/(D118*E118)+(500000000/(D118*E118*J118)))</f>
        <v>4.7751937984496129</v>
      </c>
      <c r="G118">
        <v>20000</v>
      </c>
      <c r="H118">
        <v>0.75</v>
      </c>
      <c r="I118">
        <v>12</v>
      </c>
      <c r="J118" s="10">
        <f>G118/I118*H118</f>
        <v>1250</v>
      </c>
      <c r="K118">
        <v>1.25</v>
      </c>
      <c r="L118">
        <v>0.75</v>
      </c>
      <c r="M118">
        <v>0.75</v>
      </c>
      <c r="O118" s="10">
        <f>(D118/100000+E118/100+F118*K118/5+J118/200)*200*L118*M118</f>
        <v>1034.3023255813953</v>
      </c>
      <c r="P118" s="10">
        <f>((D118*E118/25000)+(F118*K118*J118/2.5))*L118*M118</f>
        <v>1847.5290697674423</v>
      </c>
      <c r="Q118" s="10">
        <f>(D118*E118*F118*K118*J118*L118*M118)/12500000</f>
        <v>2518.1686046511632</v>
      </c>
      <c r="R118" s="10">
        <f>(O118+P118+Q118)/3</f>
        <v>1800.0000000000002</v>
      </c>
      <c r="S118">
        <v>1800</v>
      </c>
    </row>
    <row r="119" spans="1:19" x14ac:dyDescent="0.25">
      <c r="B119" t="s">
        <v>676</v>
      </c>
      <c r="D119">
        <v>100000</v>
      </c>
      <c r="E119">
        <v>75</v>
      </c>
      <c r="F119" s="11">
        <v>3</v>
      </c>
      <c r="G119">
        <v>60000</v>
      </c>
      <c r="H119">
        <v>0.875</v>
      </c>
      <c r="I119">
        <v>20</v>
      </c>
      <c r="J119" s="10">
        <f>G119/I119*H119</f>
        <v>2625</v>
      </c>
      <c r="K119">
        <v>1.25</v>
      </c>
      <c r="L119">
        <v>0.75</v>
      </c>
      <c r="M119">
        <v>0.75</v>
      </c>
      <c r="O119" s="10">
        <f>(D119/100000+E119/100+F119*K119/5+J119/200)*200*L119*M119</f>
        <v>1757.8125</v>
      </c>
      <c r="P119" s="10">
        <f>((D119*E119/25000)+(F119*K119*J119/2.5))*L119*M119</f>
        <v>2383.59375</v>
      </c>
      <c r="Q119" s="10">
        <f>(D119*E119*F119*K119*J119*L119*M119)/12500000</f>
        <v>3322.265625</v>
      </c>
      <c r="R119" s="10">
        <f>(O119+P119+Q119)/3</f>
        <v>2487.890625</v>
      </c>
      <c r="S119" t="s">
        <v>678</v>
      </c>
    </row>
    <row r="120" spans="1:19" x14ac:dyDescent="0.25">
      <c r="B120" t="s">
        <v>677</v>
      </c>
      <c r="D120">
        <v>100000</v>
      </c>
      <c r="E120">
        <v>75</v>
      </c>
      <c r="F120" s="11">
        <v>5</v>
      </c>
      <c r="G120">
        <v>90000</v>
      </c>
      <c r="H120">
        <v>1</v>
      </c>
      <c r="I120">
        <v>25</v>
      </c>
      <c r="J120" s="10">
        <f>G120/I120*H120</f>
        <v>3600</v>
      </c>
      <c r="K120">
        <v>1.25</v>
      </c>
      <c r="L120">
        <v>0.75</v>
      </c>
      <c r="M120">
        <v>0.75</v>
      </c>
      <c r="O120" s="10">
        <f>(D120/100000+E120/100+F120*K120/5+J120/200)*200*L120*M120</f>
        <v>2362.5</v>
      </c>
      <c r="P120" s="10">
        <f>((D120*E120/25000)+(F120*K120*J120/2.5))*L120*M120</f>
        <v>5231.25</v>
      </c>
      <c r="Q120" s="10">
        <f>(D120*E120*F120*K120*J120*L120*M120)/12500000</f>
        <v>7593.75</v>
      </c>
      <c r="R120" s="10">
        <f>(O120+P120+Q120)/3</f>
        <v>5062.5</v>
      </c>
      <c r="S120">
        <v>1800</v>
      </c>
    </row>
    <row r="122" spans="1:19" x14ac:dyDescent="0.25">
      <c r="A122" t="s">
        <v>321</v>
      </c>
      <c r="B122" t="s">
        <v>45</v>
      </c>
      <c r="D122">
        <v>20000</v>
      </c>
      <c r="E122">
        <v>60</v>
      </c>
      <c r="F122" s="11">
        <f t="shared" ref="F122:F128" si="50">(S122*37500000/(L122*M122*D122*E122*K122*J122)-((500/(K122*J122))+(2500000000/(D122*E122*K122*J122)*(D122/100000+E122/100+J122/200))))/(1+5000000/(D122*E122)+(500000000/(D122*E122*J122)))</f>
        <v>2.0853658536585371</v>
      </c>
      <c r="G122">
        <v>20000</v>
      </c>
      <c r="H122">
        <v>0.75</v>
      </c>
      <c r="I122">
        <v>60</v>
      </c>
      <c r="J122" s="10">
        <f t="shared" ref="J122:J141" si="51">G122/I122*H122</f>
        <v>250</v>
      </c>
      <c r="K122">
        <v>1</v>
      </c>
      <c r="L122">
        <v>0.75</v>
      </c>
      <c r="M122">
        <v>1</v>
      </c>
      <c r="O122" s="10">
        <f t="shared" ref="O122:O141" si="52">(D122/100000+E122/100+F122*K122/5+J122/200)*200*L122*M122</f>
        <v>370.0609756097561</v>
      </c>
      <c r="P122" s="10">
        <f t="shared" ref="P122:P141" si="53">((D122*E122/25000)+(F122*K122*J122/2.5))*L122*M122</f>
        <v>192.4024390243903</v>
      </c>
      <c r="Q122" s="10">
        <f t="shared" ref="Q122:Q141" si="54">(D122*E122*F122*K122*J122*L122*M122)/12500000</f>
        <v>37.536585365853668</v>
      </c>
      <c r="R122" s="10">
        <f t="shared" ref="R122:R141" si="55">(O122+P122+Q122)/3</f>
        <v>200</v>
      </c>
      <c r="S122">
        <v>200</v>
      </c>
    </row>
    <row r="123" spans="1:19" x14ac:dyDescent="0.25">
      <c r="B123" t="s">
        <v>46</v>
      </c>
      <c r="D123">
        <v>48000</v>
      </c>
      <c r="E123">
        <v>48</v>
      </c>
      <c r="F123" s="11">
        <f t="shared" si="50"/>
        <v>3.4135719861715179</v>
      </c>
      <c r="G123">
        <v>48000</v>
      </c>
      <c r="H123">
        <v>0.75</v>
      </c>
      <c r="I123">
        <v>48</v>
      </c>
      <c r="J123" s="10">
        <f t="shared" si="51"/>
        <v>750</v>
      </c>
      <c r="K123">
        <v>1</v>
      </c>
      <c r="L123">
        <v>0.75</v>
      </c>
      <c r="M123">
        <v>0.75</v>
      </c>
      <c r="O123" s="10">
        <f t="shared" si="52"/>
        <v>606.68036968885917</v>
      </c>
      <c r="P123" s="10">
        <f t="shared" si="53"/>
        <v>627.88027266644372</v>
      </c>
      <c r="Q123" s="10">
        <f t="shared" si="54"/>
        <v>265.43935764469722</v>
      </c>
      <c r="R123" s="10">
        <f t="shared" si="55"/>
        <v>500</v>
      </c>
      <c r="S123">
        <v>500</v>
      </c>
    </row>
    <row r="124" spans="1:19" x14ac:dyDescent="0.25">
      <c r="B124" t="s">
        <v>80</v>
      </c>
      <c r="D124">
        <v>24000</v>
      </c>
      <c r="E124">
        <v>75</v>
      </c>
      <c r="F124" s="11">
        <f t="shared" si="50"/>
        <v>3.1250000000000004</v>
      </c>
      <c r="G124">
        <v>12000</v>
      </c>
      <c r="H124">
        <v>0.875</v>
      </c>
      <c r="I124">
        <v>70</v>
      </c>
      <c r="J124" s="10">
        <f t="shared" si="51"/>
        <v>150</v>
      </c>
      <c r="K124">
        <v>1</v>
      </c>
      <c r="L124">
        <v>0.75</v>
      </c>
      <c r="M124">
        <v>1</v>
      </c>
      <c r="O124" s="10">
        <f t="shared" si="52"/>
        <v>354.75000000000006</v>
      </c>
      <c r="P124" s="10">
        <f t="shared" si="53"/>
        <v>194.625</v>
      </c>
      <c r="Q124" s="10">
        <f t="shared" si="54"/>
        <v>50.625000000000007</v>
      </c>
      <c r="R124" s="10">
        <f t="shared" si="55"/>
        <v>200</v>
      </c>
      <c r="S124">
        <v>200</v>
      </c>
    </row>
    <row r="125" spans="1:19" x14ac:dyDescent="0.25">
      <c r="A125" t="s">
        <v>320</v>
      </c>
      <c r="B125" t="s">
        <v>98</v>
      </c>
      <c r="D125">
        <v>35000</v>
      </c>
      <c r="E125">
        <v>65</v>
      </c>
      <c r="F125" s="11">
        <f t="shared" si="50"/>
        <v>1.2356495468277939</v>
      </c>
      <c r="G125">
        <v>10000</v>
      </c>
      <c r="H125">
        <v>1</v>
      </c>
      <c r="I125">
        <v>20</v>
      </c>
      <c r="J125" s="10">
        <f t="shared" si="51"/>
        <v>500</v>
      </c>
      <c r="K125">
        <v>1</v>
      </c>
      <c r="L125">
        <v>0.75</v>
      </c>
      <c r="M125">
        <v>1</v>
      </c>
      <c r="O125" s="10">
        <f t="shared" si="52"/>
        <v>562.06948640483392</v>
      </c>
      <c r="P125" s="10">
        <f t="shared" si="53"/>
        <v>253.59743202416908</v>
      </c>
      <c r="Q125" s="10">
        <f t="shared" si="54"/>
        <v>84.333081570996939</v>
      </c>
      <c r="R125" s="10">
        <f t="shared" si="55"/>
        <v>299.99999999999994</v>
      </c>
      <c r="S125">
        <v>300</v>
      </c>
    </row>
    <row r="126" spans="1:19" x14ac:dyDescent="0.25">
      <c r="A126" t="s">
        <v>571</v>
      </c>
      <c r="B126" t="s">
        <v>661</v>
      </c>
      <c r="D126">
        <v>32000</v>
      </c>
      <c r="E126">
        <v>50</v>
      </c>
      <c r="F126" s="11">
        <f t="shared" si="50"/>
        <v>3.8000455996352023</v>
      </c>
      <c r="G126">
        <v>32000</v>
      </c>
      <c r="H126">
        <v>0.875</v>
      </c>
      <c r="I126">
        <v>69</v>
      </c>
      <c r="J126" s="10">
        <f t="shared" si="51"/>
        <v>405.79710144927537</v>
      </c>
      <c r="K126">
        <v>1</v>
      </c>
      <c r="L126">
        <v>0.75</v>
      </c>
      <c r="M126">
        <v>1</v>
      </c>
      <c r="O126" s="10">
        <f t="shared" si="52"/>
        <v>541.34919407601262</v>
      </c>
      <c r="P126" s="10">
        <f t="shared" si="53"/>
        <v>510.61424691211158</v>
      </c>
      <c r="Q126" s="10">
        <f t="shared" si="54"/>
        <v>148.03655901187574</v>
      </c>
      <c r="R126" s="10">
        <f t="shared" si="55"/>
        <v>400</v>
      </c>
      <c r="S126">
        <v>400</v>
      </c>
    </row>
    <row r="127" spans="1:19" x14ac:dyDescent="0.25">
      <c r="B127" t="s">
        <v>870</v>
      </c>
      <c r="D127">
        <v>75000</v>
      </c>
      <c r="E127">
        <v>60</v>
      </c>
      <c r="F127" s="11">
        <f t="shared" si="50"/>
        <v>2</v>
      </c>
      <c r="G127">
        <v>10000</v>
      </c>
      <c r="H127">
        <v>1</v>
      </c>
      <c r="I127">
        <v>20</v>
      </c>
      <c r="J127" s="10">
        <f t="shared" si="51"/>
        <v>500</v>
      </c>
      <c r="K127">
        <v>1.25</v>
      </c>
      <c r="L127">
        <v>0.75</v>
      </c>
      <c r="M127">
        <v>1</v>
      </c>
      <c r="O127" s="10">
        <f t="shared" si="52"/>
        <v>652.49999999999989</v>
      </c>
      <c r="P127" s="10">
        <f t="shared" si="53"/>
        <v>510</v>
      </c>
      <c r="Q127" s="10">
        <f t="shared" si="54"/>
        <v>337.5</v>
      </c>
      <c r="R127" s="10">
        <f t="shared" si="55"/>
        <v>500</v>
      </c>
      <c r="S127">
        <v>500</v>
      </c>
    </row>
    <row r="128" spans="1:19" x14ac:dyDescent="0.25">
      <c r="A128" t="s">
        <v>578</v>
      </c>
      <c r="B128" t="s">
        <v>455</v>
      </c>
      <c r="D128">
        <v>30000</v>
      </c>
      <c r="E128">
        <v>60</v>
      </c>
      <c r="F128" s="11">
        <f t="shared" si="50"/>
        <v>4.0000000000000009</v>
      </c>
      <c r="G128">
        <v>60000</v>
      </c>
      <c r="H128">
        <v>1</v>
      </c>
      <c r="I128">
        <v>120</v>
      </c>
      <c r="J128" s="10">
        <f t="shared" si="51"/>
        <v>500</v>
      </c>
      <c r="K128">
        <v>1</v>
      </c>
      <c r="L128">
        <v>0.75</v>
      </c>
      <c r="M128">
        <v>0.75</v>
      </c>
      <c r="O128" s="10">
        <f t="shared" si="52"/>
        <v>472.5</v>
      </c>
      <c r="P128" s="10">
        <f t="shared" si="53"/>
        <v>490.50000000000017</v>
      </c>
      <c r="Q128" s="10">
        <f t="shared" si="54"/>
        <v>162.00000000000006</v>
      </c>
      <c r="R128" s="10">
        <f t="shared" si="55"/>
        <v>375.00000000000006</v>
      </c>
      <c r="S128">
        <v>375</v>
      </c>
    </row>
    <row r="129" spans="1:19" x14ac:dyDescent="0.25">
      <c r="B129" t="s">
        <v>584</v>
      </c>
      <c r="D129">
        <v>85000</v>
      </c>
      <c r="E129">
        <v>61</v>
      </c>
      <c r="F129">
        <v>2</v>
      </c>
      <c r="G129">
        <v>20000</v>
      </c>
      <c r="H129">
        <v>1</v>
      </c>
      <c r="I129">
        <v>37</v>
      </c>
      <c r="J129" s="10">
        <f t="shared" si="51"/>
        <v>540.54054054054052</v>
      </c>
      <c r="K129">
        <v>1</v>
      </c>
      <c r="L129">
        <v>0.75</v>
      </c>
      <c r="M129">
        <v>1</v>
      </c>
      <c r="O129" s="10">
        <f t="shared" si="52"/>
        <v>684.40540540540542</v>
      </c>
      <c r="P129" s="10">
        <f t="shared" si="53"/>
        <v>479.87432432432428</v>
      </c>
      <c r="Q129" s="10">
        <f t="shared" si="54"/>
        <v>336.32432432432432</v>
      </c>
      <c r="R129" s="10">
        <f t="shared" si="55"/>
        <v>500.20135135135138</v>
      </c>
      <c r="S129">
        <v>500</v>
      </c>
    </row>
    <row r="130" spans="1:19" x14ac:dyDescent="0.25">
      <c r="A130" t="s">
        <v>605</v>
      </c>
      <c r="B130" s="12" t="s">
        <v>604</v>
      </c>
      <c r="C130" s="12"/>
      <c r="D130">
        <v>52000</v>
      </c>
      <c r="E130">
        <v>52</v>
      </c>
      <c r="F130" s="11">
        <f t="shared" ref="F130:F141" si="56">(S130*37500000/(L130*M130*D130*E130*K130*J130)-((500/(K130*J130))+(2500000000/(D130*E130*K130*J130)*(D130/100000+E130/100+J130/200))))/(1+5000000/(D130*E130)+(500000000/(D130*E130*J130)))</f>
        <v>3.4002757352941178</v>
      </c>
      <c r="G130">
        <v>26000</v>
      </c>
      <c r="H130">
        <v>1</v>
      </c>
      <c r="I130">
        <v>52</v>
      </c>
      <c r="J130" s="10">
        <f t="shared" si="51"/>
        <v>500</v>
      </c>
      <c r="K130">
        <v>1</v>
      </c>
      <c r="L130">
        <v>0.75</v>
      </c>
      <c r="M130">
        <v>1</v>
      </c>
      <c r="O130" s="10">
        <f t="shared" si="52"/>
        <v>633.00827205882365</v>
      </c>
      <c r="P130" s="10">
        <f t="shared" si="53"/>
        <v>591.16136029411769</v>
      </c>
      <c r="Q130" s="10">
        <f t="shared" si="54"/>
        <v>275.83036764705884</v>
      </c>
      <c r="R130" s="10">
        <f t="shared" si="55"/>
        <v>500.00000000000006</v>
      </c>
      <c r="S130">
        <v>500</v>
      </c>
    </row>
    <row r="131" spans="1:19" x14ac:dyDescent="0.25">
      <c r="B131" s="12" t="s">
        <v>626</v>
      </c>
      <c r="C131" s="12"/>
      <c r="D131">
        <v>78000</v>
      </c>
      <c r="E131">
        <v>56</v>
      </c>
      <c r="F131" s="11">
        <f t="shared" si="56"/>
        <v>4.1850407274921348</v>
      </c>
      <c r="G131">
        <v>40000</v>
      </c>
      <c r="H131">
        <v>1.125</v>
      </c>
      <c r="I131">
        <v>85</v>
      </c>
      <c r="J131" s="10">
        <f t="shared" si="51"/>
        <v>529.41176470588232</v>
      </c>
      <c r="K131">
        <v>1</v>
      </c>
      <c r="L131">
        <v>0.75</v>
      </c>
      <c r="M131">
        <v>1</v>
      </c>
      <c r="O131" s="10">
        <f t="shared" si="52"/>
        <v>723.61004535417578</v>
      </c>
      <c r="P131" s="10">
        <f t="shared" si="53"/>
        <v>795.72293907228027</v>
      </c>
      <c r="Q131" s="10">
        <f t="shared" si="54"/>
        <v>580.66701557354395</v>
      </c>
      <c r="R131" s="10">
        <f t="shared" si="55"/>
        <v>700</v>
      </c>
      <c r="S131">
        <v>700</v>
      </c>
    </row>
    <row r="132" spans="1:19" x14ac:dyDescent="0.25">
      <c r="B132" t="s">
        <v>636</v>
      </c>
      <c r="D132">
        <v>11000</v>
      </c>
      <c r="E132">
        <v>110</v>
      </c>
      <c r="F132" s="11">
        <f t="shared" si="56"/>
        <v>1.3497720679651877</v>
      </c>
      <c r="G132">
        <v>3000</v>
      </c>
      <c r="H132">
        <v>1</v>
      </c>
      <c r="I132">
        <v>11</v>
      </c>
      <c r="J132" s="10">
        <f t="shared" si="51"/>
        <v>272.72727272727275</v>
      </c>
      <c r="K132">
        <v>1</v>
      </c>
      <c r="L132">
        <v>0.75</v>
      </c>
      <c r="M132">
        <v>1</v>
      </c>
      <c r="O132" s="10">
        <f t="shared" si="52"/>
        <v>426.53861658441019</v>
      </c>
      <c r="P132" s="10">
        <f t="shared" si="53"/>
        <v>146.73589646987898</v>
      </c>
      <c r="Q132" s="10">
        <f t="shared" si="54"/>
        <v>26.725486945710717</v>
      </c>
      <c r="R132" s="10">
        <f t="shared" si="55"/>
        <v>199.99999999999997</v>
      </c>
      <c r="S132">
        <v>200</v>
      </c>
    </row>
    <row r="133" spans="1:19" x14ac:dyDescent="0.25">
      <c r="B133" t="s">
        <v>654</v>
      </c>
      <c r="D133">
        <v>32000</v>
      </c>
      <c r="E133">
        <v>160</v>
      </c>
      <c r="F133" s="11">
        <f t="shared" si="56"/>
        <v>1.6798592788038698</v>
      </c>
      <c r="G133">
        <v>6000</v>
      </c>
      <c r="H133">
        <v>1</v>
      </c>
      <c r="I133">
        <v>15</v>
      </c>
      <c r="J133" s="10">
        <f t="shared" si="51"/>
        <v>400</v>
      </c>
      <c r="K133">
        <v>1</v>
      </c>
      <c r="L133">
        <v>0.75</v>
      </c>
      <c r="M133">
        <v>1</v>
      </c>
      <c r="O133" s="10">
        <f t="shared" si="52"/>
        <v>638.39577836411604</v>
      </c>
      <c r="P133" s="10">
        <f t="shared" si="53"/>
        <v>355.18311345646435</v>
      </c>
      <c r="Q133" s="10">
        <f t="shared" si="54"/>
        <v>206.42110817941952</v>
      </c>
      <c r="R133" s="10">
        <f t="shared" si="55"/>
        <v>399.99999999999994</v>
      </c>
      <c r="S133">
        <v>400</v>
      </c>
    </row>
    <row r="134" spans="1:19" x14ac:dyDescent="0.25">
      <c r="B134" t="s">
        <v>684</v>
      </c>
      <c r="D134">
        <v>40000</v>
      </c>
      <c r="E134">
        <v>70</v>
      </c>
      <c r="F134" s="11">
        <f t="shared" si="56"/>
        <v>1.3347338935574227</v>
      </c>
      <c r="G134">
        <v>8000</v>
      </c>
      <c r="H134">
        <v>1</v>
      </c>
      <c r="I134">
        <v>18</v>
      </c>
      <c r="J134" s="10">
        <f t="shared" si="51"/>
        <v>444.44444444444446</v>
      </c>
      <c r="K134">
        <v>1</v>
      </c>
      <c r="L134">
        <v>0.75</v>
      </c>
      <c r="M134">
        <v>1</v>
      </c>
      <c r="O134" s="10">
        <f t="shared" si="52"/>
        <v>538.37535014005607</v>
      </c>
      <c r="P134" s="10">
        <f t="shared" si="53"/>
        <v>261.96451914098975</v>
      </c>
      <c r="Q134" s="10">
        <f t="shared" si="54"/>
        <v>99.660130718954235</v>
      </c>
      <c r="R134" s="10">
        <f t="shared" si="55"/>
        <v>300</v>
      </c>
      <c r="S134">
        <v>300</v>
      </c>
    </row>
    <row r="135" spans="1:19" x14ac:dyDescent="0.25">
      <c r="B135" t="s">
        <v>706</v>
      </c>
      <c r="D135">
        <v>60000</v>
      </c>
      <c r="E135">
        <v>60</v>
      </c>
      <c r="F135" s="11">
        <f t="shared" si="56"/>
        <v>1.3365718251214442</v>
      </c>
      <c r="G135">
        <v>32000</v>
      </c>
      <c r="H135">
        <v>1</v>
      </c>
      <c r="I135">
        <v>26</v>
      </c>
      <c r="J135" s="10">
        <f t="shared" si="51"/>
        <v>1230.7692307692307</v>
      </c>
      <c r="K135">
        <v>1</v>
      </c>
      <c r="L135">
        <v>0.75</v>
      </c>
      <c r="M135">
        <v>1</v>
      </c>
      <c r="O135" s="10">
        <f t="shared" si="52"/>
        <v>1143.1740778305664</v>
      </c>
      <c r="P135" s="10">
        <f t="shared" si="53"/>
        <v>601.50344312176412</v>
      </c>
      <c r="Q135" s="10">
        <f t="shared" si="54"/>
        <v>355.32247904767013</v>
      </c>
      <c r="R135" s="10">
        <f t="shared" si="55"/>
        <v>700.00000000000011</v>
      </c>
      <c r="S135">
        <v>700</v>
      </c>
    </row>
    <row r="136" spans="1:19" x14ac:dyDescent="0.25">
      <c r="B136" t="s">
        <v>687</v>
      </c>
      <c r="D136">
        <v>50000</v>
      </c>
      <c r="E136">
        <v>75</v>
      </c>
      <c r="F136" s="11">
        <f t="shared" si="56"/>
        <v>1.6000000000000003</v>
      </c>
      <c r="G136">
        <v>20000</v>
      </c>
      <c r="H136">
        <v>1</v>
      </c>
      <c r="I136">
        <v>25</v>
      </c>
      <c r="J136" s="10">
        <f t="shared" si="51"/>
        <v>800</v>
      </c>
      <c r="K136">
        <v>1.25</v>
      </c>
      <c r="L136">
        <v>0.75</v>
      </c>
      <c r="M136">
        <v>1</v>
      </c>
      <c r="O136" s="10">
        <f t="shared" si="52"/>
        <v>847.5</v>
      </c>
      <c r="P136" s="10">
        <f t="shared" si="53"/>
        <v>592.50000000000023</v>
      </c>
      <c r="Q136" s="10">
        <f t="shared" si="54"/>
        <v>360.00000000000006</v>
      </c>
      <c r="R136" s="10">
        <f t="shared" si="55"/>
        <v>600.00000000000011</v>
      </c>
      <c r="S136">
        <v>600</v>
      </c>
    </row>
    <row r="137" spans="1:19" x14ac:dyDescent="0.25">
      <c r="B137" t="s">
        <v>702</v>
      </c>
      <c r="D137">
        <v>70000</v>
      </c>
      <c r="E137">
        <v>70</v>
      </c>
      <c r="F137" s="11">
        <f t="shared" si="56"/>
        <v>1.8397394136807816</v>
      </c>
      <c r="G137">
        <v>30000</v>
      </c>
      <c r="H137">
        <v>1</v>
      </c>
      <c r="I137">
        <v>20</v>
      </c>
      <c r="J137" s="10">
        <f t="shared" si="51"/>
        <v>1500</v>
      </c>
      <c r="K137">
        <v>1.25</v>
      </c>
      <c r="L137">
        <v>0.75</v>
      </c>
      <c r="M137">
        <v>1</v>
      </c>
      <c r="O137" s="10">
        <f t="shared" si="52"/>
        <v>1403.9902280130293</v>
      </c>
      <c r="P137" s="10">
        <f t="shared" si="53"/>
        <v>1181.8534201954396</v>
      </c>
      <c r="Q137" s="10">
        <f t="shared" si="54"/>
        <v>1014.1563517915307</v>
      </c>
      <c r="R137" s="10">
        <f t="shared" si="55"/>
        <v>1199.9999999999998</v>
      </c>
      <c r="S137">
        <v>1200</v>
      </c>
    </row>
    <row r="138" spans="1:19" x14ac:dyDescent="0.25">
      <c r="A138" t="s">
        <v>707</v>
      </c>
      <c r="B138" t="s">
        <v>710</v>
      </c>
      <c r="D138">
        <v>50000</v>
      </c>
      <c r="E138">
        <v>75</v>
      </c>
      <c r="F138" s="11">
        <f t="shared" si="56"/>
        <v>1.3333333333333337</v>
      </c>
      <c r="G138">
        <v>12000</v>
      </c>
      <c r="H138">
        <v>1</v>
      </c>
      <c r="I138">
        <v>15</v>
      </c>
      <c r="J138" s="10">
        <f t="shared" si="51"/>
        <v>800</v>
      </c>
      <c r="K138">
        <v>1</v>
      </c>
      <c r="L138">
        <v>0.75</v>
      </c>
      <c r="M138">
        <v>1</v>
      </c>
      <c r="O138" s="10">
        <f t="shared" si="52"/>
        <v>827.5</v>
      </c>
      <c r="P138" s="10">
        <f t="shared" si="53"/>
        <v>432.50000000000006</v>
      </c>
      <c r="Q138" s="10">
        <f t="shared" si="54"/>
        <v>240.00000000000009</v>
      </c>
      <c r="R138" s="10">
        <f t="shared" si="55"/>
        <v>500</v>
      </c>
      <c r="S138">
        <v>500</v>
      </c>
    </row>
    <row r="139" spans="1:19" x14ac:dyDescent="0.25">
      <c r="B139" t="s">
        <v>1020</v>
      </c>
      <c r="D139">
        <v>80000</v>
      </c>
      <c r="E139">
        <v>85</v>
      </c>
      <c r="F139" s="11">
        <f t="shared" si="56"/>
        <v>1.533083219645293</v>
      </c>
      <c r="G139">
        <v>18000</v>
      </c>
      <c r="H139">
        <v>1</v>
      </c>
      <c r="I139">
        <v>15</v>
      </c>
      <c r="J139" s="10">
        <f t="shared" si="51"/>
        <v>1200</v>
      </c>
      <c r="K139">
        <v>1</v>
      </c>
      <c r="L139">
        <v>0.75</v>
      </c>
      <c r="M139">
        <v>1</v>
      </c>
      <c r="O139" s="10">
        <f t="shared" si="52"/>
        <v>1193.4924965893588</v>
      </c>
      <c r="P139" s="10">
        <f t="shared" si="53"/>
        <v>755.90995907230558</v>
      </c>
      <c r="Q139" s="10">
        <f t="shared" si="54"/>
        <v>750.59754433833552</v>
      </c>
      <c r="R139" s="10">
        <f t="shared" si="55"/>
        <v>900</v>
      </c>
      <c r="S139">
        <v>900</v>
      </c>
    </row>
    <row r="140" spans="1:19" x14ac:dyDescent="0.25">
      <c r="B140" t="s">
        <v>711</v>
      </c>
      <c r="D140">
        <v>65000</v>
      </c>
      <c r="E140">
        <v>65</v>
      </c>
      <c r="F140" s="11">
        <f t="shared" si="56"/>
        <v>1.5547573435504471</v>
      </c>
      <c r="G140">
        <v>16000</v>
      </c>
      <c r="H140">
        <v>1</v>
      </c>
      <c r="I140">
        <v>18</v>
      </c>
      <c r="J140" s="10">
        <f t="shared" si="51"/>
        <v>888.88888888888891</v>
      </c>
      <c r="K140">
        <v>1</v>
      </c>
      <c r="L140">
        <v>0.75</v>
      </c>
      <c r="M140">
        <v>1</v>
      </c>
      <c r="O140" s="10">
        <f t="shared" si="52"/>
        <v>908.30938697318015</v>
      </c>
      <c r="P140" s="10">
        <f t="shared" si="53"/>
        <v>541.35195828011933</v>
      </c>
      <c r="Q140" s="10">
        <f t="shared" si="54"/>
        <v>350.3386547467008</v>
      </c>
      <c r="R140" s="10">
        <f t="shared" si="55"/>
        <v>600.00000000000011</v>
      </c>
      <c r="S140">
        <v>600</v>
      </c>
    </row>
    <row r="141" spans="1:19" x14ac:dyDescent="0.25">
      <c r="B141" t="s">
        <v>1059</v>
      </c>
      <c r="D141">
        <v>120000</v>
      </c>
      <c r="E141">
        <v>70</v>
      </c>
      <c r="F141" s="11">
        <f t="shared" si="56"/>
        <v>1.5998185117967336</v>
      </c>
      <c r="G141">
        <v>24000</v>
      </c>
      <c r="H141">
        <v>1</v>
      </c>
      <c r="I141">
        <v>18</v>
      </c>
      <c r="J141" s="10">
        <f t="shared" si="51"/>
        <v>1333.3333333333333</v>
      </c>
      <c r="K141">
        <v>1</v>
      </c>
      <c r="L141">
        <v>0.75</v>
      </c>
      <c r="M141">
        <v>1</v>
      </c>
      <c r="O141" s="10">
        <f t="shared" si="52"/>
        <v>1332.9945553539019</v>
      </c>
      <c r="P141" s="10">
        <f t="shared" si="53"/>
        <v>891.92740471869354</v>
      </c>
      <c r="Q141" s="10">
        <f t="shared" si="54"/>
        <v>1075.0780399274051</v>
      </c>
      <c r="R141" s="10">
        <f t="shared" si="55"/>
        <v>1100.0000000000002</v>
      </c>
      <c r="S141">
        <v>1100</v>
      </c>
    </row>
    <row r="143" spans="1:19" x14ac:dyDescent="0.25">
      <c r="A143" t="s">
        <v>629</v>
      </c>
      <c r="B143" t="s">
        <v>219</v>
      </c>
      <c r="D143">
        <v>30000</v>
      </c>
      <c r="E143">
        <v>60</v>
      </c>
      <c r="F143" s="11">
        <f t="shared" ref="F143:F148" si="57">(S143*37500000/(L143*M143*D143*E143*K143*J143)-((500/(K143*J143))+(2500000000/(D143*E143*K143*J143)*(D143/100000+E143/100+J143/200))))/(1+5000000/(D143*E143)+(500000000/(D143*E143*J143)))</f>
        <v>4.9468904244817384</v>
      </c>
      <c r="G143">
        <v>18000</v>
      </c>
      <c r="H143">
        <v>0.75</v>
      </c>
      <c r="I143">
        <v>19</v>
      </c>
      <c r="J143" s="10">
        <f t="shared" ref="J143:J148" si="58">G143/I143*H143</f>
        <v>710.52631578947364</v>
      </c>
      <c r="K143">
        <v>1.25</v>
      </c>
      <c r="L143">
        <v>0.75</v>
      </c>
      <c r="M143">
        <v>1</v>
      </c>
      <c r="O143" s="10">
        <f t="shared" ref="O143:O148" si="59">(D143/100000+E143/100+F143*K143/5+J143/200)*200*L143*M143</f>
        <v>853.40312776017038</v>
      </c>
      <c r="P143" s="10">
        <f t="shared" ref="P143:P148" si="60">((D143*E143/25000)+(F143*K143*J143/2.5))*L143*M143</f>
        <v>1372.085935470463</v>
      </c>
      <c r="Q143" s="10">
        <f t="shared" ref="Q143:Q148" si="61">(D143*E143*F143*K143*J143*L143*M143)/12500000</f>
        <v>474.51093676936671</v>
      </c>
      <c r="R143" s="10">
        <f t="shared" ref="R143:R148" si="62">(O143+P143+Q143)/3</f>
        <v>900</v>
      </c>
      <c r="S143">
        <v>900</v>
      </c>
    </row>
    <row r="144" spans="1:19" x14ac:dyDescent="0.25">
      <c r="B144" t="s">
        <v>235</v>
      </c>
      <c r="D144">
        <v>45000</v>
      </c>
      <c r="E144">
        <v>80</v>
      </c>
      <c r="F144" s="11">
        <f t="shared" si="57"/>
        <v>1.6156167979002634</v>
      </c>
      <c r="G144">
        <v>20000</v>
      </c>
      <c r="H144">
        <v>1</v>
      </c>
      <c r="I144">
        <v>37</v>
      </c>
      <c r="J144" s="10">
        <f t="shared" si="58"/>
        <v>540.54054054054052</v>
      </c>
      <c r="K144">
        <v>1</v>
      </c>
      <c r="L144">
        <v>0.75</v>
      </c>
      <c r="M144">
        <v>1</v>
      </c>
      <c r="O144" s="10">
        <f t="shared" si="59"/>
        <v>641.3739093424133</v>
      </c>
      <c r="P144" s="10">
        <f t="shared" si="60"/>
        <v>369.99191317301569</v>
      </c>
      <c r="Q144" s="10">
        <f t="shared" si="61"/>
        <v>188.6341774845713</v>
      </c>
      <c r="R144" s="10">
        <f t="shared" si="62"/>
        <v>400.00000000000017</v>
      </c>
      <c r="S144">
        <v>400</v>
      </c>
    </row>
    <row r="145" spans="1:19" x14ac:dyDescent="0.25">
      <c r="A145" t="s">
        <v>724</v>
      </c>
      <c r="B145" t="s">
        <v>336</v>
      </c>
      <c r="D145">
        <v>40000</v>
      </c>
      <c r="E145">
        <v>72</v>
      </c>
      <c r="F145" s="11">
        <f t="shared" si="57"/>
        <v>1.578828828828829</v>
      </c>
      <c r="G145">
        <v>20000</v>
      </c>
      <c r="H145">
        <v>1</v>
      </c>
      <c r="I145">
        <v>40</v>
      </c>
      <c r="J145" s="10">
        <f t="shared" si="58"/>
        <v>500</v>
      </c>
      <c r="K145">
        <v>1</v>
      </c>
      <c r="L145">
        <v>0.75</v>
      </c>
      <c r="M145">
        <v>1</v>
      </c>
      <c r="O145" s="10">
        <f t="shared" si="59"/>
        <v>590.3648648648649</v>
      </c>
      <c r="P145" s="10">
        <f t="shared" si="60"/>
        <v>323.22432432432436</v>
      </c>
      <c r="Q145" s="10">
        <f t="shared" si="61"/>
        <v>136.41081081081086</v>
      </c>
      <c r="R145" s="10">
        <f t="shared" si="62"/>
        <v>350</v>
      </c>
      <c r="S145">
        <v>350</v>
      </c>
    </row>
    <row r="146" spans="1:19" x14ac:dyDescent="0.25">
      <c r="B146" t="s">
        <v>339</v>
      </c>
      <c r="D146">
        <v>27000</v>
      </c>
      <c r="E146">
        <v>108</v>
      </c>
      <c r="F146" s="11">
        <f t="shared" si="57"/>
        <v>1.3445428172637448</v>
      </c>
      <c r="G146">
        <v>16000</v>
      </c>
      <c r="H146">
        <v>1</v>
      </c>
      <c r="I146">
        <v>39</v>
      </c>
      <c r="J146" s="10">
        <f t="shared" si="58"/>
        <v>410.25641025641028</v>
      </c>
      <c r="K146">
        <v>1</v>
      </c>
      <c r="L146">
        <v>0.75</v>
      </c>
      <c r="M146">
        <v>1</v>
      </c>
      <c r="O146" s="10">
        <f t="shared" si="59"/>
        <v>550.52859221022004</v>
      </c>
      <c r="P146" s="10">
        <f t="shared" si="60"/>
        <v>252.96219289399937</v>
      </c>
      <c r="Q146" s="10">
        <f t="shared" si="61"/>
        <v>96.509214895780431</v>
      </c>
      <c r="R146" s="10">
        <f t="shared" si="62"/>
        <v>299.99999999999994</v>
      </c>
      <c r="S146">
        <v>300</v>
      </c>
    </row>
    <row r="147" spans="1:19" x14ac:dyDescent="0.25">
      <c r="B147" t="s">
        <v>912</v>
      </c>
      <c r="D147">
        <v>30000</v>
      </c>
      <c r="E147">
        <v>60</v>
      </c>
      <c r="F147" s="11">
        <f t="shared" si="57"/>
        <v>3.0000000000000004</v>
      </c>
      <c r="G147">
        <v>12000</v>
      </c>
      <c r="H147">
        <v>0.875</v>
      </c>
      <c r="I147">
        <v>40</v>
      </c>
      <c r="J147" s="10">
        <f t="shared" si="58"/>
        <v>262.5</v>
      </c>
      <c r="K147">
        <v>1.25</v>
      </c>
      <c r="L147">
        <v>0.75</v>
      </c>
      <c r="M147">
        <v>1</v>
      </c>
      <c r="O147" s="10">
        <f t="shared" si="59"/>
        <v>444.375</v>
      </c>
      <c r="P147" s="10">
        <f t="shared" si="60"/>
        <v>349.31250000000006</v>
      </c>
      <c r="Q147" s="10">
        <f t="shared" si="61"/>
        <v>106.31250000000001</v>
      </c>
      <c r="R147" s="10">
        <f t="shared" si="62"/>
        <v>300</v>
      </c>
      <c r="S147">
        <v>300</v>
      </c>
    </row>
    <row r="148" spans="1:19" x14ac:dyDescent="0.25">
      <c r="B148" t="s">
        <v>913</v>
      </c>
      <c r="D148">
        <v>30000</v>
      </c>
      <c r="E148">
        <v>60</v>
      </c>
      <c r="F148" s="11">
        <f t="shared" si="57"/>
        <v>6.1501443695861404</v>
      </c>
      <c r="G148">
        <v>12000</v>
      </c>
      <c r="H148">
        <v>0.875</v>
      </c>
      <c r="I148">
        <v>65</v>
      </c>
      <c r="J148" s="10">
        <f t="shared" si="58"/>
        <v>161.53846153846155</v>
      </c>
      <c r="K148">
        <v>1</v>
      </c>
      <c r="L148">
        <v>0.75</v>
      </c>
      <c r="M148">
        <v>1</v>
      </c>
      <c r="O148" s="10">
        <f t="shared" si="59"/>
        <v>440.65817724143028</v>
      </c>
      <c r="P148" s="10">
        <f t="shared" si="60"/>
        <v>352.04545791071297</v>
      </c>
      <c r="Q148" s="10">
        <f t="shared" si="61"/>
        <v>107.29636484785668</v>
      </c>
      <c r="R148" s="10">
        <f t="shared" si="62"/>
        <v>300</v>
      </c>
      <c r="S148">
        <v>300</v>
      </c>
    </row>
    <row r="149" spans="1:19" x14ac:dyDescent="0.25">
      <c r="B149" t="s">
        <v>1175</v>
      </c>
      <c r="D149">
        <v>25000</v>
      </c>
      <c r="E149">
        <v>75</v>
      </c>
      <c r="F149" s="11">
        <f>(S149*37500000/(L149*M149*D149*E149*K149*J149)-((500/(K149*J149))+(2500000000/(D149*E149*K149*J149)*(D149/100000+E149/100+J149/200))))/(1+5000000/(D149*E149)+(500000000/(D149*E149*J149)))</f>
        <v>9.0011098779134304</v>
      </c>
      <c r="G149">
        <v>20000</v>
      </c>
      <c r="H149">
        <v>0.75</v>
      </c>
      <c r="I149">
        <v>19</v>
      </c>
      <c r="J149" s="10">
        <f>G149/I149*H149</f>
        <v>789.47368421052624</v>
      </c>
      <c r="K149">
        <v>1.25</v>
      </c>
      <c r="L149">
        <v>0.75</v>
      </c>
      <c r="M149">
        <v>0.75</v>
      </c>
      <c r="O149" s="10">
        <f>(D149/100000+E149/100+F149*K149/5+J149/200)*200*L149*M149</f>
        <v>809.73516268473622</v>
      </c>
      <c r="P149" s="10">
        <f>((D149*E149/25000)+(F149*K149*J149/2.5))*L149*M149</f>
        <v>2040.7891998656467</v>
      </c>
      <c r="Q149" s="10">
        <f>(D149*E149*F149*K149*J149*L149*M149)/12500000</f>
        <v>749.47563744961735</v>
      </c>
      <c r="R149" s="10">
        <f>(O149+P149+Q149)/3</f>
        <v>1200</v>
      </c>
      <c r="S149">
        <v>1200</v>
      </c>
    </row>
    <row r="151" spans="1:19" x14ac:dyDescent="0.25">
      <c r="B151" t="s">
        <v>558</v>
      </c>
      <c r="D151" t="s">
        <v>36</v>
      </c>
      <c r="E151" t="s">
        <v>37</v>
      </c>
      <c r="F151" t="s">
        <v>38</v>
      </c>
      <c r="G151" t="s">
        <v>39</v>
      </c>
      <c r="H151" t="s">
        <v>181</v>
      </c>
      <c r="I151" t="s">
        <v>40</v>
      </c>
      <c r="J151" s="10" t="s">
        <v>544</v>
      </c>
      <c r="K151" t="s">
        <v>142</v>
      </c>
      <c r="L151" t="s">
        <v>182</v>
      </c>
      <c r="M151" t="s">
        <v>385</v>
      </c>
      <c r="O151" s="10"/>
      <c r="P151" s="10"/>
      <c r="Q151" s="10"/>
      <c r="R151" s="10"/>
      <c r="S151" t="s">
        <v>41</v>
      </c>
    </row>
    <row r="153" spans="1:19" x14ac:dyDescent="0.25">
      <c r="A153" t="s">
        <v>669</v>
      </c>
      <c r="B153" t="s">
        <v>670</v>
      </c>
      <c r="D153">
        <v>50000</v>
      </c>
      <c r="E153">
        <v>50</v>
      </c>
      <c r="F153" s="11">
        <f>(S153*37500000/(L153*M153*D153*E153*K153*J153)-((500/(K153*J153))+(2500000000/(D153*E153*K153*J153)*(D153/100000+E153/100+J153/200))))/(1+5000000/(D153*E153)+(500000000/(D153*E153*J153)))</f>
        <v>12.96875</v>
      </c>
      <c r="G153">
        <v>100000</v>
      </c>
      <c r="H153">
        <v>0.75</v>
      </c>
      <c r="I153">
        <v>75</v>
      </c>
      <c r="J153" s="10">
        <f>G153/I153*H153</f>
        <v>1000</v>
      </c>
      <c r="K153">
        <v>1</v>
      </c>
      <c r="L153">
        <v>0.75</v>
      </c>
      <c r="M153">
        <v>0.75</v>
      </c>
      <c r="O153" s="10">
        <f>(D153/100000+E153/100+F153*K153/5+J153/200)*200*L153*M153</f>
        <v>966.796875</v>
      </c>
      <c r="P153" s="10">
        <f>((D153*E153/25000)+(F153*K153*J153/2.5))*L153*M153</f>
        <v>2974.21875</v>
      </c>
      <c r="Q153" s="10">
        <f>(D153*E153*F153*K153*J153*L153*M153)/12500000</f>
        <v>1458.984375</v>
      </c>
      <c r="R153" s="10">
        <f>(O153+P153+Q153)/3</f>
        <v>1800</v>
      </c>
      <c r="S153">
        <v>1800</v>
      </c>
    </row>
    <row r="154" spans="1:19" x14ac:dyDescent="0.25">
      <c r="B154" t="s">
        <v>670</v>
      </c>
      <c r="D154">
        <v>50000</v>
      </c>
      <c r="E154">
        <v>50</v>
      </c>
      <c r="F154" s="11">
        <v>13</v>
      </c>
      <c r="G154">
        <v>50000</v>
      </c>
      <c r="H154">
        <v>0.75</v>
      </c>
      <c r="I154">
        <v>25</v>
      </c>
      <c r="J154" s="10">
        <f>G154/I154*H154</f>
        <v>1500</v>
      </c>
      <c r="K154">
        <v>1</v>
      </c>
      <c r="L154">
        <v>0.75</v>
      </c>
      <c r="M154">
        <v>0.75</v>
      </c>
      <c r="O154" s="10">
        <f>(D154/100000+E154/100+F154*K154/5+J154/200)*200*L154*M154</f>
        <v>1248.75</v>
      </c>
      <c r="P154" s="10">
        <f>((D154*E154/25000)+(F154*K154*J154/2.5))*L154*M154</f>
        <v>4443.75</v>
      </c>
      <c r="Q154" s="10">
        <f>(D154*E154*F154*K154*J154*L154*M154)/12500000</f>
        <v>2193.75</v>
      </c>
      <c r="R154" s="10">
        <f>(O154+P154+Q154)/3</f>
        <v>2628.75</v>
      </c>
      <c r="S154" t="s">
        <v>672</v>
      </c>
    </row>
    <row r="155" spans="1:19" x14ac:dyDescent="0.25">
      <c r="A155" t="s">
        <v>321</v>
      </c>
      <c r="B155" t="s">
        <v>183</v>
      </c>
      <c r="D155">
        <v>25000</v>
      </c>
      <c r="E155">
        <v>78</v>
      </c>
      <c r="F155" s="11">
        <f>(S155*37500000/(L155*M155*D155*E155*K155*J155)-((500/(K155*J155))+(2500000000/(D155*E155*K155*J155)*(D155/100000+E155/100+J155/200))))/(1+5000000/(D155*E155)+(500000000/(D155*E155*J155)))</f>
        <v>8.6546747091770797</v>
      </c>
      <c r="G155">
        <v>32000</v>
      </c>
      <c r="H155">
        <v>0.875</v>
      </c>
      <c r="I155">
        <v>75</v>
      </c>
      <c r="J155" s="10">
        <f>G155/I155*H155</f>
        <v>373.33333333333337</v>
      </c>
      <c r="K155">
        <v>1</v>
      </c>
      <c r="L155">
        <v>0.75</v>
      </c>
      <c r="M155">
        <v>1</v>
      </c>
      <c r="O155" s="10">
        <f>(D155/100000+E155/100+F155*K155/5+J155/200)*200*L155*M155</f>
        <v>694.14024127531252</v>
      </c>
      <c r="P155" s="10">
        <f>((D155*E155/25000)+(F155*K155*J155/2.5))*L155*M155</f>
        <v>1027.823567427833</v>
      </c>
      <c r="Q155" s="10">
        <f>(D155*E155*F155*K155*J155*L155*M155)/12500000</f>
        <v>378.03619129685495</v>
      </c>
      <c r="R155" s="10">
        <f>(O155+P155+Q155)/3</f>
        <v>700.00000000000011</v>
      </c>
      <c r="S155">
        <v>700</v>
      </c>
    </row>
    <row r="156" spans="1:19" x14ac:dyDescent="0.25">
      <c r="A156" t="s">
        <v>320</v>
      </c>
      <c r="B156" t="s">
        <v>186</v>
      </c>
      <c r="D156">
        <v>10000</v>
      </c>
      <c r="E156">
        <v>60</v>
      </c>
      <c r="F156" s="11">
        <f>(S156*37500000/(L156*M156*D156*E156*K156*J156)-((500/(K156*J156))+(2500000000/(D156*E156*K156*J156)*(D156/100000+E156/100+J156/200))))/(1+5000000/(D156*E156)+(500000000/(D156*E156*J156)))</f>
        <v>9.1534090909090917</v>
      </c>
      <c r="G156">
        <v>30000</v>
      </c>
      <c r="H156">
        <v>0.75</v>
      </c>
      <c r="I156">
        <v>100</v>
      </c>
      <c r="J156" s="10">
        <f>G156/I156*H156</f>
        <v>225</v>
      </c>
      <c r="K156">
        <v>1.25</v>
      </c>
      <c r="L156">
        <v>0.75</v>
      </c>
      <c r="M156">
        <v>1</v>
      </c>
      <c r="O156" s="10">
        <f>(D156/100000+E156/100+F156*K156/5+J156/200)*200*L156*M156</f>
        <v>617.00284090909088</v>
      </c>
      <c r="P156" s="10">
        <f>((D156*E156/25000)+(F156*K156*J156/2.5))*L156*M156</f>
        <v>790.3188920454545</v>
      </c>
      <c r="Q156" s="10">
        <f>(D156*E156*F156*K156*J156*L156*M156)/12500000</f>
        <v>92.678267045454561</v>
      </c>
      <c r="R156" s="10">
        <f>(O156+P156+Q156)/3</f>
        <v>500</v>
      </c>
      <c r="S156">
        <v>500</v>
      </c>
    </row>
    <row r="157" spans="1:19" x14ac:dyDescent="0.25">
      <c r="B157" t="s">
        <v>756</v>
      </c>
      <c r="D157">
        <v>30000</v>
      </c>
      <c r="E157">
        <v>70</v>
      </c>
      <c r="F157" s="11">
        <f>(S157*37500000/(L157*M157*D157*E157*K157*J157)-((500/(K157*J157))+(2500000000/(D157*E157*K157*J157)*(D157/100000+E157/100+J157/200))))/(1+5000000/(D157*E157)+(500000000/(D157*E157*J157)))</f>
        <v>6.7699604743083013</v>
      </c>
      <c r="G157">
        <v>10000</v>
      </c>
      <c r="H157">
        <v>0.75</v>
      </c>
      <c r="I157">
        <v>20</v>
      </c>
      <c r="J157" s="10">
        <f>G157/I157*H157</f>
        <v>375</v>
      </c>
      <c r="K157">
        <v>1.25</v>
      </c>
      <c r="L157">
        <v>0.75</v>
      </c>
      <c r="M157">
        <v>1</v>
      </c>
      <c r="O157" s="10">
        <f>(D157/100000+E157/100+F157*K157/5+J157/200)*200*L157*M157</f>
        <v>685.12351778656137</v>
      </c>
      <c r="P157" s="10">
        <f>((D157*E157/25000)+(F157*K157*J157/2.5))*L157*M157</f>
        <v>1015.0256916996049</v>
      </c>
      <c r="Q157" s="10">
        <f>(D157*E157*F157*K157*J157*L157*M157)/12500000</f>
        <v>399.85079051383406</v>
      </c>
      <c r="R157" s="10">
        <f>(O157+P157+Q157)/3</f>
        <v>700.00000000000011</v>
      </c>
      <c r="S157">
        <v>700</v>
      </c>
    </row>
    <row r="159" spans="1:19" x14ac:dyDescent="0.25">
      <c r="B159" t="s">
        <v>99</v>
      </c>
      <c r="D159">
        <v>20000</v>
      </c>
      <c r="E159">
        <v>72</v>
      </c>
      <c r="F159" s="11">
        <f>(S159*37500000/(L159*M159*D159*E159*K159*J159)-((500/(K159*J159))+(2500000000/(D159*E159*K159*J159)*(D159/100000+E159/100+J159/200))))/(1+5000000/(D159*E159)+(500000000/(D159*E159*J159)))</f>
        <v>7.4958881578947372</v>
      </c>
      <c r="G159">
        <v>40000</v>
      </c>
      <c r="H159">
        <v>0.75</v>
      </c>
      <c r="I159">
        <v>100</v>
      </c>
      <c r="J159" s="10">
        <f>G159/I159*H159</f>
        <v>300</v>
      </c>
      <c r="K159">
        <v>1</v>
      </c>
      <c r="L159">
        <v>0.75</v>
      </c>
      <c r="M159">
        <v>1</v>
      </c>
      <c r="O159" s="10">
        <f>(D159/100000+E159/100+F159*K159/5+J159/200)*200*L159*M159</f>
        <v>587.87664473684208</v>
      </c>
      <c r="P159" s="10">
        <f>((D159*E159/25000)+(F159*K159*J159/2.5))*L159*M159</f>
        <v>717.8299342105264</v>
      </c>
      <c r="Q159" s="10">
        <f>(D159*E159*F159*K159*J159*L159*M159)/12500000</f>
        <v>194.29342105263157</v>
      </c>
      <c r="R159" s="10">
        <f>(O159+P159+Q159)/3</f>
        <v>500.00000000000006</v>
      </c>
      <c r="S159">
        <v>500</v>
      </c>
    </row>
    <row r="160" spans="1:19" x14ac:dyDescent="0.25">
      <c r="B160" t="s">
        <v>538</v>
      </c>
      <c r="D160">
        <v>20000</v>
      </c>
      <c r="E160">
        <v>72</v>
      </c>
      <c r="F160" s="11">
        <f>(S160*37500000/(L160*M160*D160*E160*K160*J160)-((500/(K160*J160))+(2500000000/(D160*E160*K160*J160)*(D160/100000+E160/100+J160/200))))/(1+5000000/(D160*E160)+(500000000/(D160*E160*J160)))</f>
        <v>7.5308453447604196</v>
      </c>
      <c r="G160">
        <v>30000</v>
      </c>
      <c r="H160">
        <v>1</v>
      </c>
      <c r="I160">
        <v>127</v>
      </c>
      <c r="J160" s="10">
        <f>G160/I160*H160</f>
        <v>236.22047244094489</v>
      </c>
      <c r="K160">
        <v>1.25</v>
      </c>
      <c r="L160">
        <v>0.75</v>
      </c>
      <c r="M160">
        <v>1</v>
      </c>
      <c r="O160" s="10">
        <f>(D160/100000+E160/100+F160*K160/5+J160/200)*200*L160*M160</f>
        <v>597.57205475922433</v>
      </c>
      <c r="P160" s="10">
        <f>((D160*E160/25000)+(F160*K160*J160/2.5))*L160*M160</f>
        <v>710.30244195712385</v>
      </c>
      <c r="Q160" s="10">
        <f>(D160*E160*F160*K160*J160*L160*M160)/12500000</f>
        <v>192.12550328365165</v>
      </c>
      <c r="R160" s="10">
        <f>(O160+P160+Q160)/3</f>
        <v>499.99999999999994</v>
      </c>
      <c r="S160">
        <v>500</v>
      </c>
    </row>
    <row r="161" spans="1:19" x14ac:dyDescent="0.25">
      <c r="A161" t="s">
        <v>578</v>
      </c>
      <c r="B161" t="s">
        <v>580</v>
      </c>
      <c r="D161">
        <v>8000</v>
      </c>
      <c r="E161">
        <v>60</v>
      </c>
      <c r="F161" s="11">
        <f>(S161*37500000/(L161*M161*D161*E161*K161*J161)-((500/(K161*J161))+(2500000000/(D161*E161*K161*J161)*(D161/100000+E161/100+J161/200))))/(1+5000000/(D161*E161)+(500000000/(D161*E161*J161)))</f>
        <v>7.7771053958648517</v>
      </c>
      <c r="G161">
        <v>24000</v>
      </c>
      <c r="H161">
        <v>0.75</v>
      </c>
      <c r="I161">
        <v>120</v>
      </c>
      <c r="J161" s="10">
        <f>G161/I161*H161</f>
        <v>150</v>
      </c>
      <c r="K161">
        <v>1.25</v>
      </c>
      <c r="L161">
        <v>0.75</v>
      </c>
      <c r="M161">
        <v>0.75</v>
      </c>
      <c r="O161" s="10">
        <f>(D161/100000+E161/100+F161*K161/5+J161/200)*200*L161*M161</f>
        <v>379.60608925869894</v>
      </c>
      <c r="P161" s="10">
        <f>((D161*E161/25000)+(F161*K161*J161/2.5))*L161*M161</f>
        <v>338.89663388804848</v>
      </c>
      <c r="Q161" s="10">
        <f>(D161*E161*F161*K161*J161*L161*M161)/12500000</f>
        <v>31.49727685325265</v>
      </c>
      <c r="R161" s="10">
        <f>(O161+P161+Q161)/3</f>
        <v>250.00000000000003</v>
      </c>
      <c r="S161">
        <v>250</v>
      </c>
    </row>
    <row r="162" spans="1:19" x14ac:dyDescent="0.25">
      <c r="A162" t="s">
        <v>605</v>
      </c>
      <c r="B162" s="12" t="s">
        <v>606</v>
      </c>
      <c r="C162" s="12"/>
      <c r="D162">
        <v>45000</v>
      </c>
      <c r="E162">
        <v>75</v>
      </c>
      <c r="F162" s="11">
        <f>(S162*37500000/(L162*M162*D162*E162*K162*J162)-((500/(K162*J162))+(2500000000/(D162*E162*K162*J162)*(D162/100000+E162/100+J162/200))))/(1+5000000/(D162*E162)+(500000000/(D162*E162*J162)))</f>
        <v>8.4278803869832899</v>
      </c>
      <c r="G162">
        <v>10000</v>
      </c>
      <c r="H162">
        <v>1</v>
      </c>
      <c r="I162">
        <v>22</v>
      </c>
      <c r="J162" s="10">
        <f>G162/I162*H162</f>
        <v>454.54545454545456</v>
      </c>
      <c r="K162">
        <v>1</v>
      </c>
      <c r="L162">
        <v>0.75</v>
      </c>
      <c r="M162">
        <v>0.75</v>
      </c>
      <c r="O162" s="10">
        <f>(D162/100000+E162/100+F162*K162/5+J162/200)*200*L162*M162</f>
        <v>580.30912688894227</v>
      </c>
      <c r="P162" s="10">
        <f>((D162*E162/25000)+(F162*K162*J162/2.5))*L162*M162</f>
        <v>937.87981230510923</v>
      </c>
      <c r="Q162" s="10">
        <f>(D162*E162*F162*K162*J162*L162*M162)/12500000</f>
        <v>581.81106080594861</v>
      </c>
      <c r="R162" s="10">
        <f>(O162+P162+Q162)/3</f>
        <v>700</v>
      </c>
      <c r="S162">
        <v>700</v>
      </c>
    </row>
    <row r="163" spans="1:19" x14ac:dyDescent="0.25">
      <c r="B163" s="12" t="s">
        <v>72</v>
      </c>
      <c r="C163" s="12"/>
      <c r="D163">
        <v>50000</v>
      </c>
      <c r="E163">
        <v>80</v>
      </c>
      <c r="F163" s="11">
        <f>(S163*37500000/(L163*M163*D163*E163*K163*J163)-((500/(K163*J163))+(2500000000/(D163*E163*K163*J163)*(D163/100000+E163/100+J163/200))))/(1+5000000/(D163*E163)+(500000000/(D163*E163*J163)))</f>
        <v>7.9223918575063621</v>
      </c>
      <c r="G163">
        <v>20000</v>
      </c>
      <c r="H163">
        <v>1</v>
      </c>
      <c r="I163">
        <v>33</v>
      </c>
      <c r="J163" s="10">
        <f>G163/I163*H163</f>
        <v>606.06060606060601</v>
      </c>
      <c r="K163">
        <v>1</v>
      </c>
      <c r="L163">
        <v>0.75</v>
      </c>
      <c r="M163">
        <v>0.75</v>
      </c>
      <c r="O163" s="10">
        <f>(D163/100000+E163/100+F163*K163/5+J163/200)*200*L163*M163</f>
        <v>665.41290770298406</v>
      </c>
      <c r="P163" s="10">
        <f>((D163*E163/25000)+(F163*K163*J163/2.5))*L163*M163</f>
        <v>1170.3261623872311</v>
      </c>
      <c r="Q163" s="10">
        <f>(D163*E163*F163*K163*J163*L163*M163)/12500000</f>
        <v>864.26092990978486</v>
      </c>
      <c r="R163" s="10">
        <f>(O163+P163+Q163)/3</f>
        <v>900</v>
      </c>
      <c r="S163">
        <v>900</v>
      </c>
    </row>
    <row r="166" spans="1:19" x14ac:dyDescent="0.25">
      <c r="A166" t="s">
        <v>629</v>
      </c>
      <c r="B166" t="s">
        <v>222</v>
      </c>
      <c r="D166">
        <v>22000</v>
      </c>
      <c r="E166">
        <v>56</v>
      </c>
      <c r="F166" s="11">
        <f t="shared" ref="F166:F171" si="63">(S166*37500000/(L166*M166*D166*E166*K166*J166)-((500/(K166*J166))+(2500000000/(D166*E166*K166*J166)*(D166/100000+E166/100+J166/200))))/(1+5000000/(D166*E166)+(500000000/(D166*E166*J166)))</f>
        <v>10.010212502578915</v>
      </c>
      <c r="G166">
        <v>44000</v>
      </c>
      <c r="H166">
        <v>0.75</v>
      </c>
      <c r="I166">
        <v>54</v>
      </c>
      <c r="J166" s="10">
        <f t="shared" ref="J166:J171" si="64">G166/I166*H166</f>
        <v>611.11111111111109</v>
      </c>
      <c r="K166">
        <v>1</v>
      </c>
      <c r="L166">
        <v>0.75</v>
      </c>
      <c r="M166">
        <v>0.75</v>
      </c>
      <c r="O166" s="10">
        <f t="shared" ref="O166:O171" si="65">(D166/100000+E166/100+F166*K166/5+J166/200)*200*L166*M166</f>
        <v>656.72978130802562</v>
      </c>
      <c r="P166" s="10">
        <f t="shared" ref="P166:P171" si="66">((D166*E166/25000)+(F166*K166*J166/2.5))*L166*M166</f>
        <v>1404.124219104601</v>
      </c>
      <c r="Q166" s="10">
        <f t="shared" ref="Q166:Q171" si="67">(D166*E166*F166*K166*J166*L166*M166)/12500000</f>
        <v>339.14599958737358</v>
      </c>
      <c r="R166" s="10">
        <f t="shared" ref="R166:R171" si="68">(O166+P166+Q166)/3</f>
        <v>800</v>
      </c>
      <c r="S166">
        <v>800</v>
      </c>
    </row>
    <row r="167" spans="1:19" x14ac:dyDescent="0.25">
      <c r="B167" t="s">
        <v>236</v>
      </c>
      <c r="D167">
        <v>12000</v>
      </c>
      <c r="E167">
        <v>52</v>
      </c>
      <c r="F167" s="11">
        <f t="shared" si="63"/>
        <v>9.9944736474856946</v>
      </c>
      <c r="G167">
        <v>24000</v>
      </c>
      <c r="H167">
        <v>1</v>
      </c>
      <c r="I167">
        <v>74</v>
      </c>
      <c r="J167" s="10">
        <f t="shared" si="64"/>
        <v>324.32432432432432</v>
      </c>
      <c r="K167">
        <v>1.25</v>
      </c>
      <c r="L167">
        <v>0.75</v>
      </c>
      <c r="M167">
        <v>1</v>
      </c>
      <c r="O167" s="10">
        <f t="shared" si="65"/>
        <v>714.0360050239567</v>
      </c>
      <c r="P167" s="10">
        <f t="shared" si="66"/>
        <v>1234.2640922617736</v>
      </c>
      <c r="Q167" s="10">
        <f t="shared" si="67"/>
        <v>151.69990271426937</v>
      </c>
      <c r="R167" s="10">
        <f t="shared" si="68"/>
        <v>699.99999999999989</v>
      </c>
      <c r="S167">
        <v>700</v>
      </c>
    </row>
    <row r="168" spans="1:19" x14ac:dyDescent="0.25">
      <c r="B168" t="s">
        <v>337</v>
      </c>
      <c r="D168">
        <v>20000</v>
      </c>
      <c r="E168">
        <v>60</v>
      </c>
      <c r="F168" s="11">
        <f t="shared" si="63"/>
        <v>4.5604395604395602</v>
      </c>
      <c r="G168">
        <v>20000</v>
      </c>
      <c r="H168">
        <v>1</v>
      </c>
      <c r="I168">
        <v>25</v>
      </c>
      <c r="J168" s="10">
        <f t="shared" si="64"/>
        <v>800</v>
      </c>
      <c r="K168">
        <v>1</v>
      </c>
      <c r="L168">
        <v>0.75</v>
      </c>
      <c r="M168">
        <v>1</v>
      </c>
      <c r="O168" s="10">
        <f t="shared" si="65"/>
        <v>856.8131868131868</v>
      </c>
      <c r="P168" s="10">
        <f t="shared" si="66"/>
        <v>1130.5054945054944</v>
      </c>
      <c r="Q168" s="10">
        <f t="shared" si="67"/>
        <v>262.68131868131866</v>
      </c>
      <c r="R168" s="10">
        <f t="shared" si="68"/>
        <v>750</v>
      </c>
      <c r="S168">
        <v>750</v>
      </c>
    </row>
    <row r="169" spans="1:19" x14ac:dyDescent="0.25">
      <c r="B169" t="s">
        <v>340</v>
      </c>
      <c r="D169">
        <v>40000</v>
      </c>
      <c r="E169">
        <v>60</v>
      </c>
      <c r="F169" s="11">
        <f t="shared" si="63"/>
        <v>7.2497149372862033</v>
      </c>
      <c r="G169">
        <v>12000</v>
      </c>
      <c r="H169">
        <v>0.875</v>
      </c>
      <c r="I169">
        <v>20</v>
      </c>
      <c r="J169" s="10">
        <f t="shared" si="64"/>
        <v>525</v>
      </c>
      <c r="K169">
        <v>1.25</v>
      </c>
      <c r="L169">
        <v>0.75</v>
      </c>
      <c r="M169">
        <v>1</v>
      </c>
      <c r="O169" s="10">
        <f t="shared" si="65"/>
        <v>815.61431014823256</v>
      </c>
      <c r="P169" s="10">
        <f t="shared" si="66"/>
        <v>1499.2876282782208</v>
      </c>
      <c r="Q169" s="10">
        <f t="shared" si="67"/>
        <v>685.09806157354615</v>
      </c>
      <c r="R169" s="10">
        <f t="shared" si="68"/>
        <v>999.99999999999989</v>
      </c>
      <c r="S169">
        <v>1000</v>
      </c>
    </row>
    <row r="170" spans="1:19" x14ac:dyDescent="0.25">
      <c r="B170" t="s">
        <v>752</v>
      </c>
      <c r="D170">
        <v>28000</v>
      </c>
      <c r="E170">
        <v>70</v>
      </c>
      <c r="F170" s="11">
        <f t="shared" si="63"/>
        <v>6.3001733102253032</v>
      </c>
      <c r="G170">
        <v>20000</v>
      </c>
      <c r="H170">
        <v>0.75</v>
      </c>
      <c r="I170">
        <v>22</v>
      </c>
      <c r="J170" s="10">
        <f t="shared" si="64"/>
        <v>681.81818181818187</v>
      </c>
      <c r="K170">
        <v>1</v>
      </c>
      <c r="L170">
        <v>0.75</v>
      </c>
      <c r="M170">
        <v>1</v>
      </c>
      <c r="O170" s="10">
        <f t="shared" si="65"/>
        <v>847.36883567039558</v>
      </c>
      <c r="P170" s="10">
        <f t="shared" si="66"/>
        <v>1347.4718134551758</v>
      </c>
      <c r="Q170" s="10">
        <f t="shared" si="67"/>
        <v>505.15935087442887</v>
      </c>
      <c r="R170" s="10">
        <f t="shared" si="68"/>
        <v>900.00000000000011</v>
      </c>
      <c r="S170">
        <v>900</v>
      </c>
    </row>
    <row r="171" spans="1:19" x14ac:dyDescent="0.25">
      <c r="B171" t="s">
        <v>753</v>
      </c>
      <c r="D171">
        <v>28000</v>
      </c>
      <c r="E171">
        <v>70</v>
      </c>
      <c r="F171" s="11">
        <f t="shared" si="63"/>
        <v>6.3001733102253032</v>
      </c>
      <c r="G171">
        <v>70000</v>
      </c>
      <c r="H171">
        <v>0.75</v>
      </c>
      <c r="I171">
        <v>77</v>
      </c>
      <c r="J171" s="10">
        <f t="shared" si="64"/>
        <v>681.81818181818187</v>
      </c>
      <c r="K171">
        <v>1</v>
      </c>
      <c r="L171">
        <v>0.75</v>
      </c>
      <c r="M171">
        <v>1</v>
      </c>
      <c r="O171" s="10">
        <f t="shared" si="65"/>
        <v>847.36883567039558</v>
      </c>
      <c r="P171" s="10">
        <f t="shared" si="66"/>
        <v>1347.4718134551758</v>
      </c>
      <c r="Q171" s="10">
        <f t="shared" si="67"/>
        <v>505.15935087442887</v>
      </c>
      <c r="R171" s="10">
        <f t="shared" si="68"/>
        <v>900.00000000000011</v>
      </c>
      <c r="S171">
        <v>900</v>
      </c>
    </row>
    <row r="173" spans="1:19" x14ac:dyDescent="0.25">
      <c r="B173" t="s">
        <v>551</v>
      </c>
      <c r="D173" t="s">
        <v>36</v>
      </c>
      <c r="E173" t="s">
        <v>37</v>
      </c>
      <c r="F173" t="s">
        <v>38</v>
      </c>
      <c r="G173" t="s">
        <v>39</v>
      </c>
      <c r="H173" t="s">
        <v>181</v>
      </c>
      <c r="I173" t="s">
        <v>40</v>
      </c>
      <c r="J173" s="10" t="s">
        <v>544</v>
      </c>
      <c r="K173" t="s">
        <v>142</v>
      </c>
      <c r="L173" t="s">
        <v>182</v>
      </c>
      <c r="M173" t="s">
        <v>385</v>
      </c>
      <c r="O173" s="10"/>
      <c r="P173" s="10"/>
      <c r="Q173" s="10"/>
      <c r="R173" s="10"/>
      <c r="S173" t="s">
        <v>41</v>
      </c>
    </row>
    <row r="175" spans="1:19" x14ac:dyDescent="0.25">
      <c r="A175" t="s">
        <v>321</v>
      </c>
      <c r="B175" t="s">
        <v>48</v>
      </c>
      <c r="D175">
        <v>80000</v>
      </c>
      <c r="E175">
        <v>65</v>
      </c>
      <c r="F175" s="11">
        <f t="shared" ref="F175:F180" si="69">(S175*37500000/(L175*M175*D175*E175*K175*J175)-((500/(K175*J175))+(2500000000/(D175*E175*K175*J175)*(D175/100000+E175/100+J175/200))))/(1+5000000/(D175*E175)+(500000000/(D175*E175*J175)))</f>
        <v>8.0863422291993707</v>
      </c>
      <c r="G175">
        <v>40000</v>
      </c>
      <c r="H175">
        <v>0.75</v>
      </c>
      <c r="I175">
        <v>25</v>
      </c>
      <c r="J175" s="10">
        <f t="shared" ref="J175:J195" si="70">G175/I175*H175</f>
        <v>1200</v>
      </c>
      <c r="K175">
        <v>1.25</v>
      </c>
      <c r="L175">
        <v>1</v>
      </c>
      <c r="M175">
        <v>0.75</v>
      </c>
      <c r="O175" s="10">
        <f t="shared" ref="O175:O195" si="71">(D175/100000+E175/100+F175*K175/5+J175/200)*200*L175*M175</f>
        <v>1420.7378335949766</v>
      </c>
      <c r="P175" s="10">
        <f t="shared" ref="P175:P195" si="72">((D175*E175/25000)+(F175*K175*J175/2.5))*L175*M175</f>
        <v>3794.8540031397174</v>
      </c>
      <c r="Q175" s="10">
        <f t="shared" ref="Q175:Q195" si="73">(D175*E175*F175*K175*J175*L175*M175)/12500000</f>
        <v>3784.4081632653051</v>
      </c>
      <c r="R175" s="10">
        <f t="shared" ref="R175:R195" si="74">(O175+P175+Q175)/3</f>
        <v>3000</v>
      </c>
      <c r="S175">
        <v>3000</v>
      </c>
    </row>
    <row r="176" spans="1:19" x14ac:dyDescent="0.25">
      <c r="B176" t="s">
        <v>74</v>
      </c>
      <c r="D176">
        <v>57000</v>
      </c>
      <c r="E176">
        <v>79</v>
      </c>
      <c r="F176" s="11">
        <f t="shared" si="69"/>
        <v>6.029847487119997</v>
      </c>
      <c r="G176">
        <v>12000</v>
      </c>
      <c r="H176">
        <v>1.25</v>
      </c>
      <c r="I176">
        <v>8</v>
      </c>
      <c r="J176" s="10">
        <f t="shared" si="70"/>
        <v>1875</v>
      </c>
      <c r="K176">
        <v>2</v>
      </c>
      <c r="L176">
        <v>1</v>
      </c>
      <c r="M176">
        <v>0.75</v>
      </c>
      <c r="O176" s="10">
        <f t="shared" si="71"/>
        <v>1972.0408492271999</v>
      </c>
      <c r="P176" s="10">
        <f t="shared" si="72"/>
        <v>6918.6684230099963</v>
      </c>
      <c r="Q176" s="10">
        <f t="shared" si="73"/>
        <v>6109.2907277628028</v>
      </c>
      <c r="R176" s="10">
        <f t="shared" si="74"/>
        <v>5000</v>
      </c>
      <c r="S176">
        <v>5000</v>
      </c>
    </row>
    <row r="177" spans="1:19" x14ac:dyDescent="0.25">
      <c r="B177" t="s">
        <v>82</v>
      </c>
      <c r="D177">
        <v>100000</v>
      </c>
      <c r="E177">
        <v>75</v>
      </c>
      <c r="F177" s="11">
        <f t="shared" si="69"/>
        <v>7.75</v>
      </c>
      <c r="G177">
        <v>160000</v>
      </c>
      <c r="H177">
        <v>0.875</v>
      </c>
      <c r="I177">
        <v>100</v>
      </c>
      <c r="J177" s="10">
        <f t="shared" si="70"/>
        <v>1400</v>
      </c>
      <c r="K177">
        <v>1.25</v>
      </c>
      <c r="L177">
        <v>1</v>
      </c>
      <c r="M177">
        <v>0.75</v>
      </c>
      <c r="O177" s="10">
        <f t="shared" si="71"/>
        <v>1603.125</v>
      </c>
      <c r="P177" s="10">
        <f t="shared" si="72"/>
        <v>4293.75</v>
      </c>
      <c r="Q177" s="10">
        <f t="shared" si="73"/>
        <v>6103.125</v>
      </c>
      <c r="R177" s="10">
        <f t="shared" si="74"/>
        <v>4000</v>
      </c>
      <c r="S177">
        <v>4000</v>
      </c>
    </row>
    <row r="178" spans="1:19" x14ac:dyDescent="0.25">
      <c r="A178" t="s">
        <v>320</v>
      </c>
      <c r="B178" t="s">
        <v>96</v>
      </c>
      <c r="D178">
        <v>44000</v>
      </c>
      <c r="E178">
        <v>77</v>
      </c>
      <c r="F178" s="11">
        <f t="shared" si="69"/>
        <v>7.7377159455740694</v>
      </c>
      <c r="G178">
        <v>14000</v>
      </c>
      <c r="H178">
        <v>0.75</v>
      </c>
      <c r="I178">
        <v>7</v>
      </c>
      <c r="J178" s="10">
        <f t="shared" si="70"/>
        <v>1500</v>
      </c>
      <c r="K178">
        <v>1.25</v>
      </c>
      <c r="L178">
        <v>1</v>
      </c>
      <c r="M178">
        <v>0.75</v>
      </c>
      <c r="O178" s="10">
        <f t="shared" si="71"/>
        <v>1596.6643479590277</v>
      </c>
      <c r="P178" s="10">
        <f t="shared" si="72"/>
        <v>4454.1052193854139</v>
      </c>
      <c r="Q178" s="10">
        <f t="shared" si="73"/>
        <v>2949.2304326555568</v>
      </c>
      <c r="R178" s="10">
        <f t="shared" si="74"/>
        <v>2999.9999999999995</v>
      </c>
      <c r="S178">
        <v>3000</v>
      </c>
    </row>
    <row r="179" spans="1:19" x14ac:dyDescent="0.25">
      <c r="B179" t="s">
        <v>906</v>
      </c>
      <c r="D179">
        <v>400000</v>
      </c>
      <c r="E179">
        <v>55</v>
      </c>
      <c r="F179" s="11">
        <f t="shared" si="69"/>
        <v>5.4003067484662575</v>
      </c>
      <c r="G179">
        <v>60000</v>
      </c>
      <c r="H179">
        <v>1</v>
      </c>
      <c r="I179">
        <v>20</v>
      </c>
      <c r="J179" s="10">
        <f t="shared" si="70"/>
        <v>3000</v>
      </c>
      <c r="K179">
        <v>1</v>
      </c>
      <c r="L179">
        <v>1</v>
      </c>
      <c r="M179">
        <v>0.75</v>
      </c>
      <c r="O179" s="10">
        <f t="shared" si="71"/>
        <v>3094.5092024539877</v>
      </c>
      <c r="P179" s="10">
        <f t="shared" si="72"/>
        <v>5520.2760736196315</v>
      </c>
      <c r="Q179" s="10">
        <f t="shared" si="73"/>
        <v>21385.214723926383</v>
      </c>
      <c r="R179" s="10">
        <f t="shared" si="74"/>
        <v>10000</v>
      </c>
      <c r="S179">
        <v>10000</v>
      </c>
    </row>
    <row r="180" spans="1:19" x14ac:dyDescent="0.25">
      <c r="B180" t="s">
        <v>907</v>
      </c>
      <c r="D180">
        <v>400000</v>
      </c>
      <c r="E180">
        <v>55</v>
      </c>
      <c r="F180" s="11">
        <f t="shared" si="69"/>
        <v>5.6603827829801219</v>
      </c>
      <c r="G180">
        <v>112000</v>
      </c>
      <c r="H180">
        <v>1</v>
      </c>
      <c r="I180">
        <v>39</v>
      </c>
      <c r="J180" s="10">
        <f t="shared" si="70"/>
        <v>2871.7948717948716</v>
      </c>
      <c r="K180">
        <v>1</v>
      </c>
      <c r="L180">
        <v>1</v>
      </c>
      <c r="M180">
        <v>0.75</v>
      </c>
      <c r="O180" s="10">
        <f t="shared" si="71"/>
        <v>3006.1576373355574</v>
      </c>
      <c r="P180" s="10">
        <f t="shared" si="72"/>
        <v>5536.6374745674893</v>
      </c>
      <c r="Q180" s="10">
        <f t="shared" si="73"/>
        <v>21457.204888096952</v>
      </c>
      <c r="R180" s="10">
        <f t="shared" si="74"/>
        <v>10000</v>
      </c>
      <c r="S180">
        <v>10000</v>
      </c>
    </row>
    <row r="181" spans="1:19" x14ac:dyDescent="0.25">
      <c r="B181" t="s">
        <v>100</v>
      </c>
      <c r="D181">
        <v>75000</v>
      </c>
      <c r="E181">
        <v>60</v>
      </c>
      <c r="F181">
        <v>6.6660000000000004</v>
      </c>
      <c r="G181">
        <v>60000</v>
      </c>
      <c r="H181">
        <v>1.25</v>
      </c>
      <c r="I181">
        <v>3</v>
      </c>
      <c r="J181" s="10">
        <f t="shared" si="70"/>
        <v>25000</v>
      </c>
      <c r="K181">
        <v>1.25</v>
      </c>
      <c r="L181">
        <v>1</v>
      </c>
      <c r="M181">
        <v>0.75</v>
      </c>
      <c r="O181" s="10">
        <f t="shared" si="71"/>
        <v>19202.475000000002</v>
      </c>
      <c r="P181" s="10">
        <f t="shared" si="72"/>
        <v>62628.75</v>
      </c>
      <c r="Q181" s="10">
        <f t="shared" si="73"/>
        <v>56244.375</v>
      </c>
      <c r="R181" s="10">
        <f t="shared" si="74"/>
        <v>46025.200000000004</v>
      </c>
      <c r="S181">
        <v>3000</v>
      </c>
    </row>
    <row r="182" spans="1:19" x14ac:dyDescent="0.25">
      <c r="B182" t="s">
        <v>466</v>
      </c>
      <c r="D182">
        <v>120000</v>
      </c>
      <c r="E182">
        <v>60</v>
      </c>
      <c r="F182" s="11">
        <f>(S182*37500000/(L182*M182*D182*E182*K182*J182)-((500/(K182*J182))+(2500000000/(D182*E182*K182*J182)*(D182/100000+E182/100+J182/200))))/(1+5000000/(D182*E182)+(500000000/(D182*E182*J182)))</f>
        <v>6.4139682539682541</v>
      </c>
      <c r="G182">
        <v>60000</v>
      </c>
      <c r="H182">
        <v>1.25</v>
      </c>
      <c r="I182">
        <v>60</v>
      </c>
      <c r="J182" s="10">
        <f t="shared" si="70"/>
        <v>1250</v>
      </c>
      <c r="K182">
        <v>1.25</v>
      </c>
      <c r="L182">
        <v>1</v>
      </c>
      <c r="M182">
        <v>0.75</v>
      </c>
      <c r="O182" s="10">
        <f t="shared" si="71"/>
        <v>1448.0238095238094</v>
      </c>
      <c r="P182" s="10">
        <f t="shared" si="72"/>
        <v>3222.5476190476193</v>
      </c>
      <c r="Q182" s="10">
        <f t="shared" si="73"/>
        <v>4329.4285714285716</v>
      </c>
      <c r="R182" s="10">
        <f t="shared" si="74"/>
        <v>3000</v>
      </c>
      <c r="S182">
        <v>3000</v>
      </c>
    </row>
    <row r="183" spans="1:19" x14ac:dyDescent="0.25">
      <c r="A183" t="s">
        <v>315</v>
      </c>
      <c r="B183" t="s">
        <v>869</v>
      </c>
      <c r="D183">
        <v>90000</v>
      </c>
      <c r="E183">
        <v>75</v>
      </c>
      <c r="F183" s="11">
        <f t="shared" ref="F183:F191" si="75">(S183*37500000/(L183*M183*D183*E183*K183*J183)-((500/(K183*J183))+(2500000000/(D183*E183*K183*J183)*(D183/100000+E183/100+J183/200))))/(1+5000000/(D183*E183)+(500000000/(D183*E183*J183)))</f>
        <v>7.2500000000000009</v>
      </c>
      <c r="G183">
        <v>180000</v>
      </c>
      <c r="H183">
        <v>1</v>
      </c>
      <c r="I183">
        <v>90</v>
      </c>
      <c r="J183" s="10">
        <f t="shared" si="70"/>
        <v>2000</v>
      </c>
      <c r="K183">
        <v>1.25</v>
      </c>
      <c r="L183">
        <v>1</v>
      </c>
      <c r="M183">
        <v>0.75</v>
      </c>
      <c r="O183" s="10">
        <f t="shared" si="71"/>
        <v>2019.375</v>
      </c>
      <c r="P183" s="10">
        <f t="shared" si="72"/>
        <v>5640.0000000000018</v>
      </c>
      <c r="Q183" s="10">
        <f t="shared" si="73"/>
        <v>7340.6250000000009</v>
      </c>
      <c r="R183" s="10">
        <f t="shared" si="74"/>
        <v>5000.0000000000009</v>
      </c>
      <c r="S183">
        <v>5000</v>
      </c>
    </row>
    <row r="184" spans="1:19" x14ac:dyDescent="0.25">
      <c r="A184" t="s">
        <v>605</v>
      </c>
      <c r="B184" t="s">
        <v>602</v>
      </c>
      <c r="D184">
        <v>200000</v>
      </c>
      <c r="E184">
        <v>65</v>
      </c>
      <c r="F184" s="11">
        <f t="shared" si="75"/>
        <v>7.4456521739130457</v>
      </c>
      <c r="G184">
        <v>20000</v>
      </c>
      <c r="H184">
        <v>1.25</v>
      </c>
      <c r="I184">
        <v>20</v>
      </c>
      <c r="J184" s="10">
        <f t="shared" si="70"/>
        <v>1250</v>
      </c>
      <c r="K184">
        <v>1</v>
      </c>
      <c r="L184">
        <v>1</v>
      </c>
      <c r="M184">
        <v>0.75</v>
      </c>
      <c r="O184" s="10">
        <f t="shared" si="71"/>
        <v>1558.369565217391</v>
      </c>
      <c r="P184" s="10">
        <f t="shared" si="72"/>
        <v>3182.1195652173919</v>
      </c>
      <c r="Q184" s="10">
        <f t="shared" si="73"/>
        <v>7259.5108695652198</v>
      </c>
      <c r="R184" s="10">
        <f t="shared" si="74"/>
        <v>4000.0000000000014</v>
      </c>
      <c r="S184">
        <v>4000</v>
      </c>
    </row>
    <row r="185" spans="1:19" x14ac:dyDescent="0.25">
      <c r="B185" t="s">
        <v>649</v>
      </c>
      <c r="D185">
        <v>300000</v>
      </c>
      <c r="E185">
        <v>75</v>
      </c>
      <c r="F185" s="11">
        <f t="shared" si="75"/>
        <v>2.2252252252252251</v>
      </c>
      <c r="G185">
        <v>40000</v>
      </c>
      <c r="H185">
        <v>1</v>
      </c>
      <c r="I185">
        <v>20</v>
      </c>
      <c r="J185" s="10">
        <f t="shared" si="70"/>
        <v>2000</v>
      </c>
      <c r="K185">
        <v>1.25</v>
      </c>
      <c r="L185">
        <v>1</v>
      </c>
      <c r="M185">
        <v>0.75</v>
      </c>
      <c r="O185" s="10">
        <f t="shared" si="71"/>
        <v>2145.9459459459458</v>
      </c>
      <c r="P185" s="10">
        <f t="shared" si="72"/>
        <v>2343.9189189189187</v>
      </c>
      <c r="Q185" s="10">
        <f t="shared" si="73"/>
        <v>7510.1351351351341</v>
      </c>
      <c r="R185" s="10">
        <f t="shared" si="74"/>
        <v>4000</v>
      </c>
      <c r="S185">
        <v>4000</v>
      </c>
    </row>
    <row r="186" spans="1:19" x14ac:dyDescent="0.25">
      <c r="B186" t="s">
        <v>701</v>
      </c>
      <c r="D186">
        <v>250000</v>
      </c>
      <c r="E186">
        <v>100</v>
      </c>
      <c r="F186" s="11">
        <f t="shared" si="75"/>
        <v>1.4451345755693581</v>
      </c>
      <c r="G186">
        <v>64000</v>
      </c>
      <c r="H186">
        <v>1</v>
      </c>
      <c r="I186">
        <v>24</v>
      </c>
      <c r="J186" s="10">
        <f t="shared" si="70"/>
        <v>2666.6666666666665</v>
      </c>
      <c r="K186">
        <v>1.25</v>
      </c>
      <c r="L186">
        <v>1</v>
      </c>
      <c r="M186">
        <v>0.75</v>
      </c>
      <c r="O186" s="10">
        <f t="shared" si="71"/>
        <v>2579.1925465838508</v>
      </c>
      <c r="P186" s="10">
        <f t="shared" si="72"/>
        <v>2195.1345755693583</v>
      </c>
      <c r="Q186" s="10">
        <f t="shared" si="73"/>
        <v>7225.6728778467896</v>
      </c>
      <c r="R186" s="10">
        <f t="shared" si="74"/>
        <v>3999.9999999999995</v>
      </c>
      <c r="S186">
        <v>4000</v>
      </c>
    </row>
    <row r="187" spans="1:19" x14ac:dyDescent="0.25">
      <c r="B187" t="s">
        <v>705</v>
      </c>
      <c r="D187">
        <v>75000</v>
      </c>
      <c r="E187">
        <v>75</v>
      </c>
      <c r="F187" s="11">
        <f t="shared" si="75"/>
        <v>4.9553571428571423</v>
      </c>
      <c r="G187">
        <v>120000</v>
      </c>
      <c r="H187">
        <v>1</v>
      </c>
      <c r="I187">
        <v>75</v>
      </c>
      <c r="J187" s="10">
        <f t="shared" si="70"/>
        <v>1600</v>
      </c>
      <c r="K187">
        <v>2</v>
      </c>
      <c r="L187">
        <v>1</v>
      </c>
      <c r="M187">
        <v>0.75</v>
      </c>
      <c r="O187" s="10">
        <f t="shared" si="71"/>
        <v>1722.3214285714287</v>
      </c>
      <c r="P187" s="10">
        <f t="shared" si="72"/>
        <v>4925.8928571428569</v>
      </c>
      <c r="Q187" s="10">
        <f t="shared" si="73"/>
        <v>5351.7857142857138</v>
      </c>
      <c r="R187" s="10">
        <f t="shared" si="74"/>
        <v>4000</v>
      </c>
      <c r="S187">
        <v>4000</v>
      </c>
    </row>
    <row r="188" spans="1:19" x14ac:dyDescent="0.25">
      <c r="A188" t="s">
        <v>629</v>
      </c>
      <c r="B188" t="s">
        <v>218</v>
      </c>
      <c r="D188">
        <v>50000</v>
      </c>
      <c r="E188">
        <v>75</v>
      </c>
      <c r="F188" s="11">
        <f t="shared" si="75"/>
        <v>8.0000000000000018</v>
      </c>
      <c r="G188">
        <v>28000</v>
      </c>
      <c r="H188">
        <v>0.75</v>
      </c>
      <c r="I188">
        <v>15</v>
      </c>
      <c r="J188" s="10">
        <f t="shared" si="70"/>
        <v>1400</v>
      </c>
      <c r="K188">
        <v>1.25</v>
      </c>
      <c r="L188">
        <v>1</v>
      </c>
      <c r="M188">
        <v>0.75</v>
      </c>
      <c r="O188" s="10">
        <f t="shared" si="71"/>
        <v>1537.5</v>
      </c>
      <c r="P188" s="10">
        <f t="shared" si="72"/>
        <v>4312.5000000000009</v>
      </c>
      <c r="Q188" s="10">
        <f t="shared" si="73"/>
        <v>3150.0000000000005</v>
      </c>
      <c r="R188" s="10">
        <f t="shared" si="74"/>
        <v>3000.0000000000005</v>
      </c>
      <c r="S188">
        <v>3000</v>
      </c>
    </row>
    <row r="189" spans="1:19" x14ac:dyDescent="0.25">
      <c r="B189" t="s">
        <v>220</v>
      </c>
      <c r="D189">
        <v>90000</v>
      </c>
      <c r="E189">
        <v>60</v>
      </c>
      <c r="F189" s="11">
        <f t="shared" si="75"/>
        <v>8.1667546174142487</v>
      </c>
      <c r="G189">
        <v>32000</v>
      </c>
      <c r="H189">
        <v>0.875</v>
      </c>
      <c r="I189">
        <v>24</v>
      </c>
      <c r="J189" s="10">
        <f t="shared" si="70"/>
        <v>1166.6666666666665</v>
      </c>
      <c r="K189">
        <v>1.25</v>
      </c>
      <c r="L189">
        <v>1</v>
      </c>
      <c r="M189">
        <v>0.75</v>
      </c>
      <c r="O189" s="10">
        <f t="shared" si="71"/>
        <v>1406.2532981530342</v>
      </c>
      <c r="P189" s="10">
        <f t="shared" si="72"/>
        <v>3734.9551451187331</v>
      </c>
      <c r="Q189" s="10">
        <f t="shared" si="73"/>
        <v>3858.7915567282316</v>
      </c>
      <c r="R189" s="10">
        <f t="shared" si="74"/>
        <v>3000</v>
      </c>
      <c r="S189">
        <v>3000</v>
      </c>
    </row>
    <row r="190" spans="1:19" x14ac:dyDescent="0.25">
      <c r="A190" t="s">
        <v>724</v>
      </c>
      <c r="B190" t="s">
        <v>422</v>
      </c>
      <c r="D190">
        <v>77000</v>
      </c>
      <c r="E190">
        <v>55</v>
      </c>
      <c r="F190" s="11">
        <f t="shared" si="75"/>
        <v>7.1297377795946977</v>
      </c>
      <c r="G190">
        <v>90000</v>
      </c>
      <c r="H190">
        <v>1</v>
      </c>
      <c r="I190">
        <v>50</v>
      </c>
      <c r="J190" s="10">
        <f t="shared" si="70"/>
        <v>1800</v>
      </c>
      <c r="K190">
        <v>1</v>
      </c>
      <c r="L190">
        <v>1</v>
      </c>
      <c r="M190">
        <v>0.75</v>
      </c>
      <c r="O190" s="10">
        <f t="shared" si="71"/>
        <v>1761.8921333878407</v>
      </c>
      <c r="P190" s="10">
        <f t="shared" si="72"/>
        <v>3977.1084009811366</v>
      </c>
      <c r="Q190" s="10">
        <f t="shared" si="73"/>
        <v>3260.9994656310228</v>
      </c>
      <c r="R190" s="10">
        <f t="shared" si="74"/>
        <v>3000</v>
      </c>
      <c r="S190">
        <v>3000</v>
      </c>
    </row>
    <row r="191" spans="1:19" x14ac:dyDescent="0.25">
      <c r="B191" t="s">
        <v>423</v>
      </c>
      <c r="D191">
        <v>77000</v>
      </c>
      <c r="E191">
        <v>55</v>
      </c>
      <c r="F191" s="11">
        <f t="shared" si="75"/>
        <v>7.1297377795946977</v>
      </c>
      <c r="G191">
        <v>180000</v>
      </c>
      <c r="H191">
        <v>1</v>
      </c>
      <c r="I191">
        <v>100</v>
      </c>
      <c r="J191" s="10">
        <f t="shared" si="70"/>
        <v>1800</v>
      </c>
      <c r="K191">
        <v>1</v>
      </c>
      <c r="L191">
        <v>1</v>
      </c>
      <c r="M191">
        <v>0.75</v>
      </c>
      <c r="O191" s="10">
        <f t="shared" si="71"/>
        <v>1761.8921333878407</v>
      </c>
      <c r="P191" s="10">
        <f t="shared" si="72"/>
        <v>3977.1084009811366</v>
      </c>
      <c r="Q191" s="10">
        <f t="shared" si="73"/>
        <v>3260.9994656310228</v>
      </c>
      <c r="R191" s="10">
        <f t="shared" si="74"/>
        <v>3000</v>
      </c>
      <c r="S191">
        <v>3000</v>
      </c>
    </row>
    <row r="192" spans="1:19" x14ac:dyDescent="0.25">
      <c r="B192" t="s">
        <v>931</v>
      </c>
      <c r="D192">
        <v>140000</v>
      </c>
      <c r="E192">
        <v>80</v>
      </c>
      <c r="F192" s="11">
        <f>(S192*37500000/(L192*M192*D192*E192*K192*J192)-((500/(K192*J192))+(2500000000/(D192*E192*K192*J192)*(D192/100000+E192/100+J192/200))))/(1+5000000/(D192*E192)+(500000000/(D192*E192*J192)))</f>
        <v>8.3506024096385545</v>
      </c>
      <c r="G192">
        <v>100000</v>
      </c>
      <c r="H192">
        <v>1</v>
      </c>
      <c r="I192">
        <v>80</v>
      </c>
      <c r="J192" s="10">
        <f t="shared" si="70"/>
        <v>1250</v>
      </c>
      <c r="K192">
        <v>1</v>
      </c>
      <c r="L192">
        <v>1</v>
      </c>
      <c r="M192">
        <v>0.75</v>
      </c>
      <c r="O192" s="10">
        <f t="shared" si="71"/>
        <v>1518.0180722891564</v>
      </c>
      <c r="P192" s="10">
        <f t="shared" si="72"/>
        <v>3467.4759036144583</v>
      </c>
      <c r="Q192" s="10">
        <f t="shared" si="73"/>
        <v>7014.5060240963867</v>
      </c>
      <c r="R192" s="10">
        <f t="shared" si="74"/>
        <v>4000.0000000000005</v>
      </c>
      <c r="S192">
        <v>4000</v>
      </c>
    </row>
    <row r="193" spans="2:19" x14ac:dyDescent="0.25">
      <c r="B193" t="s">
        <v>1003</v>
      </c>
      <c r="D193">
        <v>150000</v>
      </c>
      <c r="E193">
        <v>50</v>
      </c>
      <c r="F193" s="11">
        <f>(S193*37500000/(L193*M193*D193*E193*K193*J193)-((500/(K193*J193))+(2500000000/(D193*E193*K193*J193)*(D193/100000+E193/100+J193/200))))/(1+5000000/(D193*E193)+(500000000/(D193*E193*J193)))</f>
        <v>6</v>
      </c>
      <c r="G193">
        <v>20000</v>
      </c>
      <c r="H193">
        <v>1</v>
      </c>
      <c r="I193">
        <v>10</v>
      </c>
      <c r="J193" s="10">
        <f t="shared" si="70"/>
        <v>2000</v>
      </c>
      <c r="K193">
        <v>1.25</v>
      </c>
      <c r="L193">
        <v>1</v>
      </c>
      <c r="M193">
        <v>0.75</v>
      </c>
      <c r="O193" s="10">
        <f t="shared" si="71"/>
        <v>2025</v>
      </c>
      <c r="P193" s="10">
        <f t="shared" si="72"/>
        <v>4725</v>
      </c>
      <c r="Q193" s="10">
        <f t="shared" si="73"/>
        <v>6750</v>
      </c>
      <c r="R193" s="10">
        <f t="shared" si="74"/>
        <v>4500</v>
      </c>
      <c r="S193">
        <v>4500</v>
      </c>
    </row>
    <row r="194" spans="2:19" x14ac:dyDescent="0.25">
      <c r="B194" t="s">
        <v>985</v>
      </c>
      <c r="D194">
        <v>50000</v>
      </c>
      <c r="E194">
        <v>75</v>
      </c>
      <c r="F194" s="11">
        <f>(S194*37500000/(L194*M194*D194*E194*K194*J194)-((500/(K194*J194))+(2500000000/(D194*E194*K194*J194)*(D194/100000+E194/100+J194/200))))/(1+5000000/(D194*E194)+(500000000/(D194*E194*J194)))</f>
        <v>9.4545454545454568</v>
      </c>
      <c r="G194">
        <v>30000</v>
      </c>
      <c r="H194">
        <v>1</v>
      </c>
      <c r="I194">
        <v>25</v>
      </c>
      <c r="J194" s="10">
        <f t="shared" si="70"/>
        <v>1200</v>
      </c>
      <c r="K194">
        <v>1.25</v>
      </c>
      <c r="L194">
        <v>1</v>
      </c>
      <c r="M194">
        <v>0.75</v>
      </c>
      <c r="O194" s="10">
        <f t="shared" si="71"/>
        <v>1442.0454545454545</v>
      </c>
      <c r="P194" s="10">
        <f t="shared" si="72"/>
        <v>4367.0454545454559</v>
      </c>
      <c r="Q194" s="10">
        <f t="shared" si="73"/>
        <v>3190.9090909090919</v>
      </c>
      <c r="R194" s="10">
        <f t="shared" si="74"/>
        <v>3000.0000000000005</v>
      </c>
      <c r="S194">
        <v>3000</v>
      </c>
    </row>
    <row r="195" spans="2:19" x14ac:dyDescent="0.25">
      <c r="B195" t="s">
        <v>1172</v>
      </c>
      <c r="D195">
        <v>360000</v>
      </c>
      <c r="E195">
        <v>75</v>
      </c>
      <c r="F195" s="11">
        <f>(S195*37500000/(L195*M195*D195*E195*K195*J195)-((500/(K195*J195))+(2500000000/(D195*E195*K195*J195)*(D195/100000+E195/100+J195/200))))/(1+5000000/(D195*E195)+(500000000/(D195*E195*J195)))</f>
        <v>7.0000000000000009</v>
      </c>
      <c r="G195">
        <v>12000</v>
      </c>
      <c r="H195">
        <v>1.25</v>
      </c>
      <c r="I195">
        <v>30</v>
      </c>
      <c r="J195" s="10">
        <f t="shared" si="70"/>
        <v>500</v>
      </c>
      <c r="K195">
        <v>1.25</v>
      </c>
      <c r="L195">
        <v>1</v>
      </c>
      <c r="M195">
        <v>0.75</v>
      </c>
      <c r="O195" s="10">
        <f t="shared" si="71"/>
        <v>1290</v>
      </c>
      <c r="P195" s="10">
        <f t="shared" si="72"/>
        <v>2122.5000000000005</v>
      </c>
      <c r="Q195" s="10">
        <f t="shared" si="73"/>
        <v>7087.5000000000009</v>
      </c>
      <c r="R195" s="10">
        <f t="shared" si="74"/>
        <v>3500.0000000000005</v>
      </c>
      <c r="S195">
        <v>3500</v>
      </c>
    </row>
    <row r="196" spans="2:19" x14ac:dyDescent="0.25">
      <c r="B196" t="s">
        <v>1208</v>
      </c>
      <c r="D196">
        <v>60000</v>
      </c>
      <c r="E196">
        <v>90</v>
      </c>
      <c r="F196" s="11">
        <f t="shared" ref="F196" si="76">(S196*37500000/(L196*M196*D196*E196*K196*J196)-((500/(K196*J196))+(2500000000/(D196*E196*K196*J196)*(D196/100000+E196/100+J196/200))))/(1+5000000/(D196*E196)+(500000000/(D196*E196*J196)))</f>
        <v>6.2012422360248438</v>
      </c>
      <c r="G196">
        <v>24000</v>
      </c>
      <c r="H196">
        <v>0.75</v>
      </c>
      <c r="I196">
        <v>12</v>
      </c>
      <c r="J196" s="10">
        <f t="shared" ref="J196" si="77">G196/I196*H196</f>
        <v>1500</v>
      </c>
      <c r="K196">
        <v>1.25</v>
      </c>
      <c r="L196">
        <v>1</v>
      </c>
      <c r="M196">
        <v>0.75</v>
      </c>
      <c r="O196" s="10">
        <f t="shared" ref="O196" si="78">(D196/100000+E196/100+F196*K196/5+J196/200)*200*L196*M196</f>
        <v>1582.5465838509313</v>
      </c>
      <c r="P196" s="10">
        <f t="shared" ref="P196" si="79">((D196*E196/25000)+(F196*K196*J196/2.5))*L196*M196</f>
        <v>3650.1987577639743</v>
      </c>
      <c r="Q196" s="10">
        <f t="shared" ref="Q196" si="80">(D196*E196*F196*K196*J196*L196*M196)/12500000</f>
        <v>3767.2546583850926</v>
      </c>
      <c r="R196" s="10">
        <f t="shared" ref="R196" si="81">(O196+P196+Q196)/3</f>
        <v>2999.9999999999995</v>
      </c>
      <c r="S196">
        <v>3000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BB906-EF47-4701-BC82-6BA67C58A082}">
  <dimension ref="A2:S122"/>
  <sheetViews>
    <sheetView workbookViewId="0">
      <selection activeCell="B25" sqref="B25"/>
    </sheetView>
  </sheetViews>
  <sheetFormatPr baseColWidth="10" defaultRowHeight="15" x14ac:dyDescent="0.25"/>
  <cols>
    <col min="1" max="1" width="12.28515625" bestFit="1" customWidth="1"/>
    <col min="2" max="2" width="30.28515625" bestFit="1" customWidth="1"/>
    <col min="4" max="4" width="8" bestFit="1" customWidth="1"/>
    <col min="5" max="5" width="6.5703125" bestFit="1" customWidth="1"/>
    <col min="6" max="6" width="7.7109375" style="11" bestFit="1" customWidth="1"/>
    <col min="7" max="7" width="8.140625" bestFit="1" customWidth="1"/>
    <col min="8" max="8" width="13.28515625" bestFit="1" customWidth="1"/>
    <col min="9" max="9" width="12.5703125" bestFit="1" customWidth="1"/>
    <col min="10" max="10" width="8.5703125" style="10" bestFit="1" customWidth="1"/>
    <col min="11" max="11" width="7.28515625" bestFit="1" customWidth="1"/>
    <col min="12" max="12" width="9.5703125" bestFit="1" customWidth="1"/>
    <col min="13" max="13" width="9" bestFit="1" customWidth="1"/>
    <col min="15" max="16" width="7.5703125" style="10" bestFit="1" customWidth="1"/>
    <col min="17" max="18" width="8.5703125" style="10" bestFit="1" customWidth="1"/>
    <col min="19" max="19" width="6" bestFit="1" customWidth="1"/>
  </cols>
  <sheetData>
    <row r="2" spans="1:19" x14ac:dyDescent="0.25">
      <c r="B2" t="s">
        <v>198</v>
      </c>
      <c r="D2" t="s">
        <v>36</v>
      </c>
      <c r="E2" t="s">
        <v>37</v>
      </c>
      <c r="F2" s="11" t="s">
        <v>38</v>
      </c>
      <c r="G2" t="s">
        <v>39</v>
      </c>
      <c r="H2" t="s">
        <v>181</v>
      </c>
      <c r="I2" t="s">
        <v>40</v>
      </c>
      <c r="J2" s="10" t="s">
        <v>544</v>
      </c>
      <c r="K2" t="s">
        <v>142</v>
      </c>
      <c r="L2" t="s">
        <v>182</v>
      </c>
      <c r="M2" t="s">
        <v>385</v>
      </c>
      <c r="N2" t="s">
        <v>1127</v>
      </c>
      <c r="S2" t="s">
        <v>41</v>
      </c>
    </row>
    <row r="4" spans="1:19" x14ac:dyDescent="0.25">
      <c r="A4" t="s">
        <v>321</v>
      </c>
      <c r="B4" s="4" t="s">
        <v>42</v>
      </c>
      <c r="D4">
        <v>80000</v>
      </c>
      <c r="E4">
        <v>110</v>
      </c>
      <c r="F4" s="11">
        <f>(S4*37500000/(L4*M4*D4*E4*K4*J4)-((500/(K4*J4))+(2500000000/(D4*E4*K4*J4)*(D4/100000+E4/100+J4/200))))/(1+5000000/(D4*E4)+(500000000/(D4*E4*J4)))</f>
        <v>4.9928774928774908</v>
      </c>
      <c r="G4">
        <v>6000</v>
      </c>
      <c r="H4">
        <v>1</v>
      </c>
      <c r="I4">
        <v>45</v>
      </c>
      <c r="J4" s="10">
        <f>G4/I4*H4</f>
        <v>133.33333333333334</v>
      </c>
      <c r="K4">
        <v>1</v>
      </c>
      <c r="L4">
        <v>1</v>
      </c>
      <c r="M4">
        <v>1</v>
      </c>
      <c r="N4" s="10">
        <f t="shared" ref="N4:N17" si="0">D4/J4</f>
        <v>600</v>
      </c>
      <c r="O4" s="10">
        <f>(D4/100000+E4/100+F4*K4/5+J4/200)*200*L4*M4</f>
        <v>713.04843304843303</v>
      </c>
      <c r="P4" s="10">
        <f>((D4*E4/25000)+(F4*K4*J4/2.5))*L4*M4</f>
        <v>618.2867996201328</v>
      </c>
      <c r="Q4" s="10">
        <f>(D4*E4*F4*K4*J4*L4*M4)/12500000</f>
        <v>468.66476733143378</v>
      </c>
      <c r="R4" s="10">
        <f>(O4+P4+Q4)/3</f>
        <v>599.99999999999989</v>
      </c>
      <c r="S4">
        <v>600</v>
      </c>
    </row>
    <row r="5" spans="1:19" x14ac:dyDescent="0.25">
      <c r="B5" t="s">
        <v>552</v>
      </c>
      <c r="D5">
        <v>100000</v>
      </c>
      <c r="E5">
        <v>80</v>
      </c>
      <c r="F5" s="11">
        <f t="shared" ref="F5:F14" si="1">(S5*37500000/(L5*M5*D5*E5*K5*J5)-((500/(K5*J5))+(2500000000/(D5*E5*K5*J5)*(D5/100000+E5/100+J5/200))))/(1+5000000/(D5*E5)+(500000000/(D5*E5*J5)))</f>
        <v>2.3857868020304562</v>
      </c>
      <c r="G5">
        <v>28000</v>
      </c>
      <c r="H5">
        <v>1</v>
      </c>
      <c r="I5">
        <v>60</v>
      </c>
      <c r="J5" s="10">
        <f t="shared" ref="J5:J14" si="2">G5/I5*H5</f>
        <v>466.66666666666669</v>
      </c>
      <c r="K5">
        <v>1</v>
      </c>
      <c r="L5">
        <v>1</v>
      </c>
      <c r="M5">
        <v>1</v>
      </c>
      <c r="N5" s="10">
        <f t="shared" si="0"/>
        <v>214.28571428571428</v>
      </c>
      <c r="O5" s="10">
        <f t="shared" ref="O5:O14" si="3">(D5/100000+E5/100+F5*K5/5+J5/200)*200*L5*M5</f>
        <v>922.09813874788506</v>
      </c>
      <c r="P5" s="10">
        <f t="shared" ref="P5:P14" si="4">((D5*E5/25000)+(F5*K5*J5/2.5))*L5*M5</f>
        <v>765.34686971235192</v>
      </c>
      <c r="Q5" s="10">
        <f t="shared" ref="Q5:Q14" si="5">(D5*E5*F5*K5*J5*L5*M5)/12500000</f>
        <v>712.55499153976302</v>
      </c>
      <c r="R5" s="10">
        <f t="shared" ref="R5:R14" si="6">(O5+P5+Q5)/3</f>
        <v>800</v>
      </c>
      <c r="S5">
        <v>800</v>
      </c>
    </row>
    <row r="6" spans="1:19" x14ac:dyDescent="0.25">
      <c r="B6" s="4" t="s">
        <v>559</v>
      </c>
      <c r="D6">
        <v>125000</v>
      </c>
      <c r="E6">
        <v>80</v>
      </c>
      <c r="F6" s="11">
        <f t="shared" si="1"/>
        <v>5.4384057971014492</v>
      </c>
      <c r="G6">
        <v>16000</v>
      </c>
      <c r="H6">
        <v>1</v>
      </c>
      <c r="I6">
        <v>72</v>
      </c>
      <c r="J6" s="10">
        <f t="shared" si="2"/>
        <v>222.22222222222223</v>
      </c>
      <c r="K6">
        <v>1</v>
      </c>
      <c r="L6">
        <v>1</v>
      </c>
      <c r="M6">
        <v>1</v>
      </c>
      <c r="N6" s="10">
        <f t="shared" si="0"/>
        <v>562.5</v>
      </c>
      <c r="O6" s="10">
        <f t="shared" si="3"/>
        <v>849.75845410628017</v>
      </c>
      <c r="P6" s="10">
        <f t="shared" si="4"/>
        <v>883.41384863123994</v>
      </c>
      <c r="Q6" s="10">
        <f t="shared" si="5"/>
        <v>966.82769726247989</v>
      </c>
      <c r="R6" s="10">
        <f t="shared" si="6"/>
        <v>900</v>
      </c>
      <c r="S6">
        <v>900</v>
      </c>
    </row>
    <row r="7" spans="1:19" x14ac:dyDescent="0.25">
      <c r="B7" s="4" t="s">
        <v>66</v>
      </c>
      <c r="D7">
        <v>80000</v>
      </c>
      <c r="E7">
        <v>100</v>
      </c>
      <c r="F7" s="11">
        <f t="shared" si="1"/>
        <v>4.903225806451613</v>
      </c>
      <c r="G7">
        <v>8000</v>
      </c>
      <c r="H7">
        <v>0.875</v>
      </c>
      <c r="I7">
        <v>35</v>
      </c>
      <c r="J7" s="10">
        <f t="shared" si="2"/>
        <v>200</v>
      </c>
      <c r="K7">
        <v>1.25</v>
      </c>
      <c r="L7">
        <v>1</v>
      </c>
      <c r="M7">
        <v>1</v>
      </c>
      <c r="N7" s="10">
        <f t="shared" si="0"/>
        <v>400</v>
      </c>
      <c r="O7" s="10">
        <f t="shared" si="3"/>
        <v>805.16129032258061</v>
      </c>
      <c r="P7" s="10">
        <f t="shared" si="4"/>
        <v>810.32258064516122</v>
      </c>
      <c r="Q7" s="10">
        <f t="shared" si="5"/>
        <v>784.51612903225805</v>
      </c>
      <c r="R7" s="10">
        <f t="shared" si="6"/>
        <v>800</v>
      </c>
      <c r="S7">
        <v>800</v>
      </c>
    </row>
    <row r="8" spans="1:19" x14ac:dyDescent="0.25">
      <c r="B8" s="4" t="s">
        <v>78</v>
      </c>
      <c r="D8">
        <v>170000</v>
      </c>
      <c r="E8">
        <v>70</v>
      </c>
      <c r="F8" s="11">
        <f t="shared" si="1"/>
        <v>5.8801571709233791</v>
      </c>
      <c r="G8">
        <v>16000</v>
      </c>
      <c r="H8">
        <v>1</v>
      </c>
      <c r="I8">
        <v>70</v>
      </c>
      <c r="J8" s="10">
        <f t="shared" si="2"/>
        <v>228.57142857142858</v>
      </c>
      <c r="K8">
        <v>1.25</v>
      </c>
      <c r="L8">
        <v>1</v>
      </c>
      <c r="M8">
        <v>1</v>
      </c>
      <c r="N8" s="10">
        <f t="shared" si="0"/>
        <v>743.75</v>
      </c>
      <c r="O8" s="10">
        <f t="shared" si="3"/>
        <v>1002.5792871175975</v>
      </c>
      <c r="P8" s="10">
        <f t="shared" si="4"/>
        <v>1148.0179623912434</v>
      </c>
      <c r="Q8" s="10">
        <f t="shared" si="5"/>
        <v>1599.4027504911592</v>
      </c>
      <c r="R8" s="10">
        <f t="shared" si="6"/>
        <v>1250</v>
      </c>
      <c r="S8">
        <v>1250</v>
      </c>
    </row>
    <row r="9" spans="1:19" x14ac:dyDescent="0.25">
      <c r="A9" t="s">
        <v>320</v>
      </c>
      <c r="B9" t="s">
        <v>102</v>
      </c>
      <c r="D9">
        <v>50000</v>
      </c>
      <c r="E9">
        <v>120</v>
      </c>
      <c r="F9" s="11">
        <f t="shared" si="1"/>
        <v>4.71967213114754</v>
      </c>
      <c r="G9">
        <v>6000</v>
      </c>
      <c r="H9">
        <v>0.875</v>
      </c>
      <c r="I9">
        <v>37</v>
      </c>
      <c r="J9" s="10">
        <f t="shared" si="2"/>
        <v>141.8918918918919</v>
      </c>
      <c r="K9">
        <v>1</v>
      </c>
      <c r="L9">
        <v>1</v>
      </c>
      <c r="M9">
        <v>1</v>
      </c>
      <c r="N9" s="10">
        <f t="shared" si="0"/>
        <v>352.38095238095235</v>
      </c>
      <c r="O9" s="10">
        <f t="shared" si="3"/>
        <v>670.67877713779353</v>
      </c>
      <c r="P9" s="10">
        <f t="shared" si="4"/>
        <v>507.87328311918475</v>
      </c>
      <c r="Q9" s="10">
        <f t="shared" si="5"/>
        <v>321.44793974302166</v>
      </c>
      <c r="R9" s="10">
        <f t="shared" si="6"/>
        <v>499.99999999999994</v>
      </c>
      <c r="S9">
        <v>500</v>
      </c>
    </row>
    <row r="10" spans="1:19" x14ac:dyDescent="0.25">
      <c r="B10" t="s">
        <v>35</v>
      </c>
      <c r="D10">
        <v>90000</v>
      </c>
      <c r="E10">
        <v>100</v>
      </c>
      <c r="F10" s="11">
        <f t="shared" si="1"/>
        <v>5.1586715867158688</v>
      </c>
      <c r="G10">
        <v>8000</v>
      </c>
      <c r="H10">
        <v>1</v>
      </c>
      <c r="I10">
        <v>47</v>
      </c>
      <c r="J10" s="10">
        <f t="shared" si="2"/>
        <v>170.21276595744681</v>
      </c>
      <c r="K10">
        <v>1</v>
      </c>
      <c r="L10">
        <v>1</v>
      </c>
      <c r="M10">
        <v>1</v>
      </c>
      <c r="N10" s="10">
        <f t="shared" si="0"/>
        <v>528.75</v>
      </c>
      <c r="O10" s="10">
        <f t="shared" si="3"/>
        <v>756.55962942608153</v>
      </c>
      <c r="P10" s="10">
        <f t="shared" si="4"/>
        <v>711.22870377639958</v>
      </c>
      <c r="Q10" s="10">
        <f t="shared" si="5"/>
        <v>632.21166679751923</v>
      </c>
      <c r="R10" s="10">
        <f t="shared" si="6"/>
        <v>700.00000000000011</v>
      </c>
      <c r="S10">
        <v>700</v>
      </c>
    </row>
    <row r="11" spans="1:19" x14ac:dyDescent="0.25">
      <c r="B11" t="s">
        <v>103</v>
      </c>
      <c r="D11">
        <v>150000</v>
      </c>
      <c r="E11">
        <v>70</v>
      </c>
      <c r="F11" s="11">
        <f t="shared" si="1"/>
        <v>5.4686162624821701</v>
      </c>
      <c r="G11">
        <v>20000</v>
      </c>
      <c r="H11">
        <v>1</v>
      </c>
      <c r="I11">
        <v>81</v>
      </c>
      <c r="J11" s="10">
        <f t="shared" si="2"/>
        <v>246.91358024691357</v>
      </c>
      <c r="K11">
        <v>1</v>
      </c>
      <c r="L11">
        <v>1</v>
      </c>
      <c r="M11">
        <v>1</v>
      </c>
      <c r="N11" s="10">
        <f t="shared" si="0"/>
        <v>607.5</v>
      </c>
      <c r="O11" s="10">
        <f t="shared" si="3"/>
        <v>905.6582307462005</v>
      </c>
      <c r="P11" s="10">
        <f t="shared" si="4"/>
        <v>960.11024814638711</v>
      </c>
      <c r="Q11" s="10">
        <f t="shared" si="5"/>
        <v>1134.2315211074131</v>
      </c>
      <c r="R11" s="10">
        <f t="shared" si="6"/>
        <v>1000.0000000000003</v>
      </c>
      <c r="S11">
        <v>1000</v>
      </c>
    </row>
    <row r="12" spans="1:19" x14ac:dyDescent="0.25">
      <c r="B12" t="s">
        <v>114</v>
      </c>
      <c r="D12">
        <v>110000</v>
      </c>
      <c r="E12">
        <v>90</v>
      </c>
      <c r="F12" s="11">
        <f t="shared" si="1"/>
        <v>5.24342857142857</v>
      </c>
      <c r="G12">
        <v>10000</v>
      </c>
      <c r="H12">
        <v>1</v>
      </c>
      <c r="I12">
        <v>52</v>
      </c>
      <c r="J12" s="10">
        <f t="shared" si="2"/>
        <v>192.30769230769232</v>
      </c>
      <c r="K12">
        <v>1</v>
      </c>
      <c r="L12">
        <v>1</v>
      </c>
      <c r="M12">
        <v>1</v>
      </c>
      <c r="N12" s="10">
        <f t="shared" si="0"/>
        <v>572</v>
      </c>
      <c r="O12" s="10">
        <f t="shared" si="3"/>
        <v>802.04483516483515</v>
      </c>
      <c r="P12" s="10">
        <f t="shared" si="4"/>
        <v>799.34065934065927</v>
      </c>
      <c r="Q12" s="10">
        <f t="shared" si="5"/>
        <v>798.61450549450535</v>
      </c>
      <c r="R12" s="10">
        <f t="shared" si="6"/>
        <v>800</v>
      </c>
      <c r="S12">
        <v>800</v>
      </c>
    </row>
    <row r="13" spans="1:19" x14ac:dyDescent="0.25">
      <c r="B13" t="s">
        <v>130</v>
      </c>
      <c r="D13">
        <v>85000</v>
      </c>
      <c r="E13">
        <v>85</v>
      </c>
      <c r="F13" s="11">
        <f t="shared" si="1"/>
        <v>5.0233065710499663</v>
      </c>
      <c r="G13">
        <v>12000</v>
      </c>
      <c r="H13">
        <v>0.875</v>
      </c>
      <c r="I13">
        <v>64</v>
      </c>
      <c r="J13" s="10">
        <f t="shared" si="2"/>
        <v>164.0625</v>
      </c>
      <c r="K13">
        <v>1</v>
      </c>
      <c r="L13">
        <v>1</v>
      </c>
      <c r="M13">
        <v>1</v>
      </c>
      <c r="N13" s="10">
        <f t="shared" si="0"/>
        <v>518.09523809523807</v>
      </c>
      <c r="O13" s="10">
        <f t="shared" si="3"/>
        <v>704.99476284199864</v>
      </c>
      <c r="P13" s="10">
        <f t="shared" si="4"/>
        <v>618.654493725154</v>
      </c>
      <c r="Q13" s="10">
        <f t="shared" si="5"/>
        <v>476.35074343284759</v>
      </c>
      <c r="R13" s="10">
        <f t="shared" si="6"/>
        <v>600.00000000000011</v>
      </c>
      <c r="S13">
        <v>600</v>
      </c>
    </row>
    <row r="14" spans="1:19" x14ac:dyDescent="0.25">
      <c r="B14" t="s">
        <v>463</v>
      </c>
      <c r="D14">
        <v>160000</v>
      </c>
      <c r="E14">
        <v>75</v>
      </c>
      <c r="F14" s="11">
        <f t="shared" si="1"/>
        <v>5.9151785714285712</v>
      </c>
      <c r="G14">
        <v>16000</v>
      </c>
      <c r="H14">
        <v>1.125</v>
      </c>
      <c r="I14">
        <v>60</v>
      </c>
      <c r="J14" s="10">
        <f t="shared" si="2"/>
        <v>300</v>
      </c>
      <c r="K14">
        <v>1</v>
      </c>
      <c r="L14">
        <v>1</v>
      </c>
      <c r="M14">
        <v>1</v>
      </c>
      <c r="N14" s="10">
        <f t="shared" si="0"/>
        <v>533.33333333333337</v>
      </c>
      <c r="O14" s="10">
        <f t="shared" si="3"/>
        <v>1006.6071428571428</v>
      </c>
      <c r="P14" s="10">
        <f t="shared" si="4"/>
        <v>1189.8214285714284</v>
      </c>
      <c r="Q14" s="10">
        <f t="shared" si="5"/>
        <v>1703.5714285714284</v>
      </c>
      <c r="R14" s="10">
        <f t="shared" si="6"/>
        <v>1299.9999999999998</v>
      </c>
      <c r="S14">
        <v>1300</v>
      </c>
    </row>
    <row r="15" spans="1:19" x14ac:dyDescent="0.25">
      <c r="B15" t="s">
        <v>754</v>
      </c>
      <c r="D15">
        <v>210000</v>
      </c>
      <c r="E15">
        <v>60</v>
      </c>
      <c r="F15" s="11">
        <f>(S15*37500000/(L15*M15*D15*E15*K15*J15)-((500/(K15*J15))+(2500000000/(D15*E15*K15*J15)*(D15/100000+E15/100+J15/200))))/(1+5000000/(D15*E15)+(500000000/(D15*E15*J15)))</f>
        <v>6.8252595155709344</v>
      </c>
      <c r="G15">
        <v>24000</v>
      </c>
      <c r="H15">
        <v>1.125</v>
      </c>
      <c r="I15">
        <v>90</v>
      </c>
      <c r="J15" s="10">
        <f>G15/I15*H15</f>
        <v>300</v>
      </c>
      <c r="K15">
        <v>1</v>
      </c>
      <c r="L15">
        <v>1</v>
      </c>
      <c r="M15">
        <v>1</v>
      </c>
      <c r="N15" s="10">
        <f t="shared" si="0"/>
        <v>700</v>
      </c>
      <c r="O15" s="10">
        <f>(D15/100000+E15/100+F15*K15/5+J15/200)*200*L15*M15</f>
        <v>1113.0103806228374</v>
      </c>
      <c r="P15" s="10">
        <f>((D15*E15/25000)+(F15*K15*J15/2.5))*L15*M15</f>
        <v>1323.0311418685121</v>
      </c>
      <c r="Q15" s="10">
        <f>(D15*E15*F15*K15*J15*L15*M15)/12500000</f>
        <v>2063.9584775086505</v>
      </c>
      <c r="R15" s="10">
        <f>(O15+P15+Q15)/3</f>
        <v>1500</v>
      </c>
      <c r="S15">
        <v>1500</v>
      </c>
    </row>
    <row r="16" spans="1:19" x14ac:dyDescent="0.25">
      <c r="B16" t="s">
        <v>755</v>
      </c>
      <c r="D16">
        <v>240000</v>
      </c>
      <c r="E16">
        <v>65</v>
      </c>
      <c r="F16" s="11">
        <f>(S16*37500000/(L16*M16*D16*E16*K16*J16)-((500/(K16*J16))+(2500000000/(D16*E16*K16*J16)*(D16/100000+E16/100+J16/200))))/(1+5000000/(D16*E16)+(500000000/(D16*E16*J16)))</f>
        <v>6.4269218079841641</v>
      </c>
      <c r="G16">
        <v>24000</v>
      </c>
      <c r="H16">
        <v>1.125</v>
      </c>
      <c r="I16">
        <v>100</v>
      </c>
      <c r="J16" s="10">
        <f t="shared" ref="J16:J18" si="7">G16/I16*H16</f>
        <v>270</v>
      </c>
      <c r="K16">
        <v>1.25</v>
      </c>
      <c r="L16">
        <v>1</v>
      </c>
      <c r="M16">
        <v>1</v>
      </c>
      <c r="N16" s="10">
        <f t="shared" si="0"/>
        <v>888.88888888888891</v>
      </c>
      <c r="O16" s="10">
        <f t="shared" ref="O16:O18" si="8">(D16/100000+E16/100+F16*K16/5+J16/200)*200*L16*M16</f>
        <v>1201.3460903992079</v>
      </c>
      <c r="P16" s="10">
        <f t="shared" ref="P16:P18" si="9">((D16*E16/25000)+(F16*K16*J16/2.5))*L16*M16</f>
        <v>1491.6344440778621</v>
      </c>
      <c r="Q16" s="10">
        <f t="shared" ref="Q16:Q18" si="10">(D16*E16*F16*K16*J16*L16*M16)/12500000</f>
        <v>2707.0194655229302</v>
      </c>
      <c r="R16" s="10">
        <f t="shared" ref="R16:R18" si="11">(O16+P16+Q16)/3</f>
        <v>1800</v>
      </c>
      <c r="S16">
        <v>1800</v>
      </c>
    </row>
    <row r="17" spans="1:19" x14ac:dyDescent="0.25">
      <c r="B17" t="s">
        <v>115</v>
      </c>
      <c r="D17">
        <v>130000</v>
      </c>
      <c r="E17">
        <v>85</v>
      </c>
      <c r="F17" s="11">
        <f t="shared" ref="F17:F18" si="12">(S17*37500000/(L17*M17*D17*E17*K17*J17)-((500/(K17*J17))+(2500000000/(D17*E17*K17*J17)*(D17/100000+E17/100+J17/200))))/(1+5000000/(D17*E17)+(500000000/(D17*E17*J17)))</f>
        <v>5.6919587207520177</v>
      </c>
      <c r="G17">
        <v>12000</v>
      </c>
      <c r="H17">
        <v>1.125</v>
      </c>
      <c r="I17">
        <v>56</v>
      </c>
      <c r="J17" s="10">
        <f t="shared" si="7"/>
        <v>241.07142857142856</v>
      </c>
      <c r="K17">
        <v>1.25</v>
      </c>
      <c r="L17">
        <v>1</v>
      </c>
      <c r="M17">
        <v>1</v>
      </c>
      <c r="N17" s="10">
        <f t="shared" si="0"/>
        <v>539.25925925925935</v>
      </c>
      <c r="O17" s="10">
        <f t="shared" si="8"/>
        <v>955.66936460902957</v>
      </c>
      <c r="P17" s="10">
        <f t="shared" si="9"/>
        <v>1128.084310090645</v>
      </c>
      <c r="Q17" s="10">
        <f t="shared" si="10"/>
        <v>1516.2463253003252</v>
      </c>
      <c r="R17" s="10">
        <f t="shared" si="11"/>
        <v>1200</v>
      </c>
      <c r="S17">
        <v>1200</v>
      </c>
    </row>
    <row r="18" spans="1:19" x14ac:dyDescent="0.25">
      <c r="B18" t="s">
        <v>1209</v>
      </c>
      <c r="D18">
        <v>60000</v>
      </c>
      <c r="E18">
        <v>120</v>
      </c>
      <c r="F18" s="11">
        <f t="shared" si="12"/>
        <v>6.3699209932279901</v>
      </c>
      <c r="G18">
        <v>24000</v>
      </c>
      <c r="H18">
        <v>1.125</v>
      </c>
      <c r="I18">
        <v>50</v>
      </c>
      <c r="J18" s="10">
        <f t="shared" si="7"/>
        <v>540</v>
      </c>
      <c r="K18">
        <v>1</v>
      </c>
      <c r="L18">
        <v>1</v>
      </c>
      <c r="M18">
        <v>1</v>
      </c>
      <c r="N18" s="10">
        <f t="shared" ref="N18" si="13">D18/J18</f>
        <v>111.11111111111111</v>
      </c>
      <c r="O18" s="10">
        <f t="shared" si="8"/>
        <v>1154.7968397291197</v>
      </c>
      <c r="P18" s="10">
        <f t="shared" si="9"/>
        <v>1663.902934537246</v>
      </c>
      <c r="Q18" s="10">
        <f t="shared" si="10"/>
        <v>1981.3002257336341</v>
      </c>
      <c r="R18" s="10">
        <f t="shared" si="11"/>
        <v>1600</v>
      </c>
      <c r="S18">
        <v>1600</v>
      </c>
    </row>
    <row r="19" spans="1:19" x14ac:dyDescent="0.25">
      <c r="A19" t="s">
        <v>571</v>
      </c>
      <c r="B19" t="s">
        <v>251</v>
      </c>
      <c r="D19">
        <v>65000</v>
      </c>
      <c r="E19">
        <v>65</v>
      </c>
      <c r="F19" s="11">
        <f>(S19*37500000/(L19*M19*D19*E19*K19*J19)-((500/(K19*J19))+(2500000000/(D19*E19*K19*J19)*(D19/100000+E19/100+J19/200))))/(1+5000000/(D19*E19)+(500000000/(D19*E19*J19)))</f>
        <v>5.5562597503900166</v>
      </c>
      <c r="G19">
        <v>12000</v>
      </c>
      <c r="H19">
        <v>1</v>
      </c>
      <c r="I19">
        <v>35</v>
      </c>
      <c r="J19" s="10">
        <f>G19/I19*H19</f>
        <v>342.85714285714283</v>
      </c>
      <c r="K19">
        <v>1</v>
      </c>
      <c r="L19">
        <v>1</v>
      </c>
      <c r="M19">
        <v>1</v>
      </c>
      <c r="N19" s="10">
        <f>D19/J19</f>
        <v>189.58333333333334</v>
      </c>
      <c r="O19" s="10">
        <f>(D19/100000+E19/100+F19*K19/5+J19/200)*200*L19*M19</f>
        <v>825.10753287274349</v>
      </c>
      <c r="P19" s="10">
        <f>((D19*E19/25000)+(F19*K19*J19/2.5))*L19*M19</f>
        <v>931.00133719634505</v>
      </c>
      <c r="Q19" s="10">
        <f>(D19*E19*F19*K19*J19*L19*M19)/12500000</f>
        <v>643.89112993091157</v>
      </c>
      <c r="R19" s="10">
        <f>(O19+P19+Q19)/3</f>
        <v>800</v>
      </c>
      <c r="S19">
        <v>800</v>
      </c>
    </row>
    <row r="20" spans="1:19" x14ac:dyDescent="0.25">
      <c r="B20" t="s">
        <v>889</v>
      </c>
      <c r="D20">
        <v>85000</v>
      </c>
      <c r="E20">
        <v>85</v>
      </c>
      <c r="F20" s="11">
        <f>(S20*37500000/(L20*M20*D20*E20*K20*J20)-((500/(K20*J20))+(2500000000/(D20*E20*K20*J20)*(D20/100000+E20/100+J20/200))))/(1+5000000/(D20*E20)+(500000000/(D20*E20*J20)))</f>
        <v>5.229966611018364</v>
      </c>
      <c r="G20">
        <v>8000</v>
      </c>
      <c r="H20">
        <v>1</v>
      </c>
      <c r="I20">
        <v>44</v>
      </c>
      <c r="J20" s="10">
        <f>G20/I20*H20</f>
        <v>181.81818181818181</v>
      </c>
      <c r="K20">
        <v>1</v>
      </c>
      <c r="L20">
        <v>1</v>
      </c>
      <c r="M20">
        <v>1</v>
      </c>
      <c r="N20" s="10">
        <f>D20/J20</f>
        <v>467.5</v>
      </c>
      <c r="O20" s="10">
        <f>(D20/100000+E20/100+F20*K20/5+J20/200)*200*L20*M20</f>
        <v>731.01684625891642</v>
      </c>
      <c r="P20" s="10">
        <f>((D20*E20/25000)+(F20*K20*J20/2.5))*L20*M20</f>
        <v>669.3612080740628</v>
      </c>
      <c r="Q20" s="10">
        <f>(D20*E20*F20*K20*J20*L20*M20)/12500000</f>
        <v>549.62194566702078</v>
      </c>
      <c r="R20" s="10">
        <f>(O20+P20+Q20)/3</f>
        <v>650</v>
      </c>
      <c r="S20">
        <v>650</v>
      </c>
    </row>
    <row r="21" spans="1:19" x14ac:dyDescent="0.25">
      <c r="B21" t="s">
        <v>1197</v>
      </c>
      <c r="D21">
        <v>115000</v>
      </c>
      <c r="E21">
        <v>75</v>
      </c>
      <c r="F21" s="11">
        <f>(S21*37500000/(L21*M21*D21*E21*K21*J21)-((500/(K21*J21))+(2500000000/(D21*E21*K21*J21)*(D21/100000+E21/100+J21/200))))/(1+5000000/(D21*E21)+(500000000/(D21*E21*J21)))</f>
        <v>6</v>
      </c>
      <c r="G21">
        <v>10000</v>
      </c>
      <c r="H21">
        <v>1</v>
      </c>
      <c r="I21">
        <v>40</v>
      </c>
      <c r="J21" s="10">
        <f>G21/I21*H21</f>
        <v>250</v>
      </c>
      <c r="K21">
        <v>1</v>
      </c>
      <c r="L21">
        <v>1</v>
      </c>
      <c r="M21">
        <v>1</v>
      </c>
      <c r="N21" s="10">
        <f>D21/J21</f>
        <v>460</v>
      </c>
      <c r="O21" s="10">
        <f>(D21/100000+E21/100+F21*K21/5+J21/200)*200*L21*M21</f>
        <v>869.99999999999989</v>
      </c>
      <c r="P21" s="10">
        <f>((D21*E21/25000)+(F21*K21*J21/2.5))*L21*M21</f>
        <v>945</v>
      </c>
      <c r="Q21" s="10">
        <f>(D21*E21*F21*K21*J21*L21*M21)/12500000</f>
        <v>1035</v>
      </c>
      <c r="R21" s="10">
        <f>(O21+P21+Q21)/3</f>
        <v>950</v>
      </c>
      <c r="S21">
        <v>950</v>
      </c>
    </row>
    <row r="22" spans="1:19" x14ac:dyDescent="0.25">
      <c r="B22" t="s">
        <v>1198</v>
      </c>
      <c r="D22">
        <v>115000</v>
      </c>
      <c r="E22">
        <v>75</v>
      </c>
      <c r="F22" s="11">
        <f>(S22*37500000/(L22*M22*D22*E22*K22*J22)-((500/(K22*J22))+(2500000000/(D22*E22*K22*J22)*(D22/100000+E22/100+J22/200))))/(1+5000000/(D22*E22)+(500000000/(D22*E22*J22)))</f>
        <v>6</v>
      </c>
      <c r="G22">
        <v>20000</v>
      </c>
      <c r="H22">
        <v>1</v>
      </c>
      <c r="I22">
        <v>80</v>
      </c>
      <c r="J22" s="10">
        <f>G22/I22*H22</f>
        <v>250</v>
      </c>
      <c r="K22">
        <v>1</v>
      </c>
      <c r="L22">
        <v>1</v>
      </c>
      <c r="M22">
        <v>1</v>
      </c>
      <c r="N22" s="10">
        <f>D22/J22</f>
        <v>460</v>
      </c>
      <c r="O22" s="10">
        <f>(D22/100000+E22/100+F22*K22/5+J22/200)*200*L22*M22</f>
        <v>869.99999999999989</v>
      </c>
      <c r="P22" s="10">
        <f>((D22*E22/25000)+(F22*K22*J22/2.5))*L22*M22</f>
        <v>945</v>
      </c>
      <c r="Q22" s="10">
        <f>(D22*E22*F22*K22*J22*L22*M22)/12500000</f>
        <v>1035</v>
      </c>
      <c r="R22" s="10">
        <f>(O22+P22+Q22)/3</f>
        <v>950</v>
      </c>
      <c r="S22">
        <v>950</v>
      </c>
    </row>
    <row r="23" spans="1:19" x14ac:dyDescent="0.25">
      <c r="B23" t="s">
        <v>890</v>
      </c>
      <c r="D23">
        <v>95000</v>
      </c>
      <c r="E23">
        <v>80</v>
      </c>
      <c r="F23" s="11">
        <f>(S23*37500000/(L23*M23*D23*E23*K23*J23)-((500/(K23*J23))+(2500000000/(D23*E23*K23*J23)*(D23/100000+E23/100+J23/200))))/(1+5000000/(D23*E23)+(500000000/(D23*E23*J23)))</f>
        <v>6.2202166064981945</v>
      </c>
      <c r="G23">
        <v>12000</v>
      </c>
      <c r="H23">
        <v>1</v>
      </c>
      <c r="I23">
        <v>30</v>
      </c>
      <c r="J23" s="10">
        <f>G23/I23*H23</f>
        <v>400</v>
      </c>
      <c r="K23">
        <v>1.25</v>
      </c>
      <c r="L23">
        <v>1</v>
      </c>
      <c r="M23">
        <v>1</v>
      </c>
      <c r="N23" s="10">
        <f t="shared" ref="N23:N36" si="14">D23/J23</f>
        <v>237.5</v>
      </c>
      <c r="O23" s="10">
        <f>(D23/100000+E23/100+F23*K23/5+J23/200)*200*L23*M23</f>
        <v>1061.0108303249096</v>
      </c>
      <c r="P23" s="10">
        <f>((D23*E23/25000)+(F23*K23*J23/2.5))*L23*M23</f>
        <v>1548.043321299639</v>
      </c>
      <c r="Q23" s="10">
        <f>(D23*E23*F23*K23*J23*L23*M23)/12500000</f>
        <v>1890.9458483754513</v>
      </c>
      <c r="R23" s="10">
        <f>(O23+P23+Q23)/3</f>
        <v>1500</v>
      </c>
      <c r="S23">
        <v>1500</v>
      </c>
    </row>
    <row r="24" spans="1:19" x14ac:dyDescent="0.25">
      <c r="B24" t="s">
        <v>726</v>
      </c>
      <c r="D24">
        <v>75000</v>
      </c>
      <c r="E24">
        <v>75</v>
      </c>
      <c r="F24" s="11">
        <f t="shared" ref="F24:F52" si="15">(S24*37500000/(L24*M24*D24*E24*K24*J24)-((500/(K24*J24))+(2500000000/(D24*E24*K24*J24)*(D24/100000+E24/100+J24/200))))/(1+5000000/(D24*E24)+(500000000/(D24*E24*J24)))</f>
        <v>6.182795698924731</v>
      </c>
      <c r="G24">
        <v>32000</v>
      </c>
      <c r="H24">
        <v>1</v>
      </c>
      <c r="I24">
        <v>64</v>
      </c>
      <c r="J24" s="10">
        <f t="shared" ref="J24:J30" si="16">G24/I24*H24</f>
        <v>500</v>
      </c>
      <c r="K24">
        <v>1</v>
      </c>
      <c r="L24">
        <v>1</v>
      </c>
      <c r="M24">
        <v>1</v>
      </c>
      <c r="N24" s="10">
        <f t="shared" si="14"/>
        <v>150</v>
      </c>
      <c r="O24" s="10">
        <f t="shared" ref="O24:O52" si="17">(D24/100000+E24/100+F24*K24/5+J24/200)*200*L24*M24</f>
        <v>1047.3118279569892</v>
      </c>
      <c r="P24" s="10">
        <f t="shared" ref="P24:P52" si="18">((D24*E24/25000)+(F24*K24*J24/2.5))*L24*M24</f>
        <v>1461.5591397849462</v>
      </c>
      <c r="Q24" s="10">
        <f t="shared" ref="Q24:Q52" si="19">(D24*E24*F24*K24*J24*L24*M24)/12500000</f>
        <v>1391.1290322580646</v>
      </c>
      <c r="R24" s="10">
        <f t="shared" ref="R24:R52" si="20">(O24+P24+Q24)/3</f>
        <v>1300</v>
      </c>
      <c r="S24">
        <v>1300</v>
      </c>
    </row>
    <row r="25" spans="1:19" x14ac:dyDescent="0.25">
      <c r="A25" t="s">
        <v>581</v>
      </c>
      <c r="B25" t="s">
        <v>132</v>
      </c>
      <c r="D25">
        <v>100000</v>
      </c>
      <c r="E25">
        <v>100</v>
      </c>
      <c r="F25" s="11">
        <f t="shared" si="15"/>
        <v>5</v>
      </c>
      <c r="G25">
        <v>10000</v>
      </c>
      <c r="H25">
        <v>1</v>
      </c>
      <c r="I25">
        <v>50</v>
      </c>
      <c r="J25" s="10">
        <f t="shared" si="16"/>
        <v>200</v>
      </c>
      <c r="K25">
        <v>1</v>
      </c>
      <c r="L25">
        <v>1</v>
      </c>
      <c r="M25">
        <v>1</v>
      </c>
      <c r="N25" s="10">
        <f t="shared" si="14"/>
        <v>500</v>
      </c>
      <c r="O25" s="10">
        <f t="shared" si="17"/>
        <v>800</v>
      </c>
      <c r="P25" s="10">
        <f t="shared" si="18"/>
        <v>800</v>
      </c>
      <c r="Q25" s="10">
        <f t="shared" si="19"/>
        <v>800</v>
      </c>
      <c r="R25" s="10">
        <f t="shared" si="20"/>
        <v>800</v>
      </c>
      <c r="S25">
        <v>800</v>
      </c>
    </row>
    <row r="26" spans="1:19" x14ac:dyDescent="0.25">
      <c r="B26" t="s">
        <v>440</v>
      </c>
      <c r="D26">
        <v>200000</v>
      </c>
      <c r="E26">
        <v>100</v>
      </c>
      <c r="F26" s="11">
        <f t="shared" si="15"/>
        <v>5</v>
      </c>
      <c r="G26">
        <v>20000</v>
      </c>
      <c r="H26">
        <v>1</v>
      </c>
      <c r="I26">
        <v>50</v>
      </c>
      <c r="J26" s="10">
        <f t="shared" si="16"/>
        <v>400</v>
      </c>
      <c r="K26">
        <v>1</v>
      </c>
      <c r="L26">
        <v>1</v>
      </c>
      <c r="M26">
        <v>1</v>
      </c>
      <c r="N26" s="10">
        <f t="shared" si="14"/>
        <v>500</v>
      </c>
      <c r="O26" s="10">
        <f t="shared" si="17"/>
        <v>1200</v>
      </c>
      <c r="P26" s="10">
        <f t="shared" si="18"/>
        <v>1600</v>
      </c>
      <c r="Q26" s="10">
        <f t="shared" si="19"/>
        <v>3200</v>
      </c>
      <c r="R26" s="10">
        <f t="shared" si="20"/>
        <v>2000</v>
      </c>
      <c r="S26">
        <v>2000</v>
      </c>
    </row>
    <row r="27" spans="1:19" x14ac:dyDescent="0.25">
      <c r="B27" t="s">
        <v>593</v>
      </c>
      <c r="D27">
        <v>90000</v>
      </c>
      <c r="E27">
        <v>90</v>
      </c>
      <c r="F27" s="11">
        <f t="shared" si="15"/>
        <v>5.121118012422361</v>
      </c>
      <c r="G27">
        <v>10000</v>
      </c>
      <c r="H27">
        <v>1</v>
      </c>
      <c r="I27">
        <v>60</v>
      </c>
      <c r="J27" s="10">
        <f t="shared" si="16"/>
        <v>166.66666666666666</v>
      </c>
      <c r="K27">
        <v>1</v>
      </c>
      <c r="L27">
        <v>1</v>
      </c>
      <c r="M27">
        <v>1</v>
      </c>
      <c r="N27" s="10">
        <f t="shared" si="14"/>
        <v>540</v>
      </c>
      <c r="O27" s="10">
        <f t="shared" si="17"/>
        <v>731.51138716356104</v>
      </c>
      <c r="P27" s="10">
        <f t="shared" si="18"/>
        <v>665.40786749482402</v>
      </c>
      <c r="Q27" s="10">
        <f t="shared" si="19"/>
        <v>553.08074534161494</v>
      </c>
      <c r="R27" s="10">
        <f t="shared" si="20"/>
        <v>650</v>
      </c>
      <c r="S27">
        <v>650</v>
      </c>
    </row>
    <row r="28" spans="1:19" x14ac:dyDescent="0.25">
      <c r="B28" t="s">
        <v>594</v>
      </c>
      <c r="D28">
        <v>160000</v>
      </c>
      <c r="E28">
        <v>80</v>
      </c>
      <c r="F28" s="11">
        <f t="shared" si="15"/>
        <v>5.1046798029556646</v>
      </c>
      <c r="G28">
        <v>16000</v>
      </c>
      <c r="H28">
        <v>1</v>
      </c>
      <c r="I28">
        <v>80</v>
      </c>
      <c r="J28" s="10">
        <f t="shared" si="16"/>
        <v>200</v>
      </c>
      <c r="K28">
        <v>1</v>
      </c>
      <c r="L28">
        <v>1</v>
      </c>
      <c r="M28">
        <v>1</v>
      </c>
      <c r="N28" s="10">
        <f t="shared" si="14"/>
        <v>800</v>
      </c>
      <c r="O28" s="10">
        <f t="shared" si="17"/>
        <v>884.18719211822679</v>
      </c>
      <c r="P28" s="10">
        <f t="shared" si="18"/>
        <v>920.37438423645312</v>
      </c>
      <c r="Q28" s="10">
        <f t="shared" si="19"/>
        <v>1045.4384236453202</v>
      </c>
      <c r="R28" s="10">
        <f t="shared" si="20"/>
        <v>950</v>
      </c>
      <c r="S28">
        <v>950</v>
      </c>
    </row>
    <row r="29" spans="1:19" x14ac:dyDescent="0.25">
      <c r="A29" t="s">
        <v>605</v>
      </c>
      <c r="B29" s="12" t="s">
        <v>607</v>
      </c>
      <c r="D29">
        <v>150000</v>
      </c>
      <c r="E29">
        <v>75</v>
      </c>
      <c r="F29" s="11">
        <f t="shared" si="15"/>
        <v>6.1141304347826084</v>
      </c>
      <c r="G29">
        <v>30000</v>
      </c>
      <c r="H29">
        <v>1</v>
      </c>
      <c r="I29">
        <v>37</v>
      </c>
      <c r="J29" s="10">
        <f t="shared" si="16"/>
        <v>810.81081081081084</v>
      </c>
      <c r="K29">
        <v>1</v>
      </c>
      <c r="L29">
        <v>1</v>
      </c>
      <c r="M29">
        <v>1</v>
      </c>
      <c r="N29" s="10">
        <f t="shared" si="14"/>
        <v>185</v>
      </c>
      <c r="O29" s="10">
        <f t="shared" si="17"/>
        <v>1505.3760282021151</v>
      </c>
      <c r="P29" s="10">
        <f t="shared" si="18"/>
        <v>2432.961222091657</v>
      </c>
      <c r="Q29" s="10">
        <f t="shared" si="19"/>
        <v>4461.6627497062282</v>
      </c>
      <c r="R29" s="10">
        <f t="shared" si="20"/>
        <v>2800</v>
      </c>
      <c r="S29">
        <v>2800</v>
      </c>
    </row>
    <row r="30" spans="1:19" x14ac:dyDescent="0.25">
      <c r="B30" s="12" t="s">
        <v>608</v>
      </c>
      <c r="D30">
        <v>150000</v>
      </c>
      <c r="E30">
        <v>75</v>
      </c>
      <c r="F30" s="11">
        <f t="shared" si="15"/>
        <v>11.777352064708388</v>
      </c>
      <c r="G30">
        <v>140000</v>
      </c>
      <c r="H30">
        <v>1</v>
      </c>
      <c r="I30">
        <v>148</v>
      </c>
      <c r="J30" s="10">
        <f t="shared" si="16"/>
        <v>945.94594594594594</v>
      </c>
      <c r="K30">
        <v>1</v>
      </c>
      <c r="L30">
        <v>0.5</v>
      </c>
      <c r="M30">
        <v>1</v>
      </c>
      <c r="N30" s="10">
        <f t="shared" si="14"/>
        <v>158.57142857142858</v>
      </c>
      <c r="O30" s="10">
        <f t="shared" si="17"/>
        <v>933.52001426714071</v>
      </c>
      <c r="P30" s="10">
        <f t="shared" si="18"/>
        <v>2453.1476879178035</v>
      </c>
      <c r="Q30" s="10">
        <f t="shared" si="19"/>
        <v>5013.3322978150563</v>
      </c>
      <c r="R30" s="10">
        <f t="shared" si="20"/>
        <v>2800</v>
      </c>
      <c r="S30">
        <v>2800</v>
      </c>
    </row>
    <row r="31" spans="1:19" x14ac:dyDescent="0.25">
      <c r="B31" s="12" t="s">
        <v>627</v>
      </c>
      <c r="D31">
        <v>100000</v>
      </c>
      <c r="E31">
        <v>100</v>
      </c>
      <c r="F31" s="11">
        <f t="shared" si="15"/>
        <v>5.9375</v>
      </c>
      <c r="G31">
        <v>26000</v>
      </c>
      <c r="H31">
        <v>1</v>
      </c>
      <c r="I31">
        <v>52</v>
      </c>
      <c r="J31" s="10">
        <f t="shared" ref="J31:J36" si="21">G31/I31*H31</f>
        <v>500</v>
      </c>
      <c r="K31">
        <v>1</v>
      </c>
      <c r="L31">
        <v>1</v>
      </c>
      <c r="M31">
        <v>1</v>
      </c>
      <c r="N31" s="10">
        <f t="shared" si="14"/>
        <v>200</v>
      </c>
      <c r="O31" s="10">
        <f t="shared" si="17"/>
        <v>1137.5</v>
      </c>
      <c r="P31" s="10">
        <f t="shared" si="18"/>
        <v>1587.5</v>
      </c>
      <c r="Q31" s="10">
        <f t="shared" si="19"/>
        <v>2375</v>
      </c>
      <c r="R31" s="10">
        <f t="shared" si="20"/>
        <v>1700</v>
      </c>
      <c r="S31">
        <v>1700</v>
      </c>
    </row>
    <row r="32" spans="1:19" x14ac:dyDescent="0.25">
      <c r="B32" s="12" t="s">
        <v>628</v>
      </c>
      <c r="D32">
        <v>100000</v>
      </c>
      <c r="E32">
        <v>100</v>
      </c>
      <c r="F32" s="11">
        <f t="shared" si="15"/>
        <v>6.58999192897498</v>
      </c>
      <c r="G32">
        <v>32000</v>
      </c>
      <c r="H32">
        <v>1.25</v>
      </c>
      <c r="I32">
        <v>39</v>
      </c>
      <c r="J32" s="10">
        <f t="shared" si="21"/>
        <v>1025.6410256410256</v>
      </c>
      <c r="K32">
        <v>1</v>
      </c>
      <c r="L32">
        <v>0.5</v>
      </c>
      <c r="M32">
        <v>1</v>
      </c>
      <c r="N32" s="10">
        <f t="shared" si="14"/>
        <v>97.5</v>
      </c>
      <c r="O32" s="10">
        <f t="shared" si="17"/>
        <v>844.62035140001251</v>
      </c>
      <c r="P32" s="10">
        <f t="shared" si="18"/>
        <v>1551.7932161999959</v>
      </c>
      <c r="Q32" s="10">
        <f t="shared" si="19"/>
        <v>2703.5864323999917</v>
      </c>
      <c r="R32" s="10">
        <f t="shared" si="20"/>
        <v>1700</v>
      </c>
      <c r="S32">
        <v>1700</v>
      </c>
    </row>
    <row r="33" spans="1:19" x14ac:dyDescent="0.25">
      <c r="B33" s="12" t="s">
        <v>685</v>
      </c>
      <c r="D33">
        <v>75000</v>
      </c>
      <c r="E33">
        <v>80</v>
      </c>
      <c r="F33" s="11">
        <f t="shared" si="15"/>
        <v>5</v>
      </c>
      <c r="G33">
        <v>20000</v>
      </c>
      <c r="H33">
        <v>1</v>
      </c>
      <c r="I33">
        <v>40</v>
      </c>
      <c r="J33" s="10">
        <f t="shared" si="21"/>
        <v>500</v>
      </c>
      <c r="K33">
        <v>1</v>
      </c>
      <c r="L33">
        <v>1</v>
      </c>
      <c r="M33">
        <v>1</v>
      </c>
      <c r="N33" s="10">
        <f t="shared" si="14"/>
        <v>150</v>
      </c>
      <c r="O33" s="10">
        <f t="shared" si="17"/>
        <v>1010</v>
      </c>
      <c r="P33" s="10">
        <f t="shared" si="18"/>
        <v>1240</v>
      </c>
      <c r="Q33" s="10">
        <f t="shared" si="19"/>
        <v>1200</v>
      </c>
      <c r="R33" s="10">
        <f t="shared" si="20"/>
        <v>1150</v>
      </c>
      <c r="S33">
        <v>1150</v>
      </c>
    </row>
    <row r="34" spans="1:19" x14ac:dyDescent="0.25">
      <c r="A34" t="s">
        <v>629</v>
      </c>
      <c r="B34" t="s">
        <v>209</v>
      </c>
      <c r="D34">
        <v>100000</v>
      </c>
      <c r="E34">
        <v>95</v>
      </c>
      <c r="F34" s="11">
        <f t="shared" si="15"/>
        <v>5.2888086642599292</v>
      </c>
      <c r="G34">
        <v>8000</v>
      </c>
      <c r="H34">
        <v>1</v>
      </c>
      <c r="I34">
        <v>45</v>
      </c>
      <c r="J34" s="10">
        <f t="shared" si="21"/>
        <v>177.77777777777777</v>
      </c>
      <c r="K34">
        <v>1</v>
      </c>
      <c r="L34">
        <v>1</v>
      </c>
      <c r="M34">
        <v>1</v>
      </c>
      <c r="N34" s="10">
        <f t="shared" si="14"/>
        <v>562.5</v>
      </c>
      <c r="O34" s="10">
        <f t="shared" si="17"/>
        <v>779.33012434817488</v>
      </c>
      <c r="P34" s="10">
        <f t="shared" si="18"/>
        <v>756.09306056959497</v>
      </c>
      <c r="Q34" s="10">
        <f t="shared" si="19"/>
        <v>714.57681508223038</v>
      </c>
      <c r="R34" s="10">
        <f t="shared" si="20"/>
        <v>750.00000000000011</v>
      </c>
      <c r="S34">
        <v>750</v>
      </c>
    </row>
    <row r="35" spans="1:19" x14ac:dyDescent="0.25">
      <c r="B35" t="s">
        <v>225</v>
      </c>
      <c r="D35">
        <v>130000</v>
      </c>
      <c r="E35">
        <v>85</v>
      </c>
      <c r="F35" s="11">
        <f t="shared" si="15"/>
        <v>5.3741333333333339</v>
      </c>
      <c r="G35">
        <v>10000</v>
      </c>
      <c r="H35">
        <v>1</v>
      </c>
      <c r="I35">
        <v>54</v>
      </c>
      <c r="J35" s="10">
        <f t="shared" si="21"/>
        <v>185.18518518518519</v>
      </c>
      <c r="K35">
        <v>1</v>
      </c>
      <c r="L35">
        <v>1</v>
      </c>
      <c r="M35">
        <v>1</v>
      </c>
      <c r="N35" s="10">
        <f t="shared" si="14"/>
        <v>702</v>
      </c>
      <c r="O35" s="10">
        <f t="shared" si="17"/>
        <v>830.15051851851854</v>
      </c>
      <c r="P35" s="10">
        <f t="shared" si="18"/>
        <v>840.08395061728402</v>
      </c>
      <c r="Q35" s="10">
        <f t="shared" si="19"/>
        <v>879.76553086419756</v>
      </c>
      <c r="R35" s="10">
        <f t="shared" si="20"/>
        <v>850</v>
      </c>
      <c r="S35">
        <v>850</v>
      </c>
    </row>
    <row r="36" spans="1:19" x14ac:dyDescent="0.25">
      <c r="B36" t="s">
        <v>1166</v>
      </c>
      <c r="D36">
        <v>70000</v>
      </c>
      <c r="E36">
        <v>105</v>
      </c>
      <c r="F36" s="11">
        <f t="shared" si="15"/>
        <v>5.2014663204521154</v>
      </c>
      <c r="G36">
        <v>12000</v>
      </c>
      <c r="H36">
        <v>0.875</v>
      </c>
      <c r="I36">
        <v>68</v>
      </c>
      <c r="J36" s="10">
        <f t="shared" si="21"/>
        <v>154.41176470588235</v>
      </c>
      <c r="K36">
        <v>1</v>
      </c>
      <c r="L36">
        <v>1</v>
      </c>
      <c r="M36">
        <v>1</v>
      </c>
      <c r="N36" s="10">
        <f t="shared" si="14"/>
        <v>453.33333333333337</v>
      </c>
      <c r="O36" s="10">
        <f t="shared" si="17"/>
        <v>712.47041752396694</v>
      </c>
      <c r="P36" s="10">
        <f t="shared" si="18"/>
        <v>615.26703743968949</v>
      </c>
      <c r="Q36" s="10">
        <f t="shared" si="19"/>
        <v>472.26254503634351</v>
      </c>
      <c r="R36" s="10">
        <f t="shared" si="20"/>
        <v>600</v>
      </c>
      <c r="S36">
        <v>600</v>
      </c>
    </row>
    <row r="37" spans="1:19" x14ac:dyDescent="0.25">
      <c r="B37" t="s">
        <v>1167</v>
      </c>
      <c r="D37">
        <v>70000</v>
      </c>
      <c r="E37">
        <v>105</v>
      </c>
      <c r="F37" s="11">
        <f t="shared" si="15"/>
        <v>9.001091703056769</v>
      </c>
      <c r="G37">
        <v>18000</v>
      </c>
      <c r="H37">
        <v>1</v>
      </c>
      <c r="I37">
        <v>105</v>
      </c>
      <c r="J37" s="10">
        <f t="shared" ref="J37:J52" si="22">G37/I37*H37</f>
        <v>171.42857142857142</v>
      </c>
      <c r="K37">
        <v>1</v>
      </c>
      <c r="L37">
        <v>1</v>
      </c>
      <c r="M37">
        <v>1</v>
      </c>
      <c r="N37" s="10">
        <f>D37/J37</f>
        <v>408.33333333333337</v>
      </c>
      <c r="O37" s="10">
        <f t="shared" si="17"/>
        <v>881.47223955084223</v>
      </c>
      <c r="P37" s="10">
        <f t="shared" si="18"/>
        <v>911.21771678103551</v>
      </c>
      <c r="Q37" s="10">
        <f t="shared" si="19"/>
        <v>907.31004366812226</v>
      </c>
      <c r="R37" s="10">
        <f t="shared" si="20"/>
        <v>900</v>
      </c>
      <c r="S37">
        <v>900</v>
      </c>
    </row>
    <row r="38" spans="1:19" x14ac:dyDescent="0.25">
      <c r="B38" t="s">
        <v>1168</v>
      </c>
      <c r="D38">
        <v>70000</v>
      </c>
      <c r="E38">
        <v>105</v>
      </c>
      <c r="F38" s="11">
        <f t="shared" si="15"/>
        <v>7.0650684931506857</v>
      </c>
      <c r="G38">
        <v>16000</v>
      </c>
      <c r="H38">
        <v>1.125</v>
      </c>
      <c r="I38">
        <v>81</v>
      </c>
      <c r="J38" s="10">
        <f t="shared" si="22"/>
        <v>222.22222222222223</v>
      </c>
      <c r="K38">
        <v>1</v>
      </c>
      <c r="L38">
        <v>1</v>
      </c>
      <c r="M38">
        <v>1</v>
      </c>
      <c r="N38" s="10">
        <f>D38/J38</f>
        <v>315</v>
      </c>
      <c r="O38" s="10">
        <f t="shared" si="17"/>
        <v>854.82496194824978</v>
      </c>
      <c r="P38" s="10">
        <f t="shared" si="18"/>
        <v>922.00608828006102</v>
      </c>
      <c r="Q38" s="10">
        <f t="shared" si="19"/>
        <v>923.16894977168965</v>
      </c>
      <c r="R38" s="10">
        <f t="shared" si="20"/>
        <v>900.00000000000011</v>
      </c>
      <c r="S38">
        <v>900</v>
      </c>
    </row>
    <row r="39" spans="1:19" x14ac:dyDescent="0.25">
      <c r="A39" t="s">
        <v>724</v>
      </c>
      <c r="B39" t="s">
        <v>731</v>
      </c>
      <c r="D39">
        <v>120000</v>
      </c>
      <c r="E39">
        <v>90</v>
      </c>
      <c r="F39" s="11">
        <f t="shared" si="15"/>
        <v>5.3574198552223375</v>
      </c>
      <c r="G39">
        <v>12000</v>
      </c>
      <c r="H39">
        <v>0.875</v>
      </c>
      <c r="I39">
        <v>55</v>
      </c>
      <c r="J39" s="10">
        <f t="shared" si="22"/>
        <v>190.90909090909091</v>
      </c>
      <c r="K39">
        <v>1</v>
      </c>
      <c r="L39">
        <v>1</v>
      </c>
      <c r="M39">
        <v>1</v>
      </c>
      <c r="N39" s="10">
        <f t="shared" ref="N39:N50" si="23">D39/J39</f>
        <v>628.57142857142856</v>
      </c>
      <c r="O39" s="10">
        <f t="shared" si="17"/>
        <v>825.20588511798428</v>
      </c>
      <c r="P39" s="10">
        <f t="shared" si="18"/>
        <v>841.11206167152397</v>
      </c>
      <c r="Q39" s="10">
        <f t="shared" si="19"/>
        <v>883.68205321049174</v>
      </c>
      <c r="R39" s="10">
        <f t="shared" si="20"/>
        <v>850</v>
      </c>
      <c r="S39">
        <v>850</v>
      </c>
    </row>
    <row r="40" spans="1:19" x14ac:dyDescent="0.25">
      <c r="B40" t="s">
        <v>732</v>
      </c>
      <c r="D40">
        <v>120000</v>
      </c>
      <c r="E40">
        <v>90</v>
      </c>
      <c r="F40" s="11">
        <f t="shared" si="15"/>
        <v>5.3574198552223375</v>
      </c>
      <c r="G40">
        <v>12000</v>
      </c>
      <c r="H40">
        <v>0.875</v>
      </c>
      <c r="I40">
        <v>55</v>
      </c>
      <c r="J40" s="10">
        <f t="shared" si="22"/>
        <v>190.90909090909091</v>
      </c>
      <c r="K40">
        <v>1</v>
      </c>
      <c r="L40">
        <v>1</v>
      </c>
      <c r="M40">
        <v>1</v>
      </c>
      <c r="N40" s="10">
        <f t="shared" si="23"/>
        <v>628.57142857142856</v>
      </c>
      <c r="O40" s="10">
        <f t="shared" si="17"/>
        <v>825.20588511798428</v>
      </c>
      <c r="P40" s="10">
        <f t="shared" si="18"/>
        <v>841.11206167152397</v>
      </c>
      <c r="Q40" s="10">
        <f t="shared" si="19"/>
        <v>883.68205321049174</v>
      </c>
      <c r="R40" s="10">
        <f t="shared" si="20"/>
        <v>850</v>
      </c>
      <c r="S40">
        <v>850</v>
      </c>
    </row>
    <row r="41" spans="1:19" x14ac:dyDescent="0.25">
      <c r="B41" t="s">
        <v>345</v>
      </c>
      <c r="D41">
        <v>85000</v>
      </c>
      <c r="E41">
        <v>85</v>
      </c>
      <c r="F41" s="11">
        <f t="shared" si="15"/>
        <v>3.7077769049489397</v>
      </c>
      <c r="G41">
        <v>36000</v>
      </c>
      <c r="H41">
        <v>0.75</v>
      </c>
      <c r="I41">
        <v>40</v>
      </c>
      <c r="J41" s="10">
        <f t="shared" si="22"/>
        <v>675</v>
      </c>
      <c r="K41">
        <v>1</v>
      </c>
      <c r="L41">
        <v>1</v>
      </c>
      <c r="M41">
        <v>1</v>
      </c>
      <c r="N41" s="10">
        <f t="shared" si="23"/>
        <v>125.92592592592592</v>
      </c>
      <c r="O41" s="10">
        <f t="shared" si="17"/>
        <v>1163.3110761979576</v>
      </c>
      <c r="P41" s="10">
        <f t="shared" si="18"/>
        <v>1290.0997643362139</v>
      </c>
      <c r="Q41" s="10">
        <f t="shared" si="19"/>
        <v>1446.589159465829</v>
      </c>
      <c r="R41" s="10">
        <f t="shared" si="20"/>
        <v>1300</v>
      </c>
      <c r="S41">
        <v>1300</v>
      </c>
    </row>
    <row r="42" spans="1:19" x14ac:dyDescent="0.25">
      <c r="B42" t="s">
        <v>742</v>
      </c>
      <c r="D42">
        <v>75000</v>
      </c>
      <c r="E42">
        <v>115</v>
      </c>
      <c r="F42" s="11">
        <f t="shared" si="15"/>
        <v>5.0310173697270484</v>
      </c>
      <c r="G42">
        <v>6000</v>
      </c>
      <c r="H42">
        <v>1</v>
      </c>
      <c r="I42">
        <v>38</v>
      </c>
      <c r="J42" s="10">
        <f t="shared" si="22"/>
        <v>157.89473684210526</v>
      </c>
      <c r="K42">
        <v>1</v>
      </c>
      <c r="L42">
        <v>1</v>
      </c>
      <c r="M42">
        <v>1</v>
      </c>
      <c r="N42" s="10">
        <f t="shared" si="23"/>
        <v>475</v>
      </c>
      <c r="O42" s="10">
        <f t="shared" si="17"/>
        <v>739.1354316311872</v>
      </c>
      <c r="P42" s="10">
        <f t="shared" si="18"/>
        <v>662.74846545644516</v>
      </c>
      <c r="Q42" s="10">
        <f t="shared" si="19"/>
        <v>548.11610291236786</v>
      </c>
      <c r="R42" s="10">
        <f t="shared" si="20"/>
        <v>650</v>
      </c>
      <c r="S42">
        <v>650</v>
      </c>
    </row>
    <row r="43" spans="1:19" x14ac:dyDescent="0.25">
      <c r="B43" t="s">
        <v>743</v>
      </c>
      <c r="D43">
        <v>75000</v>
      </c>
      <c r="E43">
        <v>115</v>
      </c>
      <c r="F43" s="11">
        <f t="shared" si="15"/>
        <v>5.0151303538175052</v>
      </c>
      <c r="G43">
        <v>16000</v>
      </c>
      <c r="H43">
        <v>1</v>
      </c>
      <c r="I43">
        <v>101</v>
      </c>
      <c r="J43" s="10">
        <f t="shared" si="22"/>
        <v>158.41584158415841</v>
      </c>
      <c r="K43">
        <v>1</v>
      </c>
      <c r="L43">
        <v>1</v>
      </c>
      <c r="M43">
        <v>1</v>
      </c>
      <c r="N43" s="10">
        <f t="shared" si="23"/>
        <v>473.4375</v>
      </c>
      <c r="O43" s="10">
        <f t="shared" si="17"/>
        <v>739.02105573685867</v>
      </c>
      <c r="P43" s="10">
        <f t="shared" si="18"/>
        <v>662.79043826170323</v>
      </c>
      <c r="Q43" s="10">
        <f t="shared" si="19"/>
        <v>548.18850600143821</v>
      </c>
      <c r="R43" s="10">
        <f t="shared" si="20"/>
        <v>650</v>
      </c>
      <c r="S43">
        <v>650</v>
      </c>
    </row>
    <row r="44" spans="1:19" x14ac:dyDescent="0.25">
      <c r="B44" t="s">
        <v>741</v>
      </c>
      <c r="D44">
        <v>260000</v>
      </c>
      <c r="E44">
        <v>95</v>
      </c>
      <c r="F44" s="11">
        <f t="shared" si="15"/>
        <v>6.5500634444572619</v>
      </c>
      <c r="G44">
        <v>12000</v>
      </c>
      <c r="H44">
        <v>1.125</v>
      </c>
      <c r="I44">
        <v>65</v>
      </c>
      <c r="J44" s="10">
        <f t="shared" si="22"/>
        <v>207.69230769230768</v>
      </c>
      <c r="K44">
        <v>1</v>
      </c>
      <c r="L44">
        <v>1</v>
      </c>
      <c r="M44">
        <v>1</v>
      </c>
      <c r="N44" s="10">
        <f t="shared" si="23"/>
        <v>1251.851851851852</v>
      </c>
      <c r="O44" s="10">
        <f t="shared" si="17"/>
        <v>1179.694845470598</v>
      </c>
      <c r="P44" s="10">
        <f t="shared" si="18"/>
        <v>1532.1591169241417</v>
      </c>
      <c r="Q44" s="10">
        <f t="shared" si="19"/>
        <v>2688.1460376052601</v>
      </c>
      <c r="R44" s="10">
        <f t="shared" si="20"/>
        <v>1800</v>
      </c>
      <c r="S44">
        <v>1800</v>
      </c>
    </row>
    <row r="45" spans="1:19" x14ac:dyDescent="0.25">
      <c r="B45" t="s">
        <v>436</v>
      </c>
      <c r="D45">
        <v>260000</v>
      </c>
      <c r="E45">
        <v>95</v>
      </c>
      <c r="F45" s="11">
        <f t="shared" si="15"/>
        <v>6.5748572911261034</v>
      </c>
      <c r="G45">
        <v>24000</v>
      </c>
      <c r="H45">
        <v>1</v>
      </c>
      <c r="I45">
        <v>116</v>
      </c>
      <c r="J45" s="10">
        <f t="shared" si="22"/>
        <v>206.89655172413794</v>
      </c>
      <c r="K45">
        <v>1</v>
      </c>
      <c r="L45">
        <v>1</v>
      </c>
      <c r="M45">
        <v>1</v>
      </c>
      <c r="N45" s="10">
        <f t="shared" si="23"/>
        <v>1256.6666666666667</v>
      </c>
      <c r="O45" s="10">
        <f t="shared" si="17"/>
        <v>1179.890843369182</v>
      </c>
      <c r="P45" s="10">
        <f t="shared" si="18"/>
        <v>1532.126120644919</v>
      </c>
      <c r="Q45" s="10">
        <f t="shared" si="19"/>
        <v>2687.9830359858988</v>
      </c>
      <c r="R45" s="10">
        <f t="shared" si="20"/>
        <v>1800</v>
      </c>
      <c r="S45">
        <v>1800</v>
      </c>
    </row>
    <row r="46" spans="1:19" x14ac:dyDescent="0.25">
      <c r="B46" t="s">
        <v>740</v>
      </c>
      <c r="D46">
        <v>260000</v>
      </c>
      <c r="E46">
        <v>95</v>
      </c>
      <c r="F46" s="11">
        <f t="shared" si="15"/>
        <v>6.5748572911261034</v>
      </c>
      <c r="G46">
        <v>24000</v>
      </c>
      <c r="H46">
        <v>1</v>
      </c>
      <c r="I46">
        <v>116</v>
      </c>
      <c r="J46" s="10">
        <f t="shared" si="22"/>
        <v>206.89655172413794</v>
      </c>
      <c r="K46">
        <v>1</v>
      </c>
      <c r="L46">
        <v>1</v>
      </c>
      <c r="M46">
        <v>1</v>
      </c>
      <c r="N46" s="10">
        <f t="shared" si="23"/>
        <v>1256.6666666666667</v>
      </c>
      <c r="O46" s="10">
        <f t="shared" si="17"/>
        <v>1179.890843369182</v>
      </c>
      <c r="P46" s="10">
        <f t="shared" si="18"/>
        <v>1532.126120644919</v>
      </c>
      <c r="Q46" s="10">
        <f t="shared" si="19"/>
        <v>2687.9830359858988</v>
      </c>
      <c r="R46" s="10">
        <f t="shared" si="20"/>
        <v>1800</v>
      </c>
      <c r="S46">
        <v>1800</v>
      </c>
    </row>
    <row r="47" spans="1:19" x14ac:dyDescent="0.25">
      <c r="B47" t="s">
        <v>902</v>
      </c>
      <c r="D47">
        <v>80000</v>
      </c>
      <c r="E47">
        <v>35</v>
      </c>
      <c r="F47" s="11">
        <f t="shared" si="15"/>
        <v>5.9996662216288383</v>
      </c>
      <c r="G47">
        <v>8000</v>
      </c>
      <c r="H47">
        <v>1</v>
      </c>
      <c r="I47">
        <v>25</v>
      </c>
      <c r="J47" s="10">
        <f t="shared" si="22"/>
        <v>320</v>
      </c>
      <c r="K47">
        <v>1</v>
      </c>
      <c r="L47">
        <v>1</v>
      </c>
      <c r="M47">
        <v>0.75</v>
      </c>
      <c r="N47" s="10">
        <f t="shared" si="23"/>
        <v>250</v>
      </c>
      <c r="O47" s="10">
        <f t="shared" si="17"/>
        <v>592.48998664886517</v>
      </c>
      <c r="P47" s="10">
        <f t="shared" si="18"/>
        <v>659.96795727636845</v>
      </c>
      <c r="Q47" s="10">
        <f t="shared" si="19"/>
        <v>322.54205607476632</v>
      </c>
      <c r="R47" s="10">
        <f t="shared" si="20"/>
        <v>525</v>
      </c>
      <c r="S47">
        <v>525</v>
      </c>
    </row>
    <row r="48" spans="1:19" x14ac:dyDescent="0.25">
      <c r="B48" t="s">
        <v>910</v>
      </c>
      <c r="D48">
        <v>115000</v>
      </c>
      <c r="E48">
        <v>85</v>
      </c>
      <c r="F48" s="11">
        <f t="shared" si="15"/>
        <v>7.8204617834394918</v>
      </c>
      <c r="G48">
        <v>12000</v>
      </c>
      <c r="H48">
        <v>1</v>
      </c>
      <c r="I48">
        <v>85</v>
      </c>
      <c r="J48" s="10">
        <f t="shared" si="22"/>
        <v>141.1764705882353</v>
      </c>
      <c r="K48">
        <v>1</v>
      </c>
      <c r="L48">
        <v>1</v>
      </c>
      <c r="M48">
        <v>1</v>
      </c>
      <c r="N48" s="10">
        <f t="shared" si="23"/>
        <v>814.58333333333326</v>
      </c>
      <c r="O48" s="10">
        <f t="shared" si="17"/>
        <v>853.99494192581506</v>
      </c>
      <c r="P48" s="10">
        <f t="shared" si="18"/>
        <v>832.62607718246545</v>
      </c>
      <c r="Q48" s="10">
        <f t="shared" si="19"/>
        <v>863.37898089171983</v>
      </c>
      <c r="R48" s="10">
        <f t="shared" si="20"/>
        <v>850.00000000000011</v>
      </c>
      <c r="S48">
        <v>850</v>
      </c>
    </row>
    <row r="49" spans="1:19" x14ac:dyDescent="0.25">
      <c r="B49" t="s">
        <v>358</v>
      </c>
      <c r="D49">
        <v>95000</v>
      </c>
      <c r="E49">
        <v>85</v>
      </c>
      <c r="F49" s="11">
        <f t="shared" si="15"/>
        <v>6.0382863649302578</v>
      </c>
      <c r="G49" s="6">
        <v>8000</v>
      </c>
      <c r="H49">
        <v>1</v>
      </c>
      <c r="I49">
        <v>25</v>
      </c>
      <c r="J49" s="10">
        <f t="shared" si="22"/>
        <v>320</v>
      </c>
      <c r="K49">
        <v>0.75</v>
      </c>
      <c r="L49">
        <v>1</v>
      </c>
      <c r="M49">
        <v>1</v>
      </c>
      <c r="N49" s="10">
        <f t="shared" si="23"/>
        <v>296.875</v>
      </c>
      <c r="O49" s="10">
        <f t="shared" si="17"/>
        <v>861.14859094790768</v>
      </c>
      <c r="P49" s="10">
        <f t="shared" si="18"/>
        <v>902.67549103330475</v>
      </c>
      <c r="Q49" s="10">
        <f t="shared" si="19"/>
        <v>936.17591801878723</v>
      </c>
      <c r="R49" s="10">
        <f t="shared" si="20"/>
        <v>899.99999999999989</v>
      </c>
      <c r="S49">
        <v>900</v>
      </c>
    </row>
    <row r="50" spans="1:19" x14ac:dyDescent="0.25">
      <c r="B50" t="s">
        <v>357</v>
      </c>
      <c r="D50">
        <v>100000</v>
      </c>
      <c r="E50">
        <v>100</v>
      </c>
      <c r="F50" s="11">
        <f t="shared" si="15"/>
        <v>5.9585492227979264</v>
      </c>
      <c r="G50">
        <v>24000</v>
      </c>
      <c r="H50">
        <v>1.25</v>
      </c>
      <c r="I50">
        <v>65</v>
      </c>
      <c r="J50" s="10">
        <f t="shared" si="22"/>
        <v>461.53846153846155</v>
      </c>
      <c r="K50">
        <v>1</v>
      </c>
      <c r="L50">
        <v>1</v>
      </c>
      <c r="M50">
        <v>1</v>
      </c>
      <c r="N50" s="10">
        <f t="shared" si="23"/>
        <v>216.66666666666666</v>
      </c>
      <c r="O50" s="10">
        <f t="shared" si="17"/>
        <v>1099.8804304503785</v>
      </c>
      <c r="P50" s="10">
        <f t="shared" si="18"/>
        <v>1500.0398565165401</v>
      </c>
      <c r="Q50" s="10">
        <f t="shared" si="19"/>
        <v>2200.0797130330807</v>
      </c>
      <c r="R50" s="10">
        <f t="shared" si="20"/>
        <v>1600</v>
      </c>
      <c r="S50">
        <v>1600</v>
      </c>
    </row>
    <row r="51" spans="1:19" x14ac:dyDescent="0.25">
      <c r="A51" t="s">
        <v>1187</v>
      </c>
      <c r="B51" t="s">
        <v>1190</v>
      </c>
      <c r="D51">
        <v>75000</v>
      </c>
      <c r="E51">
        <v>75</v>
      </c>
      <c r="F51" s="11">
        <f t="shared" si="15"/>
        <v>5.2795226130653266</v>
      </c>
      <c r="G51">
        <v>8000</v>
      </c>
      <c r="H51">
        <v>1</v>
      </c>
      <c r="I51">
        <v>29</v>
      </c>
      <c r="J51" s="10">
        <f t="shared" si="22"/>
        <v>275.86206896551727</v>
      </c>
      <c r="K51">
        <v>1</v>
      </c>
      <c r="L51">
        <v>1</v>
      </c>
      <c r="M51">
        <v>1</v>
      </c>
      <c r="N51" s="10">
        <f>D51/J51</f>
        <v>271.875</v>
      </c>
      <c r="O51" s="10">
        <f t="shared" si="17"/>
        <v>787.04297348813031</v>
      </c>
      <c r="P51" s="10">
        <f t="shared" si="18"/>
        <v>807.56801247617409</v>
      </c>
      <c r="Q51" s="10">
        <f t="shared" si="19"/>
        <v>655.38901403569582</v>
      </c>
      <c r="R51" s="10">
        <f t="shared" si="20"/>
        <v>750</v>
      </c>
      <c r="S51">
        <v>750</v>
      </c>
    </row>
    <row r="52" spans="1:19" x14ac:dyDescent="0.25">
      <c r="B52" t="s">
        <v>1191</v>
      </c>
      <c r="D52">
        <v>150000</v>
      </c>
      <c r="E52">
        <v>50</v>
      </c>
      <c r="F52" s="11">
        <f t="shared" si="15"/>
        <v>7.030075187969925</v>
      </c>
      <c r="G52">
        <v>10000</v>
      </c>
      <c r="H52">
        <v>1</v>
      </c>
      <c r="I52">
        <v>16</v>
      </c>
      <c r="J52" s="10">
        <f t="shared" si="22"/>
        <v>625</v>
      </c>
      <c r="K52">
        <v>1</v>
      </c>
      <c r="L52">
        <v>1</v>
      </c>
      <c r="M52">
        <v>0.75</v>
      </c>
      <c r="N52" s="10">
        <f>D52/J52</f>
        <v>240</v>
      </c>
      <c r="O52" s="10">
        <f t="shared" si="17"/>
        <v>979.6522556390978</v>
      </c>
      <c r="P52" s="10">
        <f t="shared" si="18"/>
        <v>1543.1390977443612</v>
      </c>
      <c r="Q52" s="10">
        <f t="shared" si="19"/>
        <v>1977.2086466165415</v>
      </c>
      <c r="R52" s="10">
        <f t="shared" si="20"/>
        <v>1500</v>
      </c>
      <c r="S52">
        <v>1500</v>
      </c>
    </row>
    <row r="54" spans="1:19" x14ac:dyDescent="0.25">
      <c r="B54" t="s">
        <v>374</v>
      </c>
      <c r="D54">
        <v>112500</v>
      </c>
      <c r="E54">
        <v>80</v>
      </c>
      <c r="F54" s="11">
        <f>(S54*37500000/(L54*M54*D54*E54*K54*J54)-((500/(K54*J54))+(2500000000/(D54*E54*K54*J54)*(D54/100000+E54/100+J54/200))))/(1+5000000/(D54*E54)+(500000000/(D54*E54*J54)))</f>
        <v>6.9910220994475143</v>
      </c>
      <c r="G54">
        <v>24000</v>
      </c>
      <c r="H54">
        <v>1.25</v>
      </c>
      <c r="I54">
        <v>65</v>
      </c>
      <c r="J54" s="10">
        <f>G54/I54*H54</f>
        <v>461.53846153846155</v>
      </c>
      <c r="K54">
        <v>1</v>
      </c>
      <c r="L54">
        <v>1</v>
      </c>
      <c r="M54">
        <v>1</v>
      </c>
      <c r="O54" s="10">
        <f>(D54/100000+E54/100+F54*K54/5+J54/200)*200*L54*M54</f>
        <v>1126.1793455163622</v>
      </c>
      <c r="P54" s="10">
        <f>((D54*E54/25000)+(F54*K54*J54/2.5))*L54*M54</f>
        <v>1650.6502337441566</v>
      </c>
      <c r="Q54" s="10">
        <f>(D54*E54*F54*K54*J54*L54*M54)/12500000</f>
        <v>2323.1704207394819</v>
      </c>
      <c r="R54" s="10">
        <f>(O54+P54+Q54)/3</f>
        <v>1700</v>
      </c>
      <c r="S54">
        <v>1700</v>
      </c>
    </row>
    <row r="56" spans="1:19" x14ac:dyDescent="0.25">
      <c r="B56" t="s">
        <v>199</v>
      </c>
      <c r="D56" t="s">
        <v>36</v>
      </c>
      <c r="E56" t="s">
        <v>37</v>
      </c>
      <c r="F56" s="11" t="s">
        <v>38</v>
      </c>
      <c r="G56" t="s">
        <v>39</v>
      </c>
      <c r="H56" t="s">
        <v>181</v>
      </c>
      <c r="I56" t="s">
        <v>40</v>
      </c>
      <c r="J56" s="10" t="s">
        <v>544</v>
      </c>
      <c r="K56" t="s">
        <v>142</v>
      </c>
      <c r="L56" t="s">
        <v>182</v>
      </c>
      <c r="M56" t="s">
        <v>385</v>
      </c>
      <c r="N56" t="s">
        <v>1127</v>
      </c>
      <c r="S56" t="s">
        <v>41</v>
      </c>
    </row>
    <row r="58" spans="1:19" x14ac:dyDescent="0.25">
      <c r="A58" t="s">
        <v>321</v>
      </c>
      <c r="B58" s="4" t="s">
        <v>43</v>
      </c>
      <c r="D58">
        <v>225000</v>
      </c>
      <c r="E58">
        <v>60</v>
      </c>
      <c r="F58" s="11">
        <f t="shared" ref="F58:F67" si="24">(S58*37500000/(L58*M58*D58*E58*K58*J58)-((500/(K58*J58))+(2500000000/(D58*E58*K58*J58)*(D58/100000+E58/100+J58/200))))/(1+5000000/(D58*E58)+(500000000/(D58*E58*J58)))</f>
        <v>6.1410256410256423</v>
      </c>
      <c r="G58">
        <v>32000</v>
      </c>
      <c r="H58">
        <v>1.25</v>
      </c>
      <c r="I58">
        <v>80</v>
      </c>
      <c r="J58" s="10">
        <f t="shared" ref="J58:J67" si="25">G58/I58*H58</f>
        <v>500</v>
      </c>
      <c r="K58">
        <v>1</v>
      </c>
      <c r="L58">
        <v>1</v>
      </c>
      <c r="M58">
        <v>0.75</v>
      </c>
      <c r="N58" s="10">
        <f t="shared" ref="N58:N80" si="26">D58/J58</f>
        <v>450</v>
      </c>
      <c r="O58" s="10">
        <f t="shared" ref="O58:O67" si="27">(D58/100000+E58/100+F58*K58/5+J58/200)*200*L58*M58</f>
        <v>986.7307692307694</v>
      </c>
      <c r="P58" s="10">
        <f t="shared" ref="P58:P67" si="28">((D58*E58/25000)+(F58*K58*J58/2.5))*L58*M58</f>
        <v>1326.1538461538462</v>
      </c>
      <c r="Q58" s="10">
        <f t="shared" ref="Q58:Q67" si="29">(D58*E58*F58*K58*J58*L58*M58)/12500000</f>
        <v>2487.1153846153852</v>
      </c>
      <c r="R58" s="10">
        <f t="shared" ref="R58:R67" si="30">(O58+P58+Q58)/3</f>
        <v>1600.0000000000002</v>
      </c>
      <c r="S58">
        <v>1600</v>
      </c>
    </row>
    <row r="59" spans="1:19" x14ac:dyDescent="0.25">
      <c r="B59" s="4" t="s">
        <v>63</v>
      </c>
      <c r="C59" s="4"/>
      <c r="D59">
        <v>90000</v>
      </c>
      <c r="E59">
        <v>120</v>
      </c>
      <c r="F59" s="11">
        <f t="shared" si="24"/>
        <v>6.9619047619047629</v>
      </c>
      <c r="G59">
        <v>30000</v>
      </c>
      <c r="H59">
        <v>1</v>
      </c>
      <c r="I59">
        <v>60</v>
      </c>
      <c r="J59" s="10">
        <f t="shared" si="25"/>
        <v>500</v>
      </c>
      <c r="K59">
        <v>1.25</v>
      </c>
      <c r="L59">
        <v>1</v>
      </c>
      <c r="M59">
        <v>0.75</v>
      </c>
      <c r="N59" s="10">
        <f t="shared" si="26"/>
        <v>180</v>
      </c>
      <c r="O59" s="10">
        <f t="shared" si="27"/>
        <v>951.07142857142867</v>
      </c>
      <c r="P59" s="10">
        <f t="shared" si="28"/>
        <v>1629.3571428571431</v>
      </c>
      <c r="Q59" s="10">
        <f t="shared" si="29"/>
        <v>2819.5714285714289</v>
      </c>
      <c r="R59" s="10">
        <f t="shared" si="30"/>
        <v>1800</v>
      </c>
      <c r="S59">
        <v>1800</v>
      </c>
    </row>
    <row r="60" spans="1:19" x14ac:dyDescent="0.25">
      <c r="B60" s="4" t="s">
        <v>67</v>
      </c>
      <c r="C60" s="4"/>
      <c r="D60">
        <v>200000</v>
      </c>
      <c r="E60">
        <v>75</v>
      </c>
      <c r="F60" s="11">
        <f t="shared" si="24"/>
        <v>2.5339147286821708</v>
      </c>
      <c r="G60">
        <v>40000</v>
      </c>
      <c r="H60">
        <v>1.25</v>
      </c>
      <c r="I60">
        <v>64</v>
      </c>
      <c r="J60" s="10">
        <f t="shared" si="25"/>
        <v>781.25</v>
      </c>
      <c r="K60">
        <v>1</v>
      </c>
      <c r="L60">
        <v>1</v>
      </c>
      <c r="M60">
        <v>0.75</v>
      </c>
      <c r="N60" s="10">
        <f t="shared" si="26"/>
        <v>256</v>
      </c>
      <c r="O60" s="10">
        <f t="shared" si="27"/>
        <v>1074.4549418604652</v>
      </c>
      <c r="P60" s="10">
        <f t="shared" si="28"/>
        <v>1043.8862645348838</v>
      </c>
      <c r="Q60" s="10">
        <f t="shared" si="29"/>
        <v>1781.6587936046515</v>
      </c>
      <c r="R60" s="10">
        <f t="shared" si="30"/>
        <v>1300.0000000000002</v>
      </c>
      <c r="S60">
        <v>1300</v>
      </c>
    </row>
    <row r="61" spans="1:19" x14ac:dyDescent="0.25">
      <c r="B61" s="4" t="s">
        <v>184</v>
      </c>
      <c r="C61" s="4"/>
      <c r="D61">
        <v>500000</v>
      </c>
      <c r="E61">
        <v>55</v>
      </c>
      <c r="F61" s="11">
        <f t="shared" si="24"/>
        <v>6.3397755610972562</v>
      </c>
      <c r="G61">
        <v>48000</v>
      </c>
      <c r="H61">
        <v>1.25</v>
      </c>
      <c r="I61">
        <v>110</v>
      </c>
      <c r="J61" s="10">
        <f t="shared" si="25"/>
        <v>545.4545454545455</v>
      </c>
      <c r="K61">
        <v>1</v>
      </c>
      <c r="L61">
        <v>1</v>
      </c>
      <c r="M61">
        <v>0.75</v>
      </c>
      <c r="N61" s="10">
        <f t="shared" si="26"/>
        <v>916.66666666666663</v>
      </c>
      <c r="O61" s="10">
        <f t="shared" si="27"/>
        <v>1431.7841759238268</v>
      </c>
      <c r="P61" s="10">
        <f t="shared" si="28"/>
        <v>1862.4178190886419</v>
      </c>
      <c r="Q61" s="10">
        <f t="shared" si="29"/>
        <v>5705.7980049875305</v>
      </c>
      <c r="R61" s="10">
        <f t="shared" si="30"/>
        <v>3000</v>
      </c>
      <c r="S61">
        <v>3000</v>
      </c>
    </row>
    <row r="62" spans="1:19" x14ac:dyDescent="0.25">
      <c r="A62" t="s">
        <v>320</v>
      </c>
      <c r="B62" t="s">
        <v>104</v>
      </c>
      <c r="D62">
        <v>375000</v>
      </c>
      <c r="E62">
        <v>50</v>
      </c>
      <c r="F62" s="11">
        <f t="shared" si="24"/>
        <v>6.4120856063785148</v>
      </c>
      <c r="G62">
        <v>48000</v>
      </c>
      <c r="H62">
        <v>1</v>
      </c>
      <c r="I62">
        <v>103</v>
      </c>
      <c r="J62" s="10">
        <f t="shared" si="25"/>
        <v>466.01941747572818</v>
      </c>
      <c r="K62">
        <v>1</v>
      </c>
      <c r="L62">
        <v>1</v>
      </c>
      <c r="M62">
        <v>0.75</v>
      </c>
      <c r="N62" s="10">
        <f t="shared" si="26"/>
        <v>804.6875</v>
      </c>
      <c r="O62" s="10">
        <f t="shared" si="27"/>
        <v>1179.3771312981517</v>
      </c>
      <c r="P62" s="10">
        <f t="shared" si="28"/>
        <v>1458.9469197267051</v>
      </c>
      <c r="Q62" s="10">
        <f t="shared" si="29"/>
        <v>3361.6759489751435</v>
      </c>
      <c r="R62" s="10">
        <f t="shared" si="30"/>
        <v>2000</v>
      </c>
      <c r="S62">
        <v>2000</v>
      </c>
    </row>
    <row r="63" spans="1:19" x14ac:dyDescent="0.25">
      <c r="B63" s="9" t="s">
        <v>193</v>
      </c>
      <c r="C63" s="4"/>
      <c r="D63">
        <v>150000</v>
      </c>
      <c r="E63">
        <v>60</v>
      </c>
      <c r="F63" s="11">
        <f t="shared" si="24"/>
        <v>6.65</v>
      </c>
      <c r="G63">
        <v>80000</v>
      </c>
      <c r="H63">
        <v>1.25</v>
      </c>
      <c r="I63">
        <v>80</v>
      </c>
      <c r="J63" s="10">
        <f t="shared" si="25"/>
        <v>1250</v>
      </c>
      <c r="K63">
        <v>1.25</v>
      </c>
      <c r="L63">
        <v>1</v>
      </c>
      <c r="M63">
        <v>0.75</v>
      </c>
      <c r="N63" s="10">
        <f t="shared" si="26"/>
        <v>120</v>
      </c>
      <c r="O63" s="10">
        <f t="shared" si="27"/>
        <v>1501.8749999999998</v>
      </c>
      <c r="P63" s="10">
        <f t="shared" si="28"/>
        <v>3387.1875</v>
      </c>
      <c r="Q63" s="10">
        <f t="shared" si="29"/>
        <v>5610.9375</v>
      </c>
      <c r="R63" s="10">
        <f t="shared" si="30"/>
        <v>3500</v>
      </c>
      <c r="S63">
        <v>3500</v>
      </c>
    </row>
    <row r="64" spans="1:19" x14ac:dyDescent="0.25">
      <c r="B64" s="9" t="s">
        <v>402</v>
      </c>
      <c r="C64" s="4"/>
      <c r="D64">
        <v>625000</v>
      </c>
      <c r="E64">
        <v>45</v>
      </c>
      <c r="F64" s="11">
        <f t="shared" si="24"/>
        <v>6.6636836027713624</v>
      </c>
      <c r="G64">
        <v>96000</v>
      </c>
      <c r="H64">
        <v>1</v>
      </c>
      <c r="I64">
        <v>135</v>
      </c>
      <c r="J64" s="10">
        <f t="shared" si="25"/>
        <v>711.11111111111109</v>
      </c>
      <c r="K64">
        <v>1</v>
      </c>
      <c r="L64">
        <v>1</v>
      </c>
      <c r="M64">
        <v>0.75</v>
      </c>
      <c r="N64" s="10">
        <f t="shared" si="26"/>
        <v>878.90625</v>
      </c>
      <c r="O64" s="10">
        <f t="shared" si="27"/>
        <v>1738.2438414164742</v>
      </c>
      <c r="P64" s="10">
        <f t="shared" si="28"/>
        <v>2265.3358352578907</v>
      </c>
      <c r="Q64" s="10">
        <f t="shared" si="29"/>
        <v>7996.4203233256349</v>
      </c>
      <c r="R64" s="10">
        <f t="shared" si="30"/>
        <v>4000</v>
      </c>
      <c r="S64">
        <v>4000</v>
      </c>
    </row>
    <row r="65" spans="1:19" x14ac:dyDescent="0.25">
      <c r="B65" s="9" t="s">
        <v>119</v>
      </c>
      <c r="C65" s="4"/>
      <c r="D65">
        <v>60000</v>
      </c>
      <c r="E65">
        <v>90</v>
      </c>
      <c r="F65" s="11">
        <f t="shared" si="24"/>
        <v>6.0829596412556057</v>
      </c>
      <c r="G65">
        <v>60000</v>
      </c>
      <c r="H65">
        <v>1</v>
      </c>
      <c r="I65">
        <v>90</v>
      </c>
      <c r="J65" s="10">
        <f t="shared" si="25"/>
        <v>666.66666666666663</v>
      </c>
      <c r="K65">
        <v>1</v>
      </c>
      <c r="L65">
        <v>1</v>
      </c>
      <c r="M65">
        <v>0.75</v>
      </c>
      <c r="N65" s="10">
        <f t="shared" si="26"/>
        <v>90</v>
      </c>
      <c r="O65" s="10">
        <f t="shared" si="27"/>
        <v>907.48878923766802</v>
      </c>
      <c r="P65" s="10">
        <f t="shared" si="28"/>
        <v>1378.5919282511209</v>
      </c>
      <c r="Q65" s="10">
        <f t="shared" si="29"/>
        <v>1313.9192825112109</v>
      </c>
      <c r="R65" s="10">
        <f t="shared" si="30"/>
        <v>1199.9999999999998</v>
      </c>
      <c r="S65">
        <v>1200</v>
      </c>
    </row>
    <row r="66" spans="1:19" x14ac:dyDescent="0.25">
      <c r="B66" s="9" t="s">
        <v>120</v>
      </c>
      <c r="C66" s="4"/>
      <c r="D66">
        <v>650000</v>
      </c>
      <c r="E66">
        <v>50</v>
      </c>
      <c r="F66" s="11">
        <f t="shared" si="24"/>
        <v>5.3936651583710402</v>
      </c>
      <c r="G66">
        <v>73000</v>
      </c>
      <c r="H66">
        <v>1</v>
      </c>
      <c r="I66">
        <v>50</v>
      </c>
      <c r="J66" s="10">
        <f t="shared" si="25"/>
        <v>1460</v>
      </c>
      <c r="K66">
        <v>1</v>
      </c>
      <c r="L66">
        <v>1</v>
      </c>
      <c r="M66">
        <v>0.75</v>
      </c>
      <c r="N66" s="10">
        <f t="shared" si="26"/>
        <v>445.20547945205482</v>
      </c>
      <c r="O66" s="10">
        <f t="shared" si="27"/>
        <v>2306.809954751131</v>
      </c>
      <c r="P66" s="10">
        <f t="shared" si="28"/>
        <v>3337.4253393665158</v>
      </c>
      <c r="Q66" s="10">
        <f t="shared" si="29"/>
        <v>15355.764705882353</v>
      </c>
      <c r="R66" s="10">
        <f t="shared" si="30"/>
        <v>7000</v>
      </c>
      <c r="S66">
        <v>7000</v>
      </c>
    </row>
    <row r="67" spans="1:19" x14ac:dyDescent="0.25">
      <c r="A67" t="s">
        <v>571</v>
      </c>
      <c r="B67" s="9" t="s">
        <v>597</v>
      </c>
      <c r="C67" s="4"/>
      <c r="D67">
        <v>240000</v>
      </c>
      <c r="E67">
        <v>45</v>
      </c>
      <c r="F67" s="11">
        <f t="shared" si="24"/>
        <v>7.0115230460921847</v>
      </c>
      <c r="G67">
        <v>84000</v>
      </c>
      <c r="H67">
        <v>1</v>
      </c>
      <c r="I67">
        <v>140</v>
      </c>
      <c r="J67" s="10">
        <f t="shared" si="25"/>
        <v>600</v>
      </c>
      <c r="K67">
        <v>1</v>
      </c>
      <c r="L67">
        <v>1</v>
      </c>
      <c r="M67">
        <v>0.75</v>
      </c>
      <c r="N67" s="10">
        <f t="shared" si="26"/>
        <v>400</v>
      </c>
      <c r="O67" s="10">
        <f t="shared" si="27"/>
        <v>1087.8456913827656</v>
      </c>
      <c r="P67" s="10">
        <f t="shared" si="28"/>
        <v>1586.0741482965932</v>
      </c>
      <c r="Q67" s="10">
        <f t="shared" si="29"/>
        <v>2726.080160320641</v>
      </c>
      <c r="R67" s="10">
        <f t="shared" si="30"/>
        <v>1800</v>
      </c>
      <c r="S67">
        <v>1800</v>
      </c>
    </row>
    <row r="68" spans="1:19" x14ac:dyDescent="0.25">
      <c r="B68" s="9" t="s">
        <v>596</v>
      </c>
      <c r="C68" s="4"/>
      <c r="D68">
        <v>240000</v>
      </c>
      <c r="E68">
        <v>45</v>
      </c>
      <c r="F68" s="11">
        <f t="shared" ref="F68:F87" si="31">(S68*37500000/(L68*M68*D68*E68*K68*J68)-((500/(K68*J68))+(2500000000/(D68*E68*K68*J68)*(D68/100000+E68/100+J68/200))))/(1+5000000/(D68*E68)+(500000000/(D68*E68*J68)))</f>
        <v>7.0115230460921847</v>
      </c>
      <c r="G68">
        <v>48000</v>
      </c>
      <c r="H68">
        <v>0.875</v>
      </c>
      <c r="I68">
        <v>70</v>
      </c>
      <c r="J68" s="10">
        <f t="shared" ref="J68:J87" si="32">G68/I68*H68</f>
        <v>600</v>
      </c>
      <c r="K68">
        <v>1</v>
      </c>
      <c r="L68">
        <v>1</v>
      </c>
      <c r="M68">
        <v>0.75</v>
      </c>
      <c r="N68" s="10">
        <f t="shared" si="26"/>
        <v>400</v>
      </c>
      <c r="O68" s="10">
        <f t="shared" ref="O68:O87" si="33">(D68/100000+E68/100+F68*K68/5+J68/200)*200*L68*M68</f>
        <v>1087.8456913827656</v>
      </c>
      <c r="P68" s="10">
        <f t="shared" ref="P68:P87" si="34">((D68*E68/25000)+(F68*K68*J68/2.5))*L68*M68</f>
        <v>1586.0741482965932</v>
      </c>
      <c r="Q68" s="10">
        <f t="shared" ref="Q68:Q87" si="35">(D68*E68*F68*K68*J68*L68*M68)/12500000</f>
        <v>2726.080160320641</v>
      </c>
      <c r="R68" s="10">
        <f t="shared" ref="R68:R87" si="36">(O68+P68+Q68)/3</f>
        <v>1800</v>
      </c>
      <c r="S68">
        <v>1800</v>
      </c>
    </row>
    <row r="69" spans="1:19" x14ac:dyDescent="0.25">
      <c r="B69" s="9" t="s">
        <v>681</v>
      </c>
      <c r="D69">
        <v>300000</v>
      </c>
      <c r="E69">
        <v>45</v>
      </c>
      <c r="F69" s="11">
        <f t="shared" si="31"/>
        <v>6.7866490416391283</v>
      </c>
      <c r="G69">
        <v>64000</v>
      </c>
      <c r="H69">
        <v>1.25</v>
      </c>
      <c r="I69">
        <v>66</v>
      </c>
      <c r="J69" s="10">
        <f t="shared" si="32"/>
        <v>1212.1212121212122</v>
      </c>
      <c r="K69">
        <v>1.25</v>
      </c>
      <c r="L69">
        <v>1</v>
      </c>
      <c r="M69">
        <v>0.75</v>
      </c>
      <c r="N69" s="10">
        <f t="shared" si="26"/>
        <v>247.49999999999997</v>
      </c>
      <c r="O69" s="10">
        <f t="shared" si="33"/>
        <v>1681.0902481523763</v>
      </c>
      <c r="P69" s="10">
        <f t="shared" si="34"/>
        <v>3489.8404734723317</v>
      </c>
      <c r="Q69" s="10">
        <f t="shared" si="35"/>
        <v>8329.0692783752947</v>
      </c>
      <c r="R69" s="10">
        <f t="shared" si="36"/>
        <v>4500.0000000000009</v>
      </c>
      <c r="S69">
        <v>4500</v>
      </c>
    </row>
    <row r="70" spans="1:19" x14ac:dyDescent="0.25">
      <c r="B70" s="9" t="s">
        <v>682</v>
      </c>
      <c r="D70">
        <v>300000</v>
      </c>
      <c r="E70">
        <v>45</v>
      </c>
      <c r="F70" s="11">
        <f t="shared" si="31"/>
        <v>6.9846600331674971</v>
      </c>
      <c r="G70">
        <v>96000</v>
      </c>
      <c r="H70">
        <v>1</v>
      </c>
      <c r="I70">
        <v>66</v>
      </c>
      <c r="J70" s="10">
        <f t="shared" si="32"/>
        <v>1454.5454545454545</v>
      </c>
      <c r="K70">
        <v>1</v>
      </c>
      <c r="L70">
        <v>1</v>
      </c>
      <c r="M70">
        <v>0.75</v>
      </c>
      <c r="N70" s="10">
        <f t="shared" si="26"/>
        <v>206.25</v>
      </c>
      <c r="O70" s="10">
        <f t="shared" si="33"/>
        <v>1817.9488919041157</v>
      </c>
      <c r="P70" s="10">
        <f t="shared" si="34"/>
        <v>3452.8516508367256</v>
      </c>
      <c r="Q70" s="10">
        <f t="shared" si="35"/>
        <v>8229.1994572591593</v>
      </c>
      <c r="R70" s="10">
        <f t="shared" si="36"/>
        <v>4500</v>
      </c>
      <c r="S70">
        <v>4500</v>
      </c>
    </row>
    <row r="71" spans="1:19" x14ac:dyDescent="0.25">
      <c r="B71" t="s">
        <v>876</v>
      </c>
      <c r="D71">
        <v>160000</v>
      </c>
      <c r="E71">
        <v>75</v>
      </c>
      <c r="F71" s="11">
        <f t="shared" si="31"/>
        <v>7.4803767660910516</v>
      </c>
      <c r="G71">
        <v>19200</v>
      </c>
      <c r="H71">
        <v>1.125</v>
      </c>
      <c r="I71">
        <v>30</v>
      </c>
      <c r="J71" s="10">
        <f t="shared" si="32"/>
        <v>720</v>
      </c>
      <c r="K71">
        <v>1.25</v>
      </c>
      <c r="L71">
        <v>1</v>
      </c>
      <c r="M71">
        <v>0.75</v>
      </c>
      <c r="N71" s="10">
        <f t="shared" si="26"/>
        <v>222.22222222222223</v>
      </c>
      <c r="O71" s="10">
        <f t="shared" si="33"/>
        <v>1173.0141287284146</v>
      </c>
      <c r="P71" s="10">
        <f t="shared" si="34"/>
        <v>2379.7017268445838</v>
      </c>
      <c r="Q71" s="10">
        <f t="shared" si="35"/>
        <v>4847.2841444270007</v>
      </c>
      <c r="R71" s="10">
        <f t="shared" si="36"/>
        <v>2800</v>
      </c>
      <c r="S71">
        <v>2800</v>
      </c>
    </row>
    <row r="72" spans="1:19" x14ac:dyDescent="0.25">
      <c r="B72" s="9" t="s">
        <v>620</v>
      </c>
      <c r="D72">
        <v>105000</v>
      </c>
      <c r="E72">
        <v>105</v>
      </c>
      <c r="F72" s="11">
        <f t="shared" si="31"/>
        <v>7.2740858240106858</v>
      </c>
      <c r="G72">
        <v>40000</v>
      </c>
      <c r="H72">
        <v>1.125</v>
      </c>
      <c r="I72">
        <v>55</v>
      </c>
      <c r="J72" s="10">
        <f t="shared" si="32"/>
        <v>818.18181818181813</v>
      </c>
      <c r="K72">
        <v>1</v>
      </c>
      <c r="L72">
        <v>1</v>
      </c>
      <c r="M72">
        <v>0.75</v>
      </c>
      <c r="N72" s="10">
        <f t="shared" si="26"/>
        <v>128.33333333333334</v>
      </c>
      <c r="O72" s="10">
        <f t="shared" si="33"/>
        <v>1146.8589383566841</v>
      </c>
      <c r="P72" s="10">
        <f t="shared" si="34"/>
        <v>2116.2074295298953</v>
      </c>
      <c r="Q72" s="10">
        <f t="shared" si="35"/>
        <v>3936.9336321134192</v>
      </c>
      <c r="R72" s="10">
        <f t="shared" si="36"/>
        <v>2399.9999999999995</v>
      </c>
      <c r="S72">
        <v>2400</v>
      </c>
    </row>
    <row r="73" spans="1:19" x14ac:dyDescent="0.25">
      <c r="B73" s="9" t="s">
        <v>884</v>
      </c>
      <c r="D73">
        <v>85000</v>
      </c>
      <c r="E73">
        <v>115</v>
      </c>
      <c r="F73" s="11">
        <f t="shared" si="31"/>
        <v>7.0696130274908073</v>
      </c>
      <c r="G73">
        <v>40000</v>
      </c>
      <c r="H73">
        <v>1.125</v>
      </c>
      <c r="I73">
        <v>98</v>
      </c>
      <c r="J73" s="10">
        <f t="shared" si="32"/>
        <v>459.18367346938777</v>
      </c>
      <c r="K73">
        <v>1.25</v>
      </c>
      <c r="L73">
        <v>1</v>
      </c>
      <c r="M73">
        <v>0.75</v>
      </c>
      <c r="N73" s="10">
        <f t="shared" si="26"/>
        <v>185.11111111111111</v>
      </c>
      <c r="O73" s="10">
        <f t="shared" si="33"/>
        <v>909.49824363294613</v>
      </c>
      <c r="P73" s="10">
        <f t="shared" si="34"/>
        <v>1510.5940799888508</v>
      </c>
      <c r="Q73" s="10">
        <f t="shared" si="35"/>
        <v>2379.9076763782032</v>
      </c>
      <c r="R73" s="10">
        <f t="shared" si="36"/>
        <v>1600</v>
      </c>
      <c r="S73">
        <v>1600</v>
      </c>
    </row>
    <row r="74" spans="1:19" x14ac:dyDescent="0.25">
      <c r="A74" t="s">
        <v>581</v>
      </c>
      <c r="B74" t="s">
        <v>408</v>
      </c>
      <c r="D74">
        <v>600000</v>
      </c>
      <c r="E74">
        <v>60</v>
      </c>
      <c r="F74" s="11">
        <f t="shared" si="31"/>
        <v>6.6246264196055007</v>
      </c>
      <c r="G74">
        <v>60000</v>
      </c>
      <c r="H74">
        <v>1</v>
      </c>
      <c r="I74">
        <v>99</v>
      </c>
      <c r="J74" s="10">
        <f t="shared" si="32"/>
        <v>606.06060606060601</v>
      </c>
      <c r="K74">
        <v>1</v>
      </c>
      <c r="L74">
        <v>1</v>
      </c>
      <c r="M74">
        <v>0.75</v>
      </c>
      <c r="N74" s="10">
        <f t="shared" si="26"/>
        <v>990.00000000000011</v>
      </c>
      <c r="O74" s="10">
        <f t="shared" si="33"/>
        <v>1643.2842471336194</v>
      </c>
      <c r="P74" s="10">
        <f t="shared" si="34"/>
        <v>2284.4775308373637</v>
      </c>
      <c r="Q74" s="10">
        <f t="shared" si="35"/>
        <v>8672.2382220290183</v>
      </c>
      <c r="R74" s="10">
        <f t="shared" si="36"/>
        <v>4200.0000000000009</v>
      </c>
      <c r="S74">
        <v>4200</v>
      </c>
    </row>
    <row r="75" spans="1:19" x14ac:dyDescent="0.25">
      <c r="B75" s="9" t="s">
        <v>595</v>
      </c>
      <c r="D75">
        <v>450000</v>
      </c>
      <c r="E75">
        <v>45</v>
      </c>
      <c r="F75" s="11">
        <f t="shared" si="31"/>
        <v>7.3786407766990294</v>
      </c>
      <c r="G75">
        <v>90000</v>
      </c>
      <c r="H75">
        <v>1</v>
      </c>
      <c r="I75">
        <v>90</v>
      </c>
      <c r="J75" s="10">
        <f t="shared" si="32"/>
        <v>1000</v>
      </c>
      <c r="K75">
        <v>1</v>
      </c>
      <c r="L75">
        <v>1</v>
      </c>
      <c r="M75">
        <v>0.75</v>
      </c>
      <c r="N75" s="10">
        <f t="shared" si="26"/>
        <v>450</v>
      </c>
      <c r="O75" s="10">
        <f t="shared" si="33"/>
        <v>1713.8592233009711</v>
      </c>
      <c r="P75" s="10">
        <f t="shared" si="34"/>
        <v>2821.0922330097087</v>
      </c>
      <c r="Q75" s="10">
        <f t="shared" si="35"/>
        <v>8965.0485436893196</v>
      </c>
      <c r="R75" s="10">
        <f t="shared" si="36"/>
        <v>4500</v>
      </c>
      <c r="S75">
        <v>4500</v>
      </c>
    </row>
    <row r="76" spans="1:19" x14ac:dyDescent="0.25">
      <c r="A76" t="s">
        <v>605</v>
      </c>
      <c r="B76" s="9" t="s">
        <v>633</v>
      </c>
      <c r="D76">
        <v>300000</v>
      </c>
      <c r="E76">
        <v>45</v>
      </c>
      <c r="F76" s="11">
        <f t="shared" si="31"/>
        <v>7.1555118110236222</v>
      </c>
      <c r="G76">
        <v>128000</v>
      </c>
      <c r="H76">
        <v>1</v>
      </c>
      <c r="I76">
        <v>90</v>
      </c>
      <c r="J76" s="10">
        <f t="shared" si="32"/>
        <v>1422.2222222222222</v>
      </c>
      <c r="K76">
        <v>1</v>
      </c>
      <c r="L76">
        <v>1</v>
      </c>
      <c r="M76">
        <v>0.75</v>
      </c>
      <c r="N76" s="10">
        <f t="shared" si="26"/>
        <v>210.9375</v>
      </c>
      <c r="O76" s="10">
        <f t="shared" si="33"/>
        <v>1798.8320209973754</v>
      </c>
      <c r="P76" s="10">
        <f t="shared" si="34"/>
        <v>3458.0183727034123</v>
      </c>
      <c r="Q76" s="10">
        <f t="shared" si="35"/>
        <v>8243.1496062992119</v>
      </c>
      <c r="R76" s="10">
        <f t="shared" si="36"/>
        <v>4500</v>
      </c>
      <c r="S76">
        <v>4500</v>
      </c>
    </row>
    <row r="77" spans="1:19" x14ac:dyDescent="0.25">
      <c r="B77" s="13" t="s">
        <v>609</v>
      </c>
      <c r="C77" s="6"/>
      <c r="D77" s="6">
        <v>125000</v>
      </c>
      <c r="E77" s="6">
        <v>90</v>
      </c>
      <c r="F77" s="11">
        <f t="shared" si="31"/>
        <v>5.9999999999999991</v>
      </c>
      <c r="G77" s="6">
        <v>12000</v>
      </c>
      <c r="H77" s="6">
        <v>1</v>
      </c>
      <c r="I77" s="6">
        <v>20</v>
      </c>
      <c r="J77" s="10">
        <f t="shared" si="32"/>
        <v>600</v>
      </c>
      <c r="K77" s="6">
        <v>1</v>
      </c>
      <c r="L77" s="6">
        <v>1</v>
      </c>
      <c r="M77" s="6">
        <v>0.75</v>
      </c>
      <c r="N77" s="10">
        <f t="shared" si="26"/>
        <v>208.33333333333334</v>
      </c>
      <c r="O77" s="10">
        <f t="shared" si="33"/>
        <v>952.5</v>
      </c>
      <c r="P77" s="10">
        <f t="shared" si="34"/>
        <v>1417.4999999999998</v>
      </c>
      <c r="Q77" s="10">
        <f t="shared" si="35"/>
        <v>2429.9999999999995</v>
      </c>
      <c r="R77" s="10">
        <f t="shared" si="36"/>
        <v>1600</v>
      </c>
      <c r="S77" s="6">
        <v>1600</v>
      </c>
    </row>
    <row r="78" spans="1:19" x14ac:dyDescent="0.25">
      <c r="B78" s="13" t="s">
        <v>610</v>
      </c>
      <c r="C78" s="6"/>
      <c r="D78" s="6">
        <v>125000</v>
      </c>
      <c r="E78" s="6">
        <v>90</v>
      </c>
      <c r="F78" s="11">
        <f t="shared" si="31"/>
        <v>5.9355783308931196</v>
      </c>
      <c r="G78" s="6">
        <v>20000</v>
      </c>
      <c r="H78" s="6">
        <v>1</v>
      </c>
      <c r="I78" s="6">
        <v>33</v>
      </c>
      <c r="J78" s="10">
        <f t="shared" si="32"/>
        <v>606.06060606060601</v>
      </c>
      <c r="K78" s="6">
        <v>1</v>
      </c>
      <c r="L78" s="6">
        <v>1</v>
      </c>
      <c r="M78" s="6">
        <v>0.75</v>
      </c>
      <c r="N78" s="10">
        <f t="shared" si="26"/>
        <v>206.25000000000003</v>
      </c>
      <c r="O78" s="10">
        <f t="shared" si="33"/>
        <v>955.11280447224794</v>
      </c>
      <c r="P78" s="10">
        <f t="shared" si="34"/>
        <v>1416.696060162385</v>
      </c>
      <c r="Q78" s="10">
        <f t="shared" si="35"/>
        <v>2428.1911353653668</v>
      </c>
      <c r="R78" s="10">
        <f t="shared" si="36"/>
        <v>1600</v>
      </c>
      <c r="S78" s="6">
        <v>1600</v>
      </c>
    </row>
    <row r="79" spans="1:19" x14ac:dyDescent="0.25">
      <c r="B79" s="13" t="s">
        <v>652</v>
      </c>
      <c r="C79" s="6"/>
      <c r="D79" s="6">
        <v>175000</v>
      </c>
      <c r="E79" s="6">
        <v>75</v>
      </c>
      <c r="F79" s="11">
        <f t="shared" si="31"/>
        <v>6.479166666666667</v>
      </c>
      <c r="G79" s="6">
        <v>32000</v>
      </c>
      <c r="H79" s="6">
        <v>1</v>
      </c>
      <c r="I79" s="6">
        <v>40</v>
      </c>
      <c r="J79" s="10">
        <f t="shared" si="32"/>
        <v>800</v>
      </c>
      <c r="K79" s="6">
        <v>1</v>
      </c>
      <c r="L79" s="6">
        <v>1</v>
      </c>
      <c r="M79" s="6">
        <v>0.75</v>
      </c>
      <c r="N79" s="10">
        <f t="shared" si="26"/>
        <v>218.75</v>
      </c>
      <c r="O79" s="10">
        <f t="shared" si="33"/>
        <v>1169.375</v>
      </c>
      <c r="P79" s="10">
        <f t="shared" si="34"/>
        <v>1948.75</v>
      </c>
      <c r="Q79" s="10">
        <f t="shared" si="35"/>
        <v>4081.875</v>
      </c>
      <c r="R79" s="10">
        <f t="shared" si="36"/>
        <v>2400</v>
      </c>
      <c r="S79" s="6">
        <v>2400</v>
      </c>
    </row>
    <row r="80" spans="1:19" x14ac:dyDescent="0.25">
      <c r="B80" s="13" t="s">
        <v>653</v>
      </c>
      <c r="C80" s="6"/>
      <c r="D80" s="6">
        <v>175000</v>
      </c>
      <c r="E80" s="6">
        <v>75</v>
      </c>
      <c r="F80" s="11">
        <f t="shared" si="31"/>
        <v>6.479166666666667</v>
      </c>
      <c r="G80" s="6">
        <v>32000</v>
      </c>
      <c r="H80" s="6">
        <v>1</v>
      </c>
      <c r="I80" s="6">
        <v>40</v>
      </c>
      <c r="J80" s="10">
        <f t="shared" si="32"/>
        <v>800</v>
      </c>
      <c r="K80" s="6">
        <v>1</v>
      </c>
      <c r="L80" s="6">
        <v>1</v>
      </c>
      <c r="M80" s="6">
        <v>0.75</v>
      </c>
      <c r="N80" s="10">
        <f t="shared" si="26"/>
        <v>218.75</v>
      </c>
      <c r="O80" s="10">
        <f t="shared" si="33"/>
        <v>1169.375</v>
      </c>
      <c r="P80" s="10">
        <f t="shared" si="34"/>
        <v>1948.75</v>
      </c>
      <c r="Q80" s="10">
        <f t="shared" si="35"/>
        <v>4081.875</v>
      </c>
      <c r="R80" s="10">
        <f t="shared" si="36"/>
        <v>2400</v>
      </c>
      <c r="S80" s="6">
        <v>2400</v>
      </c>
    </row>
    <row r="81" spans="1:19" x14ac:dyDescent="0.25">
      <c r="B81" s="9" t="s">
        <v>641</v>
      </c>
      <c r="D81">
        <v>400000</v>
      </c>
      <c r="E81">
        <v>80</v>
      </c>
      <c r="F81" s="11">
        <f t="shared" si="31"/>
        <v>1.6</v>
      </c>
      <c r="G81">
        <v>40000</v>
      </c>
      <c r="H81">
        <v>1</v>
      </c>
      <c r="I81">
        <v>15</v>
      </c>
      <c r="J81" s="10">
        <f t="shared" si="32"/>
        <v>2666.6666666666665</v>
      </c>
      <c r="K81">
        <v>1</v>
      </c>
      <c r="L81">
        <v>1</v>
      </c>
      <c r="M81" s="6">
        <v>0.75</v>
      </c>
      <c r="N81" s="10">
        <f>D81/J81</f>
        <v>150</v>
      </c>
      <c r="O81" s="10">
        <f t="shared" si="33"/>
        <v>2768</v>
      </c>
      <c r="P81" s="10">
        <f t="shared" si="34"/>
        <v>2240</v>
      </c>
      <c r="Q81" s="10">
        <f t="shared" si="35"/>
        <v>8192</v>
      </c>
      <c r="R81" s="10">
        <f t="shared" si="36"/>
        <v>4400</v>
      </c>
      <c r="S81">
        <v>4400</v>
      </c>
    </row>
    <row r="82" spans="1:19" x14ac:dyDescent="0.25">
      <c r="B82" t="s">
        <v>660</v>
      </c>
      <c r="D82">
        <v>150000</v>
      </c>
      <c r="E82">
        <v>150</v>
      </c>
      <c r="F82" s="11">
        <f t="shared" si="31"/>
        <v>1.2499999999999998</v>
      </c>
      <c r="G82">
        <v>10000</v>
      </c>
      <c r="H82">
        <v>1</v>
      </c>
      <c r="I82">
        <v>10</v>
      </c>
      <c r="J82" s="10">
        <f t="shared" si="32"/>
        <v>1000</v>
      </c>
      <c r="K82">
        <v>1.25</v>
      </c>
      <c r="L82">
        <v>1</v>
      </c>
      <c r="M82" s="6">
        <v>0.75</v>
      </c>
      <c r="N82" s="10">
        <f t="shared" ref="N82:N87" si="37">D82/J82</f>
        <v>150</v>
      </c>
      <c r="O82" s="10">
        <f t="shared" si="33"/>
        <v>1246.875</v>
      </c>
      <c r="P82" s="10">
        <f t="shared" si="34"/>
        <v>1143.75</v>
      </c>
      <c r="Q82" s="10">
        <f t="shared" si="35"/>
        <v>2109.3749999999995</v>
      </c>
      <c r="R82" s="10">
        <f t="shared" si="36"/>
        <v>1500</v>
      </c>
      <c r="S82">
        <v>1500</v>
      </c>
    </row>
    <row r="83" spans="1:19" x14ac:dyDescent="0.25">
      <c r="B83" t="s">
        <v>691</v>
      </c>
      <c r="D83">
        <v>350000</v>
      </c>
      <c r="E83">
        <v>75</v>
      </c>
      <c r="F83" s="11">
        <f t="shared" si="31"/>
        <v>3.1517715494447378</v>
      </c>
      <c r="G83">
        <v>30000</v>
      </c>
      <c r="H83">
        <v>1.25</v>
      </c>
      <c r="I83">
        <v>20</v>
      </c>
      <c r="J83" s="10">
        <f t="shared" si="32"/>
        <v>1875</v>
      </c>
      <c r="K83">
        <v>1.25</v>
      </c>
      <c r="L83">
        <v>1</v>
      </c>
      <c r="M83" s="6">
        <v>0.75</v>
      </c>
      <c r="N83" s="10">
        <f t="shared" si="37"/>
        <v>186.66666666666666</v>
      </c>
      <c r="O83" s="10">
        <f t="shared" si="33"/>
        <v>2161.9414331041776</v>
      </c>
      <c r="P83" s="10">
        <f t="shared" si="34"/>
        <v>3003.589370703331</v>
      </c>
      <c r="Q83" s="10">
        <f t="shared" si="35"/>
        <v>11634.469196192491</v>
      </c>
      <c r="R83" s="10">
        <f t="shared" si="36"/>
        <v>5600</v>
      </c>
      <c r="S83">
        <v>5600</v>
      </c>
    </row>
    <row r="84" spans="1:19" x14ac:dyDescent="0.25">
      <c r="B84" s="12" t="s">
        <v>703</v>
      </c>
      <c r="D84">
        <v>250000</v>
      </c>
      <c r="E84">
        <v>60</v>
      </c>
      <c r="F84" s="11">
        <f t="shared" si="31"/>
        <v>4.5</v>
      </c>
      <c r="G84">
        <v>40000</v>
      </c>
      <c r="H84">
        <v>1</v>
      </c>
      <c r="I84">
        <v>40</v>
      </c>
      <c r="J84" s="10">
        <f t="shared" si="32"/>
        <v>1000</v>
      </c>
      <c r="K84">
        <v>1</v>
      </c>
      <c r="L84">
        <v>1</v>
      </c>
      <c r="M84" s="6">
        <v>0.75</v>
      </c>
      <c r="N84" s="10">
        <f t="shared" si="37"/>
        <v>250</v>
      </c>
      <c r="O84" s="10">
        <f t="shared" si="33"/>
        <v>1350</v>
      </c>
      <c r="P84" s="10">
        <f t="shared" si="34"/>
        <v>1800</v>
      </c>
      <c r="Q84" s="10">
        <f t="shared" si="35"/>
        <v>4050</v>
      </c>
      <c r="R84" s="10">
        <f t="shared" si="36"/>
        <v>2400</v>
      </c>
      <c r="S84">
        <v>2400</v>
      </c>
    </row>
    <row r="85" spans="1:19" x14ac:dyDescent="0.25">
      <c r="A85" t="s">
        <v>707</v>
      </c>
      <c r="B85" t="s">
        <v>712</v>
      </c>
      <c r="D85">
        <v>167500</v>
      </c>
      <c r="E85">
        <v>115</v>
      </c>
      <c r="F85" s="11">
        <f t="shared" si="31"/>
        <v>1.4197742262810757</v>
      </c>
      <c r="G85">
        <v>16000</v>
      </c>
      <c r="H85">
        <v>1</v>
      </c>
      <c r="I85">
        <v>12</v>
      </c>
      <c r="J85" s="10">
        <f t="shared" si="32"/>
        <v>1333.3333333333333</v>
      </c>
      <c r="K85">
        <v>1</v>
      </c>
      <c r="L85">
        <v>1</v>
      </c>
      <c r="M85" s="6">
        <v>0.75</v>
      </c>
      <c r="N85" s="10">
        <f t="shared" si="37"/>
        <v>125.62500000000001</v>
      </c>
      <c r="O85" s="10">
        <f t="shared" si="33"/>
        <v>1466.3432267884323</v>
      </c>
      <c r="P85" s="10">
        <f t="shared" si="34"/>
        <v>1145.7846905124302</v>
      </c>
      <c r="Q85" s="10">
        <f t="shared" si="35"/>
        <v>2187.8720826991375</v>
      </c>
      <c r="R85" s="10">
        <f t="shared" si="36"/>
        <v>1600</v>
      </c>
      <c r="S85">
        <v>1600</v>
      </c>
    </row>
    <row r="86" spans="1:19" x14ac:dyDescent="0.25">
      <c r="B86" t="s">
        <v>1023</v>
      </c>
      <c r="D86">
        <v>180000</v>
      </c>
      <c r="E86">
        <v>120</v>
      </c>
      <c r="F86" s="11">
        <f t="shared" si="31"/>
        <v>1.6651184393869021</v>
      </c>
      <c r="G86">
        <v>24000</v>
      </c>
      <c r="H86">
        <v>1</v>
      </c>
      <c r="I86">
        <v>15</v>
      </c>
      <c r="J86" s="10">
        <f t="shared" si="32"/>
        <v>1600</v>
      </c>
      <c r="K86">
        <v>1</v>
      </c>
      <c r="L86">
        <v>1</v>
      </c>
      <c r="M86" s="6">
        <v>0.75</v>
      </c>
      <c r="N86" s="10">
        <f t="shared" si="37"/>
        <v>112.5</v>
      </c>
      <c r="O86" s="10">
        <f t="shared" si="33"/>
        <v>1699.953553181607</v>
      </c>
      <c r="P86" s="10">
        <f t="shared" si="34"/>
        <v>1447.2568509057132</v>
      </c>
      <c r="Q86" s="10">
        <f t="shared" si="35"/>
        <v>3452.7895959126799</v>
      </c>
      <c r="R86" s="10">
        <f t="shared" si="36"/>
        <v>2200</v>
      </c>
      <c r="S86">
        <v>2200</v>
      </c>
    </row>
    <row r="87" spans="1:19" x14ac:dyDescent="0.25">
      <c r="B87" t="s">
        <v>713</v>
      </c>
      <c r="D87">
        <v>200000</v>
      </c>
      <c r="E87">
        <v>85</v>
      </c>
      <c r="F87" s="11">
        <f t="shared" si="31"/>
        <v>1.66044776119403</v>
      </c>
      <c r="G87">
        <v>30000</v>
      </c>
      <c r="H87">
        <v>1</v>
      </c>
      <c r="I87">
        <v>20</v>
      </c>
      <c r="J87" s="10">
        <f t="shared" si="32"/>
        <v>1500</v>
      </c>
      <c r="K87">
        <v>1</v>
      </c>
      <c r="L87">
        <v>1</v>
      </c>
      <c r="M87" s="6">
        <v>0.75</v>
      </c>
      <c r="N87" s="10">
        <f t="shared" si="37"/>
        <v>133.33333333333334</v>
      </c>
      <c r="O87" s="10">
        <f t="shared" si="33"/>
        <v>1602.3134328358212</v>
      </c>
      <c r="P87" s="10">
        <f t="shared" si="34"/>
        <v>1257.2014925373135</v>
      </c>
      <c r="Q87" s="10">
        <f t="shared" si="35"/>
        <v>2540.4850746268658</v>
      </c>
      <c r="R87" s="10">
        <f t="shared" si="36"/>
        <v>1800</v>
      </c>
      <c r="S87">
        <v>1800</v>
      </c>
    </row>
    <row r="89" spans="1:19" x14ac:dyDescent="0.25">
      <c r="A89" t="s">
        <v>629</v>
      </c>
    </row>
    <row r="90" spans="1:19" x14ac:dyDescent="0.25">
      <c r="B90" s="9" t="s">
        <v>212</v>
      </c>
      <c r="C90" s="4"/>
      <c r="D90">
        <v>120000</v>
      </c>
      <c r="E90">
        <v>90</v>
      </c>
      <c r="F90" s="11">
        <f t="shared" ref="F90:F96" si="38">(S90*37500000/(L90*M90*D90*E90*K90*J90)-((500/(K90*J90))+(2500000000/(D90*E90*K90*J90)*(D90/100000+E90/100+J90/200))))/(1+5000000/(D90*E90)+(500000000/(D90*E90*J90)))</f>
        <v>6.0312264860797606</v>
      </c>
      <c r="G90">
        <v>24000</v>
      </c>
      <c r="H90">
        <v>1</v>
      </c>
      <c r="I90">
        <v>39</v>
      </c>
      <c r="J90" s="10">
        <f t="shared" ref="J90:J96" si="39">G90/I90*H90</f>
        <v>615.38461538461536</v>
      </c>
      <c r="K90">
        <v>1</v>
      </c>
      <c r="L90">
        <v>1</v>
      </c>
      <c r="M90">
        <v>0.75</v>
      </c>
      <c r="N90" s="10">
        <f t="shared" ref="N90:N101" si="40">D90/J90</f>
        <v>195</v>
      </c>
      <c r="O90" s="10">
        <f>(D90/100000+E90/100+F90*K90/5+J90/200)*200*L90*M90</f>
        <v>957.47525612085428</v>
      </c>
      <c r="P90" s="10">
        <f>((D90*E90/25000)+(F90*K90*J90/2.5))*L90*M90</f>
        <v>1437.4571974301095</v>
      </c>
      <c r="Q90" s="10">
        <f>(D90*E90*F90*K90*J90*L90*M90)/12500000</f>
        <v>2405.0675464490369</v>
      </c>
      <c r="R90" s="10">
        <f>(O90+P90+Q90)/3</f>
        <v>1600.0000000000002</v>
      </c>
      <c r="S90">
        <v>1600</v>
      </c>
    </row>
    <row r="91" spans="1:19" x14ac:dyDescent="0.25">
      <c r="B91" s="9" t="s">
        <v>543</v>
      </c>
      <c r="C91" s="4"/>
      <c r="D91">
        <v>240000</v>
      </c>
      <c r="E91">
        <v>60</v>
      </c>
      <c r="F91" s="11">
        <f t="shared" si="38"/>
        <v>6.1121770075816171</v>
      </c>
      <c r="G91">
        <v>32000</v>
      </c>
      <c r="H91">
        <v>1</v>
      </c>
      <c r="I91">
        <v>51</v>
      </c>
      <c r="J91" s="10">
        <f t="shared" si="39"/>
        <v>627.45098039215691</v>
      </c>
      <c r="K91">
        <v>1</v>
      </c>
      <c r="L91">
        <v>1</v>
      </c>
      <c r="M91">
        <v>0.75</v>
      </c>
      <c r="N91" s="10">
        <f t="shared" si="40"/>
        <v>382.5</v>
      </c>
      <c r="O91" s="10">
        <f t="shared" ref="O91:O97" si="41">(D91/100000+E91/100+F91*K91/5+J91/200)*200*L91*M91</f>
        <v>1103.9535455215662</v>
      </c>
      <c r="P91" s="10">
        <f t="shared" ref="P91:P97" si="42">((D91*E91/25000)+(F91*K91*J91/2.5))*L91*M91</f>
        <v>1582.5274367212457</v>
      </c>
      <c r="Q91" s="10">
        <f t="shared" ref="Q91:Q97" si="43">(D91*E91*F91*K91*J91*L91*M91)/12500000</f>
        <v>3313.5190177571876</v>
      </c>
      <c r="R91" s="10">
        <f t="shared" ref="R91:R97" si="44">(O91+P91+Q91)/3</f>
        <v>2000</v>
      </c>
      <c r="S91">
        <v>2000</v>
      </c>
    </row>
    <row r="92" spans="1:19" x14ac:dyDescent="0.25">
      <c r="B92" s="9" t="s">
        <v>227</v>
      </c>
      <c r="C92" s="4"/>
      <c r="D92">
        <v>350000</v>
      </c>
      <c r="E92">
        <v>55</v>
      </c>
      <c r="F92" s="11">
        <f t="shared" si="38"/>
        <v>6.9918831168831153</v>
      </c>
      <c r="G92">
        <v>24000</v>
      </c>
      <c r="H92">
        <v>1</v>
      </c>
      <c r="I92">
        <v>68</v>
      </c>
      <c r="J92" s="10">
        <f t="shared" si="39"/>
        <v>352.94117647058823</v>
      </c>
      <c r="K92">
        <v>1</v>
      </c>
      <c r="L92">
        <v>1</v>
      </c>
      <c r="M92">
        <v>0.75</v>
      </c>
      <c r="N92" s="10">
        <f t="shared" si="40"/>
        <v>991.66666666666663</v>
      </c>
      <c r="O92" s="10">
        <f t="shared" si="41"/>
        <v>1081.9623758594346</v>
      </c>
      <c r="P92" s="10">
        <f t="shared" si="42"/>
        <v>1317.817035905271</v>
      </c>
      <c r="Q92" s="10">
        <f t="shared" si="43"/>
        <v>2850.2205882352937</v>
      </c>
      <c r="R92" s="10">
        <f t="shared" si="44"/>
        <v>1749.9999999999998</v>
      </c>
      <c r="S92">
        <v>1750</v>
      </c>
    </row>
    <row r="93" spans="1:19" x14ac:dyDescent="0.25">
      <c r="A93" t="s">
        <v>724</v>
      </c>
      <c r="B93" t="s">
        <v>346</v>
      </c>
      <c r="D93">
        <v>285000</v>
      </c>
      <c r="E93">
        <v>55</v>
      </c>
      <c r="F93" s="11">
        <f t="shared" si="38"/>
        <v>7.0196032672112008</v>
      </c>
      <c r="G93">
        <v>10000</v>
      </c>
      <c r="H93">
        <v>1</v>
      </c>
      <c r="I93">
        <v>15</v>
      </c>
      <c r="J93" s="10">
        <f t="shared" si="39"/>
        <v>666.66666666666663</v>
      </c>
      <c r="K93">
        <v>1.25</v>
      </c>
      <c r="L93">
        <v>1</v>
      </c>
      <c r="M93">
        <v>0.75</v>
      </c>
      <c r="N93" s="10">
        <f t="shared" si="40"/>
        <v>427.5</v>
      </c>
      <c r="O93" s="10">
        <f t="shared" si="41"/>
        <v>1273.23512252042</v>
      </c>
      <c r="P93" s="10">
        <f t="shared" si="42"/>
        <v>2225.1508168028004</v>
      </c>
      <c r="Q93" s="10">
        <f t="shared" si="43"/>
        <v>5501.6140606767785</v>
      </c>
      <c r="R93" s="10">
        <f t="shared" si="44"/>
        <v>3000</v>
      </c>
      <c r="S93">
        <v>3000</v>
      </c>
    </row>
    <row r="94" spans="1:19" x14ac:dyDescent="0.25">
      <c r="B94" t="s">
        <v>904</v>
      </c>
      <c r="D94">
        <v>55000</v>
      </c>
      <c r="E94">
        <v>55</v>
      </c>
      <c r="F94" s="11">
        <f t="shared" si="38"/>
        <v>4.1097192707750816</v>
      </c>
      <c r="G94">
        <v>12000</v>
      </c>
      <c r="H94">
        <v>0.875</v>
      </c>
      <c r="I94">
        <v>55</v>
      </c>
      <c r="J94" s="10">
        <f t="shared" si="39"/>
        <v>190.90909090909091</v>
      </c>
      <c r="K94">
        <v>1</v>
      </c>
      <c r="L94">
        <v>1</v>
      </c>
      <c r="M94">
        <v>0.75</v>
      </c>
      <c r="N94" s="10">
        <f t="shared" si="40"/>
        <v>288.09523809523807</v>
      </c>
      <c r="O94" s="10">
        <f t="shared" si="41"/>
        <v>431.47339630507065</v>
      </c>
      <c r="P94" s="10">
        <f t="shared" si="42"/>
        <v>326.12483096257284</v>
      </c>
      <c r="Q94" s="10">
        <f t="shared" si="43"/>
        <v>142.40177273235656</v>
      </c>
      <c r="R94" s="10">
        <f t="shared" si="44"/>
        <v>300.00000000000006</v>
      </c>
      <c r="S94">
        <v>300</v>
      </c>
    </row>
    <row r="95" spans="1:19" x14ac:dyDescent="0.25">
      <c r="B95" t="s">
        <v>908</v>
      </c>
      <c r="D95">
        <v>320000</v>
      </c>
      <c r="E95">
        <v>35</v>
      </c>
      <c r="F95" s="11">
        <f t="shared" si="38"/>
        <v>8.3001675041876073</v>
      </c>
      <c r="G95">
        <v>8000</v>
      </c>
      <c r="H95">
        <v>0.875</v>
      </c>
      <c r="I95">
        <v>12</v>
      </c>
      <c r="J95" s="10">
        <f t="shared" si="39"/>
        <v>583.33333333333326</v>
      </c>
      <c r="K95">
        <v>1.25</v>
      </c>
      <c r="L95">
        <v>1</v>
      </c>
      <c r="M95">
        <v>0.75</v>
      </c>
      <c r="N95" s="10">
        <f t="shared" si="40"/>
        <v>548.57142857142867</v>
      </c>
      <c r="O95" s="10">
        <f t="shared" si="41"/>
        <v>1281.2562814070352</v>
      </c>
      <c r="P95" s="10">
        <f t="shared" si="42"/>
        <v>2151.6616415410385</v>
      </c>
      <c r="Q95" s="10">
        <f t="shared" si="43"/>
        <v>4067.0820770519267</v>
      </c>
      <c r="R95" s="10">
        <f t="shared" si="44"/>
        <v>2500</v>
      </c>
      <c r="S95">
        <v>2500</v>
      </c>
    </row>
    <row r="96" spans="1:19" x14ac:dyDescent="0.25">
      <c r="B96" t="s">
        <v>909</v>
      </c>
      <c r="D96">
        <v>240000</v>
      </c>
      <c r="E96">
        <v>40</v>
      </c>
      <c r="F96" s="11">
        <f t="shared" si="38"/>
        <v>6.9999999999999991</v>
      </c>
      <c r="G96">
        <v>60000</v>
      </c>
      <c r="H96">
        <v>1</v>
      </c>
      <c r="I96">
        <v>60</v>
      </c>
      <c r="J96" s="10">
        <f t="shared" si="39"/>
        <v>1000</v>
      </c>
      <c r="K96">
        <v>1</v>
      </c>
      <c r="L96">
        <v>1</v>
      </c>
      <c r="M96">
        <v>0.75</v>
      </c>
      <c r="N96" s="10">
        <f t="shared" si="40"/>
        <v>240</v>
      </c>
      <c r="O96" s="10">
        <f t="shared" si="41"/>
        <v>1379.9999999999998</v>
      </c>
      <c r="P96" s="10">
        <f t="shared" si="42"/>
        <v>2387.9999999999995</v>
      </c>
      <c r="Q96" s="10">
        <f t="shared" si="43"/>
        <v>4031.9999999999986</v>
      </c>
      <c r="R96" s="10">
        <f t="shared" si="44"/>
        <v>2599.9999999999995</v>
      </c>
      <c r="S96">
        <v>2600</v>
      </c>
    </row>
    <row r="97" spans="1:19" x14ac:dyDescent="0.25">
      <c r="B97" s="9" t="s">
        <v>211</v>
      </c>
      <c r="C97" s="4"/>
      <c r="D97">
        <v>50000</v>
      </c>
      <c r="E97">
        <v>130</v>
      </c>
      <c r="F97" s="11">
        <f t="shared" ref="F97:F102" si="45">(S97*37500000/(L97*M97*D97*E97*K97*J97)-((500/(K97*J97))+(2500000000/(D97*E97*K97*J97)*(D97/100000+E97/100+J97/200))))/(1+5000000/(D97*E97)+(500000000/(D97*E97*J97)))</f>
        <v>5.7804878048780495</v>
      </c>
      <c r="G97">
        <v>24000</v>
      </c>
      <c r="H97">
        <v>1.25</v>
      </c>
      <c r="I97">
        <v>48</v>
      </c>
      <c r="J97" s="10">
        <f t="shared" ref="J97:J102" si="46">G97/I97*H97</f>
        <v>625</v>
      </c>
      <c r="K97">
        <v>1</v>
      </c>
      <c r="L97">
        <v>1</v>
      </c>
      <c r="M97">
        <v>0.75</v>
      </c>
      <c r="N97" s="10">
        <f t="shared" si="40"/>
        <v>80</v>
      </c>
      <c r="O97" s="10">
        <f t="shared" si="41"/>
        <v>912.16463414634154</v>
      </c>
      <c r="P97" s="10">
        <f t="shared" si="42"/>
        <v>1278.8414634146343</v>
      </c>
      <c r="Q97" s="10">
        <f t="shared" si="43"/>
        <v>1408.9939024390244</v>
      </c>
      <c r="R97" s="10">
        <f t="shared" si="44"/>
        <v>1200</v>
      </c>
      <c r="S97">
        <v>1200</v>
      </c>
    </row>
    <row r="98" spans="1:19" x14ac:dyDescent="0.25">
      <c r="B98" s="9" t="s">
        <v>957</v>
      </c>
      <c r="C98" s="4"/>
      <c r="D98">
        <v>450000</v>
      </c>
      <c r="E98">
        <v>65</v>
      </c>
      <c r="F98" s="11">
        <f t="shared" si="45"/>
        <v>1.5980629539951576</v>
      </c>
      <c r="G98">
        <v>60000</v>
      </c>
      <c r="H98">
        <v>1.25</v>
      </c>
      <c r="I98">
        <v>25</v>
      </c>
      <c r="J98" s="10">
        <f t="shared" si="46"/>
        <v>3000</v>
      </c>
      <c r="K98">
        <v>1</v>
      </c>
      <c r="L98">
        <v>1</v>
      </c>
      <c r="M98">
        <v>0.75</v>
      </c>
      <c r="N98" s="10">
        <f t="shared" si="40"/>
        <v>150</v>
      </c>
      <c r="O98" s="10">
        <f t="shared" ref="O98:O103" si="47">(D98/100000+E98/100+F98*K98/5+J98/200)*200*L98*M98</f>
        <v>3070.4418886198546</v>
      </c>
      <c r="P98" s="10">
        <f t="shared" ref="P98:P103" si="48">((D98*E98/25000)+(F98*K98*J98/2.5))*L98*M98</f>
        <v>2315.756658595642</v>
      </c>
      <c r="Q98" s="10">
        <f t="shared" ref="Q98:Q103" si="49">(D98*E98*F98*K98*J98*L98*M98)/12500000</f>
        <v>8413.8014527845044</v>
      </c>
      <c r="R98" s="10">
        <f t="shared" ref="R98:R103" si="50">(O98+P98+Q98)/3</f>
        <v>4600</v>
      </c>
      <c r="S98">
        <v>4600</v>
      </c>
    </row>
    <row r="99" spans="1:19" x14ac:dyDescent="0.25">
      <c r="B99" s="9" t="s">
        <v>363</v>
      </c>
      <c r="C99" s="4"/>
      <c r="D99">
        <v>275000</v>
      </c>
      <c r="E99">
        <v>45</v>
      </c>
      <c r="F99" s="11">
        <f t="shared" si="45"/>
        <v>7.3090909090909086</v>
      </c>
      <c r="G99">
        <v>60000</v>
      </c>
      <c r="H99">
        <v>1</v>
      </c>
      <c r="I99">
        <v>60</v>
      </c>
      <c r="J99" s="10">
        <f t="shared" si="46"/>
        <v>1000</v>
      </c>
      <c r="K99">
        <v>1.25</v>
      </c>
      <c r="L99">
        <v>1</v>
      </c>
      <c r="M99">
        <v>0.75</v>
      </c>
      <c r="N99" s="10">
        <f t="shared" si="40"/>
        <v>275</v>
      </c>
      <c r="O99" s="10">
        <f t="shared" si="47"/>
        <v>1504.090909090909</v>
      </c>
      <c r="P99" s="10">
        <f t="shared" si="48"/>
        <v>3112.1590909090905</v>
      </c>
      <c r="Q99" s="10">
        <f t="shared" si="49"/>
        <v>6783.75</v>
      </c>
      <c r="R99" s="10">
        <f t="shared" si="50"/>
        <v>3800</v>
      </c>
      <c r="S99">
        <v>3800</v>
      </c>
    </row>
    <row r="100" spans="1:19" x14ac:dyDescent="0.25">
      <c r="B100" s="9" t="s">
        <v>367</v>
      </c>
      <c r="C100" s="4"/>
      <c r="D100">
        <v>210000</v>
      </c>
      <c r="E100">
        <v>70</v>
      </c>
      <c r="F100" s="11">
        <f t="shared" si="45"/>
        <v>8.0577017114914433</v>
      </c>
      <c r="G100">
        <v>32000</v>
      </c>
      <c r="H100">
        <v>1</v>
      </c>
      <c r="I100">
        <v>48</v>
      </c>
      <c r="J100" s="10">
        <f t="shared" si="46"/>
        <v>666.66666666666663</v>
      </c>
      <c r="K100">
        <v>1.25</v>
      </c>
      <c r="L100">
        <v>1</v>
      </c>
      <c r="M100">
        <v>0.75</v>
      </c>
      <c r="N100" s="10">
        <f t="shared" si="40"/>
        <v>315</v>
      </c>
      <c r="O100" s="10">
        <f t="shared" si="47"/>
        <v>1222.1638141809292</v>
      </c>
      <c r="P100" s="10">
        <f t="shared" si="48"/>
        <v>2455.4254278728608</v>
      </c>
      <c r="Q100" s="10">
        <f t="shared" si="49"/>
        <v>5922.4107579462107</v>
      </c>
      <c r="R100" s="10">
        <f t="shared" si="50"/>
        <v>3200</v>
      </c>
      <c r="S100">
        <v>3200</v>
      </c>
    </row>
    <row r="101" spans="1:19" x14ac:dyDescent="0.25">
      <c r="B101" s="9" t="s">
        <v>360</v>
      </c>
      <c r="C101" s="4"/>
      <c r="D101">
        <v>125000</v>
      </c>
      <c r="E101">
        <v>125</v>
      </c>
      <c r="F101" s="11">
        <f t="shared" si="45"/>
        <v>2.3213217703349285</v>
      </c>
      <c r="G101">
        <v>80000</v>
      </c>
      <c r="H101">
        <v>1.25</v>
      </c>
      <c r="I101">
        <v>55</v>
      </c>
      <c r="J101" s="10">
        <f t="shared" si="46"/>
        <v>1818.181818181818</v>
      </c>
      <c r="K101">
        <v>1</v>
      </c>
      <c r="L101">
        <v>1</v>
      </c>
      <c r="M101">
        <v>0.75</v>
      </c>
      <c r="N101" s="10">
        <f t="shared" si="40"/>
        <v>68.75</v>
      </c>
      <c r="O101" s="10">
        <f t="shared" si="47"/>
        <v>1808.2760167464114</v>
      </c>
      <c r="P101" s="10">
        <f t="shared" si="48"/>
        <v>1734.9255110917788</v>
      </c>
      <c r="Q101" s="10">
        <f t="shared" si="49"/>
        <v>3956.7984721618091</v>
      </c>
      <c r="R101" s="10">
        <f t="shared" si="50"/>
        <v>2500</v>
      </c>
      <c r="S101">
        <v>2500</v>
      </c>
    </row>
    <row r="102" spans="1:19" x14ac:dyDescent="0.25">
      <c r="B102" t="s">
        <v>1169</v>
      </c>
      <c r="D102">
        <v>875000</v>
      </c>
      <c r="E102">
        <v>45</v>
      </c>
      <c r="F102" s="11">
        <f t="shared" si="45"/>
        <v>6.0670225385527869</v>
      </c>
      <c r="G102">
        <v>40000</v>
      </c>
      <c r="H102">
        <v>0.875</v>
      </c>
      <c r="I102">
        <v>55</v>
      </c>
      <c r="J102" s="10">
        <f t="shared" si="46"/>
        <v>636.36363636363637</v>
      </c>
      <c r="K102">
        <v>1</v>
      </c>
      <c r="L102">
        <v>1</v>
      </c>
      <c r="M102">
        <v>0.5</v>
      </c>
      <c r="O102" s="10">
        <f t="shared" si="47"/>
        <v>1359.5222689528737</v>
      </c>
      <c r="P102" s="10">
        <f t="shared" si="48"/>
        <v>1559.6665049067183</v>
      </c>
      <c r="Q102" s="10">
        <f t="shared" si="49"/>
        <v>6080.8112261404067</v>
      </c>
      <c r="R102" s="10">
        <f t="shared" si="50"/>
        <v>2999.9999999999995</v>
      </c>
      <c r="S102">
        <v>3000</v>
      </c>
    </row>
    <row r="103" spans="1:19" x14ac:dyDescent="0.25">
      <c r="B103" s="9" t="s">
        <v>1173</v>
      </c>
      <c r="D103">
        <v>180000</v>
      </c>
      <c r="E103">
        <v>60</v>
      </c>
      <c r="F103" s="11">
        <f>(S103*37500000/(L103*M103*D103*E103*K103*J103)-((500/(K103*J103))+(2500000000/(D103*E103*K103*J103)*(D103/100000+E103/100+J103/200))))/(1+5000000/(D103*E103)+(500000000/(D103*E103*J103)))</f>
        <v>7.5543209876543216</v>
      </c>
      <c r="G103">
        <v>60000</v>
      </c>
      <c r="H103">
        <v>1.25</v>
      </c>
      <c r="I103">
        <v>60</v>
      </c>
      <c r="J103" s="10">
        <f>G103/I103*H103</f>
        <v>1250</v>
      </c>
      <c r="K103">
        <v>1</v>
      </c>
      <c r="L103">
        <v>1</v>
      </c>
      <c r="M103">
        <v>0.75</v>
      </c>
      <c r="N103" s="10">
        <f>D103/J103</f>
        <v>144</v>
      </c>
      <c r="O103" s="10">
        <f t="shared" si="47"/>
        <v>1524.1296296296298</v>
      </c>
      <c r="P103" s="10">
        <f t="shared" si="48"/>
        <v>3156.8703703703709</v>
      </c>
      <c r="Q103" s="10">
        <f t="shared" si="49"/>
        <v>6119</v>
      </c>
      <c r="R103" s="10">
        <f t="shared" si="50"/>
        <v>3600</v>
      </c>
      <c r="S103">
        <v>3600</v>
      </c>
    </row>
    <row r="105" spans="1:19" x14ac:dyDescent="0.25">
      <c r="B105" s="9" t="s">
        <v>375</v>
      </c>
      <c r="C105" s="4"/>
      <c r="D105">
        <v>325000</v>
      </c>
      <c r="E105">
        <v>55</v>
      </c>
      <c r="F105" s="11">
        <f>(S105*37500000/(L105*M105*D105*E105*K105*J105)-((500/(K105*J105))+(2500000000/(D105*E105*K105*J105)*(D105/100000+E105/100+J105/200))))/(1+5000000/(D105*E105)+(500000000/(D105*E105*J105)))</f>
        <v>9.0641569459172846</v>
      </c>
      <c r="G105">
        <v>20000</v>
      </c>
      <c r="H105">
        <v>1.25</v>
      </c>
      <c r="I105">
        <v>35</v>
      </c>
      <c r="J105" s="10">
        <f>G105/I105*H105</f>
        <v>714.28571428571433</v>
      </c>
      <c r="K105">
        <v>1</v>
      </c>
      <c r="L105">
        <v>1</v>
      </c>
      <c r="M105">
        <v>0.75</v>
      </c>
      <c r="O105" s="10">
        <f>(D105/100000+E105/100+F105*K105/5+J105/200)*200*L105*M105</f>
        <v>1377.6389940918043</v>
      </c>
      <c r="P105" s="10">
        <f>((D105*E105/25000)+(F105*K105*J105/2.5))*L105*M105</f>
        <v>2478.5693455537039</v>
      </c>
      <c r="Q105" s="10">
        <f>(D105*E105*F105*K105*J105*L105*M105)/12500000</f>
        <v>6943.7916603544909</v>
      </c>
      <c r="R105" s="10">
        <f>(O105+P105+Q105)/3</f>
        <v>3600</v>
      </c>
      <c r="S105">
        <v>3600</v>
      </c>
    </row>
    <row r="107" spans="1:19" x14ac:dyDescent="0.25">
      <c r="B107" t="s">
        <v>464</v>
      </c>
      <c r="D107" t="s">
        <v>36</v>
      </c>
      <c r="E107" t="s">
        <v>37</v>
      </c>
      <c r="F107" s="11" t="s">
        <v>38</v>
      </c>
      <c r="G107" t="s">
        <v>39</v>
      </c>
      <c r="H107" t="s">
        <v>181</v>
      </c>
      <c r="I107" t="s">
        <v>40</v>
      </c>
      <c r="J107" s="10" t="s">
        <v>544</v>
      </c>
      <c r="K107" t="s">
        <v>142</v>
      </c>
      <c r="L107" t="s">
        <v>182</v>
      </c>
      <c r="M107" t="s">
        <v>385</v>
      </c>
      <c r="N107" t="s">
        <v>1127</v>
      </c>
      <c r="S107" t="s">
        <v>41</v>
      </c>
    </row>
    <row r="109" spans="1:19" x14ac:dyDescent="0.25">
      <c r="A109" t="s">
        <v>321</v>
      </c>
      <c r="B109" t="s">
        <v>79</v>
      </c>
      <c r="D109">
        <v>200000</v>
      </c>
      <c r="E109">
        <v>100</v>
      </c>
      <c r="F109" s="11">
        <f t="shared" ref="F109:F114" si="51">(S109*37500000/(L109*M109*D109*E109*K109*J109)-((500/(K109*J109))+(2500000000/(D109*E109*K109*J109)*(D109/100000+E109/100+J109/200))))/(1+5000000/(D109*E109)+(500000000/(D109*E109*J109)))</f>
        <v>6.6749651463851807</v>
      </c>
      <c r="G109">
        <v>320000</v>
      </c>
      <c r="H109">
        <v>1.25</v>
      </c>
      <c r="I109">
        <v>84</v>
      </c>
      <c r="J109" s="10">
        <f>G109/I109*H109</f>
        <v>4761.9047619047624</v>
      </c>
      <c r="K109">
        <v>1</v>
      </c>
      <c r="L109">
        <v>0.4</v>
      </c>
      <c r="M109">
        <v>0.75</v>
      </c>
      <c r="N109" s="10">
        <f t="shared" ref="N109:N121" si="52">D109/J109</f>
        <v>41.999999999999993</v>
      </c>
      <c r="O109" s="10">
        <f t="shared" ref="O109:O116" si="53">(D109/100000+E109/100+F109*K109/5+J109/200)*200*L109*M109</f>
        <v>1688.6710103280509</v>
      </c>
      <c r="P109" s="10">
        <f t="shared" ref="P109:P116" si="54">((D109*E109/25000)+(F109*K109*J109/2.5))*L109*M109</f>
        <v>4054.2657979343894</v>
      </c>
      <c r="Q109" s="10">
        <f t="shared" ref="Q109:Q116" si="55">(D109*E109*F109*K109*J109*L109*M109)/12500000</f>
        <v>15257.063191737559</v>
      </c>
      <c r="R109" s="10">
        <f t="shared" ref="R109:R116" si="56">(O109+P109+Q109)/3</f>
        <v>7000</v>
      </c>
      <c r="S109">
        <v>7000</v>
      </c>
    </row>
    <row r="110" spans="1:19" x14ac:dyDescent="0.25">
      <c r="B110" t="s">
        <v>721</v>
      </c>
      <c r="D110">
        <v>400000</v>
      </c>
      <c r="E110">
        <v>60</v>
      </c>
      <c r="F110" s="11">
        <f t="shared" si="51"/>
        <v>5.9373572593800974</v>
      </c>
      <c r="G110">
        <v>12000</v>
      </c>
      <c r="H110">
        <v>0.875</v>
      </c>
      <c r="I110">
        <v>4</v>
      </c>
      <c r="J110" s="10">
        <f>G110/I110*H110</f>
        <v>2625</v>
      </c>
      <c r="K110">
        <v>1.25</v>
      </c>
      <c r="L110">
        <v>0.4</v>
      </c>
      <c r="M110">
        <v>0.75</v>
      </c>
      <c r="N110" s="10">
        <f t="shared" si="52"/>
        <v>152.38095238095238</v>
      </c>
      <c r="O110" s="10">
        <f t="shared" si="53"/>
        <v>1152.5603588907015</v>
      </c>
      <c r="P110" s="10">
        <f t="shared" si="54"/>
        <v>2625.8344208809131</v>
      </c>
      <c r="Q110" s="10">
        <f t="shared" si="55"/>
        <v>11221.605220228384</v>
      </c>
      <c r="R110" s="10">
        <f t="shared" si="56"/>
        <v>5000</v>
      </c>
      <c r="S110">
        <v>5000</v>
      </c>
    </row>
    <row r="111" spans="1:19" x14ac:dyDescent="0.25">
      <c r="B111" t="s">
        <v>722</v>
      </c>
      <c r="D111">
        <v>400000</v>
      </c>
      <c r="E111">
        <v>60</v>
      </c>
      <c r="F111" s="11">
        <f t="shared" si="51"/>
        <v>5.9373572593800974</v>
      </c>
      <c r="G111">
        <v>12000</v>
      </c>
      <c r="H111">
        <v>0.875</v>
      </c>
      <c r="I111">
        <v>4</v>
      </c>
      <c r="J111" s="10">
        <f>G111/I111*H111</f>
        <v>2625</v>
      </c>
      <c r="K111">
        <v>1.25</v>
      </c>
      <c r="L111">
        <v>0.4</v>
      </c>
      <c r="M111">
        <v>0.75</v>
      </c>
      <c r="N111" s="10">
        <f t="shared" si="52"/>
        <v>152.38095238095238</v>
      </c>
      <c r="O111" s="10">
        <f t="shared" si="53"/>
        <v>1152.5603588907015</v>
      </c>
      <c r="P111" s="10">
        <f t="shared" si="54"/>
        <v>2625.8344208809131</v>
      </c>
      <c r="Q111" s="10">
        <f t="shared" si="55"/>
        <v>11221.605220228384</v>
      </c>
      <c r="R111" s="10">
        <f t="shared" si="56"/>
        <v>5000</v>
      </c>
      <c r="S111">
        <v>5000</v>
      </c>
    </row>
    <row r="112" spans="1:19" x14ac:dyDescent="0.25">
      <c r="B112" t="s">
        <v>723</v>
      </c>
      <c r="D112">
        <v>400000</v>
      </c>
      <c r="E112">
        <v>60</v>
      </c>
      <c r="F112" s="11">
        <f t="shared" si="51"/>
        <v>5.9373572593800974</v>
      </c>
      <c r="G112">
        <v>12000</v>
      </c>
      <c r="H112">
        <v>0.875</v>
      </c>
      <c r="I112">
        <v>4</v>
      </c>
      <c r="J112" s="10">
        <f>G112/I112*H112</f>
        <v>2625</v>
      </c>
      <c r="K112">
        <v>1.25</v>
      </c>
      <c r="L112">
        <v>0.4</v>
      </c>
      <c r="M112">
        <v>0.75</v>
      </c>
      <c r="N112" s="10">
        <f t="shared" si="52"/>
        <v>152.38095238095238</v>
      </c>
      <c r="O112" s="10">
        <f t="shared" si="53"/>
        <v>1152.5603588907015</v>
      </c>
      <c r="P112" s="10">
        <f t="shared" si="54"/>
        <v>2625.8344208809131</v>
      </c>
      <c r="Q112" s="10">
        <f t="shared" si="55"/>
        <v>11221.605220228384</v>
      </c>
      <c r="R112" s="10">
        <f t="shared" si="56"/>
        <v>5000</v>
      </c>
      <c r="S112">
        <v>5000</v>
      </c>
    </row>
    <row r="113" spans="1:19" x14ac:dyDescent="0.25">
      <c r="A113" t="s">
        <v>320</v>
      </c>
      <c r="B113" t="s">
        <v>133</v>
      </c>
      <c r="D113">
        <v>75000</v>
      </c>
      <c r="E113">
        <v>100</v>
      </c>
      <c r="F113" s="11">
        <f t="shared" si="51"/>
        <v>6.1016536964980537</v>
      </c>
      <c r="G113">
        <v>80000</v>
      </c>
      <c r="H113">
        <v>1.125</v>
      </c>
      <c r="I113">
        <v>63</v>
      </c>
      <c r="J113" s="10">
        <f t="shared" ref="J113:J119" si="57">G113/I113*H113</f>
        <v>1428.5714285714287</v>
      </c>
      <c r="K113">
        <v>2</v>
      </c>
      <c r="L113">
        <v>0.4</v>
      </c>
      <c r="M113">
        <v>0.75</v>
      </c>
      <c r="N113" s="10">
        <f t="shared" si="52"/>
        <v>52.499999999999993</v>
      </c>
      <c r="O113" s="10">
        <f t="shared" si="53"/>
        <v>680.01111728738192</v>
      </c>
      <c r="P113" s="10">
        <f t="shared" si="54"/>
        <v>2181.9955530850475</v>
      </c>
      <c r="Q113" s="10">
        <f t="shared" si="55"/>
        <v>3137.9933296275708</v>
      </c>
      <c r="R113" s="10">
        <f t="shared" si="56"/>
        <v>2000</v>
      </c>
      <c r="S113">
        <v>2000</v>
      </c>
    </row>
    <row r="114" spans="1:19" x14ac:dyDescent="0.25">
      <c r="B114" t="s">
        <v>105</v>
      </c>
      <c r="D114">
        <v>1000000</v>
      </c>
      <c r="E114">
        <v>45</v>
      </c>
      <c r="F114" s="11">
        <f t="shared" si="51"/>
        <v>7.8328453967858467</v>
      </c>
      <c r="G114">
        <v>320000</v>
      </c>
      <c r="H114">
        <v>1.25</v>
      </c>
      <c r="I114">
        <v>135</v>
      </c>
      <c r="J114" s="10">
        <f t="shared" si="57"/>
        <v>2962.962962962963</v>
      </c>
      <c r="K114">
        <v>1</v>
      </c>
      <c r="L114">
        <v>0.4</v>
      </c>
      <c r="M114">
        <v>0.75</v>
      </c>
      <c r="N114" s="10">
        <f t="shared" si="52"/>
        <v>337.5</v>
      </c>
      <c r="O114" s="10">
        <f t="shared" si="53"/>
        <v>1609.8830336503192</v>
      </c>
      <c r="P114" s="10">
        <f t="shared" si="54"/>
        <v>3325.0116966349683</v>
      </c>
      <c r="Q114" s="10">
        <f t="shared" si="55"/>
        <v>25065.105269714706</v>
      </c>
      <c r="R114" s="10">
        <f t="shared" si="56"/>
        <v>9999.9999999999982</v>
      </c>
      <c r="S114">
        <v>10000</v>
      </c>
    </row>
    <row r="115" spans="1:19" x14ac:dyDescent="0.25">
      <c r="B115" s="9" t="s">
        <v>545</v>
      </c>
      <c r="C115" s="4"/>
      <c r="D115">
        <v>750000</v>
      </c>
      <c r="E115">
        <v>50</v>
      </c>
      <c r="F115" s="11">
        <v>5.3936651583710402</v>
      </c>
      <c r="G115">
        <v>193000</v>
      </c>
      <c r="H115">
        <v>1.125</v>
      </c>
      <c r="I115">
        <v>50</v>
      </c>
      <c r="J115" s="10">
        <f t="shared" si="57"/>
        <v>4342.5</v>
      </c>
      <c r="K115">
        <v>1.25</v>
      </c>
      <c r="L115">
        <v>0.4</v>
      </c>
      <c r="M115">
        <v>0.75</v>
      </c>
      <c r="N115" s="10">
        <f t="shared" si="52"/>
        <v>172.71157167530225</v>
      </c>
      <c r="O115" s="10">
        <f t="shared" si="53"/>
        <v>1863.6549773755657</v>
      </c>
      <c r="P115" s="10">
        <f t="shared" si="54"/>
        <v>3963.2986425339368</v>
      </c>
      <c r="Q115" s="10">
        <f t="shared" si="55"/>
        <v>26349.739819004521</v>
      </c>
      <c r="R115" s="10">
        <f t="shared" si="56"/>
        <v>10725.564479638007</v>
      </c>
      <c r="S115">
        <v>7000</v>
      </c>
    </row>
    <row r="116" spans="1:19" x14ac:dyDescent="0.25">
      <c r="B116" s="9" t="s">
        <v>618</v>
      </c>
      <c r="C116" s="4"/>
      <c r="D116">
        <v>3000000</v>
      </c>
      <c r="E116">
        <v>65</v>
      </c>
      <c r="F116" s="11">
        <f t="shared" ref="F116:F121" si="58">(S116*37500000/(L116*M116*D116*E116*K116*J116)-((500/(K116*J116))+(2500000000/(D116*E116*K116*J116)*(D116/100000+E116/100+J116/200))))/(1+5000000/(D116*E116)+(500000000/(D116*E116*J116)))</f>
        <v>2.0991260923845187</v>
      </c>
      <c r="G116">
        <v>600000</v>
      </c>
      <c r="H116">
        <v>1</v>
      </c>
      <c r="I116">
        <v>300</v>
      </c>
      <c r="J116" s="10">
        <f t="shared" si="57"/>
        <v>2000</v>
      </c>
      <c r="K116">
        <v>1.25</v>
      </c>
      <c r="L116">
        <v>0.4</v>
      </c>
      <c r="M116">
        <v>0.75</v>
      </c>
      <c r="N116" s="10">
        <f t="shared" si="52"/>
        <v>1500</v>
      </c>
      <c r="O116" s="10">
        <f t="shared" si="53"/>
        <v>2470.4868913857676</v>
      </c>
      <c r="P116" s="10">
        <f t="shared" si="54"/>
        <v>2969.7378277153557</v>
      </c>
      <c r="Q116" s="10">
        <f t="shared" si="55"/>
        <v>24559.775280898873</v>
      </c>
      <c r="R116" s="10">
        <f t="shared" si="56"/>
        <v>9999.9999999999982</v>
      </c>
      <c r="S116">
        <v>10000</v>
      </c>
    </row>
    <row r="117" spans="1:19" x14ac:dyDescent="0.25">
      <c r="A117" t="s">
        <v>605</v>
      </c>
      <c r="B117" s="9" t="s">
        <v>658</v>
      </c>
      <c r="D117">
        <v>375000</v>
      </c>
      <c r="E117">
        <v>50</v>
      </c>
      <c r="F117" s="11">
        <f t="shared" si="58"/>
        <v>7.1204188481675388</v>
      </c>
      <c r="G117">
        <v>120000</v>
      </c>
      <c r="H117">
        <v>1</v>
      </c>
      <c r="I117">
        <v>30</v>
      </c>
      <c r="J117" s="10">
        <f t="shared" si="57"/>
        <v>4000</v>
      </c>
      <c r="K117">
        <v>1</v>
      </c>
      <c r="L117">
        <v>0.4</v>
      </c>
      <c r="M117">
        <v>0.75</v>
      </c>
      <c r="N117" s="10">
        <f t="shared" si="52"/>
        <v>93.75</v>
      </c>
      <c r="O117" s="10">
        <f>(D117/100000+E117/100+F117*K117/5+J117/200)*200*L117*M117</f>
        <v>1540.4450261780103</v>
      </c>
      <c r="P117" s="10">
        <f>((D117*E117/25000)+(F117*K117*J117/2.5))*L117*M117</f>
        <v>3642.8010471204193</v>
      </c>
      <c r="Q117" s="10">
        <f>(D117*E117*F117*K117*J117*L117*M117)/12500000</f>
        <v>12816.753926701569</v>
      </c>
      <c r="R117" s="10">
        <f>(O117+P117+Q117)/3</f>
        <v>6000</v>
      </c>
      <c r="S117">
        <v>6000</v>
      </c>
    </row>
    <row r="118" spans="1:19" x14ac:dyDescent="0.25">
      <c r="B118" s="12" t="s">
        <v>689</v>
      </c>
      <c r="D118">
        <v>350000</v>
      </c>
      <c r="E118">
        <v>40</v>
      </c>
      <c r="F118" s="11">
        <f t="shared" si="58"/>
        <v>9.3498843484965271</v>
      </c>
      <c r="G118">
        <v>134000</v>
      </c>
      <c r="H118">
        <v>1.25</v>
      </c>
      <c r="I118">
        <v>120</v>
      </c>
      <c r="J118" s="10">
        <f t="shared" si="57"/>
        <v>1395.8333333333335</v>
      </c>
      <c r="K118">
        <v>1.25</v>
      </c>
      <c r="L118">
        <v>0.4</v>
      </c>
      <c r="M118" s="6">
        <v>0.75</v>
      </c>
      <c r="N118" s="10">
        <f t="shared" si="52"/>
        <v>250.74626865671638</v>
      </c>
      <c r="O118" s="10">
        <f>(D118/100000+E118/100+F118*K118/5+J118/200)*200*L118*M118</f>
        <v>792.99826522744797</v>
      </c>
      <c r="P118" s="10">
        <f>((D118*E118/25000)+(F118*K118*J118/2.5))*L118*M118</f>
        <v>2125.6320354664608</v>
      </c>
      <c r="Q118" s="10">
        <f>(D118*E118*F118*K118*J118*L118*M118)/12500000</f>
        <v>5481.3696993060903</v>
      </c>
      <c r="R118" s="10">
        <f>(O118+P118+Q118)/3</f>
        <v>2800</v>
      </c>
      <c r="S118">
        <v>2800</v>
      </c>
    </row>
    <row r="119" spans="1:19" x14ac:dyDescent="0.25">
      <c r="A119" t="s">
        <v>581</v>
      </c>
      <c r="B119" t="s">
        <v>407</v>
      </c>
      <c r="D119">
        <v>2000000</v>
      </c>
      <c r="E119">
        <v>35</v>
      </c>
      <c r="F119" s="11">
        <f t="shared" si="58"/>
        <v>6.1095947292658614</v>
      </c>
      <c r="G119">
        <v>300000</v>
      </c>
      <c r="H119">
        <v>1</v>
      </c>
      <c r="I119">
        <v>155</v>
      </c>
      <c r="J119" s="10">
        <f t="shared" si="57"/>
        <v>1935.483870967742</v>
      </c>
      <c r="K119">
        <v>1</v>
      </c>
      <c r="L119">
        <v>0.4</v>
      </c>
      <c r="M119">
        <v>0.75</v>
      </c>
      <c r="N119" s="10">
        <f t="shared" si="52"/>
        <v>1033.3333333333333</v>
      </c>
      <c r="O119" s="10">
        <f>(D119/100000+E119/100+F119*K119/5+J119/200)*200*L119*M119</f>
        <v>1874.9602980415132</v>
      </c>
      <c r="P119" s="10">
        <f>((D119*E119/25000)+(F119*K119*J119/2.5))*L119*M119</f>
        <v>2259.0026467972325</v>
      </c>
      <c r="Q119" s="10">
        <f>(D119*E119*F119*K119*J119*L119*M119)/12500000</f>
        <v>19866.037055161254</v>
      </c>
      <c r="R119" s="10">
        <f>(O119+P119+Q119)/3</f>
        <v>8000</v>
      </c>
      <c r="S119">
        <v>8000</v>
      </c>
    </row>
    <row r="120" spans="1:19" x14ac:dyDescent="0.25">
      <c r="B120" s="9" t="s">
        <v>900</v>
      </c>
      <c r="D120">
        <v>325000</v>
      </c>
      <c r="E120">
        <v>65</v>
      </c>
      <c r="F120" s="11">
        <f t="shared" si="58"/>
        <v>8.0599651749513832</v>
      </c>
      <c r="G120">
        <v>300000</v>
      </c>
      <c r="H120">
        <v>1.25</v>
      </c>
      <c r="I120">
        <v>76</v>
      </c>
      <c r="J120" s="10">
        <f>G120/I120*H120</f>
        <v>4934.21052631579</v>
      </c>
      <c r="K120">
        <v>1</v>
      </c>
      <c r="L120">
        <v>0.4</v>
      </c>
      <c r="M120">
        <v>0.75</v>
      </c>
      <c r="N120" s="10">
        <f t="shared" si="52"/>
        <v>65.86666666666666</v>
      </c>
      <c r="O120" s="10">
        <f>(D120/100000+E120/100+F120*K120/5+J120/200)*200*L120*M120</f>
        <v>1810.9827399941532</v>
      </c>
      <c r="P120" s="10">
        <f>((D120*E120/25000)+(F120*K120*J120/2.5))*L120*M120</f>
        <v>5025.8478009580567</v>
      </c>
      <c r="Q120" s="10">
        <f>(D120*E120*F120*K120*J120*L120*M120)/12500000</f>
        <v>20163.169459047789</v>
      </c>
      <c r="R120" s="10">
        <f>(O120+P120+Q120)/3</f>
        <v>9000</v>
      </c>
      <c r="S120">
        <v>9000</v>
      </c>
    </row>
    <row r="121" spans="1:19" x14ac:dyDescent="0.25">
      <c r="A121" t="s">
        <v>724</v>
      </c>
      <c r="B121" s="9" t="s">
        <v>911</v>
      </c>
      <c r="D121">
        <v>650000</v>
      </c>
      <c r="E121">
        <v>45</v>
      </c>
      <c r="F121" s="11">
        <f t="shared" si="58"/>
        <v>7.513338722716246</v>
      </c>
      <c r="G121">
        <v>300000</v>
      </c>
      <c r="H121">
        <v>1.125</v>
      </c>
      <c r="I121">
        <v>75</v>
      </c>
      <c r="J121" s="10">
        <f>G121/I121*H121</f>
        <v>4500</v>
      </c>
      <c r="K121">
        <v>1</v>
      </c>
      <c r="L121">
        <v>0.4</v>
      </c>
      <c r="M121">
        <v>0.75</v>
      </c>
      <c r="N121" s="10">
        <f t="shared" si="52"/>
        <v>144.44444444444446</v>
      </c>
      <c r="O121" s="10">
        <f>(D121/100000+E121/100+F121*K121/5+J121/200)*200*L121*M121</f>
        <v>1857.1600646725951</v>
      </c>
      <c r="P121" s="10">
        <f>((D121*E121/25000)+(F121*K121*J121/2.5))*L121*M121</f>
        <v>4408.202910266773</v>
      </c>
      <c r="Q121" s="10">
        <f>(D121*E121*F121*K121*J121*L121*M121)/12500000</f>
        <v>23734.637025060623</v>
      </c>
      <c r="R121" s="10">
        <f>(O121+P121+Q121)/3</f>
        <v>9999.9999999999982</v>
      </c>
      <c r="S121">
        <v>10000</v>
      </c>
    </row>
    <row r="122" spans="1:19" x14ac:dyDescent="0.25">
      <c r="N122" s="10"/>
    </row>
  </sheetData>
  <pageMargins left="0.7" right="0.7" top="0.78740157499999996" bottom="0.78740157499999996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2F28E-C0AD-4103-B3D2-18CA0E7C9F84}">
  <dimension ref="A2:S258"/>
  <sheetViews>
    <sheetView workbookViewId="0">
      <selection activeCell="I20" sqref="I20"/>
    </sheetView>
  </sheetViews>
  <sheetFormatPr baseColWidth="10" defaultRowHeight="15" x14ac:dyDescent="0.25"/>
  <cols>
    <col min="1" max="1" width="12.28515625" bestFit="1" customWidth="1"/>
    <col min="2" max="2" width="36.85546875" bestFit="1" customWidth="1"/>
  </cols>
  <sheetData>
    <row r="2" spans="1:19" x14ac:dyDescent="0.25">
      <c r="B2" t="s">
        <v>341</v>
      </c>
      <c r="D2" t="s">
        <v>36</v>
      </c>
      <c r="E2" t="s">
        <v>37</v>
      </c>
      <c r="F2" t="s">
        <v>38</v>
      </c>
      <c r="G2" t="s">
        <v>39</v>
      </c>
      <c r="H2" t="s">
        <v>181</v>
      </c>
      <c r="I2" t="s">
        <v>40</v>
      </c>
      <c r="J2" s="10" t="s">
        <v>544</v>
      </c>
      <c r="K2" t="s">
        <v>142</v>
      </c>
      <c r="L2" t="s">
        <v>182</v>
      </c>
      <c r="M2" t="s">
        <v>385</v>
      </c>
      <c r="O2" s="10"/>
      <c r="P2" s="10"/>
      <c r="Q2" s="10"/>
      <c r="R2" s="10"/>
      <c r="S2" t="s">
        <v>41</v>
      </c>
    </row>
    <row r="4" spans="1:19" x14ac:dyDescent="0.25">
      <c r="A4" t="s">
        <v>321</v>
      </c>
      <c r="B4" t="s">
        <v>50</v>
      </c>
      <c r="D4">
        <v>20000</v>
      </c>
      <c r="E4">
        <v>200</v>
      </c>
      <c r="F4" s="11">
        <f t="shared" ref="F4:F12" si="0">(S4*37500000/(L4*M4*D4*E4*K4*J4)-((500/(K4*J4))+(2500000000/(D4*E4*K4*J4)*(D4/100000+E4/100+J4/200))))/(1+5000000/(D4*E4)+(500000000/(D4*E4*J4)))</f>
        <v>4.5403920403920406</v>
      </c>
      <c r="G4">
        <v>12000</v>
      </c>
      <c r="H4">
        <v>0.75</v>
      </c>
      <c r="I4">
        <v>20</v>
      </c>
      <c r="J4" s="10">
        <f t="shared" ref="J4:J12" si="1">G4/I4*H4</f>
        <v>450</v>
      </c>
      <c r="K4">
        <v>1</v>
      </c>
      <c r="L4">
        <v>0.33300000000000002</v>
      </c>
      <c r="M4">
        <v>1</v>
      </c>
      <c r="O4" s="10">
        <f t="shared" ref="O4:O12" si="2">(D4/100000+E4/100+F4*K4/5+J4/200)*200*L4*M4</f>
        <v>356.84802197802202</v>
      </c>
      <c r="P4" s="10">
        <f t="shared" ref="P4:P12" si="3">((D4*E4/25000)+(F4*K4*J4/2.5))*L4*M4</f>
        <v>325.43109890109895</v>
      </c>
      <c r="Q4" s="10">
        <f t="shared" ref="Q4:Q12" si="4">(D4*E4*F4*K4*J4*L4*M4)/12500000</f>
        <v>217.72087912087915</v>
      </c>
      <c r="R4" s="10">
        <f t="shared" ref="R4:R12" si="5">(O4+P4+Q4)/3</f>
        <v>300</v>
      </c>
      <c r="S4">
        <v>300</v>
      </c>
    </row>
    <row r="5" spans="1:19" x14ac:dyDescent="0.25">
      <c r="B5" t="s">
        <v>553</v>
      </c>
      <c r="D5">
        <v>27500</v>
      </c>
      <c r="E5">
        <v>150</v>
      </c>
      <c r="F5" s="11">
        <f t="shared" si="0"/>
        <v>4.7924895442426996</v>
      </c>
      <c r="G5">
        <v>18000</v>
      </c>
      <c r="H5">
        <v>0.75</v>
      </c>
      <c r="I5">
        <v>21</v>
      </c>
      <c r="J5" s="10">
        <f t="shared" si="1"/>
        <v>642.85714285714289</v>
      </c>
      <c r="K5">
        <v>1</v>
      </c>
      <c r="L5">
        <v>0.33300000000000002</v>
      </c>
      <c r="M5">
        <v>1</v>
      </c>
      <c r="O5" s="10">
        <f t="shared" si="2"/>
        <v>396.12238930074136</v>
      </c>
      <c r="P5" s="10">
        <f t="shared" si="3"/>
        <v>465.31903325986781</v>
      </c>
      <c r="Q5" s="10">
        <f t="shared" si="4"/>
        <v>338.55857743939094</v>
      </c>
      <c r="R5" s="10">
        <f t="shared" si="5"/>
        <v>400.00000000000006</v>
      </c>
      <c r="S5">
        <v>400</v>
      </c>
    </row>
    <row r="6" spans="1:19" x14ac:dyDescent="0.25">
      <c r="A6" t="s">
        <v>320</v>
      </c>
      <c r="B6" t="s">
        <v>107</v>
      </c>
      <c r="D6">
        <v>22500</v>
      </c>
      <c r="E6">
        <v>175</v>
      </c>
      <c r="F6" s="11">
        <f t="shared" si="0"/>
        <v>4.3585665519381589</v>
      </c>
      <c r="G6">
        <v>16000</v>
      </c>
      <c r="H6">
        <v>0.75</v>
      </c>
      <c r="I6">
        <v>25</v>
      </c>
      <c r="J6" s="10">
        <f t="shared" si="1"/>
        <v>480</v>
      </c>
      <c r="K6">
        <v>1</v>
      </c>
      <c r="L6">
        <v>0.33300000000000002</v>
      </c>
      <c r="M6">
        <v>1</v>
      </c>
      <c r="O6" s="10">
        <f t="shared" si="2"/>
        <v>349.43110647181624</v>
      </c>
      <c r="P6" s="10">
        <f t="shared" si="3"/>
        <v>331.11681106471821</v>
      </c>
      <c r="Q6" s="10">
        <f t="shared" si="4"/>
        <v>219.45208246346553</v>
      </c>
      <c r="R6" s="10">
        <f t="shared" si="5"/>
        <v>300</v>
      </c>
      <c r="S6">
        <v>300</v>
      </c>
    </row>
    <row r="7" spans="1:19" x14ac:dyDescent="0.25">
      <c r="B7" t="s">
        <v>112</v>
      </c>
      <c r="D7">
        <v>25000</v>
      </c>
      <c r="E7">
        <v>160</v>
      </c>
      <c r="F7" s="11">
        <f t="shared" si="0"/>
        <v>5.0036552946389019</v>
      </c>
      <c r="G7">
        <v>20000</v>
      </c>
      <c r="H7">
        <v>0.75</v>
      </c>
      <c r="I7">
        <v>35</v>
      </c>
      <c r="J7" s="10">
        <f t="shared" si="1"/>
        <v>428.57142857142856</v>
      </c>
      <c r="K7">
        <v>1</v>
      </c>
      <c r="L7">
        <v>0.33300000000000002</v>
      </c>
      <c r="M7">
        <v>1</v>
      </c>
      <c r="O7" s="10">
        <f t="shared" si="2"/>
        <v>332.57297423887593</v>
      </c>
      <c r="P7" s="10">
        <f t="shared" si="3"/>
        <v>338.91723653395792</v>
      </c>
      <c r="Q7" s="10">
        <f t="shared" si="4"/>
        <v>228.50978922716629</v>
      </c>
      <c r="R7" s="10">
        <f t="shared" si="5"/>
        <v>300.00000000000006</v>
      </c>
      <c r="S7">
        <v>300</v>
      </c>
    </row>
    <row r="8" spans="1:19" x14ac:dyDescent="0.25">
      <c r="A8" t="s">
        <v>629</v>
      </c>
      <c r="B8" t="s">
        <v>729</v>
      </c>
      <c r="D8">
        <v>25000</v>
      </c>
      <c r="E8">
        <v>150</v>
      </c>
      <c r="F8" s="11">
        <f t="shared" si="0"/>
        <v>5.7601849637247877</v>
      </c>
      <c r="G8">
        <v>24000</v>
      </c>
      <c r="H8">
        <v>0.75</v>
      </c>
      <c r="I8">
        <v>24</v>
      </c>
      <c r="J8" s="10">
        <f t="shared" si="1"/>
        <v>750</v>
      </c>
      <c r="K8">
        <v>1</v>
      </c>
      <c r="L8">
        <v>0.33300000000000002</v>
      </c>
      <c r="M8">
        <v>1</v>
      </c>
      <c r="O8" s="10">
        <f t="shared" si="2"/>
        <v>443.02566371681422</v>
      </c>
      <c r="P8" s="10">
        <f t="shared" si="3"/>
        <v>625.39247787610645</v>
      </c>
      <c r="Q8" s="10">
        <f t="shared" si="4"/>
        <v>431.58185840707978</v>
      </c>
      <c r="R8" s="10">
        <f t="shared" si="5"/>
        <v>500.00000000000017</v>
      </c>
      <c r="S8">
        <v>500</v>
      </c>
    </row>
    <row r="9" spans="1:19" x14ac:dyDescent="0.25">
      <c r="A9" t="s">
        <v>724</v>
      </c>
      <c r="B9" t="s">
        <v>905</v>
      </c>
      <c r="D9">
        <v>50000</v>
      </c>
      <c r="E9">
        <v>150</v>
      </c>
      <c r="F9" s="11">
        <f t="shared" si="0"/>
        <v>5.7798785910373907</v>
      </c>
      <c r="G9">
        <v>36000</v>
      </c>
      <c r="H9">
        <v>0.75</v>
      </c>
      <c r="I9">
        <v>24</v>
      </c>
      <c r="J9" s="10">
        <f t="shared" si="1"/>
        <v>1125</v>
      </c>
      <c r="K9">
        <v>1</v>
      </c>
      <c r="L9">
        <v>0.33300000000000002</v>
      </c>
      <c r="M9">
        <v>1</v>
      </c>
      <c r="O9" s="10">
        <f t="shared" si="2"/>
        <v>584.8129828326181</v>
      </c>
      <c r="P9" s="10">
        <f t="shared" si="3"/>
        <v>966.01480686695311</v>
      </c>
      <c r="Q9" s="10">
        <f t="shared" si="4"/>
        <v>1299.1722103004295</v>
      </c>
      <c r="R9" s="10">
        <f t="shared" si="5"/>
        <v>950.00000000000034</v>
      </c>
      <c r="S9">
        <v>950</v>
      </c>
    </row>
    <row r="10" spans="1:19" x14ac:dyDescent="0.25">
      <c r="A10" t="s">
        <v>901</v>
      </c>
      <c r="B10" t="s">
        <v>1128</v>
      </c>
      <c r="D10">
        <v>30000</v>
      </c>
      <c r="E10">
        <v>160</v>
      </c>
      <c r="F10" s="11">
        <f t="shared" si="0"/>
        <v>4.7870515711064812</v>
      </c>
      <c r="G10">
        <v>24000</v>
      </c>
      <c r="H10">
        <v>0.75</v>
      </c>
      <c r="I10">
        <v>26</v>
      </c>
      <c r="J10" s="10">
        <f t="shared" si="1"/>
        <v>692.30769230769238</v>
      </c>
      <c r="K10">
        <v>1</v>
      </c>
      <c r="L10">
        <v>0.33300000000000002</v>
      </c>
      <c r="M10">
        <v>1</v>
      </c>
      <c r="O10" s="10">
        <f t="shared" si="2"/>
        <v>420.84198846559991</v>
      </c>
      <c r="P10" s="10">
        <f t="shared" si="3"/>
        <v>505.37580180326546</v>
      </c>
      <c r="Q10" s="10">
        <f t="shared" si="4"/>
        <v>423.78220973113486</v>
      </c>
      <c r="R10" s="10">
        <f t="shared" si="5"/>
        <v>450.00000000000006</v>
      </c>
      <c r="S10">
        <v>450</v>
      </c>
    </row>
    <row r="11" spans="1:19" x14ac:dyDescent="0.25">
      <c r="A11" t="s">
        <v>1187</v>
      </c>
      <c r="B11" t="s">
        <v>1188</v>
      </c>
      <c r="D11">
        <v>32500</v>
      </c>
      <c r="E11">
        <v>140</v>
      </c>
      <c r="F11" s="11">
        <f t="shared" si="0"/>
        <v>4.2349857715232258</v>
      </c>
      <c r="G11">
        <v>12000</v>
      </c>
      <c r="H11">
        <v>0.75</v>
      </c>
      <c r="I11">
        <v>19</v>
      </c>
      <c r="J11" s="10">
        <f t="shared" si="1"/>
        <v>473.68421052631578</v>
      </c>
      <c r="K11">
        <v>1</v>
      </c>
      <c r="L11">
        <v>0.33300000000000002</v>
      </c>
      <c r="M11">
        <v>1</v>
      </c>
      <c r="O11" s="10">
        <f t="shared" si="2"/>
        <v>329.03185258195253</v>
      </c>
      <c r="P11" s="10">
        <f t="shared" si="3"/>
        <v>327.81131278431809</v>
      </c>
      <c r="Q11" s="10">
        <f t="shared" si="4"/>
        <v>243.15683463372943</v>
      </c>
      <c r="R11" s="10">
        <f t="shared" si="5"/>
        <v>300</v>
      </c>
      <c r="S11">
        <v>300</v>
      </c>
    </row>
    <row r="12" spans="1:19" x14ac:dyDescent="0.25">
      <c r="B12" t="s">
        <v>1189</v>
      </c>
      <c r="D12">
        <v>35000</v>
      </c>
      <c r="E12">
        <v>135</v>
      </c>
      <c r="F12" s="11">
        <f t="shared" si="0"/>
        <v>4.4079863265662338</v>
      </c>
      <c r="G12">
        <v>28000</v>
      </c>
      <c r="H12">
        <v>0.75</v>
      </c>
      <c r="I12">
        <v>38</v>
      </c>
      <c r="J12" s="10">
        <f t="shared" si="1"/>
        <v>552.63157894736844</v>
      </c>
      <c r="K12">
        <v>1</v>
      </c>
      <c r="L12">
        <v>0.33300000000000002</v>
      </c>
      <c r="M12">
        <v>1</v>
      </c>
      <c r="O12" s="10">
        <f t="shared" si="2"/>
        <v>355.96069365933596</v>
      </c>
      <c r="P12" s="10">
        <f t="shared" si="3"/>
        <v>387.41119349134397</v>
      </c>
      <c r="Q12" s="10">
        <f t="shared" si="4"/>
        <v>306.62811284932002</v>
      </c>
      <c r="R12" s="10">
        <f t="shared" si="5"/>
        <v>350</v>
      </c>
      <c r="S12">
        <v>350</v>
      </c>
    </row>
    <row r="13" spans="1:19" x14ac:dyDescent="0.25">
      <c r="A13" t="s">
        <v>571</v>
      </c>
      <c r="B13" t="s">
        <v>1210</v>
      </c>
      <c r="D13">
        <v>60000</v>
      </c>
      <c r="E13">
        <v>180</v>
      </c>
      <c r="F13" s="11">
        <f t="shared" ref="F13" si="6">(S13*37500000/(L13*M13*D13*E13*K13*J13)-((500/(K13*J13))+(2500000000/(D13*E13*K13*J13)*(D13/100000+E13/100+J13/200))))/(1+5000000/(D13*E13)+(500000000/(D13*E13*J13)))</f>
        <v>6.0012385846859164</v>
      </c>
      <c r="G13">
        <v>36000</v>
      </c>
      <c r="H13">
        <v>0.75</v>
      </c>
      <c r="I13">
        <v>24</v>
      </c>
      <c r="J13" s="10">
        <f t="shared" ref="J13" si="7">G13/I13*H13</f>
        <v>1125</v>
      </c>
      <c r="K13">
        <v>1</v>
      </c>
      <c r="L13">
        <v>0.33300000000000002</v>
      </c>
      <c r="M13">
        <v>1</v>
      </c>
      <c r="O13" s="10">
        <f t="shared" ref="O13" si="8">(D13/100000+E13/100+F13*K13/5+J13/200)*200*L13*M13</f>
        <v>614.40149794801641</v>
      </c>
      <c r="P13" s="10">
        <f t="shared" ref="P13" si="9">((D13*E13/25000)+(F13*K13*J13/2.5))*L13*M13</f>
        <v>1043.1416019151845</v>
      </c>
      <c r="Q13" s="10">
        <f t="shared" ref="Q13" si="10">(D13*E13*F13*K13*J13*L13*M13)/12500000</f>
        <v>1942.4569001367986</v>
      </c>
      <c r="R13" s="10">
        <f t="shared" ref="R13" si="11">(O13+P13+Q13)/3</f>
        <v>1199.9999999999998</v>
      </c>
      <c r="S13">
        <v>1200</v>
      </c>
    </row>
    <row r="18" spans="1:19" x14ac:dyDescent="0.25">
      <c r="B18" t="s">
        <v>646</v>
      </c>
      <c r="D18" t="s">
        <v>36</v>
      </c>
      <c r="E18" t="s">
        <v>37</v>
      </c>
      <c r="F18" t="s">
        <v>38</v>
      </c>
      <c r="G18" t="s">
        <v>39</v>
      </c>
      <c r="H18" t="s">
        <v>181</v>
      </c>
      <c r="I18" t="s">
        <v>40</v>
      </c>
      <c r="J18" s="10" t="s">
        <v>544</v>
      </c>
      <c r="K18" t="s">
        <v>142</v>
      </c>
      <c r="L18" t="s">
        <v>182</v>
      </c>
      <c r="M18" t="s">
        <v>385</v>
      </c>
      <c r="O18" s="10"/>
      <c r="P18" s="10"/>
      <c r="Q18" s="10"/>
      <c r="R18" s="10"/>
      <c r="S18" t="s">
        <v>41</v>
      </c>
    </row>
    <row r="20" spans="1:19" x14ac:dyDescent="0.25">
      <c r="A20" t="s">
        <v>321</v>
      </c>
      <c r="B20" t="s">
        <v>51</v>
      </c>
      <c r="D20">
        <v>17500</v>
      </c>
      <c r="E20">
        <v>200</v>
      </c>
      <c r="F20" s="11">
        <f>(S20*37500000/(L20*M20*D20*E20*K20*J20)-((500/(K20*J20))+(2500000000/(D20*E20*K20*J20)*(D20/100000+E20/100+J20/200))))/(1+5000000/(D20*E20)+(500000000/(D20*E20*J20)))</f>
        <v>5.9900646950092415</v>
      </c>
      <c r="G20">
        <v>32000</v>
      </c>
      <c r="H20">
        <v>0.875</v>
      </c>
      <c r="I20">
        <v>65</v>
      </c>
      <c r="J20" s="10">
        <f>G20/I20*H20</f>
        <v>430.76923076923077</v>
      </c>
      <c r="K20">
        <v>1</v>
      </c>
      <c r="L20">
        <v>0.5</v>
      </c>
      <c r="M20">
        <v>1</v>
      </c>
      <c r="O20" s="10">
        <f>(D20/100000+E20/100+F20*K20/5+J20/200)*200*L20*M20</f>
        <v>552.68590928480012</v>
      </c>
      <c r="P20" s="10">
        <f>((D20*E20/25000)+(F20*K20*J20/2.5))*L20*M20</f>
        <v>586.06711218541159</v>
      </c>
      <c r="Q20" s="10">
        <f>(D20*E20*F20*K20*J20*L20*M20)/12500000</f>
        <v>361.24697852978807</v>
      </c>
      <c r="R20" s="10">
        <f>(O20+P20+Q20)/3</f>
        <v>499.99999999999994</v>
      </c>
      <c r="S20">
        <v>500</v>
      </c>
    </row>
    <row r="21" spans="1:19" x14ac:dyDescent="0.25">
      <c r="B21" t="s">
        <v>180</v>
      </c>
      <c r="D21">
        <v>22500</v>
      </c>
      <c r="E21">
        <v>175</v>
      </c>
      <c r="F21" s="11">
        <f>(S21*37500000/(L21*M21*D21*E21*K21*J21)-((500/(K21*J21))+(2500000000/(D21*E21*K21*J21)*(D21/100000+E21/100+J21/200))))/(1+5000000/(D21*E21)+(500000000/(D21*E21*J21)))</f>
        <v>6.0083256244218317</v>
      </c>
      <c r="G21">
        <v>64000</v>
      </c>
      <c r="H21">
        <v>0.875</v>
      </c>
      <c r="I21">
        <v>80</v>
      </c>
      <c r="J21" s="10">
        <f>G21/I21*H21</f>
        <v>700</v>
      </c>
      <c r="K21">
        <v>1</v>
      </c>
      <c r="L21">
        <v>0.5</v>
      </c>
      <c r="M21">
        <v>1</v>
      </c>
      <c r="O21" s="10">
        <f>(D21/100000+E21/100+F21*K21/5+J21/200)*200*L21*M21</f>
        <v>667.66651248843664</v>
      </c>
      <c r="P21" s="10">
        <f>((D21*E21/25000)+(F21*K21*J21/2.5))*L21*M21</f>
        <v>919.91558741905646</v>
      </c>
      <c r="Q21" s="10">
        <f>(D21*E21*F21*K21*J21*L21*M21)/12500000</f>
        <v>662.41790009250701</v>
      </c>
      <c r="R21" s="10">
        <f>(O21+P21+Q21)/3</f>
        <v>750</v>
      </c>
      <c r="S21">
        <v>750</v>
      </c>
    </row>
    <row r="22" spans="1:19" x14ac:dyDescent="0.25">
      <c r="A22" t="s">
        <v>320</v>
      </c>
      <c r="B22" t="s">
        <v>245</v>
      </c>
      <c r="D22">
        <v>25000</v>
      </c>
      <c r="E22">
        <v>160</v>
      </c>
      <c r="F22" s="11">
        <f>(S22*37500000/(L22*M22*D22*E22*K22*J22)-((500/(K22*J22))+(2500000000/(D22*E22*K22*J22)*(D22/100000+E22/100+J22/200))))/(1+5000000/(D22*E22)+(500000000/(D22*E22*J22)))</f>
        <v>4.9249999999999998</v>
      </c>
      <c r="G22">
        <v>32000</v>
      </c>
      <c r="H22">
        <v>1</v>
      </c>
      <c r="I22">
        <v>64</v>
      </c>
      <c r="J22" s="10">
        <f>G22/I22*H22</f>
        <v>500</v>
      </c>
      <c r="K22">
        <v>1</v>
      </c>
      <c r="L22">
        <v>0.5</v>
      </c>
      <c r="M22">
        <v>1</v>
      </c>
      <c r="O22" s="10">
        <f>(D22/100000+E22/100+F22*K22/5+J22/200)*200*L22*M22</f>
        <v>533.5</v>
      </c>
      <c r="P22" s="10">
        <f>((D22*E22/25000)+(F22*K22*J22/2.5))*L22*M22</f>
        <v>572.5</v>
      </c>
      <c r="Q22" s="10">
        <f>(D22*E22*F22*K22*J22*L22*M22)/12500000</f>
        <v>394</v>
      </c>
      <c r="R22" s="10">
        <f>(O22+P22+Q22)/3</f>
        <v>500</v>
      </c>
      <c r="S22">
        <v>500</v>
      </c>
    </row>
    <row r="23" spans="1:19" x14ac:dyDescent="0.25">
      <c r="B23" t="s">
        <v>113</v>
      </c>
      <c r="D23">
        <v>60000</v>
      </c>
      <c r="E23">
        <v>120</v>
      </c>
      <c r="F23" s="11">
        <f t="shared" ref="F23:F28" si="12">(S23*37500000/(L23*M23*D23*E23*K23*J23)-((500/(K23*J23))+(2500000000/(D23*E23*K23*J23)*(D23/100000+E23/100+J23/200))))/(1+5000000/(D23*E23)+(500000000/(D23*E23*J23)))</f>
        <v>5.1839378238341975</v>
      </c>
      <c r="G23">
        <v>60000</v>
      </c>
      <c r="H23">
        <v>0.75</v>
      </c>
      <c r="I23">
        <v>60</v>
      </c>
      <c r="J23" s="10">
        <f t="shared" ref="J23:J28" si="13">G23/I23*H23</f>
        <v>750</v>
      </c>
      <c r="K23">
        <v>1</v>
      </c>
      <c r="L23">
        <v>0.5</v>
      </c>
      <c r="M23">
        <v>1</v>
      </c>
      <c r="O23" s="10">
        <f t="shared" ref="O23:O28" si="14">(D23/100000+E23/100+F23*K23/5+J23/200)*200*L23*M23</f>
        <v>658.67875647668393</v>
      </c>
      <c r="P23" s="10">
        <f t="shared" ref="P23:P28" si="15">((D23*E23/25000)+(F23*K23*J23/2.5))*L23*M23</f>
        <v>921.5906735751297</v>
      </c>
      <c r="Q23" s="10">
        <f t="shared" ref="Q23:Q28" si="16">(D23*E23*F23*K23*J23*L23*M23)/12500000</f>
        <v>1119.7305699481867</v>
      </c>
      <c r="R23" s="10">
        <f t="shared" ref="R23:R28" si="17">(O23+P23+Q23)/3</f>
        <v>900.00000000000011</v>
      </c>
      <c r="S23">
        <v>900</v>
      </c>
    </row>
    <row r="24" spans="1:19" x14ac:dyDescent="0.25">
      <c r="A24" t="s">
        <v>605</v>
      </c>
      <c r="B24" s="12" t="s">
        <v>612</v>
      </c>
      <c r="D24">
        <v>75000</v>
      </c>
      <c r="E24">
        <v>125</v>
      </c>
      <c r="F24" s="11">
        <f t="shared" si="12"/>
        <v>4.7992700729927007</v>
      </c>
      <c r="G24">
        <v>20000</v>
      </c>
      <c r="H24">
        <v>0.85</v>
      </c>
      <c r="I24">
        <v>25</v>
      </c>
      <c r="J24" s="10">
        <f t="shared" si="13"/>
        <v>680</v>
      </c>
      <c r="K24">
        <v>1</v>
      </c>
      <c r="L24">
        <v>0.5</v>
      </c>
      <c r="M24">
        <v>1</v>
      </c>
      <c r="O24" s="10">
        <f t="shared" si="14"/>
        <v>635.98540145985396</v>
      </c>
      <c r="P24" s="10">
        <f t="shared" si="15"/>
        <v>840.20072992700727</v>
      </c>
      <c r="Q24" s="10">
        <f t="shared" si="16"/>
        <v>1223.8138686131388</v>
      </c>
      <c r="R24" s="10">
        <f t="shared" si="17"/>
        <v>900</v>
      </c>
      <c r="S24">
        <v>900</v>
      </c>
    </row>
    <row r="25" spans="1:19" x14ac:dyDescent="0.25">
      <c r="B25" s="12" t="s">
        <v>704</v>
      </c>
      <c r="D25">
        <v>60000</v>
      </c>
      <c r="E25">
        <v>120</v>
      </c>
      <c r="F25" s="11">
        <f t="shared" si="12"/>
        <v>5.046088129496404</v>
      </c>
      <c r="G25">
        <v>20000</v>
      </c>
      <c r="H25">
        <v>0.85</v>
      </c>
      <c r="I25">
        <v>30</v>
      </c>
      <c r="J25" s="10">
        <f t="shared" si="13"/>
        <v>566.66666666666663</v>
      </c>
      <c r="K25">
        <v>2</v>
      </c>
      <c r="L25">
        <v>0.5</v>
      </c>
      <c r="M25">
        <v>1</v>
      </c>
      <c r="O25" s="10">
        <f t="shared" si="14"/>
        <v>665.17685851318947</v>
      </c>
      <c r="P25" s="10">
        <f t="shared" si="15"/>
        <v>1287.7799760191849</v>
      </c>
      <c r="Q25" s="10">
        <f t="shared" si="16"/>
        <v>1647.0431654676261</v>
      </c>
      <c r="R25" s="10">
        <f t="shared" si="17"/>
        <v>1200.0000000000002</v>
      </c>
      <c r="S25">
        <v>1200</v>
      </c>
    </row>
    <row r="26" spans="1:19" x14ac:dyDescent="0.25">
      <c r="A26" t="s">
        <v>629</v>
      </c>
      <c r="B26" t="s">
        <v>664</v>
      </c>
      <c r="D26">
        <v>25000</v>
      </c>
      <c r="E26">
        <v>150</v>
      </c>
      <c r="F26" s="11">
        <f t="shared" si="12"/>
        <v>5.6603773584905657</v>
      </c>
      <c r="G26">
        <v>16000</v>
      </c>
      <c r="H26">
        <v>0.875</v>
      </c>
      <c r="I26">
        <v>20</v>
      </c>
      <c r="J26" s="10">
        <f t="shared" si="13"/>
        <v>700</v>
      </c>
      <c r="K26">
        <v>1</v>
      </c>
      <c r="L26">
        <v>0.5</v>
      </c>
      <c r="M26">
        <v>1</v>
      </c>
      <c r="O26" s="10">
        <f t="shared" si="14"/>
        <v>638.20754716981128</v>
      </c>
      <c r="P26" s="10">
        <f t="shared" si="15"/>
        <v>867.45283018867917</v>
      </c>
      <c r="Q26" s="10">
        <f t="shared" si="16"/>
        <v>594.33962264150944</v>
      </c>
      <c r="R26" s="10">
        <f t="shared" si="17"/>
        <v>700</v>
      </c>
      <c r="S26">
        <v>700</v>
      </c>
    </row>
    <row r="27" spans="1:19" x14ac:dyDescent="0.25">
      <c r="B27" t="s">
        <v>728</v>
      </c>
      <c r="D27">
        <v>25000</v>
      </c>
      <c r="E27">
        <v>150</v>
      </c>
      <c r="F27" s="11">
        <f t="shared" si="12"/>
        <v>6.1685823754789295</v>
      </c>
      <c r="G27">
        <v>32000</v>
      </c>
      <c r="H27">
        <v>0.875</v>
      </c>
      <c r="I27">
        <v>32</v>
      </c>
      <c r="J27" s="10">
        <f t="shared" si="13"/>
        <v>875</v>
      </c>
      <c r="K27">
        <v>1</v>
      </c>
      <c r="L27">
        <v>0.5</v>
      </c>
      <c r="M27">
        <v>1</v>
      </c>
      <c r="O27" s="10">
        <f t="shared" si="14"/>
        <v>735.87164750957857</v>
      </c>
      <c r="P27" s="10">
        <f t="shared" si="15"/>
        <v>1154.5019157088127</v>
      </c>
      <c r="Q27" s="10">
        <f t="shared" si="16"/>
        <v>809.62643678160953</v>
      </c>
      <c r="R27" s="10">
        <f t="shared" si="17"/>
        <v>900.00000000000034</v>
      </c>
      <c r="S27">
        <v>900</v>
      </c>
    </row>
    <row r="28" spans="1:19" x14ac:dyDescent="0.25">
      <c r="B28" t="s">
        <v>730</v>
      </c>
      <c r="D28">
        <v>25000</v>
      </c>
      <c r="E28">
        <v>150</v>
      </c>
      <c r="F28" s="11">
        <f t="shared" si="12"/>
        <v>4.6923076923076925</v>
      </c>
      <c r="G28">
        <v>36000</v>
      </c>
      <c r="H28">
        <v>1</v>
      </c>
      <c r="I28">
        <v>20</v>
      </c>
      <c r="J28" s="10">
        <f t="shared" si="13"/>
        <v>1800</v>
      </c>
      <c r="K28">
        <v>1</v>
      </c>
      <c r="L28">
        <v>0.5</v>
      </c>
      <c r="M28">
        <v>1</v>
      </c>
      <c r="O28" s="10">
        <f t="shared" si="14"/>
        <v>1168.8461538461538</v>
      </c>
      <c r="P28" s="10">
        <f t="shared" si="15"/>
        <v>1764.2307692307691</v>
      </c>
      <c r="Q28" s="10">
        <f t="shared" si="16"/>
        <v>1266.9230769230771</v>
      </c>
      <c r="R28" s="10">
        <f t="shared" si="17"/>
        <v>1400</v>
      </c>
      <c r="S28">
        <v>1400</v>
      </c>
    </row>
    <row r="29" spans="1:19" x14ac:dyDescent="0.25">
      <c r="B29" t="s">
        <v>840</v>
      </c>
      <c r="D29">
        <v>25000</v>
      </c>
      <c r="E29">
        <v>150</v>
      </c>
      <c r="F29" s="11">
        <f t="shared" ref="F29:F36" si="18">(S29*37500000/(L29*M29*D29*E29*K29*J29)-((500/(K29*J29))+(2500000000/(D29*E29*K29*J29)*(D29/100000+E29/100+J29/200))))/(1+5000000/(D29*E29)+(500000000/(D29*E29*J29)))</f>
        <v>5.3260869565217401</v>
      </c>
      <c r="G29">
        <v>20000</v>
      </c>
      <c r="H29">
        <v>1.5</v>
      </c>
      <c r="I29">
        <v>50</v>
      </c>
      <c r="J29" s="10">
        <f t="shared" ref="J29:J36" si="19">G29/I29*H29</f>
        <v>600</v>
      </c>
      <c r="K29">
        <v>2</v>
      </c>
      <c r="L29">
        <v>0.5</v>
      </c>
      <c r="M29">
        <v>1</v>
      </c>
      <c r="O29" s="10">
        <f t="shared" ref="O29:O36" si="20">(D29/100000+E29/100+F29*K29/5+J29/200)*200*L29*M29</f>
        <v>688.04347826086962</v>
      </c>
      <c r="P29" s="10">
        <f t="shared" ref="P29:P36" si="21">((D29*E29/25000)+(F29*K29*J29/2.5))*L29*M29</f>
        <v>1353.2608695652175</v>
      </c>
      <c r="Q29" s="10">
        <f t="shared" ref="Q29:Q36" si="22">(D29*E29*F29*K29*J29*L29*M29)/12500000</f>
        <v>958.69565217391323</v>
      </c>
      <c r="R29" s="10">
        <f t="shared" ref="R29:R36" si="23">(O29+P29+Q29)/3</f>
        <v>1000</v>
      </c>
      <c r="S29">
        <v>1000</v>
      </c>
    </row>
    <row r="30" spans="1:19" x14ac:dyDescent="0.25">
      <c r="A30" t="s">
        <v>724</v>
      </c>
      <c r="B30" t="s">
        <v>737</v>
      </c>
      <c r="D30">
        <v>37500</v>
      </c>
      <c r="E30">
        <v>115</v>
      </c>
      <c r="F30" s="11">
        <f t="shared" si="18"/>
        <v>6.0030946065428825</v>
      </c>
      <c r="G30">
        <v>40000</v>
      </c>
      <c r="H30">
        <v>0.875</v>
      </c>
      <c r="I30">
        <v>55</v>
      </c>
      <c r="J30" s="10">
        <f t="shared" si="19"/>
        <v>636.36363636363637</v>
      </c>
      <c r="K30">
        <v>1</v>
      </c>
      <c r="L30">
        <v>0.5</v>
      </c>
      <c r="M30">
        <v>1</v>
      </c>
      <c r="O30" s="10">
        <f t="shared" si="20"/>
        <v>590.74371031267583</v>
      </c>
      <c r="P30" s="10">
        <f t="shared" si="21"/>
        <v>850.28022265091226</v>
      </c>
      <c r="Q30" s="10">
        <f t="shared" si="22"/>
        <v>658.97606703641191</v>
      </c>
      <c r="R30" s="10">
        <f t="shared" si="23"/>
        <v>700</v>
      </c>
      <c r="S30">
        <v>700</v>
      </c>
    </row>
    <row r="31" spans="1:19" x14ac:dyDescent="0.25">
      <c r="B31" t="s">
        <v>738</v>
      </c>
      <c r="D31">
        <v>37500</v>
      </c>
      <c r="E31">
        <v>115</v>
      </c>
      <c r="F31" s="11">
        <f t="shared" si="18"/>
        <v>6.0030946065428825</v>
      </c>
      <c r="G31">
        <v>40000</v>
      </c>
      <c r="H31">
        <v>0.875</v>
      </c>
      <c r="I31">
        <v>55</v>
      </c>
      <c r="J31" s="10">
        <f t="shared" si="19"/>
        <v>636.36363636363637</v>
      </c>
      <c r="K31">
        <v>1</v>
      </c>
      <c r="L31">
        <v>0.5</v>
      </c>
      <c r="M31">
        <v>1</v>
      </c>
      <c r="O31" s="10">
        <f t="shared" si="20"/>
        <v>590.74371031267583</v>
      </c>
      <c r="P31" s="10">
        <f t="shared" si="21"/>
        <v>850.28022265091226</v>
      </c>
      <c r="Q31" s="10">
        <f t="shared" si="22"/>
        <v>658.97606703641191</v>
      </c>
      <c r="R31" s="10">
        <f t="shared" si="23"/>
        <v>700</v>
      </c>
      <c r="S31">
        <v>700</v>
      </c>
    </row>
    <row r="32" spans="1:19" x14ac:dyDescent="0.25">
      <c r="B32" t="s">
        <v>739</v>
      </c>
      <c r="D32">
        <v>37500</v>
      </c>
      <c r="E32">
        <v>115</v>
      </c>
      <c r="F32" s="11">
        <f t="shared" si="18"/>
        <v>6.0030946065428825</v>
      </c>
      <c r="G32">
        <v>8000</v>
      </c>
      <c r="H32">
        <v>0.875</v>
      </c>
      <c r="I32">
        <v>11</v>
      </c>
      <c r="J32" s="10">
        <f t="shared" si="19"/>
        <v>636.36363636363637</v>
      </c>
      <c r="K32">
        <v>1</v>
      </c>
      <c r="L32">
        <v>0.5</v>
      </c>
      <c r="M32">
        <v>1</v>
      </c>
      <c r="O32" s="10">
        <f t="shared" si="20"/>
        <v>590.74371031267583</v>
      </c>
      <c r="P32" s="10">
        <f t="shared" si="21"/>
        <v>850.28022265091226</v>
      </c>
      <c r="Q32" s="10">
        <f t="shared" si="22"/>
        <v>658.97606703641191</v>
      </c>
      <c r="R32" s="10">
        <f t="shared" si="23"/>
        <v>700</v>
      </c>
      <c r="S32">
        <v>700</v>
      </c>
    </row>
    <row r="33" spans="1:19" x14ac:dyDescent="0.25">
      <c r="B33" t="s">
        <v>842</v>
      </c>
      <c r="D33">
        <v>50000</v>
      </c>
      <c r="E33">
        <v>40</v>
      </c>
      <c r="F33" s="11">
        <f t="shared" si="18"/>
        <v>5.2393617021276597</v>
      </c>
      <c r="G33">
        <v>20000</v>
      </c>
      <c r="H33">
        <v>1.5</v>
      </c>
      <c r="I33">
        <v>50</v>
      </c>
      <c r="J33" s="10">
        <f t="shared" si="19"/>
        <v>600</v>
      </c>
      <c r="K33">
        <v>2</v>
      </c>
      <c r="L33">
        <v>0.5</v>
      </c>
      <c r="M33">
        <v>1</v>
      </c>
      <c r="O33" s="10">
        <f t="shared" si="20"/>
        <v>599.57446808510633</v>
      </c>
      <c r="P33" s="10">
        <f t="shared" si="21"/>
        <v>1297.4468085106384</v>
      </c>
      <c r="Q33" s="10">
        <f t="shared" si="22"/>
        <v>502.97872340425528</v>
      </c>
      <c r="R33" s="10">
        <f t="shared" si="23"/>
        <v>800</v>
      </c>
      <c r="S33">
        <v>800</v>
      </c>
    </row>
    <row r="34" spans="1:19" x14ac:dyDescent="0.25">
      <c r="B34" t="s">
        <v>841</v>
      </c>
      <c r="D34">
        <v>50000</v>
      </c>
      <c r="E34">
        <v>75</v>
      </c>
      <c r="F34" s="11">
        <f t="shared" si="18"/>
        <v>5.4347826086956523</v>
      </c>
      <c r="G34">
        <v>20000</v>
      </c>
      <c r="H34">
        <v>1.5</v>
      </c>
      <c r="I34">
        <v>50</v>
      </c>
      <c r="J34" s="10">
        <f t="shared" si="19"/>
        <v>600</v>
      </c>
      <c r="K34">
        <v>2</v>
      </c>
      <c r="L34">
        <v>0.5</v>
      </c>
      <c r="M34">
        <v>1</v>
      </c>
      <c r="O34" s="10">
        <f t="shared" si="20"/>
        <v>642.39130434782612</v>
      </c>
      <c r="P34" s="10">
        <f t="shared" si="21"/>
        <v>1379.3478260869565</v>
      </c>
      <c r="Q34" s="10">
        <f t="shared" si="22"/>
        <v>978.26086956521749</v>
      </c>
      <c r="R34" s="10">
        <f t="shared" si="23"/>
        <v>1000</v>
      </c>
      <c r="S34">
        <v>1000</v>
      </c>
    </row>
    <row r="35" spans="1:19" x14ac:dyDescent="0.25">
      <c r="B35" t="s">
        <v>843</v>
      </c>
      <c r="D35">
        <v>30000</v>
      </c>
      <c r="E35">
        <v>70</v>
      </c>
      <c r="F35" s="11">
        <f t="shared" si="18"/>
        <v>5.8061366806136681</v>
      </c>
      <c r="G35">
        <v>8000</v>
      </c>
      <c r="H35">
        <v>0.875</v>
      </c>
      <c r="I35">
        <v>44</v>
      </c>
      <c r="J35" s="10">
        <f t="shared" si="19"/>
        <v>159.09090909090909</v>
      </c>
      <c r="K35">
        <v>1</v>
      </c>
      <c r="L35">
        <v>0.5</v>
      </c>
      <c r="M35">
        <v>1</v>
      </c>
      <c r="O35" s="10">
        <f t="shared" si="20"/>
        <v>295.66818815772791</v>
      </c>
      <c r="P35" s="10">
        <f t="shared" si="21"/>
        <v>226.74071256498036</v>
      </c>
      <c r="Q35" s="10">
        <f t="shared" si="22"/>
        <v>77.591099277291761</v>
      </c>
      <c r="R35" s="10">
        <f t="shared" si="23"/>
        <v>200</v>
      </c>
      <c r="S35">
        <v>200</v>
      </c>
    </row>
    <row r="36" spans="1:19" x14ac:dyDescent="0.25">
      <c r="A36" t="s">
        <v>901</v>
      </c>
      <c r="B36" t="s">
        <v>1129</v>
      </c>
      <c r="D36">
        <v>20000</v>
      </c>
      <c r="E36">
        <v>170</v>
      </c>
      <c r="F36" s="11">
        <f t="shared" si="18"/>
        <v>6.5535444947209642</v>
      </c>
      <c r="G36">
        <v>24000</v>
      </c>
      <c r="H36">
        <v>0.875</v>
      </c>
      <c r="I36">
        <v>45</v>
      </c>
      <c r="J36" s="10">
        <f t="shared" si="19"/>
        <v>466.66666666666669</v>
      </c>
      <c r="K36">
        <v>1</v>
      </c>
      <c r="L36">
        <v>0.5</v>
      </c>
      <c r="M36">
        <v>1</v>
      </c>
      <c r="O36" s="10">
        <f t="shared" si="20"/>
        <v>554.4042232277526</v>
      </c>
      <c r="P36" s="10">
        <f t="shared" si="21"/>
        <v>679.66415284062327</v>
      </c>
      <c r="Q36" s="10">
        <f t="shared" si="22"/>
        <v>415.9316239316239</v>
      </c>
      <c r="R36" s="10">
        <f t="shared" si="23"/>
        <v>550</v>
      </c>
      <c r="S36">
        <v>550</v>
      </c>
    </row>
    <row r="42" spans="1:19" x14ac:dyDescent="0.25">
      <c r="B42" t="s">
        <v>462</v>
      </c>
      <c r="D42" t="s">
        <v>36</v>
      </c>
      <c r="E42" t="s">
        <v>37</v>
      </c>
      <c r="F42" t="s">
        <v>38</v>
      </c>
      <c r="G42" t="s">
        <v>39</v>
      </c>
      <c r="H42" t="s">
        <v>181</v>
      </c>
      <c r="I42" t="s">
        <v>40</v>
      </c>
      <c r="J42" s="10" t="s">
        <v>544</v>
      </c>
      <c r="K42" t="s">
        <v>142</v>
      </c>
      <c r="L42" t="s">
        <v>182</v>
      </c>
      <c r="M42" t="s">
        <v>385</v>
      </c>
      <c r="O42" s="10"/>
      <c r="P42" s="10"/>
      <c r="Q42" s="10"/>
      <c r="R42" s="10"/>
      <c r="S42" t="s">
        <v>41</v>
      </c>
    </row>
    <row r="43" spans="1:19" x14ac:dyDescent="0.25">
      <c r="J43" s="10"/>
      <c r="O43" s="10"/>
      <c r="P43" s="10"/>
      <c r="Q43" s="10"/>
      <c r="R43" s="10"/>
    </row>
    <row r="44" spans="1:19" x14ac:dyDescent="0.25">
      <c r="A44" t="s">
        <v>321</v>
      </c>
      <c r="B44" t="s">
        <v>458</v>
      </c>
      <c r="D44">
        <v>47500</v>
      </c>
      <c r="E44">
        <v>100</v>
      </c>
      <c r="F44" s="11">
        <f t="shared" ref="F44:F55" si="24">(S44*37500000/(L44*M44*D44*E44*K44*J44)-((500/(K44*J44))+(2500000000/(D44*E44*K44*J44)*(D44/100000+E44/100+J44/200))))/(1+5000000/(D44*E44)+(500000000/(D44*E44*J44)))</f>
        <v>5.6676136363636367</v>
      </c>
      <c r="G44">
        <v>4000</v>
      </c>
      <c r="H44">
        <v>1</v>
      </c>
      <c r="I44">
        <v>10</v>
      </c>
      <c r="J44" s="10">
        <f>G44/I44*H44</f>
        <v>400</v>
      </c>
      <c r="K44">
        <v>1</v>
      </c>
      <c r="L44">
        <v>1.25</v>
      </c>
      <c r="M44">
        <v>1</v>
      </c>
      <c r="O44" s="10">
        <f t="shared" ref="O44:O57" si="25">(D44/100000+E44/100+F44*K44/5+J44/200)*200*L44*M44</f>
        <v>1152.1306818181818</v>
      </c>
      <c r="P44" s="10">
        <f t="shared" ref="P44:P57" si="26">((D44*E44/25000)+(F44*K44*J44/2.5))*L44*M44</f>
        <v>1371.0227272727273</v>
      </c>
      <c r="Q44" s="10">
        <f t="shared" ref="Q44:Q57" si="27">(D44*E44*F44*K44*J44*L44*M44)/12500000</f>
        <v>1076.846590909091</v>
      </c>
      <c r="R44" s="10">
        <f t="shared" ref="R44:R57" si="28">(O44+P44+Q44)/3</f>
        <v>1200</v>
      </c>
      <c r="S44">
        <v>1200</v>
      </c>
    </row>
    <row r="45" spans="1:19" x14ac:dyDescent="0.25">
      <c r="B45" t="s">
        <v>65</v>
      </c>
      <c r="D45">
        <v>25000</v>
      </c>
      <c r="E45">
        <v>120</v>
      </c>
      <c r="F45" s="11">
        <f t="shared" si="24"/>
        <v>5.2735849056603765</v>
      </c>
      <c r="G45">
        <v>9000</v>
      </c>
      <c r="H45">
        <v>1</v>
      </c>
      <c r="I45">
        <v>68</v>
      </c>
      <c r="J45" s="10">
        <f>G45/I45*H45</f>
        <v>132.35294117647058</v>
      </c>
      <c r="K45">
        <v>1</v>
      </c>
      <c r="L45">
        <v>1.25</v>
      </c>
      <c r="M45">
        <v>1</v>
      </c>
      <c r="O45" s="10">
        <f t="shared" si="25"/>
        <v>791.62042175360693</v>
      </c>
      <c r="P45" s="10">
        <f t="shared" si="26"/>
        <v>498.98723640399555</v>
      </c>
      <c r="Q45" s="10">
        <f t="shared" si="27"/>
        <v>209.39234184239726</v>
      </c>
      <c r="R45" s="10">
        <f t="shared" si="28"/>
        <v>499.99999999999994</v>
      </c>
      <c r="S45">
        <v>500</v>
      </c>
    </row>
    <row r="46" spans="1:19" x14ac:dyDescent="0.25">
      <c r="B46" t="s">
        <v>77</v>
      </c>
      <c r="D46">
        <v>37500</v>
      </c>
      <c r="E46">
        <v>115</v>
      </c>
      <c r="F46" s="11">
        <f t="shared" si="24"/>
        <v>5.5975609756097562</v>
      </c>
      <c r="G46">
        <v>8000</v>
      </c>
      <c r="H46">
        <v>0.75</v>
      </c>
      <c r="I46">
        <v>42</v>
      </c>
      <c r="J46" s="10">
        <f>G46/I46*H46</f>
        <v>142.85714285714286</v>
      </c>
      <c r="K46">
        <v>1</v>
      </c>
      <c r="L46">
        <v>1.25</v>
      </c>
      <c r="M46">
        <v>1</v>
      </c>
      <c r="O46" s="10">
        <f t="shared" si="25"/>
        <v>839.69947735191636</v>
      </c>
      <c r="P46" s="10">
        <f t="shared" si="26"/>
        <v>615.45078397212546</v>
      </c>
      <c r="Q46" s="10">
        <f t="shared" si="27"/>
        <v>344.84973867595818</v>
      </c>
      <c r="R46" s="10">
        <f t="shared" si="28"/>
        <v>600</v>
      </c>
      <c r="S46">
        <v>600</v>
      </c>
    </row>
    <row r="47" spans="1:19" x14ac:dyDescent="0.25">
      <c r="B47" t="s">
        <v>76</v>
      </c>
      <c r="D47">
        <v>250000</v>
      </c>
      <c r="E47">
        <v>100</v>
      </c>
      <c r="F47" s="11">
        <f t="shared" si="24"/>
        <v>5.782674772036474</v>
      </c>
      <c r="J47" s="10">
        <v>1080</v>
      </c>
      <c r="K47">
        <v>1</v>
      </c>
      <c r="L47">
        <v>1</v>
      </c>
      <c r="M47">
        <v>0.75</v>
      </c>
      <c r="O47" s="10">
        <f t="shared" si="25"/>
        <v>1508.4802431610942</v>
      </c>
      <c r="P47" s="10">
        <f t="shared" si="26"/>
        <v>2623.5866261398178</v>
      </c>
      <c r="Q47" s="10">
        <f t="shared" si="27"/>
        <v>9367.933130699088</v>
      </c>
      <c r="R47" s="10">
        <f t="shared" si="28"/>
        <v>4500</v>
      </c>
      <c r="S47">
        <v>4500</v>
      </c>
    </row>
    <row r="48" spans="1:19" x14ac:dyDescent="0.25">
      <c r="A48" t="s">
        <v>320</v>
      </c>
      <c r="B48" t="s">
        <v>457</v>
      </c>
      <c r="D48">
        <v>50000</v>
      </c>
      <c r="E48">
        <v>105</v>
      </c>
      <c r="F48" s="11">
        <f t="shared" si="24"/>
        <v>5.9782608695652186</v>
      </c>
      <c r="G48">
        <v>4000</v>
      </c>
      <c r="H48">
        <v>1</v>
      </c>
      <c r="I48">
        <v>10</v>
      </c>
      <c r="J48" s="10">
        <f t="shared" ref="J48:J57" si="29">G48/I48*H48</f>
        <v>400</v>
      </c>
      <c r="K48">
        <v>1</v>
      </c>
      <c r="L48">
        <v>1.25</v>
      </c>
      <c r="M48">
        <v>1</v>
      </c>
      <c r="O48" s="10">
        <f t="shared" si="25"/>
        <v>1186.413043478261</v>
      </c>
      <c r="P48" s="10">
        <f t="shared" si="26"/>
        <v>1458.1521739130437</v>
      </c>
      <c r="Q48" s="10">
        <f t="shared" si="27"/>
        <v>1255.434782608696</v>
      </c>
      <c r="R48" s="10">
        <f t="shared" si="28"/>
        <v>1300.0000000000002</v>
      </c>
      <c r="S48">
        <v>1300</v>
      </c>
    </row>
    <row r="49" spans="1:19" x14ac:dyDescent="0.25">
      <c r="B49" t="s">
        <v>149</v>
      </c>
      <c r="D49">
        <v>30000</v>
      </c>
      <c r="E49">
        <v>120</v>
      </c>
      <c r="F49" s="11">
        <f t="shared" si="24"/>
        <v>5.4116945107398573</v>
      </c>
      <c r="G49">
        <v>4000</v>
      </c>
      <c r="H49">
        <v>1</v>
      </c>
      <c r="I49">
        <v>15</v>
      </c>
      <c r="J49" s="10">
        <f t="shared" si="29"/>
        <v>266.66666666666669</v>
      </c>
      <c r="K49">
        <v>1</v>
      </c>
      <c r="L49">
        <v>1.25</v>
      </c>
      <c r="M49">
        <v>1</v>
      </c>
      <c r="O49" s="10">
        <f t="shared" si="25"/>
        <v>978.91805887032615</v>
      </c>
      <c r="P49" s="10">
        <f t="shared" si="26"/>
        <v>901.55926809864764</v>
      </c>
      <c r="Q49" s="10">
        <f t="shared" si="27"/>
        <v>519.52267303102633</v>
      </c>
      <c r="R49" s="10">
        <f t="shared" si="28"/>
        <v>800</v>
      </c>
      <c r="S49">
        <v>800</v>
      </c>
    </row>
    <row r="50" spans="1:19" x14ac:dyDescent="0.25">
      <c r="B50" t="s">
        <v>459</v>
      </c>
      <c r="D50">
        <v>65000</v>
      </c>
      <c r="E50">
        <v>130</v>
      </c>
      <c r="F50" s="11">
        <f t="shared" si="24"/>
        <v>4.9845503333875429</v>
      </c>
      <c r="G50">
        <v>12000</v>
      </c>
      <c r="H50">
        <v>0.875</v>
      </c>
      <c r="I50">
        <v>25</v>
      </c>
      <c r="J50" s="10">
        <f t="shared" si="29"/>
        <v>420</v>
      </c>
      <c r="K50">
        <v>1</v>
      </c>
      <c r="L50">
        <v>1.25</v>
      </c>
      <c r="M50">
        <v>1</v>
      </c>
      <c r="O50" s="10">
        <f t="shared" si="25"/>
        <v>1261.7275166693771</v>
      </c>
      <c r="P50" s="10">
        <f t="shared" si="26"/>
        <v>1469.255570011384</v>
      </c>
      <c r="Q50" s="10">
        <f t="shared" si="27"/>
        <v>1769.0169133192389</v>
      </c>
      <c r="R50" s="10">
        <f t="shared" si="28"/>
        <v>1500</v>
      </c>
      <c r="S50">
        <v>1500</v>
      </c>
    </row>
    <row r="51" spans="1:19" x14ac:dyDescent="0.25">
      <c r="B51" t="s">
        <v>460</v>
      </c>
      <c r="D51">
        <v>65000</v>
      </c>
      <c r="E51">
        <v>130</v>
      </c>
      <c r="F51" s="11">
        <f t="shared" si="24"/>
        <v>4.7665198237885464</v>
      </c>
      <c r="G51">
        <v>4000</v>
      </c>
      <c r="H51">
        <v>0.875</v>
      </c>
      <c r="I51">
        <v>8</v>
      </c>
      <c r="J51" s="10">
        <f t="shared" si="29"/>
        <v>437.5</v>
      </c>
      <c r="K51">
        <v>1</v>
      </c>
      <c r="L51">
        <v>1.25</v>
      </c>
      <c r="M51">
        <v>1</v>
      </c>
      <c r="O51" s="10">
        <f t="shared" si="25"/>
        <v>1272.7009911894274</v>
      </c>
      <c r="P51" s="10">
        <f t="shared" si="26"/>
        <v>1465.1762114537446</v>
      </c>
      <c r="Q51" s="10">
        <f t="shared" si="27"/>
        <v>1762.1227973568284</v>
      </c>
      <c r="R51" s="10">
        <f t="shared" si="28"/>
        <v>1500</v>
      </c>
      <c r="S51">
        <v>1500</v>
      </c>
    </row>
    <row r="52" spans="1:19" x14ac:dyDescent="0.25">
      <c r="B52" t="s">
        <v>131</v>
      </c>
      <c r="D52">
        <v>30000</v>
      </c>
      <c r="E52">
        <v>125</v>
      </c>
      <c r="F52" s="11">
        <f t="shared" si="24"/>
        <v>5.0384615384615383</v>
      </c>
      <c r="G52">
        <v>64000</v>
      </c>
      <c r="H52">
        <v>0.875</v>
      </c>
      <c r="I52">
        <v>60</v>
      </c>
      <c r="J52" s="10">
        <f t="shared" si="29"/>
        <v>933.33333333333337</v>
      </c>
      <c r="K52">
        <v>1.25</v>
      </c>
      <c r="L52">
        <v>1.25</v>
      </c>
      <c r="M52">
        <v>0.75</v>
      </c>
      <c r="O52" s="10">
        <f t="shared" si="25"/>
        <v>1401.8028846153848</v>
      </c>
      <c r="P52" s="10">
        <f t="shared" si="26"/>
        <v>2344.9519230769233</v>
      </c>
      <c r="Q52" s="10">
        <f t="shared" si="27"/>
        <v>1653.2451923076922</v>
      </c>
      <c r="R52" s="10">
        <f t="shared" si="28"/>
        <v>1800</v>
      </c>
      <c r="S52">
        <v>1800</v>
      </c>
    </row>
    <row r="53" spans="1:19" x14ac:dyDescent="0.25">
      <c r="B53" t="s">
        <v>188</v>
      </c>
      <c r="D53">
        <v>90000</v>
      </c>
      <c r="E53">
        <v>90</v>
      </c>
      <c r="F53" s="11">
        <f t="shared" si="24"/>
        <v>5.4533600802407216</v>
      </c>
      <c r="G53">
        <v>16000</v>
      </c>
      <c r="H53">
        <v>0.875</v>
      </c>
      <c r="I53">
        <v>32</v>
      </c>
      <c r="J53" s="10">
        <f t="shared" si="29"/>
        <v>437.5</v>
      </c>
      <c r="K53">
        <v>1</v>
      </c>
      <c r="L53">
        <v>1.25</v>
      </c>
      <c r="M53">
        <v>1</v>
      </c>
      <c r="O53" s="10">
        <f t="shared" si="25"/>
        <v>1269.5430040120361</v>
      </c>
      <c r="P53" s="10">
        <f t="shared" si="26"/>
        <v>1597.9225175526581</v>
      </c>
      <c r="Q53" s="10">
        <f t="shared" si="27"/>
        <v>1932.5344784353058</v>
      </c>
      <c r="R53" s="10">
        <f t="shared" si="28"/>
        <v>1600</v>
      </c>
      <c r="S53">
        <v>1600</v>
      </c>
    </row>
    <row r="54" spans="1:19" x14ac:dyDescent="0.25">
      <c r="B54" t="s">
        <v>116</v>
      </c>
      <c r="D54">
        <v>42500</v>
      </c>
      <c r="E54">
        <v>130</v>
      </c>
      <c r="F54" s="11">
        <f t="shared" si="24"/>
        <v>5.0120096076861493</v>
      </c>
      <c r="G54">
        <v>800</v>
      </c>
      <c r="H54">
        <v>0.875</v>
      </c>
      <c r="I54">
        <v>4</v>
      </c>
      <c r="J54" s="10">
        <f t="shared" si="29"/>
        <v>175</v>
      </c>
      <c r="K54">
        <v>1</v>
      </c>
      <c r="L54">
        <v>1.25</v>
      </c>
      <c r="M54">
        <v>1</v>
      </c>
      <c r="O54" s="10">
        <f t="shared" si="25"/>
        <v>900.6004803843075</v>
      </c>
      <c r="P54" s="10">
        <f t="shared" si="26"/>
        <v>714.80084067253813</v>
      </c>
      <c r="Q54" s="10">
        <f t="shared" si="27"/>
        <v>484.5986789431546</v>
      </c>
      <c r="R54" s="10">
        <f t="shared" si="28"/>
        <v>700</v>
      </c>
      <c r="S54">
        <v>700</v>
      </c>
    </row>
    <row r="55" spans="1:19" x14ac:dyDescent="0.25">
      <c r="A55" t="s">
        <v>571</v>
      </c>
      <c r="B55" t="s">
        <v>249</v>
      </c>
      <c r="D55">
        <v>25000</v>
      </c>
      <c r="E55">
        <v>160</v>
      </c>
      <c r="F55" s="11">
        <f t="shared" si="24"/>
        <v>6.40625</v>
      </c>
      <c r="G55">
        <v>6000</v>
      </c>
      <c r="H55">
        <v>1.25</v>
      </c>
      <c r="I55">
        <v>25</v>
      </c>
      <c r="J55" s="10">
        <f t="shared" si="29"/>
        <v>300</v>
      </c>
      <c r="K55">
        <v>1.25</v>
      </c>
      <c r="L55">
        <v>1.25</v>
      </c>
      <c r="M55">
        <v>1</v>
      </c>
      <c r="O55" s="10">
        <f t="shared" si="25"/>
        <v>1237.8906249999998</v>
      </c>
      <c r="P55" s="10">
        <f t="shared" si="26"/>
        <v>1401.171875</v>
      </c>
      <c r="Q55" s="10">
        <f t="shared" si="27"/>
        <v>960.9375</v>
      </c>
      <c r="R55" s="10">
        <f t="shared" si="28"/>
        <v>1200</v>
      </c>
      <c r="S55">
        <v>1200</v>
      </c>
    </row>
    <row r="56" spans="1:19" x14ac:dyDescent="0.25">
      <c r="B56" t="s">
        <v>575</v>
      </c>
      <c r="D56">
        <v>85000</v>
      </c>
      <c r="E56">
        <v>140</v>
      </c>
      <c r="F56" s="11">
        <v>6.4</v>
      </c>
      <c r="G56">
        <v>6000</v>
      </c>
      <c r="H56">
        <v>1.25</v>
      </c>
      <c r="I56">
        <v>25</v>
      </c>
      <c r="J56" s="10">
        <f t="shared" si="29"/>
        <v>300</v>
      </c>
      <c r="K56">
        <v>1.25</v>
      </c>
      <c r="L56">
        <v>1.25</v>
      </c>
      <c r="M56">
        <v>1</v>
      </c>
      <c r="O56" s="10">
        <f t="shared" si="25"/>
        <v>1337.5</v>
      </c>
      <c r="P56" s="10">
        <f t="shared" si="26"/>
        <v>1795</v>
      </c>
      <c r="Q56" s="10">
        <f t="shared" si="27"/>
        <v>2856</v>
      </c>
      <c r="R56" s="10">
        <f t="shared" si="28"/>
        <v>1996.1666666666667</v>
      </c>
      <c r="S56">
        <v>2000</v>
      </c>
    </row>
    <row r="57" spans="1:19" x14ac:dyDescent="0.25">
      <c r="B57" t="s">
        <v>574</v>
      </c>
      <c r="D57">
        <v>85000</v>
      </c>
      <c r="E57">
        <v>140</v>
      </c>
      <c r="F57" s="11">
        <v>6.4</v>
      </c>
      <c r="G57">
        <v>16000</v>
      </c>
      <c r="H57">
        <v>0.875</v>
      </c>
      <c r="I57">
        <v>46</v>
      </c>
      <c r="J57" s="10">
        <f t="shared" si="29"/>
        <v>304.3478260869565</v>
      </c>
      <c r="K57">
        <v>1.25</v>
      </c>
      <c r="L57">
        <v>1.25</v>
      </c>
      <c r="M57">
        <v>1</v>
      </c>
      <c r="O57" s="10">
        <f t="shared" si="25"/>
        <v>1342.9347826086955</v>
      </c>
      <c r="P57" s="10">
        <f t="shared" si="26"/>
        <v>1812.391304347826</v>
      </c>
      <c r="Q57" s="10">
        <f t="shared" si="27"/>
        <v>2897.391304347826</v>
      </c>
      <c r="R57" s="10">
        <f t="shared" si="28"/>
        <v>2017.572463768116</v>
      </c>
      <c r="S57">
        <v>2000</v>
      </c>
    </row>
    <row r="58" spans="1:19" x14ac:dyDescent="0.25">
      <c r="B58" t="s">
        <v>895</v>
      </c>
      <c r="D58">
        <v>35000</v>
      </c>
      <c r="E58">
        <v>135</v>
      </c>
      <c r="F58" s="11">
        <f t="shared" ref="F58:F66" si="30">(S58*37500000/(L58*M58*D58*E58*K58*J58)-((500/(K58*J58))+(2500000000/(D58*E58*K58*J58)*(D58/100000+E58/100+J58/200))))/(1+5000000/(D58*E58)+(500000000/(D58*E58*J58)))</f>
        <v>4.835461285008237</v>
      </c>
      <c r="G58">
        <v>16000</v>
      </c>
      <c r="H58">
        <v>1</v>
      </c>
      <c r="I58">
        <v>53</v>
      </c>
      <c r="J58" s="10">
        <f t="shared" ref="J58:J66" si="31">G58/I58*H58</f>
        <v>301.88679245283021</v>
      </c>
      <c r="K58">
        <v>1</v>
      </c>
      <c r="L58">
        <v>1.25</v>
      </c>
      <c r="M58">
        <v>1</v>
      </c>
      <c r="O58" s="10">
        <f t="shared" ref="O58:O66" si="32">(D58/100000+E58/100+F58*K58/5+J58/200)*200*L58*M58</f>
        <v>1044.1315548164498</v>
      </c>
      <c r="P58" s="10">
        <f t="shared" ref="P58:P66" si="33">((D58*E58/25000)+(F58*K58*J58/2.5))*L58*M58</f>
        <v>966.1309486804887</v>
      </c>
      <c r="Q58" s="10">
        <f t="shared" ref="Q58:Q66" si="34">(D58*E58*F58*K58*J58*L58*M58)/12500000</f>
        <v>689.73749650306183</v>
      </c>
      <c r="R58" s="10">
        <f t="shared" ref="R58:R66" si="35">(O58+P58+Q58)/3</f>
        <v>900.00000000000011</v>
      </c>
      <c r="S58">
        <v>900</v>
      </c>
    </row>
    <row r="59" spans="1:19" x14ac:dyDescent="0.25">
      <c r="B59" t="s">
        <v>873</v>
      </c>
      <c r="D59">
        <v>35000</v>
      </c>
      <c r="E59">
        <v>135</v>
      </c>
      <c r="F59" s="11">
        <f t="shared" si="30"/>
        <v>4.8571673329525984</v>
      </c>
      <c r="G59">
        <v>16000</v>
      </c>
      <c r="H59">
        <v>1</v>
      </c>
      <c r="I59">
        <v>39</v>
      </c>
      <c r="J59" s="10">
        <f t="shared" si="31"/>
        <v>410.25641025641028</v>
      </c>
      <c r="K59">
        <v>1.25</v>
      </c>
      <c r="L59">
        <v>1.25</v>
      </c>
      <c r="M59">
        <v>1</v>
      </c>
      <c r="O59" s="10">
        <f t="shared" si="32"/>
        <v>1241.3934711300503</v>
      </c>
      <c r="P59" s="10">
        <f t="shared" si="33"/>
        <v>1481.6775212698972</v>
      </c>
      <c r="Q59" s="10">
        <f t="shared" si="34"/>
        <v>1176.9290076000527</v>
      </c>
      <c r="R59" s="10">
        <f t="shared" si="35"/>
        <v>1300</v>
      </c>
      <c r="S59">
        <v>1300</v>
      </c>
    </row>
    <row r="60" spans="1:19" x14ac:dyDescent="0.25">
      <c r="B60" t="s">
        <v>878</v>
      </c>
      <c r="D60">
        <v>67500</v>
      </c>
      <c r="E60">
        <v>105</v>
      </c>
      <c r="F60" s="11">
        <f t="shared" si="30"/>
        <v>6.4803519768563165</v>
      </c>
      <c r="G60">
        <v>24000</v>
      </c>
      <c r="H60">
        <v>1</v>
      </c>
      <c r="I60">
        <v>42</v>
      </c>
      <c r="J60" s="10">
        <f t="shared" si="31"/>
        <v>571.42857142857144</v>
      </c>
      <c r="K60">
        <v>1</v>
      </c>
      <c r="L60">
        <v>1.25</v>
      </c>
      <c r="M60">
        <v>1</v>
      </c>
      <c r="O60" s="10">
        <f t="shared" si="32"/>
        <v>1469.5533131285301</v>
      </c>
      <c r="P60" s="10">
        <f t="shared" si="33"/>
        <v>2205.9041362446619</v>
      </c>
      <c r="Q60" s="10">
        <f t="shared" si="34"/>
        <v>2624.542550626808</v>
      </c>
      <c r="R60" s="10">
        <f t="shared" si="35"/>
        <v>2100</v>
      </c>
      <c r="S60">
        <v>2100</v>
      </c>
    </row>
    <row r="61" spans="1:19" x14ac:dyDescent="0.25">
      <c r="B61" t="s">
        <v>888</v>
      </c>
      <c r="D61">
        <v>137500</v>
      </c>
      <c r="E61">
        <v>105</v>
      </c>
      <c r="F61" s="11">
        <f t="shared" si="30"/>
        <v>6.4229510260606828</v>
      </c>
      <c r="G61">
        <v>50000</v>
      </c>
      <c r="H61">
        <v>1</v>
      </c>
      <c r="I61">
        <v>42</v>
      </c>
      <c r="J61" s="10">
        <f t="shared" si="31"/>
        <v>1190.4761904761904</v>
      </c>
      <c r="K61">
        <v>1</v>
      </c>
      <c r="L61">
        <v>1.25</v>
      </c>
      <c r="M61">
        <v>0.75</v>
      </c>
      <c r="O61" s="10">
        <f t="shared" si="32"/>
        <v>1811.6195920487041</v>
      </c>
      <c r="P61" s="10">
        <f t="shared" si="33"/>
        <v>3408.7951009199473</v>
      </c>
      <c r="Q61" s="10">
        <f t="shared" si="34"/>
        <v>8279.5853070313478</v>
      </c>
      <c r="R61" s="10">
        <f t="shared" si="35"/>
        <v>4500</v>
      </c>
      <c r="S61">
        <v>4500</v>
      </c>
    </row>
    <row r="62" spans="1:19" x14ac:dyDescent="0.25">
      <c r="A62" t="s">
        <v>581</v>
      </c>
      <c r="B62" t="s">
        <v>456</v>
      </c>
      <c r="D62">
        <v>115000</v>
      </c>
      <c r="E62">
        <v>115</v>
      </c>
      <c r="F62" s="11">
        <f t="shared" si="30"/>
        <v>5.5695573902787263</v>
      </c>
      <c r="G62">
        <v>48000</v>
      </c>
      <c r="H62">
        <v>0.875</v>
      </c>
      <c r="I62">
        <v>80</v>
      </c>
      <c r="J62" s="10">
        <f t="shared" si="31"/>
        <v>525</v>
      </c>
      <c r="K62">
        <v>1</v>
      </c>
      <c r="L62">
        <v>1.25</v>
      </c>
      <c r="M62">
        <v>1</v>
      </c>
      <c r="O62" s="10">
        <f t="shared" si="32"/>
        <v>1509.7278695139362</v>
      </c>
      <c r="P62" s="10">
        <f t="shared" si="33"/>
        <v>2123.2588149481658</v>
      </c>
      <c r="Q62" s="10">
        <f t="shared" si="34"/>
        <v>3867.0133155378981</v>
      </c>
      <c r="R62" s="10">
        <f t="shared" si="35"/>
        <v>2500</v>
      </c>
      <c r="S62">
        <v>2500</v>
      </c>
    </row>
    <row r="63" spans="1:19" x14ac:dyDescent="0.25">
      <c r="A63" t="s">
        <v>629</v>
      </c>
      <c r="B63" t="s">
        <v>467</v>
      </c>
      <c r="D63">
        <v>320000</v>
      </c>
      <c r="E63">
        <v>60</v>
      </c>
      <c r="F63" s="11">
        <f t="shared" si="30"/>
        <v>6.5911379657603222</v>
      </c>
      <c r="G63">
        <v>48000</v>
      </c>
      <c r="H63">
        <v>0.75</v>
      </c>
      <c r="I63">
        <v>45</v>
      </c>
      <c r="J63" s="10">
        <f t="shared" si="31"/>
        <v>800</v>
      </c>
      <c r="K63">
        <v>1</v>
      </c>
      <c r="L63">
        <v>1.25</v>
      </c>
      <c r="M63">
        <v>0.75</v>
      </c>
      <c r="O63" s="10">
        <f t="shared" si="32"/>
        <v>1709.6676737160119</v>
      </c>
      <c r="P63" s="10">
        <f t="shared" si="33"/>
        <v>2697.3413897280966</v>
      </c>
      <c r="Q63" s="10">
        <f t="shared" si="34"/>
        <v>7592.9909365558915</v>
      </c>
      <c r="R63" s="10">
        <f t="shared" si="35"/>
        <v>4000</v>
      </c>
      <c r="S63">
        <v>4000</v>
      </c>
    </row>
    <row r="64" spans="1:19" x14ac:dyDescent="0.25">
      <c r="B64" t="s">
        <v>665</v>
      </c>
      <c r="D64">
        <v>30000</v>
      </c>
      <c r="E64">
        <v>120</v>
      </c>
      <c r="F64" s="11">
        <f t="shared" si="30"/>
        <v>5.4116945107398573</v>
      </c>
      <c r="G64">
        <v>4000</v>
      </c>
      <c r="H64">
        <v>1</v>
      </c>
      <c r="I64">
        <v>15</v>
      </c>
      <c r="J64" s="10">
        <f t="shared" si="31"/>
        <v>266.66666666666669</v>
      </c>
      <c r="K64">
        <v>1</v>
      </c>
      <c r="L64">
        <v>1.25</v>
      </c>
      <c r="M64">
        <v>1</v>
      </c>
      <c r="O64" s="10">
        <f t="shared" si="32"/>
        <v>978.91805887032615</v>
      </c>
      <c r="P64" s="10">
        <f t="shared" si="33"/>
        <v>901.55926809864764</v>
      </c>
      <c r="Q64" s="10">
        <f t="shared" si="34"/>
        <v>519.52267303102633</v>
      </c>
      <c r="R64" s="10">
        <f t="shared" si="35"/>
        <v>800</v>
      </c>
      <c r="S64">
        <v>800</v>
      </c>
    </row>
    <row r="65" spans="1:19" x14ac:dyDescent="0.25">
      <c r="B65" t="s">
        <v>226</v>
      </c>
      <c r="D65">
        <v>45000</v>
      </c>
      <c r="E65">
        <v>95</v>
      </c>
      <c r="F65" s="11">
        <f t="shared" si="30"/>
        <v>5.6141091347603256</v>
      </c>
      <c r="G65">
        <v>4000</v>
      </c>
      <c r="H65">
        <v>0.875</v>
      </c>
      <c r="I65">
        <v>18</v>
      </c>
      <c r="J65" s="10">
        <f t="shared" si="31"/>
        <v>194.44444444444446</v>
      </c>
      <c r="K65">
        <v>1</v>
      </c>
      <c r="L65">
        <v>1.25</v>
      </c>
      <c r="M65">
        <v>1</v>
      </c>
      <c r="O65" s="10">
        <f t="shared" si="32"/>
        <v>873.76101229357187</v>
      </c>
      <c r="P65" s="10">
        <f t="shared" si="33"/>
        <v>759.5661658794761</v>
      </c>
      <c r="Q65" s="10">
        <f t="shared" si="34"/>
        <v>466.67282182695203</v>
      </c>
      <c r="R65" s="10">
        <f t="shared" si="35"/>
        <v>700</v>
      </c>
      <c r="S65">
        <v>700</v>
      </c>
    </row>
    <row r="66" spans="1:19" x14ac:dyDescent="0.25">
      <c r="B66" t="s">
        <v>1177</v>
      </c>
      <c r="D66">
        <v>50000</v>
      </c>
      <c r="E66">
        <v>115</v>
      </c>
      <c r="F66" s="11">
        <f t="shared" si="30"/>
        <v>5.7570262919310968</v>
      </c>
      <c r="G66">
        <v>24000</v>
      </c>
      <c r="H66">
        <v>0.875</v>
      </c>
      <c r="I66">
        <v>100</v>
      </c>
      <c r="J66" s="10">
        <f t="shared" si="31"/>
        <v>210</v>
      </c>
      <c r="K66">
        <v>1</v>
      </c>
      <c r="L66">
        <v>1.25</v>
      </c>
      <c r="M66">
        <v>1</v>
      </c>
      <c r="O66" s="10">
        <f t="shared" si="32"/>
        <v>962.85131459655474</v>
      </c>
      <c r="P66" s="10">
        <f t="shared" si="33"/>
        <v>891.98776065276525</v>
      </c>
      <c r="Q66" s="10">
        <f t="shared" si="34"/>
        <v>695.1609247506799</v>
      </c>
      <c r="R66" s="10">
        <f t="shared" si="35"/>
        <v>850</v>
      </c>
      <c r="S66">
        <v>850</v>
      </c>
    </row>
    <row r="71" spans="1:19" x14ac:dyDescent="0.25">
      <c r="A71" t="s">
        <v>724</v>
      </c>
      <c r="B71" t="s">
        <v>343</v>
      </c>
      <c r="D71">
        <v>32500</v>
      </c>
      <c r="E71">
        <v>100</v>
      </c>
      <c r="F71" s="11">
        <f>(S71*37500000/(L71*M71*D71*E71*K71*J71)-((500/(K71*J71))+(2500000000/(D71*E71*K71*J71)*(D71/100000+E71/100+J71/200))))/(1+5000000/(D71*E71)+(500000000/(D71*E71*J71)))</f>
        <v>6.4901664145234488</v>
      </c>
      <c r="G71">
        <v>34000</v>
      </c>
      <c r="H71">
        <v>0.75</v>
      </c>
      <c r="I71">
        <v>75</v>
      </c>
      <c r="J71" s="10">
        <f>G71/I71*H71</f>
        <v>340</v>
      </c>
      <c r="K71">
        <v>1.25</v>
      </c>
      <c r="L71">
        <v>1.25</v>
      </c>
      <c r="M71">
        <v>1</v>
      </c>
      <c r="O71" s="10">
        <f>(D71/100000+E71/100+F71*K71/5+J71/200)*200*L71*M71</f>
        <v>1161.8854009077156</v>
      </c>
      <c r="P71" s="10">
        <f>((D71*E71/25000)+(F71*K71*J71/2.5))*L71*M71</f>
        <v>1541.6603630862328</v>
      </c>
      <c r="Q71" s="10">
        <f>(D71*E71*F71*K71*J71*L71*M71)/12500000</f>
        <v>896.45423600605147</v>
      </c>
      <c r="R71" s="10">
        <f>(O71+P71+Q71)/3</f>
        <v>1200</v>
      </c>
      <c r="S71">
        <v>1200</v>
      </c>
    </row>
    <row r="72" spans="1:19" x14ac:dyDescent="0.25">
      <c r="B72" t="s">
        <v>736</v>
      </c>
      <c r="D72">
        <v>250000</v>
      </c>
      <c r="E72">
        <v>75</v>
      </c>
      <c r="F72" s="11">
        <f>(S72*37500000/(L72*M72*D72*E72*K72*J72)-((500/(K72*J72))+(2500000000/(D72*E72*K72*J72)*(D72/100000+E72/100+J72/200))))/(1+5000000/(D72*E72)+(500000000/(D72*E72*J72)))</f>
        <v>5.6247370635254521</v>
      </c>
      <c r="J72" s="10">
        <v>1230</v>
      </c>
      <c r="K72">
        <v>1</v>
      </c>
      <c r="L72">
        <v>1.25</v>
      </c>
      <c r="M72">
        <v>0.75</v>
      </c>
      <c r="O72" s="10">
        <f>(D72/100000+E72/100+F72*K72/5+J72/200)*200*L72*M72</f>
        <v>1973.4276398822049</v>
      </c>
      <c r="P72" s="10">
        <f>((D72*E72/25000)+(F72*K72*J72/2.5))*L72*M72</f>
        <v>3297.5349705511148</v>
      </c>
      <c r="Q72" s="10">
        <f>(D72*E72*F72*K72*J72*L72*M72)/12500000</f>
        <v>9729.037389566678</v>
      </c>
      <c r="R72" s="10">
        <f>(O72+P72+Q72)/3</f>
        <v>4999.9999999999991</v>
      </c>
      <c r="S72">
        <v>5000</v>
      </c>
    </row>
    <row r="73" spans="1:19" x14ac:dyDescent="0.25">
      <c r="J73" s="10"/>
      <c r="O73" s="10"/>
      <c r="P73" s="10"/>
      <c r="Q73" s="10"/>
      <c r="R73" s="10"/>
    </row>
    <row r="74" spans="1:19" x14ac:dyDescent="0.25">
      <c r="E74" t="s">
        <v>733</v>
      </c>
      <c r="F74">
        <v>4.5670000000000002</v>
      </c>
      <c r="G74">
        <v>6000</v>
      </c>
      <c r="H74">
        <v>0.75</v>
      </c>
      <c r="I74">
        <v>52</v>
      </c>
      <c r="J74" s="10">
        <f t="shared" ref="J74:J80" si="36">G74/I74*H74</f>
        <v>86.538461538461547</v>
      </c>
    </row>
    <row r="75" spans="1:19" x14ac:dyDescent="0.25">
      <c r="E75" t="s">
        <v>333</v>
      </c>
      <c r="F75">
        <v>6.46</v>
      </c>
      <c r="G75">
        <v>34000</v>
      </c>
      <c r="H75">
        <v>0.75</v>
      </c>
      <c r="I75">
        <v>75</v>
      </c>
      <c r="J75" s="10">
        <f t="shared" si="36"/>
        <v>340</v>
      </c>
    </row>
    <row r="76" spans="1:19" x14ac:dyDescent="0.25">
      <c r="E76" t="s">
        <v>334</v>
      </c>
      <c r="F76" s="11">
        <v>4.8360000000000003</v>
      </c>
      <c r="G76">
        <v>16000</v>
      </c>
      <c r="H76">
        <v>1</v>
      </c>
      <c r="I76">
        <v>32</v>
      </c>
      <c r="J76" s="10">
        <f t="shared" si="36"/>
        <v>500</v>
      </c>
    </row>
    <row r="77" spans="1:19" x14ac:dyDescent="0.25">
      <c r="E77" t="s">
        <v>734</v>
      </c>
      <c r="F77" s="11">
        <v>4.444</v>
      </c>
      <c r="G77">
        <v>24000</v>
      </c>
      <c r="H77">
        <v>0.75</v>
      </c>
      <c r="I77">
        <v>53</v>
      </c>
      <c r="J77" s="10">
        <f t="shared" si="36"/>
        <v>339.62264150943395</v>
      </c>
    </row>
    <row r="78" spans="1:19" x14ac:dyDescent="0.25">
      <c r="E78" t="s">
        <v>335</v>
      </c>
      <c r="F78" s="11">
        <v>4.9850000000000003</v>
      </c>
      <c r="G78">
        <v>8000</v>
      </c>
      <c r="H78">
        <v>0.875</v>
      </c>
      <c r="I78">
        <v>50</v>
      </c>
      <c r="J78" s="10">
        <f t="shared" si="36"/>
        <v>140</v>
      </c>
    </row>
    <row r="79" spans="1:19" x14ac:dyDescent="0.25">
      <c r="E79" t="s">
        <v>735</v>
      </c>
      <c r="F79" s="11">
        <v>6.74</v>
      </c>
      <c r="G79">
        <v>36000</v>
      </c>
      <c r="H79">
        <v>1</v>
      </c>
      <c r="I79">
        <v>68</v>
      </c>
      <c r="J79" s="10">
        <f t="shared" si="36"/>
        <v>529.41176470588232</v>
      </c>
    </row>
    <row r="80" spans="1:19" x14ac:dyDescent="0.25">
      <c r="E80" t="s">
        <v>340</v>
      </c>
      <c r="F80" s="11">
        <v>7.25</v>
      </c>
      <c r="G80">
        <v>12000</v>
      </c>
      <c r="H80">
        <v>0.875</v>
      </c>
      <c r="I80">
        <v>20</v>
      </c>
      <c r="J80" s="10">
        <f t="shared" si="36"/>
        <v>525</v>
      </c>
    </row>
    <row r="81" spans="2:19" x14ac:dyDescent="0.25">
      <c r="F81" s="10">
        <f>AVERAGE(F74:F80)</f>
        <v>5.6117142857142861</v>
      </c>
      <c r="J81" s="10">
        <f>SUM(J74:J80)/2</f>
        <v>1230.2864338768889</v>
      </c>
    </row>
    <row r="83" spans="2:19" x14ac:dyDescent="0.25">
      <c r="B83" t="s">
        <v>441</v>
      </c>
      <c r="D83">
        <v>180000</v>
      </c>
      <c r="E83">
        <v>90</v>
      </c>
      <c r="F83" s="11">
        <f>(S83*37500000/(L83*M83*D83*E83*K83*J83)-((500/(K83*J83))+(2500000000/(D83*E83*K83*J83)*(D83/100000+E83/100+J83/200))))/(1+5000000/(D83*E83)+(500000000/(D83*E83*J83)))</f>
        <v>5.7402849740932655</v>
      </c>
      <c r="G83">
        <v>8000</v>
      </c>
      <c r="H83">
        <v>0.875</v>
      </c>
      <c r="I83">
        <v>12</v>
      </c>
      <c r="J83" s="10">
        <f>G83/I83*H83</f>
        <v>583.33333333333326</v>
      </c>
      <c r="K83">
        <v>1</v>
      </c>
      <c r="L83">
        <v>1.25</v>
      </c>
      <c r="M83">
        <v>0.75</v>
      </c>
      <c r="O83" s="10">
        <f>(D83/100000+E83/100+F83*K83/5+J83/200)*200*L83*M83</f>
        <v>1268.3856865284977</v>
      </c>
      <c r="P83" s="10">
        <f>((D83*E83/25000)+(F83*K83*J83/2.5))*L83*M83</f>
        <v>1863.1873380829015</v>
      </c>
      <c r="Q83" s="10">
        <f>(D83*E83*F83*K83*J83*L83*M83)/12500000</f>
        <v>4068.426975388601</v>
      </c>
      <c r="R83" s="10">
        <f>(O83+P83+Q83)/3</f>
        <v>2400</v>
      </c>
      <c r="S83">
        <v>2400</v>
      </c>
    </row>
    <row r="84" spans="2:19" x14ac:dyDescent="0.25">
      <c r="B84" t="s">
        <v>441</v>
      </c>
      <c r="D84">
        <v>180000</v>
      </c>
      <c r="E84">
        <v>90</v>
      </c>
      <c r="F84" s="11">
        <f>(S84*37500000/(L84*M84*D84*E84*K84*J84)-((500/(K84*J84))+(2500000000/(D84*E84*K84*J84)*(D84/100000+E84/100+J84/200))))/(1+5000000/(D84*E84)+(500000000/(D84*E84*J84)))</f>
        <v>5.7402849740932655</v>
      </c>
      <c r="G84">
        <v>4000</v>
      </c>
      <c r="H84">
        <v>0.875</v>
      </c>
      <c r="I84">
        <v>6</v>
      </c>
      <c r="J84" s="10">
        <f>G84/I84*H84</f>
        <v>583.33333333333326</v>
      </c>
      <c r="K84">
        <v>1</v>
      </c>
      <c r="L84">
        <v>1.25</v>
      </c>
      <c r="M84">
        <v>0.75</v>
      </c>
      <c r="O84" s="10">
        <f>(D84/100000+E84/100+F84*K84/5+J84/200)*200*L84*M84</f>
        <v>1268.3856865284977</v>
      </c>
      <c r="P84" s="10">
        <f>((D84*E84/25000)+(F84*K84*J84/2.5))*L84*M84</f>
        <v>1863.1873380829015</v>
      </c>
      <c r="Q84" s="10">
        <f>(D84*E84*F84*K84*J84*L84*M84)/12500000</f>
        <v>4068.426975388601</v>
      </c>
      <c r="R84" s="10">
        <f>(O84+P84+Q84)/3</f>
        <v>2400</v>
      </c>
      <c r="S84">
        <v>2400</v>
      </c>
    </row>
    <row r="85" spans="2:19" x14ac:dyDescent="0.25">
      <c r="B85" t="s">
        <v>442</v>
      </c>
      <c r="D85">
        <v>180000</v>
      </c>
      <c r="E85">
        <v>90</v>
      </c>
      <c r="F85" s="11">
        <f>(S85*37500000/(L85*M85*D85*E85*K85*J85)-((500/(K85*J85))+(2500000000/(D85*E85*K85*J85)*(D85/100000+E85/100+J85/200))))/(1+5000000/(D85*E85)+(500000000/(D85*E85*J85)))</f>
        <v>5.7684462352052392</v>
      </c>
      <c r="G85">
        <v>32000</v>
      </c>
      <c r="H85">
        <v>1.125</v>
      </c>
      <c r="I85">
        <v>62</v>
      </c>
      <c r="J85" s="10">
        <f>G85/I85*H85</f>
        <v>580.64516129032256</v>
      </c>
      <c r="K85">
        <v>1</v>
      </c>
      <c r="L85">
        <v>1.25</v>
      </c>
      <c r="M85">
        <v>0.75</v>
      </c>
      <c r="O85" s="10">
        <f>(D85/100000+E85/100+F85*K85/5+J85/200)*200*L85*M85</f>
        <v>1266.9215725298741</v>
      </c>
      <c r="P85" s="10">
        <f>((D85*E85/25000)+(F85*K85*J85/2.5))*L85*M85</f>
        <v>1863.5326479882374</v>
      </c>
      <c r="Q85" s="10">
        <f>(D85*E85*F85*K85*J85*L85*M85)/12500000</f>
        <v>4069.5457794818894</v>
      </c>
      <c r="R85" s="10">
        <f>(O85+P85+Q85)/3</f>
        <v>2400.0000000000005</v>
      </c>
      <c r="S85">
        <v>2400</v>
      </c>
    </row>
    <row r="86" spans="2:19" x14ac:dyDescent="0.25">
      <c r="B86" t="s">
        <v>438</v>
      </c>
      <c r="D86">
        <v>97500</v>
      </c>
      <c r="E86">
        <v>110</v>
      </c>
      <c r="F86" s="11">
        <f>(S86*37500000/(L86*M86*D86*E86*K86*J86)-((500/(K86*J86))+(2500000000/(D86*E86*K86*J86)*(D86/100000+E86/100+J86/200))))/(1+5000000/(D86*E86)+(500000000/(D86*E86*J86)))</f>
        <v>5.7964753109755005</v>
      </c>
      <c r="J86" s="10">
        <v>1028</v>
      </c>
      <c r="K86">
        <v>1</v>
      </c>
      <c r="L86">
        <v>1.25</v>
      </c>
      <c r="M86">
        <v>0.75</v>
      </c>
      <c r="O86" s="10">
        <f>(D86/100000+E86/100+F86*K86/5+J86/200)*200*L86*M86</f>
        <v>1570.180324161581</v>
      </c>
      <c r="P86" s="10">
        <f>((D86*E86/25000)+(F86*K86*J86/2.5))*L86*M86</f>
        <v>2636.7287323810551</v>
      </c>
      <c r="Q86" s="10">
        <f>(D86*E86*F86*K86*J86*L86*M86)/12500000</f>
        <v>4793.0909434573641</v>
      </c>
      <c r="R86" s="10">
        <f>(O86+P86+Q86)/3</f>
        <v>3000</v>
      </c>
      <c r="S86">
        <v>3000</v>
      </c>
    </row>
    <row r="87" spans="2:19" x14ac:dyDescent="0.25">
      <c r="B87" t="s">
        <v>439</v>
      </c>
      <c r="D87">
        <v>167500</v>
      </c>
      <c r="E87">
        <v>70</v>
      </c>
      <c r="F87" s="11">
        <f>(S87*37500000/(L87*M87*D87*E87*K87*J87)-((500/(K87*J87))+(2500000000/(D87*E87*K87*J87)*(D87/100000+E87/100+J87/200))))/(1+5000000/(D87*E87)+(500000000/(D87*E87*J87)))</f>
        <v>5.8045209335389512</v>
      </c>
      <c r="J87" s="10">
        <v>2056</v>
      </c>
      <c r="K87">
        <v>1</v>
      </c>
      <c r="L87">
        <v>1.25</v>
      </c>
      <c r="M87">
        <v>0.75</v>
      </c>
      <c r="O87" s="10">
        <f>(D87/100000+E87/100+F87*K87/5+J87/200)*200*L87*M87</f>
        <v>2590.4820350077107</v>
      </c>
      <c r="P87" s="10">
        <f>((D87*E87/25000)+(F87*K87*J87/2.5))*L87*M87</f>
        <v>4914.9731397585319</v>
      </c>
      <c r="Q87" s="10">
        <f>(D87*E87*F87*K87*J87*L87*M87)/12500000</f>
        <v>10494.544825233756</v>
      </c>
      <c r="R87" s="10">
        <f>(O87+P87+Q87)/3</f>
        <v>6000</v>
      </c>
      <c r="S87">
        <v>6000</v>
      </c>
    </row>
    <row r="88" spans="2:19" x14ac:dyDescent="0.25">
      <c r="E88" t="s">
        <v>733</v>
      </c>
      <c r="F88" s="11">
        <v>4.3600000000000003</v>
      </c>
      <c r="G88">
        <v>16000</v>
      </c>
      <c r="H88">
        <v>0.875</v>
      </c>
      <c r="I88">
        <v>93</v>
      </c>
      <c r="J88" s="10">
        <f>G88/I88*H88</f>
        <v>150.53763440860214</v>
      </c>
    </row>
    <row r="89" spans="2:19" x14ac:dyDescent="0.25">
      <c r="E89" t="s">
        <v>333</v>
      </c>
      <c r="F89" s="11">
        <v>6.6769999999999996</v>
      </c>
      <c r="G89">
        <v>26000</v>
      </c>
      <c r="H89">
        <v>0.75</v>
      </c>
      <c r="I89">
        <v>66</v>
      </c>
      <c r="J89" s="10">
        <f>G89/I89*H89</f>
        <v>295.45454545454544</v>
      </c>
    </row>
    <row r="90" spans="2:19" x14ac:dyDescent="0.25">
      <c r="E90" t="s">
        <v>473</v>
      </c>
      <c r="F90" s="11">
        <v>6.1840000000000002</v>
      </c>
      <c r="G90">
        <v>30000</v>
      </c>
      <c r="H90">
        <v>1</v>
      </c>
      <c r="I90">
        <v>60</v>
      </c>
      <c r="J90" s="10">
        <f>G90/I90*H90</f>
        <v>500</v>
      </c>
    </row>
    <row r="91" spans="2:19" x14ac:dyDescent="0.25">
      <c r="E91" t="s">
        <v>734</v>
      </c>
      <c r="F91" s="11">
        <v>5.4909999999999997</v>
      </c>
      <c r="G91">
        <v>24000</v>
      </c>
      <c r="H91">
        <v>1</v>
      </c>
      <c r="I91">
        <v>56</v>
      </c>
      <c r="J91" s="10">
        <f>G91/I91*H91</f>
        <v>428.57142857142856</v>
      </c>
    </row>
    <row r="92" spans="2:19" x14ac:dyDescent="0.25">
      <c r="E92" t="s">
        <v>425</v>
      </c>
      <c r="F92" s="11">
        <v>6.3</v>
      </c>
      <c r="G92">
        <v>20000</v>
      </c>
      <c r="H92">
        <v>0.75</v>
      </c>
      <c r="I92">
        <v>22</v>
      </c>
      <c r="J92" s="10">
        <f>G92/I92*H92</f>
        <v>681.81818181818187</v>
      </c>
    </row>
    <row r="93" spans="2:19" x14ac:dyDescent="0.25">
      <c r="F93" s="10">
        <f>AVERAGE(F88:F92)</f>
        <v>5.8024000000000004</v>
      </c>
      <c r="G93" s="10">
        <f>AVERAGE(G88:G92)</f>
        <v>23200</v>
      </c>
      <c r="H93" s="10">
        <f>AVERAGE(H88:H92)</f>
        <v>0.875</v>
      </c>
      <c r="I93" s="10">
        <f>AVERAGE(I88:I92)</f>
        <v>59.4</v>
      </c>
      <c r="J93" s="10">
        <f>SUM(J88:J92)/2</f>
        <v>1028.190895126379</v>
      </c>
    </row>
    <row r="95" spans="2:19" x14ac:dyDescent="0.25">
      <c r="B95" t="s">
        <v>364</v>
      </c>
      <c r="D95">
        <v>125000</v>
      </c>
      <c r="E95">
        <v>50</v>
      </c>
      <c r="F95" s="11">
        <f>(S95*37500000/(L95*M95*D95*E95*K95*J95)-((500/(K95*J95))+(2500000000/(D95*E95*K95*J95)*(D95/100000+E95/100+J95/200))))/(1+5000000/(D95*E95)+(500000000/(D95*E95*J95)))</f>
        <v>6.3214762656306913</v>
      </c>
      <c r="J95" s="10">
        <v>1786</v>
      </c>
      <c r="K95">
        <v>1</v>
      </c>
      <c r="L95">
        <v>1.25</v>
      </c>
      <c r="M95">
        <v>0.75</v>
      </c>
      <c r="O95" s="10">
        <f>(D95/100000+E95/100+F95*K95/5+J95/200)*200*L95*M95</f>
        <v>2239.5553599611508</v>
      </c>
      <c r="P95" s="10">
        <f>((D95*E95/25000)+(F95*K95*J95/2.5))*L95*M95</f>
        <v>4468.183728906155</v>
      </c>
      <c r="Q95" s="10">
        <f>(D95*E95*F95*K95*J95*L95*M95)/12500000</f>
        <v>5292.2609111326938</v>
      </c>
      <c r="R95" s="10">
        <f>(O95+P95+Q95)/3</f>
        <v>4000</v>
      </c>
      <c r="S95">
        <v>4000</v>
      </c>
    </row>
    <row r="96" spans="2:19" x14ac:dyDescent="0.25">
      <c r="E96" t="s">
        <v>1001</v>
      </c>
      <c r="F96" s="11">
        <v>5</v>
      </c>
      <c r="G96">
        <v>6000</v>
      </c>
      <c r="H96">
        <v>1</v>
      </c>
      <c r="I96">
        <v>25</v>
      </c>
      <c r="J96" s="10">
        <f>G96/I96*H96</f>
        <v>240</v>
      </c>
    </row>
    <row r="97" spans="1:19" x14ac:dyDescent="0.25">
      <c r="E97" t="s">
        <v>1057</v>
      </c>
      <c r="F97" s="11">
        <v>6</v>
      </c>
      <c r="G97">
        <v>44000</v>
      </c>
      <c r="H97" s="6">
        <v>1</v>
      </c>
      <c r="I97" s="6">
        <v>50</v>
      </c>
      <c r="J97" s="10">
        <f>G97/I97*H97</f>
        <v>880</v>
      </c>
    </row>
    <row r="98" spans="1:19" x14ac:dyDescent="0.25">
      <c r="E98" t="s">
        <v>1058</v>
      </c>
      <c r="F98" s="11">
        <v>8</v>
      </c>
      <c r="G98">
        <v>32000</v>
      </c>
      <c r="H98">
        <v>1</v>
      </c>
      <c r="I98">
        <v>48</v>
      </c>
      <c r="J98" s="10">
        <f>G98/I98*H98</f>
        <v>666.66666666666663</v>
      </c>
    </row>
    <row r="99" spans="1:19" x14ac:dyDescent="0.25">
      <c r="F99" s="10">
        <f>AVERAGE(F96:F98)</f>
        <v>6.333333333333333</v>
      </c>
      <c r="G99" s="10">
        <f>AVERAGE(G96:G98)</f>
        <v>27333.333333333332</v>
      </c>
      <c r="H99" s="10">
        <f>AVERAGE(H96:H98)</f>
        <v>1</v>
      </c>
      <c r="I99" s="10">
        <f>AVERAGE(I96:I98)</f>
        <v>41</v>
      </c>
      <c r="J99" s="10">
        <f>SUM(J96:J98)</f>
        <v>1786.6666666666665</v>
      </c>
    </row>
    <row r="100" spans="1:19" x14ac:dyDescent="0.25">
      <c r="B100" t="s">
        <v>1126</v>
      </c>
      <c r="D100">
        <v>65000</v>
      </c>
      <c r="E100">
        <v>105</v>
      </c>
      <c r="F100" s="11">
        <f>(S100*37500000/(L100*M100*D100*E100*K100*J100)-((500/(K100*J100))+(2500000000/(D100*E100*K100*J100)*(D100/100000+E100/100+J100/200))))/(1+5000000/(D100*E100)+(500000000/(D100*E100*J100)))</f>
        <v>5.5577352694778002</v>
      </c>
      <c r="G100">
        <v>16000</v>
      </c>
      <c r="H100">
        <v>0.875</v>
      </c>
      <c r="I100">
        <v>27</v>
      </c>
      <c r="J100" s="10">
        <f>G100/I100*H100</f>
        <v>518.51851851851848</v>
      </c>
      <c r="K100">
        <v>1</v>
      </c>
      <c r="L100">
        <v>1.25</v>
      </c>
      <c r="M100">
        <v>1</v>
      </c>
      <c r="O100" s="10">
        <f>(D100/100000+E100/100+F100*K100/5+J100/200)*200*L100*M100</f>
        <v>1351.0349116220382</v>
      </c>
      <c r="P100" s="10">
        <f>((D100*E100/25000)+(F100*K100*J100/2.5))*L100*M100</f>
        <v>1782.1443291238738</v>
      </c>
      <c r="Q100" s="10">
        <f>(D100*E100*F100*K100*J100*L100*M100)/12500000</f>
        <v>1966.8207592540878</v>
      </c>
      <c r="R100" s="10">
        <f>(O100+P100+Q100)/3</f>
        <v>1700</v>
      </c>
      <c r="S100">
        <v>1700</v>
      </c>
    </row>
    <row r="103" spans="1:19" x14ac:dyDescent="0.25">
      <c r="B103" t="s">
        <v>461</v>
      </c>
      <c r="D103" t="s">
        <v>36</v>
      </c>
      <c r="E103" t="s">
        <v>37</v>
      </c>
      <c r="F103" t="s">
        <v>38</v>
      </c>
      <c r="G103" t="s">
        <v>39</v>
      </c>
      <c r="H103" t="s">
        <v>181</v>
      </c>
      <c r="I103" t="s">
        <v>40</v>
      </c>
      <c r="J103" s="10" t="s">
        <v>544</v>
      </c>
      <c r="K103" t="s">
        <v>142</v>
      </c>
      <c r="L103" t="s">
        <v>182</v>
      </c>
      <c r="M103" t="s">
        <v>385</v>
      </c>
      <c r="O103" s="10"/>
      <c r="P103" s="10"/>
      <c r="Q103" s="10"/>
      <c r="R103" s="10"/>
      <c r="S103" t="s">
        <v>41</v>
      </c>
    </row>
    <row r="105" spans="1:19" x14ac:dyDescent="0.25">
      <c r="A105" t="s">
        <v>321</v>
      </c>
      <c r="B105" t="s">
        <v>1201</v>
      </c>
      <c r="D105">
        <v>110000</v>
      </c>
      <c r="E105">
        <v>80</v>
      </c>
      <c r="F105" s="11">
        <f t="shared" ref="F105:F110" si="37">(S105*37500000/(L105*M105*D105*E105*K105*J105)-((500/(K105*J105))+(2500000000/(D105*E105*K105*J105)*(D105/100000+E105/100+J105/200))))/(1+5000000/(D105*E105)+(500000000/(D105*E105*J105)))</f>
        <v>4.8554201411160998</v>
      </c>
      <c r="G105">
        <v>6000</v>
      </c>
      <c r="H105">
        <v>0.875</v>
      </c>
      <c r="I105">
        <v>11</v>
      </c>
      <c r="J105" s="10">
        <f t="shared" ref="J105:J110" si="38">G105/I105*H105</f>
        <v>477.27272727272731</v>
      </c>
      <c r="K105">
        <v>1.25</v>
      </c>
      <c r="L105">
        <v>1</v>
      </c>
      <c r="M105">
        <v>1</v>
      </c>
      <c r="O105" s="10">
        <f t="shared" ref="O105:O110" si="39">(D105/100000+E105/100+F105*K105/5+J105/200)*200*L105*M105</f>
        <v>1100.0437343285323</v>
      </c>
      <c r="P105" s="10">
        <f t="shared" ref="P105:P110" si="40">((D105*E105/25000)+(F105*K105*J105/2.5))*L105*M105</f>
        <v>1510.6798064027057</v>
      </c>
      <c r="Q105" s="10">
        <f t="shared" ref="Q105:Q110" si="41">(D105*E105*F105*K105*J105*L105*M105)/12500000</f>
        <v>2039.276459268762</v>
      </c>
      <c r="R105" s="10">
        <f t="shared" ref="R105:R110" si="42">(O105+P105+Q105)/3</f>
        <v>1550</v>
      </c>
      <c r="S105">
        <v>1550</v>
      </c>
    </row>
    <row r="106" spans="1:19" x14ac:dyDescent="0.25">
      <c r="A106" t="s">
        <v>320</v>
      </c>
      <c r="B106" t="s">
        <v>564</v>
      </c>
      <c r="D106">
        <v>125000</v>
      </c>
      <c r="E106">
        <v>75</v>
      </c>
      <c r="F106" s="11">
        <f t="shared" si="37"/>
        <v>4.7457627118644075</v>
      </c>
      <c r="G106">
        <v>4000</v>
      </c>
      <c r="H106">
        <v>0.875</v>
      </c>
      <c r="I106">
        <v>10</v>
      </c>
      <c r="J106" s="10">
        <f t="shared" si="38"/>
        <v>350</v>
      </c>
      <c r="K106">
        <v>1.25</v>
      </c>
      <c r="L106">
        <v>1</v>
      </c>
      <c r="M106">
        <v>1</v>
      </c>
      <c r="O106" s="10">
        <f t="shared" si="39"/>
        <v>987.28813559322043</v>
      </c>
      <c r="P106" s="10">
        <f t="shared" si="40"/>
        <v>1205.5084745762713</v>
      </c>
      <c r="Q106" s="10">
        <f t="shared" si="41"/>
        <v>1557.2033898305087</v>
      </c>
      <c r="R106" s="10">
        <f t="shared" si="42"/>
        <v>1250.0000000000002</v>
      </c>
      <c r="S106">
        <v>1250</v>
      </c>
    </row>
    <row r="107" spans="1:19" x14ac:dyDescent="0.25">
      <c r="B107" t="s">
        <v>465</v>
      </c>
      <c r="D107">
        <v>75000</v>
      </c>
      <c r="E107">
        <v>75</v>
      </c>
      <c r="F107" s="11">
        <f t="shared" si="37"/>
        <v>5</v>
      </c>
      <c r="G107">
        <v>2000</v>
      </c>
      <c r="H107">
        <v>1</v>
      </c>
      <c r="I107">
        <v>5</v>
      </c>
      <c r="J107" s="10">
        <f t="shared" si="38"/>
        <v>400</v>
      </c>
      <c r="K107">
        <v>1.25</v>
      </c>
      <c r="L107">
        <v>1</v>
      </c>
      <c r="M107">
        <v>1</v>
      </c>
      <c r="O107" s="10">
        <f t="shared" si="39"/>
        <v>950</v>
      </c>
      <c r="P107" s="10">
        <f t="shared" si="40"/>
        <v>1225</v>
      </c>
      <c r="Q107" s="10">
        <f t="shared" si="41"/>
        <v>1125</v>
      </c>
      <c r="R107" s="10">
        <f t="shared" si="42"/>
        <v>1100</v>
      </c>
      <c r="S107">
        <v>1100</v>
      </c>
    </row>
    <row r="108" spans="1:19" x14ac:dyDescent="0.25">
      <c r="A108" t="s">
        <v>605</v>
      </c>
      <c r="B108" t="s">
        <v>688</v>
      </c>
      <c r="D108">
        <v>25000</v>
      </c>
      <c r="E108">
        <v>75</v>
      </c>
      <c r="F108" s="11">
        <f t="shared" si="37"/>
        <v>4.7804878048780495</v>
      </c>
      <c r="G108">
        <v>6000</v>
      </c>
      <c r="H108">
        <v>1</v>
      </c>
      <c r="I108">
        <v>20</v>
      </c>
      <c r="J108" s="10">
        <f t="shared" si="38"/>
        <v>300</v>
      </c>
      <c r="K108">
        <v>1.25</v>
      </c>
      <c r="L108">
        <v>1</v>
      </c>
      <c r="M108">
        <v>1</v>
      </c>
      <c r="O108" s="10">
        <f t="shared" si="39"/>
        <v>739.02439024390242</v>
      </c>
      <c r="P108" s="10">
        <f t="shared" si="40"/>
        <v>792.07317073170748</v>
      </c>
      <c r="Q108" s="10">
        <f t="shared" si="41"/>
        <v>268.90243902439028</v>
      </c>
      <c r="R108" s="10">
        <f t="shared" si="42"/>
        <v>600.00000000000011</v>
      </c>
      <c r="S108">
        <v>600</v>
      </c>
    </row>
    <row r="109" spans="1:19" x14ac:dyDescent="0.25">
      <c r="A109" t="s">
        <v>629</v>
      </c>
      <c r="B109" t="s">
        <v>237</v>
      </c>
      <c r="D109">
        <v>45000</v>
      </c>
      <c r="E109">
        <v>90</v>
      </c>
      <c r="F109" s="11">
        <f t="shared" si="37"/>
        <v>5.4503153468815695</v>
      </c>
      <c r="G109">
        <v>3000</v>
      </c>
      <c r="H109">
        <v>0.875</v>
      </c>
      <c r="I109">
        <v>6</v>
      </c>
      <c r="J109" s="10">
        <f t="shared" si="38"/>
        <v>437.5</v>
      </c>
      <c r="K109">
        <v>1.25</v>
      </c>
      <c r="L109">
        <v>1</v>
      </c>
      <c r="M109">
        <v>1</v>
      </c>
      <c r="O109" s="10">
        <f t="shared" si="39"/>
        <v>980.01576734407843</v>
      </c>
      <c r="P109" s="10">
        <f t="shared" si="40"/>
        <v>1354.2564821303433</v>
      </c>
      <c r="Q109" s="10">
        <f t="shared" si="41"/>
        <v>965.72775052557813</v>
      </c>
      <c r="R109" s="10">
        <f t="shared" si="42"/>
        <v>1100</v>
      </c>
      <c r="S109">
        <v>1100</v>
      </c>
    </row>
    <row r="110" spans="1:19" x14ac:dyDescent="0.25">
      <c r="A110" t="s">
        <v>724</v>
      </c>
      <c r="B110" t="s">
        <v>342</v>
      </c>
      <c r="D110">
        <v>55000</v>
      </c>
      <c r="E110">
        <v>125</v>
      </c>
      <c r="F110" s="11">
        <f t="shared" si="37"/>
        <v>5.9924012158054696</v>
      </c>
      <c r="G110">
        <v>8000</v>
      </c>
      <c r="H110">
        <v>1.125</v>
      </c>
      <c r="I110">
        <v>33</v>
      </c>
      <c r="J110" s="10">
        <f t="shared" si="38"/>
        <v>272.72727272727275</v>
      </c>
      <c r="K110">
        <v>1</v>
      </c>
      <c r="L110">
        <v>1</v>
      </c>
      <c r="M110">
        <v>1</v>
      </c>
      <c r="O110" s="10">
        <f t="shared" si="39"/>
        <v>872.42332135949141</v>
      </c>
      <c r="P110" s="10">
        <f t="shared" si="40"/>
        <v>928.7164962696877</v>
      </c>
      <c r="Q110" s="10">
        <f t="shared" si="41"/>
        <v>898.86018237082067</v>
      </c>
      <c r="R110" s="10">
        <f t="shared" si="42"/>
        <v>900</v>
      </c>
      <c r="S110">
        <v>900</v>
      </c>
    </row>
    <row r="111" spans="1:19" x14ac:dyDescent="0.25">
      <c r="B111" t="s">
        <v>404</v>
      </c>
      <c r="D111">
        <v>45000</v>
      </c>
      <c r="E111">
        <v>125</v>
      </c>
      <c r="F111" s="11">
        <f t="shared" ref="F111:F119" si="43">(S111*37500000/(L111*M111*D111*E111*K111*J111)-((500/(K111*J111))+(2500000000/(D111*E111*K111*J111)*(D111/100000+E111/100+J111/200))))/(1+5000000/(D111*E111)+(500000000/(D111*E111*J111)))</f>
        <v>6.3065250379362663</v>
      </c>
      <c r="G111">
        <v>8000</v>
      </c>
      <c r="H111">
        <v>0.875</v>
      </c>
      <c r="I111">
        <v>16</v>
      </c>
      <c r="J111" s="10">
        <f t="shared" ref="J111:J116" si="44">G111/I111*H111</f>
        <v>437.5</v>
      </c>
      <c r="K111">
        <v>1</v>
      </c>
      <c r="L111">
        <v>1</v>
      </c>
      <c r="M111">
        <v>1</v>
      </c>
      <c r="O111" s="10">
        <f t="shared" ref="O111:O116" si="45">(D111/100000+E111/100+F111*K111/5+J111/200)*200*L111*M111</f>
        <v>1029.7610015174505</v>
      </c>
      <c r="P111" s="10">
        <f t="shared" ref="P111:P116" si="46">((D111*E111/25000)+(F111*K111*J111/2.5))*L111*M111</f>
        <v>1328.6418816388466</v>
      </c>
      <c r="Q111" s="10">
        <f t="shared" ref="Q111:Q116" si="47">(D111*E111*F111*K111*J111*L111*M111)/12500000</f>
        <v>1241.5971168437025</v>
      </c>
      <c r="R111" s="10">
        <f t="shared" ref="R111:R116" si="48">(O111+P111+Q111)/3</f>
        <v>1200</v>
      </c>
      <c r="S111">
        <v>1200</v>
      </c>
    </row>
    <row r="112" spans="1:19" x14ac:dyDescent="0.25">
      <c r="A112" t="s">
        <v>581</v>
      </c>
      <c r="B112" t="s">
        <v>405</v>
      </c>
      <c r="D112">
        <v>87500</v>
      </c>
      <c r="E112">
        <v>85</v>
      </c>
      <c r="F112" s="11">
        <f t="shared" si="43"/>
        <v>5.3678132434575732</v>
      </c>
      <c r="G112">
        <v>48000</v>
      </c>
      <c r="H112">
        <v>1</v>
      </c>
      <c r="I112">
        <v>67</v>
      </c>
      <c r="J112" s="10">
        <f t="shared" si="44"/>
        <v>716.41791044776119</v>
      </c>
      <c r="K112">
        <v>1</v>
      </c>
      <c r="L112">
        <v>1</v>
      </c>
      <c r="M112">
        <v>1</v>
      </c>
      <c r="O112" s="10">
        <f t="shared" si="45"/>
        <v>1276.1304401860641</v>
      </c>
      <c r="P112" s="10">
        <f t="shared" si="46"/>
        <v>1835.7390190206777</v>
      </c>
      <c r="Q112" s="10">
        <f t="shared" si="47"/>
        <v>2288.1305407932578</v>
      </c>
      <c r="R112" s="10">
        <f t="shared" si="48"/>
        <v>1800</v>
      </c>
      <c r="S112">
        <v>1800</v>
      </c>
    </row>
    <row r="113" spans="1:19" x14ac:dyDescent="0.25">
      <c r="A113" t="s">
        <v>581</v>
      </c>
      <c r="B113" t="s">
        <v>592</v>
      </c>
      <c r="D113">
        <v>47500</v>
      </c>
      <c r="E113">
        <v>85</v>
      </c>
      <c r="F113" s="11">
        <f t="shared" si="43"/>
        <v>6.4484711211778016</v>
      </c>
      <c r="G113">
        <v>16000</v>
      </c>
      <c r="H113">
        <v>1</v>
      </c>
      <c r="I113">
        <v>64</v>
      </c>
      <c r="J113" s="10">
        <f t="shared" si="44"/>
        <v>250</v>
      </c>
      <c r="K113">
        <v>1</v>
      </c>
      <c r="L113">
        <v>1</v>
      </c>
      <c r="M113">
        <v>1</v>
      </c>
      <c r="O113" s="10">
        <f t="shared" si="45"/>
        <v>772.93884484711202</v>
      </c>
      <c r="P113" s="10">
        <f t="shared" si="46"/>
        <v>806.34711211778017</v>
      </c>
      <c r="Q113" s="10">
        <f t="shared" si="47"/>
        <v>520.71404303510747</v>
      </c>
      <c r="R113" s="10">
        <f t="shared" si="48"/>
        <v>699.99999999999989</v>
      </c>
      <c r="S113">
        <v>700</v>
      </c>
    </row>
    <row r="114" spans="1:19" x14ac:dyDescent="0.25">
      <c r="B114" t="s">
        <v>620</v>
      </c>
      <c r="D114">
        <v>100000</v>
      </c>
      <c r="E114">
        <v>70</v>
      </c>
      <c r="F114" s="11">
        <f t="shared" si="43"/>
        <v>6.5000000000000009</v>
      </c>
      <c r="G114">
        <v>32000</v>
      </c>
      <c r="H114">
        <v>1</v>
      </c>
      <c r="I114">
        <v>64</v>
      </c>
      <c r="J114" s="10">
        <f t="shared" si="44"/>
        <v>500</v>
      </c>
      <c r="K114">
        <v>1</v>
      </c>
      <c r="L114">
        <v>1</v>
      </c>
      <c r="M114">
        <v>1</v>
      </c>
      <c r="O114" s="10">
        <f t="shared" si="45"/>
        <v>1100</v>
      </c>
      <c r="P114" s="10">
        <f t="shared" si="46"/>
        <v>1580.0000000000002</v>
      </c>
      <c r="Q114" s="10">
        <f t="shared" si="47"/>
        <v>1820.0000000000002</v>
      </c>
      <c r="R114" s="10">
        <f t="shared" si="48"/>
        <v>1500</v>
      </c>
      <c r="S114">
        <v>1500</v>
      </c>
    </row>
    <row r="115" spans="1:19" x14ac:dyDescent="0.25">
      <c r="B115" t="s">
        <v>359</v>
      </c>
      <c r="D115">
        <v>27500</v>
      </c>
      <c r="E115">
        <v>115</v>
      </c>
      <c r="F115" s="11">
        <f t="shared" si="43"/>
        <v>6.6598398808415578</v>
      </c>
      <c r="G115">
        <v>8000</v>
      </c>
      <c r="H115">
        <v>0.875</v>
      </c>
      <c r="I115">
        <v>20</v>
      </c>
      <c r="J115" s="10">
        <f t="shared" si="44"/>
        <v>350</v>
      </c>
      <c r="K115">
        <v>1</v>
      </c>
      <c r="L115">
        <v>1</v>
      </c>
      <c r="M115">
        <v>1</v>
      </c>
      <c r="O115" s="10">
        <f t="shared" si="45"/>
        <v>901.39359523366238</v>
      </c>
      <c r="P115" s="10">
        <f t="shared" si="46"/>
        <v>1058.8775833178181</v>
      </c>
      <c r="Q115" s="10">
        <f t="shared" si="47"/>
        <v>589.72882144851997</v>
      </c>
      <c r="R115" s="10">
        <f t="shared" si="48"/>
        <v>850.00000000000011</v>
      </c>
      <c r="S115">
        <v>850</v>
      </c>
    </row>
    <row r="116" spans="1:19" x14ac:dyDescent="0.25">
      <c r="B116" t="s">
        <v>959</v>
      </c>
      <c r="D116">
        <v>40000</v>
      </c>
      <c r="E116">
        <v>80</v>
      </c>
      <c r="F116" s="11">
        <f t="shared" si="43"/>
        <v>6.6086956521739131</v>
      </c>
      <c r="G116">
        <v>4000</v>
      </c>
      <c r="H116">
        <v>1</v>
      </c>
      <c r="I116">
        <v>8</v>
      </c>
      <c r="J116" s="10">
        <f t="shared" si="44"/>
        <v>500</v>
      </c>
      <c r="K116">
        <v>1</v>
      </c>
      <c r="L116">
        <v>1</v>
      </c>
      <c r="M116">
        <v>1</v>
      </c>
      <c r="O116" s="10">
        <f t="shared" si="45"/>
        <v>1004.3478260869566</v>
      </c>
      <c r="P116" s="10">
        <f t="shared" si="46"/>
        <v>1449.7391304347825</v>
      </c>
      <c r="Q116" s="10">
        <f t="shared" si="47"/>
        <v>845.91304347826099</v>
      </c>
      <c r="R116" s="10">
        <f t="shared" si="48"/>
        <v>1100</v>
      </c>
      <c r="S116">
        <v>1100</v>
      </c>
    </row>
    <row r="117" spans="1:19" x14ac:dyDescent="0.25">
      <c r="B117" t="s">
        <v>620</v>
      </c>
      <c r="D117">
        <v>70000</v>
      </c>
      <c r="E117">
        <v>60</v>
      </c>
      <c r="F117" s="11">
        <f t="shared" si="43"/>
        <v>7.8247422680412368</v>
      </c>
      <c r="G117">
        <v>64000</v>
      </c>
      <c r="H117">
        <v>1</v>
      </c>
      <c r="I117">
        <v>64</v>
      </c>
      <c r="J117" s="10">
        <f>G117/I117*H117</f>
        <v>1000</v>
      </c>
      <c r="K117">
        <v>1</v>
      </c>
      <c r="L117">
        <v>1</v>
      </c>
      <c r="M117">
        <v>1</v>
      </c>
      <c r="O117" s="10">
        <f>(D117/100000+E117/100+F117*K117/5+J117/200)*200*L117*M117</f>
        <v>1572.9896907216494</v>
      </c>
      <c r="P117" s="10">
        <f>((D117*E117/25000)+(F117*K117*J117/2.5))*L117*M117</f>
        <v>3297.8969072164946</v>
      </c>
      <c r="Q117" s="10">
        <f>(D117*E117*F117*K117*J117*L117*M117)/12500000</f>
        <v>2629.1134020618556</v>
      </c>
      <c r="R117" s="10">
        <f>(O117+P117+Q117)/3</f>
        <v>2500</v>
      </c>
      <c r="S117">
        <v>2500</v>
      </c>
    </row>
    <row r="118" spans="1:19" x14ac:dyDescent="0.25">
      <c r="A118" t="s">
        <v>1187</v>
      </c>
      <c r="B118" t="s">
        <v>1193</v>
      </c>
      <c r="D118">
        <v>50000</v>
      </c>
      <c r="E118">
        <v>85</v>
      </c>
      <c r="F118" s="11">
        <f t="shared" si="43"/>
        <v>5.5</v>
      </c>
      <c r="G118">
        <v>16000</v>
      </c>
      <c r="H118">
        <v>1.125</v>
      </c>
      <c r="I118">
        <v>45</v>
      </c>
      <c r="J118" s="10">
        <f>G118/I118*H118</f>
        <v>400</v>
      </c>
      <c r="K118">
        <v>1.25</v>
      </c>
      <c r="L118">
        <v>1</v>
      </c>
      <c r="M118">
        <v>1</v>
      </c>
      <c r="N118" s="10">
        <f>D118/J118</f>
        <v>125</v>
      </c>
      <c r="O118" s="10">
        <f>(D118/100000+E118/100+F118*K118/5+J118/200)*200*L118*M118</f>
        <v>944.99999999999989</v>
      </c>
      <c r="P118" s="10">
        <f>((D118*E118/25000)+(F118*K118*J118/2.5))*L118*M118</f>
        <v>1270</v>
      </c>
      <c r="Q118" s="10">
        <f>(D118*E118*F118*K118*J118*L118*M118)/12500000</f>
        <v>935</v>
      </c>
      <c r="R118" s="10">
        <f>(O118+P118+Q118)/3</f>
        <v>1050</v>
      </c>
      <c r="S118">
        <v>1050</v>
      </c>
    </row>
    <row r="119" spans="1:19" x14ac:dyDescent="0.25">
      <c r="B119" t="s">
        <v>1194</v>
      </c>
      <c r="D119">
        <v>100000</v>
      </c>
      <c r="E119">
        <v>70</v>
      </c>
      <c r="F119" s="11">
        <f t="shared" si="43"/>
        <v>6.0049723756906079</v>
      </c>
      <c r="G119">
        <v>32000</v>
      </c>
      <c r="H119">
        <v>1.125</v>
      </c>
      <c r="I119">
        <v>41</v>
      </c>
      <c r="J119" s="10">
        <f>G119/I119*H119</f>
        <v>878.04878048780483</v>
      </c>
      <c r="K119">
        <v>1</v>
      </c>
      <c r="L119">
        <v>1</v>
      </c>
      <c r="M119">
        <v>0.75</v>
      </c>
      <c r="N119" s="10">
        <f>D119/J119</f>
        <v>113.8888888888889</v>
      </c>
      <c r="O119" s="10">
        <f>(D119/100000+E119/100+F119*K119/5+J119/200)*200*L119*M119</f>
        <v>1093.6857566365718</v>
      </c>
      <c r="P119" s="10">
        <f>((D119*E119/25000)+(F119*K119*J119/2.5))*L119*M119</f>
        <v>1791.7976014014284</v>
      </c>
      <c r="Q119" s="10">
        <f>(D119*E119*F119*K119*J119*L119*M119)/12500000</f>
        <v>2214.5166419619995</v>
      </c>
      <c r="R119" s="10">
        <f>(O119+P119+Q119)/3</f>
        <v>1700</v>
      </c>
      <c r="S119">
        <v>1700</v>
      </c>
    </row>
    <row r="121" spans="1:19" x14ac:dyDescent="0.25">
      <c r="B121" t="s">
        <v>554</v>
      </c>
      <c r="D121" t="s">
        <v>36</v>
      </c>
      <c r="E121" t="s">
        <v>37</v>
      </c>
      <c r="F121" t="s">
        <v>38</v>
      </c>
      <c r="G121" t="s">
        <v>39</v>
      </c>
      <c r="H121" t="s">
        <v>181</v>
      </c>
      <c r="I121" t="s">
        <v>40</v>
      </c>
      <c r="J121" s="10" t="s">
        <v>544</v>
      </c>
      <c r="K121" t="s">
        <v>142</v>
      </c>
      <c r="L121" t="s">
        <v>182</v>
      </c>
      <c r="M121" t="s">
        <v>385</v>
      </c>
      <c r="N121" t="s">
        <v>1127</v>
      </c>
      <c r="O121" s="10"/>
      <c r="P121" s="10"/>
      <c r="Q121" s="10"/>
      <c r="R121" s="10"/>
      <c r="S121" t="s">
        <v>41</v>
      </c>
    </row>
    <row r="123" spans="1:19" x14ac:dyDescent="0.25">
      <c r="A123" t="s">
        <v>321</v>
      </c>
      <c r="B123" t="s">
        <v>51</v>
      </c>
      <c r="D123">
        <v>10000</v>
      </c>
      <c r="E123">
        <v>200</v>
      </c>
      <c r="F123" s="11">
        <f t="shared" ref="F123:F130" si="49">(S123*37500000/(L123*M123*D123*E123*K123*J123)-((500/(K123*J123))+(2500000000/(D123*E123*K123*J123)*(D123/100000+E123/100+J123/200))))/(1+5000000/(D123*E123)+(500000000/(D123*E123*J123)))</f>
        <v>7.5000000000000009</v>
      </c>
      <c r="G123">
        <v>16000</v>
      </c>
      <c r="H123">
        <v>0.875</v>
      </c>
      <c r="I123">
        <v>104</v>
      </c>
      <c r="J123" s="10">
        <f t="shared" ref="J123:J128" si="50">G123/I123*H123</f>
        <v>134.61538461538461</v>
      </c>
      <c r="K123">
        <v>1</v>
      </c>
      <c r="L123">
        <v>1</v>
      </c>
      <c r="M123">
        <v>1</v>
      </c>
      <c r="N123" s="10">
        <f t="shared" ref="N123:N165" si="51">D123/J123</f>
        <v>74.285714285714292</v>
      </c>
      <c r="O123" s="10">
        <f t="shared" ref="O123:O128" si="52">(D123/100000+E123/100+F123*K123/5+J123/200)*200*L123*M123</f>
        <v>854.61538461538476</v>
      </c>
      <c r="P123" s="10">
        <f t="shared" ref="P123:P128" si="53">((D123*E123/25000)+(F123*K123*J123/2.5))*L123*M123</f>
        <v>483.84615384615392</v>
      </c>
      <c r="Q123" s="10">
        <f t="shared" ref="Q123:Q128" si="54">(D123*E123*F123*K123*J123*L123*M123)/12500000</f>
        <v>161.53846153846155</v>
      </c>
      <c r="R123" s="10">
        <f t="shared" ref="R123:R128" si="55">(O123+P123+Q123)/3</f>
        <v>500</v>
      </c>
      <c r="S123">
        <v>500</v>
      </c>
    </row>
    <row r="124" spans="1:19" x14ac:dyDescent="0.25">
      <c r="B124" t="s">
        <v>555</v>
      </c>
      <c r="D124">
        <v>25000</v>
      </c>
      <c r="E124">
        <v>80</v>
      </c>
      <c r="F124" s="11">
        <f t="shared" si="49"/>
        <v>9.9183168316831711</v>
      </c>
      <c r="G124">
        <v>48000</v>
      </c>
      <c r="H124">
        <v>1</v>
      </c>
      <c r="I124">
        <v>136</v>
      </c>
      <c r="J124" s="10">
        <f t="shared" si="50"/>
        <v>352.94117647058823</v>
      </c>
      <c r="K124">
        <v>1</v>
      </c>
      <c r="L124">
        <v>1</v>
      </c>
      <c r="M124">
        <v>1</v>
      </c>
      <c r="N124" s="10">
        <f t="shared" si="51"/>
        <v>70.833333333333329</v>
      </c>
      <c r="O124" s="10">
        <f t="shared" si="52"/>
        <v>959.67384973791513</v>
      </c>
      <c r="P124" s="10">
        <f t="shared" si="53"/>
        <v>1480.2329644729184</v>
      </c>
      <c r="Q124" s="10">
        <f t="shared" si="54"/>
        <v>560.09318578916736</v>
      </c>
      <c r="R124" s="10">
        <f t="shared" si="55"/>
        <v>1000.0000000000003</v>
      </c>
      <c r="S124">
        <v>1000</v>
      </c>
    </row>
    <row r="125" spans="1:19" x14ac:dyDescent="0.25">
      <c r="B125" t="s">
        <v>52</v>
      </c>
      <c r="D125">
        <v>20000</v>
      </c>
      <c r="E125">
        <v>100</v>
      </c>
      <c r="F125" s="11">
        <f t="shared" si="49"/>
        <v>8.9389534883720945</v>
      </c>
      <c r="G125">
        <v>100000</v>
      </c>
      <c r="H125">
        <v>1.05</v>
      </c>
      <c r="I125">
        <v>250</v>
      </c>
      <c r="J125" s="10">
        <f t="shared" si="50"/>
        <v>420</v>
      </c>
      <c r="K125">
        <v>1</v>
      </c>
      <c r="L125">
        <v>1</v>
      </c>
      <c r="M125">
        <v>0.75</v>
      </c>
      <c r="N125" s="10">
        <f t="shared" si="51"/>
        <v>47.61904761904762</v>
      </c>
      <c r="O125" s="10">
        <f t="shared" si="52"/>
        <v>763.16860465116292</v>
      </c>
      <c r="P125" s="10">
        <f t="shared" si="53"/>
        <v>1186.308139534884</v>
      </c>
      <c r="Q125" s="10">
        <f t="shared" si="54"/>
        <v>450.52325581395365</v>
      </c>
      <c r="R125" s="10">
        <f t="shared" si="55"/>
        <v>800.00000000000011</v>
      </c>
      <c r="S125">
        <v>800</v>
      </c>
    </row>
    <row r="126" spans="1:19" x14ac:dyDescent="0.25">
      <c r="B126" t="s">
        <v>53</v>
      </c>
      <c r="D126">
        <v>25000</v>
      </c>
      <c r="E126">
        <v>150</v>
      </c>
      <c r="F126" s="11">
        <f t="shared" si="49"/>
        <v>7.4320987654321007</v>
      </c>
      <c r="G126">
        <v>24000</v>
      </c>
      <c r="H126">
        <v>1</v>
      </c>
      <c r="I126">
        <v>66</v>
      </c>
      <c r="J126" s="10">
        <f t="shared" si="50"/>
        <v>363.63636363636363</v>
      </c>
      <c r="K126">
        <v>1.25</v>
      </c>
      <c r="L126">
        <v>1</v>
      </c>
      <c r="M126">
        <v>0.75</v>
      </c>
      <c r="N126" s="10">
        <f t="shared" si="51"/>
        <v>68.75</v>
      </c>
      <c r="O126" s="10">
        <f t="shared" si="52"/>
        <v>813.93097643097644</v>
      </c>
      <c r="P126" s="10">
        <f t="shared" si="53"/>
        <v>1125.9680134680134</v>
      </c>
      <c r="Q126" s="10">
        <f t="shared" si="54"/>
        <v>760.10101010101016</v>
      </c>
      <c r="R126" s="10">
        <f t="shared" si="55"/>
        <v>900</v>
      </c>
      <c r="S126">
        <v>900</v>
      </c>
    </row>
    <row r="127" spans="1:19" x14ac:dyDescent="0.25">
      <c r="B127" t="s">
        <v>180</v>
      </c>
      <c r="D127">
        <v>12500</v>
      </c>
      <c r="E127">
        <v>175</v>
      </c>
      <c r="F127" s="11">
        <f t="shared" si="49"/>
        <v>7.4999999999999991</v>
      </c>
      <c r="G127">
        <v>32000</v>
      </c>
      <c r="H127">
        <v>0.875</v>
      </c>
      <c r="I127">
        <v>100</v>
      </c>
      <c r="J127" s="10">
        <f t="shared" si="50"/>
        <v>280</v>
      </c>
      <c r="K127">
        <v>1</v>
      </c>
      <c r="L127">
        <v>1</v>
      </c>
      <c r="M127">
        <v>1</v>
      </c>
      <c r="N127" s="10">
        <f t="shared" si="51"/>
        <v>44.642857142857146</v>
      </c>
      <c r="O127" s="10">
        <f t="shared" si="52"/>
        <v>955.00000000000011</v>
      </c>
      <c r="P127" s="10">
        <f t="shared" si="53"/>
        <v>927.49999999999977</v>
      </c>
      <c r="Q127" s="10">
        <f t="shared" si="54"/>
        <v>367.49999999999994</v>
      </c>
      <c r="R127" s="10">
        <f t="shared" si="55"/>
        <v>750</v>
      </c>
      <c r="S127">
        <v>750</v>
      </c>
    </row>
    <row r="128" spans="1:19" x14ac:dyDescent="0.25">
      <c r="B128" t="s">
        <v>79</v>
      </c>
      <c r="D128">
        <v>50000</v>
      </c>
      <c r="E128">
        <v>100</v>
      </c>
      <c r="F128" s="11">
        <f t="shared" si="49"/>
        <v>6.8055555555555545</v>
      </c>
      <c r="G128">
        <v>40000</v>
      </c>
      <c r="H128">
        <v>1.25</v>
      </c>
      <c r="I128">
        <v>80</v>
      </c>
      <c r="J128" s="10">
        <f t="shared" si="50"/>
        <v>625</v>
      </c>
      <c r="K128">
        <v>1</v>
      </c>
      <c r="L128">
        <v>1</v>
      </c>
      <c r="M128">
        <v>0.75</v>
      </c>
      <c r="N128" s="10">
        <f t="shared" si="51"/>
        <v>80</v>
      </c>
      <c r="O128" s="10">
        <f t="shared" si="52"/>
        <v>897.91666666666663</v>
      </c>
      <c r="P128" s="10">
        <f t="shared" si="53"/>
        <v>1426.0416666666665</v>
      </c>
      <c r="Q128" s="10">
        <f t="shared" si="54"/>
        <v>1276.0416666666665</v>
      </c>
      <c r="R128" s="10">
        <f t="shared" si="55"/>
        <v>1199.9999999999998</v>
      </c>
      <c r="S128">
        <v>1200</v>
      </c>
    </row>
    <row r="129" spans="1:19" x14ac:dyDescent="0.25">
      <c r="A129" t="s">
        <v>320</v>
      </c>
      <c r="B129" t="s">
        <v>108</v>
      </c>
      <c r="D129">
        <v>40000</v>
      </c>
      <c r="E129">
        <v>80</v>
      </c>
      <c r="F129" s="11">
        <f t="shared" si="49"/>
        <v>7.301333333333333</v>
      </c>
      <c r="G129">
        <v>40000</v>
      </c>
      <c r="H129">
        <v>1.25</v>
      </c>
      <c r="I129">
        <v>80</v>
      </c>
      <c r="J129" s="10">
        <f t="shared" ref="J129:J138" si="56">G129/I129*H129</f>
        <v>625</v>
      </c>
      <c r="K129">
        <v>1.25</v>
      </c>
      <c r="L129">
        <v>1</v>
      </c>
      <c r="M129">
        <v>1</v>
      </c>
      <c r="N129" s="10">
        <f t="shared" si="51"/>
        <v>64</v>
      </c>
      <c r="O129" s="10">
        <f t="shared" ref="O129:O138" si="57">(D129/100000+E129/100+F129*K129/5+J129/200)*200*L129*M129</f>
        <v>1230.0666666666668</v>
      </c>
      <c r="P129" s="10">
        <f t="shared" ref="P129:P138" si="58">((D129*E129/25000)+(F129*K129*J129/2.5))*L129*M129</f>
        <v>2409.666666666667</v>
      </c>
      <c r="Q129" s="10">
        <f t="shared" ref="Q129:Q138" si="59">(D129*E129*F129*K129*J129*L129*M129)/12500000</f>
        <v>1460.2666666666667</v>
      </c>
      <c r="R129" s="10">
        <f t="shared" ref="R129:R138" si="60">(O129+P129+Q129)/3</f>
        <v>1700</v>
      </c>
      <c r="S129">
        <v>1700</v>
      </c>
    </row>
    <row r="130" spans="1:19" x14ac:dyDescent="0.25">
      <c r="B130" t="s">
        <v>776</v>
      </c>
      <c r="D130">
        <v>60000</v>
      </c>
      <c r="E130">
        <v>60</v>
      </c>
      <c r="F130" s="11">
        <f t="shared" si="49"/>
        <v>8.2122302158273381</v>
      </c>
      <c r="G130">
        <v>6000</v>
      </c>
      <c r="H130">
        <v>1</v>
      </c>
      <c r="I130">
        <v>8</v>
      </c>
      <c r="J130" s="10">
        <f>G130/I130*H130</f>
        <v>750</v>
      </c>
      <c r="K130">
        <v>1</v>
      </c>
      <c r="L130">
        <v>1</v>
      </c>
      <c r="M130">
        <v>1</v>
      </c>
      <c r="N130" s="10">
        <f t="shared" si="51"/>
        <v>80</v>
      </c>
      <c r="O130" s="10">
        <f>(D130/100000+E130/100+F130*K130/5+J130/200)*200*L130*M130</f>
        <v>1318.4892086330935</v>
      </c>
      <c r="P130" s="10">
        <f>((D130*E130/25000)+(F130*K130*J130/2.5))*L130*M130</f>
        <v>2607.6690647482014</v>
      </c>
      <c r="Q130" s="10">
        <f>(D130*E130*F130*K130*J130*L130*M130)/12500000</f>
        <v>1773.8417266187053</v>
      </c>
      <c r="R130" s="10">
        <f>(O130+P130+Q130)/3</f>
        <v>1900</v>
      </c>
      <c r="S130">
        <v>1900</v>
      </c>
    </row>
    <row r="131" spans="1:19" x14ac:dyDescent="0.25">
      <c r="B131" t="s">
        <v>117</v>
      </c>
      <c r="D131">
        <v>37500</v>
      </c>
      <c r="E131">
        <v>77</v>
      </c>
      <c r="F131">
        <v>7.7770000000000001</v>
      </c>
      <c r="G131">
        <v>31108</v>
      </c>
      <c r="H131">
        <v>1</v>
      </c>
      <c r="I131">
        <v>77</v>
      </c>
      <c r="J131" s="10">
        <f>G131/I131*H131</f>
        <v>404</v>
      </c>
      <c r="K131">
        <v>1.25</v>
      </c>
      <c r="L131">
        <v>1</v>
      </c>
      <c r="M131">
        <v>1</v>
      </c>
      <c r="N131" s="10">
        <f t="shared" si="51"/>
        <v>92.821782178217816</v>
      </c>
      <c r="O131" s="10">
        <f>(D131/100000+E131/100+F131*K131/5+J131/200)*200*L131*M131</f>
        <v>1021.8499999999999</v>
      </c>
      <c r="P131" s="10">
        <f>((D131*E131/25000)+(F131*K131*J131/2.5))*L131*M131</f>
        <v>1686.454</v>
      </c>
      <c r="Q131" s="10">
        <f>(D131*E131*F131*K131*J131*L131*M131)/12500000</f>
        <v>907.22593500000005</v>
      </c>
      <c r="R131" s="10">
        <f>(O131+P131+Q131)/3</f>
        <v>1205.176645</v>
      </c>
      <c r="S131">
        <v>900</v>
      </c>
    </row>
    <row r="132" spans="1:19" x14ac:dyDescent="0.25">
      <c r="B132" t="s">
        <v>135</v>
      </c>
      <c r="D132">
        <v>120000</v>
      </c>
      <c r="E132">
        <v>60</v>
      </c>
      <c r="F132" s="11">
        <f>(S132*37500000/(L132*M132*D132*E132*K132*J132)-((500/(K132*J132))+(2500000000/(D132*E132*K132*J132)*(D132/100000+E132/100+J132/200))))/(1+5000000/(D132*E132)+(500000000/(D132*E132*J132)))</f>
        <v>6.8186582809224321</v>
      </c>
      <c r="G132">
        <v>24000</v>
      </c>
      <c r="H132">
        <v>0.875</v>
      </c>
      <c r="I132">
        <v>60</v>
      </c>
      <c r="J132" s="10">
        <f t="shared" si="56"/>
        <v>350</v>
      </c>
      <c r="K132">
        <v>1</v>
      </c>
      <c r="L132">
        <v>1</v>
      </c>
      <c r="M132">
        <v>1</v>
      </c>
      <c r="N132" s="10">
        <f t="shared" si="51"/>
        <v>342.85714285714283</v>
      </c>
      <c r="O132" s="10">
        <f t="shared" si="57"/>
        <v>982.74633123689728</v>
      </c>
      <c r="P132" s="10">
        <f t="shared" si="58"/>
        <v>1242.6121593291405</v>
      </c>
      <c r="Q132" s="10">
        <f t="shared" si="59"/>
        <v>1374.6415094339625</v>
      </c>
      <c r="R132" s="10">
        <f t="shared" si="60"/>
        <v>1200</v>
      </c>
      <c r="S132">
        <v>1200</v>
      </c>
    </row>
    <row r="133" spans="1:19" x14ac:dyDescent="0.25">
      <c r="B133" t="s">
        <v>194</v>
      </c>
      <c r="D133">
        <v>60000</v>
      </c>
      <c r="E133">
        <v>60</v>
      </c>
      <c r="F133" s="11">
        <f>(S133*37500000/(L133*M133*D133*E133*K133*J133)-((500/(K133*J133))+(2500000000/(D133*E133*K133*J133)*(D133/100000+E133/100+J133/200))))/(1+5000000/(D133*E133)+(500000000/(D133*E133*J133)))</f>
        <v>9.3425531914893618</v>
      </c>
      <c r="G133">
        <v>30000</v>
      </c>
      <c r="H133">
        <v>1.25</v>
      </c>
      <c r="I133">
        <v>60</v>
      </c>
      <c r="J133" s="10">
        <f t="shared" si="56"/>
        <v>625</v>
      </c>
      <c r="K133">
        <v>1</v>
      </c>
      <c r="L133">
        <v>1</v>
      </c>
      <c r="M133">
        <v>1</v>
      </c>
      <c r="N133" s="10">
        <f t="shared" si="51"/>
        <v>96</v>
      </c>
      <c r="O133" s="10">
        <f t="shared" si="57"/>
        <v>1238.7021276595744</v>
      </c>
      <c r="P133" s="10">
        <f t="shared" si="58"/>
        <v>2479.6382978723404</v>
      </c>
      <c r="Q133" s="10">
        <f t="shared" si="59"/>
        <v>1681.6595744680851</v>
      </c>
      <c r="R133" s="10">
        <f t="shared" si="60"/>
        <v>1800</v>
      </c>
      <c r="S133">
        <v>1800</v>
      </c>
    </row>
    <row r="134" spans="1:19" x14ac:dyDescent="0.25">
      <c r="B134" t="s">
        <v>118</v>
      </c>
      <c r="D134">
        <v>50000</v>
      </c>
      <c r="E134">
        <v>55</v>
      </c>
      <c r="F134">
        <v>11.111000000000001</v>
      </c>
      <c r="G134">
        <v>80000</v>
      </c>
      <c r="H134">
        <v>1.25</v>
      </c>
      <c r="I134">
        <v>111</v>
      </c>
      <c r="J134" s="10">
        <f t="shared" si="56"/>
        <v>900.90090090090087</v>
      </c>
      <c r="K134">
        <v>1.25</v>
      </c>
      <c r="L134">
        <v>1</v>
      </c>
      <c r="M134">
        <v>0.75</v>
      </c>
      <c r="N134" s="10">
        <f t="shared" si="51"/>
        <v>55.5</v>
      </c>
      <c r="O134" s="10">
        <f t="shared" si="57"/>
        <v>1249.8381756756758</v>
      </c>
      <c r="P134" s="10">
        <f t="shared" si="58"/>
        <v>3836.2162162162167</v>
      </c>
      <c r="Q134" s="10">
        <f t="shared" si="59"/>
        <v>2064.5439189189192</v>
      </c>
      <c r="R134" s="10">
        <f t="shared" si="60"/>
        <v>2383.5327702702702</v>
      </c>
      <c r="S134">
        <v>2500</v>
      </c>
    </row>
    <row r="135" spans="1:19" x14ac:dyDescent="0.25">
      <c r="A135" t="s">
        <v>571</v>
      </c>
      <c r="B135" t="s">
        <v>250</v>
      </c>
      <c r="D135">
        <v>40000</v>
      </c>
      <c r="E135">
        <v>120</v>
      </c>
      <c r="F135" s="11">
        <f t="shared" ref="F135:F154" si="61">(S135*37500000/(L135*M135*D135*E135*K135*J135)-((500/(K135*J135))+(2500000000/(D135*E135*K135*J135)*(D135/100000+E135/100+J135/200))))/(1+5000000/(D135*E135)+(500000000/(D135*E135*J135)))</f>
        <v>7.7555555555555555</v>
      </c>
      <c r="G135">
        <v>40000</v>
      </c>
      <c r="H135">
        <v>1.25</v>
      </c>
      <c r="I135">
        <v>100</v>
      </c>
      <c r="J135" s="10">
        <f t="shared" si="56"/>
        <v>500</v>
      </c>
      <c r="K135">
        <v>1.25</v>
      </c>
      <c r="L135">
        <v>1</v>
      </c>
      <c r="M135">
        <v>0.75</v>
      </c>
      <c r="N135" s="10">
        <f t="shared" si="51"/>
        <v>80</v>
      </c>
      <c r="O135" s="10">
        <f t="shared" si="57"/>
        <v>905.83333333333337</v>
      </c>
      <c r="P135" s="10">
        <f t="shared" si="58"/>
        <v>1598.166666666667</v>
      </c>
      <c r="Q135" s="10">
        <f t="shared" si="59"/>
        <v>1396</v>
      </c>
      <c r="R135" s="10">
        <f t="shared" si="60"/>
        <v>1300.0000000000002</v>
      </c>
      <c r="S135">
        <v>1300</v>
      </c>
    </row>
    <row r="136" spans="1:19" x14ac:dyDescent="0.25">
      <c r="B136" t="s">
        <v>354</v>
      </c>
      <c r="D136">
        <v>60000</v>
      </c>
      <c r="E136">
        <v>95</v>
      </c>
      <c r="F136" s="11">
        <f t="shared" si="61"/>
        <v>7.3431085043988267</v>
      </c>
      <c r="G136">
        <v>60000</v>
      </c>
      <c r="H136">
        <v>1.25</v>
      </c>
      <c r="I136">
        <v>100</v>
      </c>
      <c r="J136" s="10">
        <f t="shared" si="56"/>
        <v>750</v>
      </c>
      <c r="K136">
        <v>1.5</v>
      </c>
      <c r="L136">
        <v>1</v>
      </c>
      <c r="M136">
        <v>0.75</v>
      </c>
      <c r="N136" s="10">
        <f t="shared" si="51"/>
        <v>80</v>
      </c>
      <c r="O136" s="10">
        <f t="shared" si="57"/>
        <v>1125.4398826979473</v>
      </c>
      <c r="P136" s="10">
        <f t="shared" si="58"/>
        <v>2649.2991202346038</v>
      </c>
      <c r="Q136" s="10">
        <f t="shared" si="59"/>
        <v>2825.2609970674489</v>
      </c>
      <c r="R136" s="10">
        <f t="shared" si="60"/>
        <v>2200</v>
      </c>
      <c r="S136">
        <v>2200</v>
      </c>
    </row>
    <row r="137" spans="1:19" x14ac:dyDescent="0.25">
      <c r="B137" t="s">
        <v>256</v>
      </c>
      <c r="D137">
        <v>80000</v>
      </c>
      <c r="E137">
        <v>80</v>
      </c>
      <c r="F137" s="11">
        <f t="shared" si="61"/>
        <v>8.6862244897959187</v>
      </c>
      <c r="G137">
        <v>24000</v>
      </c>
      <c r="H137">
        <v>1</v>
      </c>
      <c r="I137">
        <v>80</v>
      </c>
      <c r="J137" s="10">
        <f t="shared" si="56"/>
        <v>300</v>
      </c>
      <c r="K137">
        <v>1</v>
      </c>
      <c r="L137">
        <v>1</v>
      </c>
      <c r="M137">
        <v>1</v>
      </c>
      <c r="N137" s="10">
        <f t="shared" si="51"/>
        <v>266.66666666666669</v>
      </c>
      <c r="O137" s="10">
        <f t="shared" si="57"/>
        <v>967.44897959183675</v>
      </c>
      <c r="P137" s="10">
        <f t="shared" si="58"/>
        <v>1298.3469387755101</v>
      </c>
      <c r="Q137" s="10">
        <f t="shared" si="59"/>
        <v>1334.204081632653</v>
      </c>
      <c r="R137" s="10">
        <f t="shared" si="60"/>
        <v>1200</v>
      </c>
      <c r="S137">
        <v>1200</v>
      </c>
    </row>
    <row r="138" spans="1:19" x14ac:dyDescent="0.25">
      <c r="B138" t="s">
        <v>258</v>
      </c>
      <c r="D138">
        <v>50000</v>
      </c>
      <c r="E138">
        <v>50</v>
      </c>
      <c r="F138" s="11">
        <f t="shared" si="61"/>
        <v>10.051948051948051</v>
      </c>
      <c r="G138">
        <v>24000</v>
      </c>
      <c r="H138">
        <v>1</v>
      </c>
      <c r="I138">
        <v>25</v>
      </c>
      <c r="J138" s="10">
        <f t="shared" si="56"/>
        <v>960</v>
      </c>
      <c r="K138">
        <v>1.25</v>
      </c>
      <c r="L138">
        <v>1</v>
      </c>
      <c r="M138">
        <v>0.75</v>
      </c>
      <c r="N138" s="10">
        <f t="shared" si="51"/>
        <v>52.083333333333336</v>
      </c>
      <c r="O138" s="10">
        <f t="shared" si="57"/>
        <v>1246.9480519480517</v>
      </c>
      <c r="P138" s="10">
        <f t="shared" si="58"/>
        <v>3693.7012987012986</v>
      </c>
      <c r="Q138" s="10">
        <f t="shared" si="59"/>
        <v>1809.3506493506495</v>
      </c>
      <c r="R138" s="10">
        <f t="shared" si="60"/>
        <v>2249.9999999999995</v>
      </c>
      <c r="S138">
        <v>2250</v>
      </c>
    </row>
    <row r="139" spans="1:19" x14ac:dyDescent="0.25">
      <c r="B139" t="s">
        <v>894</v>
      </c>
      <c r="D139">
        <v>80000</v>
      </c>
      <c r="E139">
        <v>90</v>
      </c>
      <c r="F139" s="11">
        <f t="shared" si="61"/>
        <v>8.5103187125276101</v>
      </c>
      <c r="G139">
        <v>56000</v>
      </c>
      <c r="H139">
        <v>0.875</v>
      </c>
      <c r="I139">
        <v>72</v>
      </c>
      <c r="J139" s="10">
        <f t="shared" ref="J139:J154" si="62">G139/I139*H139</f>
        <v>680.55555555555566</v>
      </c>
      <c r="K139">
        <v>1.25</v>
      </c>
      <c r="L139">
        <v>1</v>
      </c>
      <c r="M139">
        <v>0.75</v>
      </c>
      <c r="N139" s="10">
        <f t="shared" si="51"/>
        <v>117.55102040816325</v>
      </c>
      <c r="O139" s="10">
        <f t="shared" ref="O139:O154" si="63">(D139/100000+E139/100+F139*K139/5+J139/200)*200*L139*M139</f>
        <v>1084.5536183864522</v>
      </c>
      <c r="P139" s="10">
        <f t="shared" ref="P139:P154" si="64">((D139*E139/25000)+(F139*K139*J139/2.5))*L139*M139</f>
        <v>2387.9042547596509</v>
      </c>
      <c r="Q139" s="10">
        <f t="shared" ref="Q139:Q154" si="65">(D139*E139*F139*K139*J139*L139*M139)/12500000</f>
        <v>3127.5421268538967</v>
      </c>
      <c r="R139" s="10">
        <f t="shared" ref="R139:R154" si="66">(O139+P139+Q139)/3</f>
        <v>2200</v>
      </c>
      <c r="S139">
        <v>2200</v>
      </c>
    </row>
    <row r="140" spans="1:19" x14ac:dyDescent="0.25">
      <c r="B140" t="s">
        <v>872</v>
      </c>
      <c r="D140">
        <v>32500</v>
      </c>
      <c r="E140">
        <v>145</v>
      </c>
      <c r="F140" s="11">
        <f t="shared" si="61"/>
        <v>6.3741145218417934</v>
      </c>
      <c r="G140">
        <v>24000</v>
      </c>
      <c r="H140">
        <v>1</v>
      </c>
      <c r="I140">
        <v>42</v>
      </c>
      <c r="J140" s="10">
        <f t="shared" si="62"/>
        <v>571.42857142857144</v>
      </c>
      <c r="K140">
        <v>1</v>
      </c>
      <c r="L140">
        <v>1</v>
      </c>
      <c r="M140">
        <v>1</v>
      </c>
      <c r="N140" s="10">
        <f t="shared" si="51"/>
        <v>56.875</v>
      </c>
      <c r="O140" s="10">
        <f t="shared" si="63"/>
        <v>1181.3931523022434</v>
      </c>
      <c r="P140" s="10">
        <f t="shared" si="64"/>
        <v>1645.4404621352671</v>
      </c>
      <c r="Q140" s="10">
        <f t="shared" si="65"/>
        <v>1373.1663855624893</v>
      </c>
      <c r="R140" s="10">
        <f t="shared" si="66"/>
        <v>1400</v>
      </c>
      <c r="S140">
        <v>1400</v>
      </c>
    </row>
    <row r="141" spans="1:19" x14ac:dyDescent="0.25">
      <c r="A141" t="s">
        <v>581</v>
      </c>
      <c r="B141" t="s">
        <v>451</v>
      </c>
      <c r="D141">
        <v>75000</v>
      </c>
      <c r="E141">
        <v>75</v>
      </c>
      <c r="F141" s="11">
        <f t="shared" si="61"/>
        <v>7.1320182094081943</v>
      </c>
      <c r="G141">
        <v>40000</v>
      </c>
      <c r="H141">
        <v>0.875</v>
      </c>
      <c r="I141">
        <v>80</v>
      </c>
      <c r="J141" s="10">
        <f t="shared" si="62"/>
        <v>437.5</v>
      </c>
      <c r="K141">
        <v>1</v>
      </c>
      <c r="L141">
        <v>1</v>
      </c>
      <c r="M141">
        <v>1</v>
      </c>
      <c r="N141" s="10">
        <f t="shared" si="51"/>
        <v>171.42857142857142</v>
      </c>
      <c r="O141" s="10">
        <f t="shared" si="63"/>
        <v>1022.7807283763278</v>
      </c>
      <c r="P141" s="10">
        <f t="shared" si="64"/>
        <v>1473.1031866464341</v>
      </c>
      <c r="Q141" s="10">
        <f t="shared" si="65"/>
        <v>1404.1160849772382</v>
      </c>
      <c r="R141" s="10">
        <f t="shared" si="66"/>
        <v>1300</v>
      </c>
      <c r="S141">
        <v>1300</v>
      </c>
    </row>
    <row r="142" spans="1:19" x14ac:dyDescent="0.25">
      <c r="B142" t="s">
        <v>452</v>
      </c>
      <c r="D142">
        <v>125000</v>
      </c>
      <c r="E142">
        <v>50</v>
      </c>
      <c r="F142" s="11">
        <f t="shared" si="61"/>
        <v>7.3958333333333321</v>
      </c>
      <c r="G142">
        <v>60000</v>
      </c>
      <c r="H142">
        <v>1</v>
      </c>
      <c r="I142">
        <v>90</v>
      </c>
      <c r="J142" s="10">
        <f t="shared" si="62"/>
        <v>666.66666666666663</v>
      </c>
      <c r="K142">
        <v>1</v>
      </c>
      <c r="L142">
        <v>1</v>
      </c>
      <c r="M142">
        <v>1</v>
      </c>
      <c r="N142" s="10">
        <f t="shared" si="51"/>
        <v>187.5</v>
      </c>
      <c r="O142" s="10">
        <f t="shared" si="63"/>
        <v>1312.5</v>
      </c>
      <c r="P142" s="10">
        <f t="shared" si="64"/>
        <v>2222.2222222222217</v>
      </c>
      <c r="Q142" s="10">
        <f t="shared" si="65"/>
        <v>2465.2777777777774</v>
      </c>
      <c r="R142" s="10">
        <f t="shared" si="66"/>
        <v>1999.9999999999998</v>
      </c>
      <c r="S142">
        <v>2000</v>
      </c>
    </row>
    <row r="143" spans="1:19" x14ac:dyDescent="0.25">
      <c r="B143" t="s">
        <v>583</v>
      </c>
      <c r="D143">
        <v>17500</v>
      </c>
      <c r="E143">
        <v>30</v>
      </c>
      <c r="F143" s="11">
        <f t="shared" si="61"/>
        <v>7.3613421071661032</v>
      </c>
      <c r="G143">
        <v>28000</v>
      </c>
      <c r="H143">
        <v>0.875</v>
      </c>
      <c r="I143">
        <v>75</v>
      </c>
      <c r="J143" s="10">
        <f t="shared" si="62"/>
        <v>326.66666666666663</v>
      </c>
      <c r="K143">
        <v>1</v>
      </c>
      <c r="L143">
        <v>1</v>
      </c>
      <c r="M143">
        <v>1</v>
      </c>
      <c r="N143" s="10">
        <f t="shared" si="51"/>
        <v>53.571428571428577</v>
      </c>
      <c r="O143" s="10">
        <f t="shared" si="63"/>
        <v>716.12035095331078</v>
      </c>
      <c r="P143" s="10">
        <f t="shared" si="64"/>
        <v>982.88203533637079</v>
      </c>
      <c r="Q143" s="10">
        <f t="shared" si="65"/>
        <v>100.99761371031893</v>
      </c>
      <c r="R143" s="10">
        <f t="shared" si="66"/>
        <v>600.00000000000011</v>
      </c>
      <c r="S143">
        <v>600</v>
      </c>
    </row>
    <row r="144" spans="1:19" x14ac:dyDescent="0.25">
      <c r="B144" s="9" t="s">
        <v>598</v>
      </c>
      <c r="D144">
        <v>240000</v>
      </c>
      <c r="E144">
        <v>40</v>
      </c>
      <c r="F144" s="11">
        <f t="shared" si="61"/>
        <v>7.9841059602649</v>
      </c>
      <c r="G144">
        <v>48000</v>
      </c>
      <c r="H144">
        <v>1</v>
      </c>
      <c r="I144">
        <v>48</v>
      </c>
      <c r="J144" s="10">
        <f t="shared" si="62"/>
        <v>1000</v>
      </c>
      <c r="K144">
        <v>1.25</v>
      </c>
      <c r="L144">
        <v>1</v>
      </c>
      <c r="M144">
        <v>0.75</v>
      </c>
      <c r="N144" s="10">
        <f t="shared" si="51"/>
        <v>240</v>
      </c>
      <c r="O144" s="10">
        <f t="shared" si="63"/>
        <v>1469.4039735099338</v>
      </c>
      <c r="P144" s="10">
        <f t="shared" si="64"/>
        <v>3282.0397350993376</v>
      </c>
      <c r="Q144" s="10">
        <f t="shared" si="65"/>
        <v>5748.5562913907279</v>
      </c>
      <c r="R144" s="10">
        <f t="shared" si="66"/>
        <v>3500</v>
      </c>
      <c r="S144">
        <v>3500</v>
      </c>
    </row>
    <row r="145" spans="1:19" x14ac:dyDescent="0.25">
      <c r="B145" s="9" t="s">
        <v>599</v>
      </c>
      <c r="D145">
        <v>400000</v>
      </c>
      <c r="E145">
        <v>60</v>
      </c>
      <c r="F145" s="11">
        <f t="shared" si="61"/>
        <v>7.4198570293884067</v>
      </c>
      <c r="G145">
        <v>20000</v>
      </c>
      <c r="H145">
        <v>1</v>
      </c>
      <c r="I145">
        <v>99</v>
      </c>
      <c r="J145" s="10">
        <f t="shared" si="62"/>
        <v>202.02020202020202</v>
      </c>
      <c r="K145">
        <v>1.25</v>
      </c>
      <c r="L145">
        <v>1</v>
      </c>
      <c r="M145">
        <v>0.75</v>
      </c>
      <c r="N145" s="10">
        <f t="shared" si="51"/>
        <v>1980</v>
      </c>
      <c r="O145" s="10">
        <f t="shared" si="63"/>
        <v>1119.7597901172167</v>
      </c>
      <c r="P145" s="10">
        <f t="shared" si="64"/>
        <v>1282.1103810142733</v>
      </c>
      <c r="Q145" s="10">
        <f t="shared" si="65"/>
        <v>2698.1298288685116</v>
      </c>
      <c r="R145" s="10">
        <f t="shared" si="66"/>
        <v>1700.0000000000007</v>
      </c>
      <c r="S145">
        <v>1700</v>
      </c>
    </row>
    <row r="146" spans="1:19" x14ac:dyDescent="0.25">
      <c r="A146" t="s">
        <v>605</v>
      </c>
      <c r="B146" s="12" t="s">
        <v>651</v>
      </c>
      <c r="D146">
        <v>90000</v>
      </c>
      <c r="E146">
        <v>115</v>
      </c>
      <c r="F146" s="11">
        <f t="shared" si="61"/>
        <v>7.319704219225752</v>
      </c>
      <c r="G146">
        <v>24000</v>
      </c>
      <c r="H146">
        <v>0.875</v>
      </c>
      <c r="I146">
        <v>45</v>
      </c>
      <c r="J146" s="10">
        <f t="shared" si="62"/>
        <v>466.66666666666669</v>
      </c>
      <c r="K146">
        <v>1.25</v>
      </c>
      <c r="L146">
        <v>1</v>
      </c>
      <c r="M146">
        <v>1</v>
      </c>
      <c r="N146" s="10">
        <f t="shared" si="51"/>
        <v>192.85714285714286</v>
      </c>
      <c r="O146" s="10">
        <f t="shared" si="63"/>
        <v>1242.6518776279543</v>
      </c>
      <c r="P146" s="10">
        <f t="shared" si="64"/>
        <v>2121.930984486009</v>
      </c>
      <c r="Q146" s="10">
        <f t="shared" si="65"/>
        <v>3535.4171378860383</v>
      </c>
      <c r="R146" s="10">
        <f t="shared" si="66"/>
        <v>2300.0000000000005</v>
      </c>
      <c r="S146">
        <v>2300</v>
      </c>
    </row>
    <row r="147" spans="1:19" x14ac:dyDescent="0.25">
      <c r="B147" t="s">
        <v>642</v>
      </c>
      <c r="D147">
        <v>125000</v>
      </c>
      <c r="E147">
        <v>90</v>
      </c>
      <c r="F147" s="11">
        <f t="shared" si="61"/>
        <v>6.6601626016260163</v>
      </c>
      <c r="G147">
        <v>15000</v>
      </c>
      <c r="H147">
        <v>1</v>
      </c>
      <c r="I147">
        <v>66</v>
      </c>
      <c r="J147" s="10">
        <f t="shared" si="62"/>
        <v>227.27272727272728</v>
      </c>
      <c r="K147">
        <v>1.25</v>
      </c>
      <c r="L147">
        <v>1</v>
      </c>
      <c r="M147">
        <v>1</v>
      </c>
      <c r="N147" s="10">
        <f t="shared" si="51"/>
        <v>550</v>
      </c>
      <c r="O147" s="10">
        <f t="shared" si="63"/>
        <v>990.28085735402806</v>
      </c>
      <c r="P147" s="10">
        <f t="shared" si="64"/>
        <v>1206.8366592756836</v>
      </c>
      <c r="Q147" s="10">
        <f t="shared" si="65"/>
        <v>1702.8824833702881</v>
      </c>
      <c r="R147" s="10">
        <f t="shared" si="66"/>
        <v>1300</v>
      </c>
      <c r="S147">
        <v>1300</v>
      </c>
    </row>
    <row r="148" spans="1:19" x14ac:dyDescent="0.25">
      <c r="B148" t="s">
        <v>645</v>
      </c>
      <c r="D148">
        <v>80000</v>
      </c>
      <c r="E148">
        <v>50</v>
      </c>
      <c r="F148" s="11">
        <f t="shared" si="61"/>
        <v>8.8698884758364294</v>
      </c>
      <c r="G148">
        <v>65000</v>
      </c>
      <c r="H148">
        <v>1</v>
      </c>
      <c r="I148">
        <v>175</v>
      </c>
      <c r="J148" s="10">
        <f t="shared" si="62"/>
        <v>371.42857142857144</v>
      </c>
      <c r="K148">
        <v>1.25</v>
      </c>
      <c r="L148">
        <v>1</v>
      </c>
      <c r="M148">
        <v>1</v>
      </c>
      <c r="N148" s="10">
        <f t="shared" si="51"/>
        <v>215.38461538461539</v>
      </c>
      <c r="O148" s="10">
        <f t="shared" si="63"/>
        <v>1074.922995220393</v>
      </c>
      <c r="P148" s="10">
        <f t="shared" si="64"/>
        <v>1807.2650026553372</v>
      </c>
      <c r="Q148" s="10">
        <f t="shared" si="65"/>
        <v>1317.8120021242696</v>
      </c>
      <c r="R148" s="10">
        <f t="shared" si="66"/>
        <v>1400</v>
      </c>
      <c r="S148">
        <v>1400</v>
      </c>
    </row>
    <row r="149" spans="1:19" x14ac:dyDescent="0.25">
      <c r="B149" t="s">
        <v>659</v>
      </c>
      <c r="D149">
        <v>25000</v>
      </c>
      <c r="E149">
        <v>80</v>
      </c>
      <c r="F149" s="11">
        <f t="shared" si="61"/>
        <v>7.7397260273972597</v>
      </c>
      <c r="G149">
        <v>18000</v>
      </c>
      <c r="H149">
        <v>1</v>
      </c>
      <c r="I149">
        <v>40</v>
      </c>
      <c r="J149" s="10">
        <f t="shared" si="62"/>
        <v>450</v>
      </c>
      <c r="K149">
        <v>1</v>
      </c>
      <c r="L149">
        <v>1</v>
      </c>
      <c r="M149">
        <v>1</v>
      </c>
      <c r="N149" s="10">
        <f t="shared" si="51"/>
        <v>55.555555555555557</v>
      </c>
      <c r="O149" s="10">
        <f t="shared" si="63"/>
        <v>969.58904109589048</v>
      </c>
      <c r="P149" s="10">
        <f t="shared" si="64"/>
        <v>1473.1506849315067</v>
      </c>
      <c r="Q149" s="10">
        <f t="shared" si="65"/>
        <v>557.2602739726027</v>
      </c>
      <c r="R149" s="10">
        <f t="shared" si="66"/>
        <v>1000</v>
      </c>
      <c r="S149">
        <v>1000</v>
      </c>
    </row>
    <row r="150" spans="1:19" x14ac:dyDescent="0.25">
      <c r="B150" t="s">
        <v>690</v>
      </c>
      <c r="D150">
        <v>275000</v>
      </c>
      <c r="E150">
        <v>40</v>
      </c>
      <c r="F150" s="11">
        <f t="shared" si="61"/>
        <v>7.6249999999999991</v>
      </c>
      <c r="G150">
        <v>200000</v>
      </c>
      <c r="H150">
        <v>1.125</v>
      </c>
      <c r="I150">
        <v>360</v>
      </c>
      <c r="J150" s="10">
        <f t="shared" si="62"/>
        <v>625</v>
      </c>
      <c r="K150">
        <v>1</v>
      </c>
      <c r="L150">
        <v>1</v>
      </c>
      <c r="M150">
        <v>1</v>
      </c>
      <c r="N150" s="10">
        <f t="shared" si="51"/>
        <v>440</v>
      </c>
      <c r="O150" s="10">
        <f t="shared" si="63"/>
        <v>1560</v>
      </c>
      <c r="P150" s="10">
        <f t="shared" si="64"/>
        <v>2346.2499999999995</v>
      </c>
      <c r="Q150" s="10">
        <f t="shared" si="65"/>
        <v>4193.7499999999991</v>
      </c>
      <c r="R150" s="10">
        <f t="shared" si="66"/>
        <v>2699.9999999999995</v>
      </c>
      <c r="S150">
        <v>2700</v>
      </c>
    </row>
    <row r="151" spans="1:19" x14ac:dyDescent="0.25">
      <c r="A151" t="s">
        <v>629</v>
      </c>
      <c r="B151" t="s">
        <v>210</v>
      </c>
      <c r="D151">
        <v>145000</v>
      </c>
      <c r="E151">
        <v>65</v>
      </c>
      <c r="F151" s="11">
        <f t="shared" si="61"/>
        <v>7.0396615547329446</v>
      </c>
      <c r="G151">
        <v>40000</v>
      </c>
      <c r="H151">
        <v>0.75</v>
      </c>
      <c r="I151">
        <v>80</v>
      </c>
      <c r="J151" s="10">
        <f t="shared" si="62"/>
        <v>375</v>
      </c>
      <c r="K151">
        <v>1</v>
      </c>
      <c r="L151">
        <v>1</v>
      </c>
      <c r="M151">
        <v>1</v>
      </c>
      <c r="N151" s="10">
        <f t="shared" si="51"/>
        <v>386.66666666666669</v>
      </c>
      <c r="O151" s="10">
        <f t="shared" si="63"/>
        <v>1076.5864621893177</v>
      </c>
      <c r="P151" s="10">
        <f t="shared" si="64"/>
        <v>1432.9492332099417</v>
      </c>
      <c r="Q151" s="10">
        <f t="shared" si="65"/>
        <v>1990.46430460074</v>
      </c>
      <c r="R151" s="10">
        <f t="shared" si="66"/>
        <v>1500</v>
      </c>
      <c r="S151">
        <v>1500</v>
      </c>
    </row>
    <row r="152" spans="1:19" x14ac:dyDescent="0.25">
      <c r="B152" t="s">
        <v>206</v>
      </c>
      <c r="D152">
        <v>60000</v>
      </c>
      <c r="E152">
        <v>60</v>
      </c>
      <c r="F152" s="11">
        <f t="shared" si="61"/>
        <v>11.097666378565256</v>
      </c>
      <c r="G152">
        <v>60000</v>
      </c>
      <c r="H152">
        <v>1</v>
      </c>
      <c r="I152">
        <v>125</v>
      </c>
      <c r="J152" s="10">
        <f t="shared" si="62"/>
        <v>480</v>
      </c>
      <c r="K152">
        <v>1.25</v>
      </c>
      <c r="L152">
        <v>1</v>
      </c>
      <c r="M152">
        <v>1</v>
      </c>
      <c r="N152" s="10">
        <f t="shared" si="51"/>
        <v>125</v>
      </c>
      <c r="O152" s="10">
        <f t="shared" si="63"/>
        <v>1274.8833189282627</v>
      </c>
      <c r="P152" s="10">
        <f t="shared" si="64"/>
        <v>2807.4399308556613</v>
      </c>
      <c r="Q152" s="10">
        <f t="shared" si="65"/>
        <v>1917.6767502160762</v>
      </c>
      <c r="R152" s="10">
        <f t="shared" si="66"/>
        <v>2000</v>
      </c>
      <c r="S152">
        <v>2000</v>
      </c>
    </row>
    <row r="153" spans="1:19" x14ac:dyDescent="0.25">
      <c r="B153" t="s">
        <v>229</v>
      </c>
      <c r="D153">
        <v>75000</v>
      </c>
      <c r="E153">
        <v>75</v>
      </c>
      <c r="F153" s="11">
        <f t="shared" si="61"/>
        <v>7.5268817204301071</v>
      </c>
      <c r="G153">
        <v>24000</v>
      </c>
      <c r="H153">
        <v>1.25</v>
      </c>
      <c r="I153">
        <v>60</v>
      </c>
      <c r="J153" s="10">
        <f t="shared" si="62"/>
        <v>500</v>
      </c>
      <c r="K153">
        <v>1.25</v>
      </c>
      <c r="L153">
        <v>1</v>
      </c>
      <c r="M153">
        <v>1</v>
      </c>
      <c r="N153" s="10">
        <f t="shared" si="51"/>
        <v>150</v>
      </c>
      <c r="O153" s="10">
        <f t="shared" si="63"/>
        <v>1176.3440860215053</v>
      </c>
      <c r="P153" s="10">
        <f t="shared" si="64"/>
        <v>2106.7204301075267</v>
      </c>
      <c r="Q153" s="10">
        <f t="shared" si="65"/>
        <v>2116.9354838709678</v>
      </c>
      <c r="R153" s="10">
        <f t="shared" si="66"/>
        <v>1800</v>
      </c>
      <c r="S153">
        <v>1800</v>
      </c>
    </row>
    <row r="154" spans="1:19" x14ac:dyDescent="0.25">
      <c r="B154" t="s">
        <v>239</v>
      </c>
      <c r="D154">
        <v>65000</v>
      </c>
      <c r="E154">
        <v>65</v>
      </c>
      <c r="F154" s="11">
        <f t="shared" si="61"/>
        <v>7.0315587529976034</v>
      </c>
      <c r="G154">
        <v>100000</v>
      </c>
      <c r="H154">
        <v>1.25</v>
      </c>
      <c r="I154">
        <v>300</v>
      </c>
      <c r="J154" s="10">
        <f t="shared" si="62"/>
        <v>416.66666666666663</v>
      </c>
      <c r="K154">
        <v>1.25</v>
      </c>
      <c r="L154">
        <v>1</v>
      </c>
      <c r="M154">
        <v>1</v>
      </c>
      <c r="N154" s="10">
        <f t="shared" si="51"/>
        <v>156</v>
      </c>
      <c r="O154" s="10">
        <f t="shared" si="63"/>
        <v>1028.2446043165469</v>
      </c>
      <c r="P154" s="10">
        <f t="shared" si="64"/>
        <v>1633.9080735411671</v>
      </c>
      <c r="Q154" s="10">
        <f t="shared" si="65"/>
        <v>1237.8473221422862</v>
      </c>
      <c r="R154" s="10">
        <f t="shared" si="66"/>
        <v>1300</v>
      </c>
      <c r="S154">
        <v>1300</v>
      </c>
    </row>
    <row r="155" spans="1:19" x14ac:dyDescent="0.25">
      <c r="A155" t="s">
        <v>724</v>
      </c>
      <c r="B155" t="s">
        <v>344</v>
      </c>
      <c r="D155">
        <v>85000</v>
      </c>
      <c r="E155">
        <v>65</v>
      </c>
      <c r="F155" s="11">
        <f t="shared" ref="F155:F163" si="67">(S155*37500000/(L155*M155*D155*E155*K155*J155)-((500/(K155*J155))+(2500000000/(D155*E155*K155*J155)*(D155/100000+E155/100+J155/200))))/(1+5000000/(D155*E155)+(500000000/(D155*E155*J155)))</f>
        <v>5.5167028199566159</v>
      </c>
      <c r="G155">
        <v>6000</v>
      </c>
      <c r="H155">
        <v>1</v>
      </c>
      <c r="I155">
        <v>12</v>
      </c>
      <c r="J155" s="10">
        <f t="shared" ref="J155:J161" si="68">G155/I155*H155</f>
        <v>500</v>
      </c>
      <c r="K155">
        <v>1.25</v>
      </c>
      <c r="L155">
        <v>1</v>
      </c>
      <c r="M155">
        <v>1</v>
      </c>
      <c r="N155" s="10">
        <f t="shared" si="51"/>
        <v>170</v>
      </c>
      <c r="O155" s="10">
        <f t="shared" ref="O155:O163" si="69">(D155/100000+E155/100+F155*K155/5+J155/200)*200*L155*M155</f>
        <v>1075.8351409978309</v>
      </c>
      <c r="P155" s="10">
        <f t="shared" ref="P155:P163" si="70">((D155*E155/25000)+(F155*K155*J155/2.5))*L155*M155</f>
        <v>1600.1757049891542</v>
      </c>
      <c r="Q155" s="10">
        <f t="shared" ref="Q155:Q163" si="71">(D155*E155*F155*K155*J155*L155*M155)/12500000</f>
        <v>1523.9891540130152</v>
      </c>
      <c r="R155" s="10">
        <f t="shared" ref="R155:R163" si="72">(O155+P155+Q155)/3</f>
        <v>1400</v>
      </c>
      <c r="S155">
        <v>1400</v>
      </c>
    </row>
    <row r="156" spans="1:19" x14ac:dyDescent="0.25">
      <c r="B156" t="s">
        <v>353</v>
      </c>
      <c r="D156">
        <v>130000</v>
      </c>
      <c r="E156">
        <v>50</v>
      </c>
      <c r="F156" s="11">
        <f t="shared" si="67"/>
        <v>7.7480417754569197</v>
      </c>
      <c r="G156">
        <v>32000</v>
      </c>
      <c r="H156">
        <v>1</v>
      </c>
      <c r="I156">
        <v>30</v>
      </c>
      <c r="J156" s="10">
        <f t="shared" si="68"/>
        <v>1066.6666666666667</v>
      </c>
      <c r="K156">
        <v>1</v>
      </c>
      <c r="L156">
        <v>1</v>
      </c>
      <c r="M156">
        <v>0.75</v>
      </c>
      <c r="N156" s="10">
        <f t="shared" si="51"/>
        <v>121.87499999999999</v>
      </c>
      <c r="O156" s="10">
        <f t="shared" si="69"/>
        <v>1302.4412532637077</v>
      </c>
      <c r="P156" s="10">
        <f t="shared" si="70"/>
        <v>2674.3733681462145</v>
      </c>
      <c r="Q156" s="10">
        <f t="shared" si="71"/>
        <v>3223.1853785900789</v>
      </c>
      <c r="R156" s="10">
        <f t="shared" si="72"/>
        <v>2400.0000000000005</v>
      </c>
      <c r="S156">
        <v>2400</v>
      </c>
    </row>
    <row r="157" spans="1:19" x14ac:dyDescent="0.25">
      <c r="B157" t="s">
        <v>348</v>
      </c>
      <c r="D157">
        <v>40000</v>
      </c>
      <c r="E157">
        <v>80</v>
      </c>
      <c r="F157" s="11">
        <f t="shared" si="67"/>
        <v>8.5478260869565208</v>
      </c>
      <c r="G157">
        <v>8000</v>
      </c>
      <c r="H157">
        <v>1</v>
      </c>
      <c r="I157">
        <v>16</v>
      </c>
      <c r="J157" s="10">
        <f t="shared" si="68"/>
        <v>500</v>
      </c>
      <c r="K157">
        <v>1.25</v>
      </c>
      <c r="L157">
        <v>1</v>
      </c>
      <c r="M157">
        <v>0.75</v>
      </c>
      <c r="N157" s="10">
        <f t="shared" si="51"/>
        <v>80</v>
      </c>
      <c r="O157" s="10">
        <f t="shared" si="69"/>
        <v>875.54347826086973</v>
      </c>
      <c r="P157" s="10">
        <f t="shared" si="70"/>
        <v>1698.7173913043475</v>
      </c>
      <c r="Q157" s="10">
        <f t="shared" si="71"/>
        <v>1025.7391304347825</v>
      </c>
      <c r="R157" s="10">
        <f t="shared" si="72"/>
        <v>1199.9999999999998</v>
      </c>
      <c r="S157">
        <v>1200</v>
      </c>
    </row>
    <row r="158" spans="1:19" x14ac:dyDescent="0.25">
      <c r="B158" t="s">
        <v>350</v>
      </c>
      <c r="D158">
        <v>160000</v>
      </c>
      <c r="E158">
        <v>65</v>
      </c>
      <c r="F158" s="11">
        <f t="shared" si="67"/>
        <v>8.8851351351351351</v>
      </c>
      <c r="G158">
        <v>24000</v>
      </c>
      <c r="H158">
        <v>1</v>
      </c>
      <c r="I158">
        <v>60</v>
      </c>
      <c r="J158" s="10">
        <f t="shared" si="68"/>
        <v>400</v>
      </c>
      <c r="K158">
        <v>1</v>
      </c>
      <c r="L158">
        <v>1</v>
      </c>
      <c r="M158">
        <v>0.75</v>
      </c>
      <c r="N158" s="10">
        <f t="shared" si="51"/>
        <v>400</v>
      </c>
      <c r="O158" s="10">
        <f t="shared" si="69"/>
        <v>904.05405405405406</v>
      </c>
      <c r="P158" s="10">
        <f t="shared" si="70"/>
        <v>1378.2162162162163</v>
      </c>
      <c r="Q158" s="10">
        <f t="shared" si="71"/>
        <v>2217.7297297297296</v>
      </c>
      <c r="R158" s="10">
        <f t="shared" si="72"/>
        <v>1500</v>
      </c>
      <c r="S158">
        <v>1500</v>
      </c>
    </row>
    <row r="159" spans="1:19" x14ac:dyDescent="0.25">
      <c r="B159" t="s">
        <v>351</v>
      </c>
      <c r="D159">
        <v>250000</v>
      </c>
      <c r="E159">
        <v>50</v>
      </c>
      <c r="F159" s="11">
        <f t="shared" si="67"/>
        <v>10.140449438202246</v>
      </c>
      <c r="G159">
        <v>36000</v>
      </c>
      <c r="H159">
        <v>1</v>
      </c>
      <c r="I159">
        <v>75</v>
      </c>
      <c r="J159" s="10">
        <f t="shared" si="68"/>
        <v>480</v>
      </c>
      <c r="K159">
        <v>1</v>
      </c>
      <c r="L159">
        <v>1</v>
      </c>
      <c r="M159">
        <v>0.75</v>
      </c>
      <c r="N159" s="10">
        <f t="shared" si="51"/>
        <v>520.83333333333337</v>
      </c>
      <c r="O159" s="10">
        <f t="shared" si="69"/>
        <v>1114.2134831460676</v>
      </c>
      <c r="P159" s="10">
        <f t="shared" si="70"/>
        <v>1835.2247191011234</v>
      </c>
      <c r="Q159" s="10">
        <f t="shared" si="71"/>
        <v>3650.5617977528086</v>
      </c>
      <c r="R159" s="10">
        <f t="shared" si="72"/>
        <v>2200</v>
      </c>
      <c r="S159">
        <v>2200</v>
      </c>
    </row>
    <row r="160" spans="1:19" x14ac:dyDescent="0.25">
      <c r="B160" t="s">
        <v>433</v>
      </c>
      <c r="D160">
        <v>30000</v>
      </c>
      <c r="E160">
        <v>75</v>
      </c>
      <c r="F160" s="11">
        <f t="shared" si="67"/>
        <v>7.7656748140276299</v>
      </c>
      <c r="G160">
        <v>64000</v>
      </c>
      <c r="H160">
        <v>0.875</v>
      </c>
      <c r="I160">
        <v>129</v>
      </c>
      <c r="J160" s="10">
        <f t="shared" si="68"/>
        <v>434.10852713178292</v>
      </c>
      <c r="K160">
        <v>1</v>
      </c>
      <c r="L160">
        <v>1</v>
      </c>
      <c r="M160">
        <v>1</v>
      </c>
      <c r="N160" s="10">
        <f t="shared" si="51"/>
        <v>69.107142857142861</v>
      </c>
      <c r="O160" s="10">
        <f t="shared" si="69"/>
        <v>954.73551969288803</v>
      </c>
      <c r="P160" s="10">
        <f t="shared" si="70"/>
        <v>1438.4582622807668</v>
      </c>
      <c r="Q160" s="10">
        <f t="shared" si="71"/>
        <v>606.80621802634505</v>
      </c>
      <c r="R160" s="10">
        <f t="shared" si="72"/>
        <v>1000</v>
      </c>
      <c r="S160">
        <v>1000</v>
      </c>
    </row>
    <row r="161" spans="1:19" x14ac:dyDescent="0.25">
      <c r="B161" t="s">
        <v>431</v>
      </c>
      <c r="D161">
        <v>47500</v>
      </c>
      <c r="E161">
        <v>70</v>
      </c>
      <c r="F161" s="11">
        <f t="shared" si="67"/>
        <v>10.130434782608695</v>
      </c>
      <c r="G161">
        <v>100000</v>
      </c>
      <c r="H161">
        <v>1</v>
      </c>
      <c r="I161">
        <v>175</v>
      </c>
      <c r="J161" s="10">
        <f t="shared" si="68"/>
        <v>571.42857142857144</v>
      </c>
      <c r="K161">
        <v>1</v>
      </c>
      <c r="L161">
        <v>1</v>
      </c>
      <c r="M161">
        <v>0.75</v>
      </c>
      <c r="N161" s="10">
        <f t="shared" si="51"/>
        <v>83.125</v>
      </c>
      <c r="O161" s="10">
        <f t="shared" si="69"/>
        <v>908.73447204968932</v>
      </c>
      <c r="P161" s="10">
        <f t="shared" si="70"/>
        <v>1836.3959627329191</v>
      </c>
      <c r="Q161" s="10">
        <f t="shared" si="71"/>
        <v>1154.8695652173913</v>
      </c>
      <c r="R161" s="10">
        <f t="shared" si="72"/>
        <v>1300</v>
      </c>
      <c r="S161">
        <v>1300</v>
      </c>
    </row>
    <row r="162" spans="1:19" x14ac:dyDescent="0.25">
      <c r="B162" t="s">
        <v>903</v>
      </c>
      <c r="D162">
        <v>67500</v>
      </c>
      <c r="E162">
        <v>40</v>
      </c>
      <c r="F162" s="11">
        <f t="shared" si="67"/>
        <v>9.2604397634885434</v>
      </c>
      <c r="G162">
        <v>16000</v>
      </c>
      <c r="H162">
        <v>0.875</v>
      </c>
      <c r="I162">
        <v>55</v>
      </c>
      <c r="J162" s="10">
        <f t="shared" ref="J162:J167" si="73">G162/I162*H162</f>
        <v>254.54545454545456</v>
      </c>
      <c r="K162">
        <v>1</v>
      </c>
      <c r="L162">
        <v>1</v>
      </c>
      <c r="M162">
        <v>0.75</v>
      </c>
      <c r="N162" s="10">
        <f t="shared" si="51"/>
        <v>265.17857142857139</v>
      </c>
      <c r="O162" s="10">
        <f t="shared" si="69"/>
        <v>629.97228381374725</v>
      </c>
      <c r="P162" s="10">
        <f t="shared" si="70"/>
        <v>788.16085466639777</v>
      </c>
      <c r="Q162" s="10">
        <f t="shared" si="71"/>
        <v>381.86686151985487</v>
      </c>
      <c r="R162" s="10">
        <f t="shared" si="72"/>
        <v>600</v>
      </c>
      <c r="S162">
        <v>600</v>
      </c>
    </row>
    <row r="163" spans="1:19" x14ac:dyDescent="0.25">
      <c r="B163" t="s">
        <v>366</v>
      </c>
      <c r="D163">
        <v>25000</v>
      </c>
      <c r="E163">
        <v>100</v>
      </c>
      <c r="F163" s="11">
        <f t="shared" si="67"/>
        <v>19.525862068965516</v>
      </c>
      <c r="G163">
        <v>32000</v>
      </c>
      <c r="H163">
        <v>1</v>
      </c>
      <c r="I163">
        <v>100</v>
      </c>
      <c r="J163" s="10">
        <f t="shared" si="73"/>
        <v>320</v>
      </c>
      <c r="K163">
        <v>1</v>
      </c>
      <c r="L163">
        <v>1</v>
      </c>
      <c r="M163">
        <v>0.75</v>
      </c>
      <c r="N163" s="10">
        <f t="shared" si="51"/>
        <v>78.125</v>
      </c>
      <c r="O163" s="10">
        <f t="shared" si="69"/>
        <v>1013.2758620689654</v>
      </c>
      <c r="P163" s="10">
        <f t="shared" si="70"/>
        <v>1949.4827586206895</v>
      </c>
      <c r="Q163" s="10">
        <f t="shared" si="71"/>
        <v>937.24137931034488</v>
      </c>
      <c r="R163" s="10">
        <f t="shared" si="72"/>
        <v>1300</v>
      </c>
      <c r="S163">
        <v>1300</v>
      </c>
    </row>
    <row r="164" spans="1:19" x14ac:dyDescent="0.25">
      <c r="A164" t="s">
        <v>1187</v>
      </c>
      <c r="B164" t="s">
        <v>1192</v>
      </c>
      <c r="D164">
        <v>60000</v>
      </c>
      <c r="E164">
        <v>80</v>
      </c>
      <c r="F164" s="11">
        <f>(S164*37500000/(L164*M164*D164*E164*K164*J164)-((500/(K164*J164))+(2500000000/(D164*E164*K164*J164)*(D164/100000+E164/100+J164/200))))/(1+5000000/(D164*E164)+(500000000/(D164*E164*J164)))</f>
        <v>7.0058139534883708</v>
      </c>
      <c r="G164">
        <v>24000</v>
      </c>
      <c r="H164">
        <v>1</v>
      </c>
      <c r="I164">
        <v>80</v>
      </c>
      <c r="J164" s="10">
        <f t="shared" si="73"/>
        <v>300</v>
      </c>
      <c r="K164">
        <v>1</v>
      </c>
      <c r="L164">
        <v>1</v>
      </c>
      <c r="M164">
        <v>1</v>
      </c>
      <c r="N164" s="10">
        <f t="shared" si="51"/>
        <v>200</v>
      </c>
      <c r="O164" s="10">
        <f>(D164/100000+E164/100+F164*K164/5+J164/200)*200*L164*M164</f>
        <v>860.23255813953483</v>
      </c>
      <c r="P164" s="10">
        <f>((D164*E164/25000)+(F164*K164*J164/2.5))*L164*M164</f>
        <v>1032.6976744186045</v>
      </c>
      <c r="Q164" s="10">
        <f>(D164*E164*F164*K164*J164*L164*M164)/12500000</f>
        <v>807.06976744186034</v>
      </c>
      <c r="R164" s="10">
        <f>(O164+P164+Q164)/3</f>
        <v>899.99999999999989</v>
      </c>
      <c r="S164">
        <v>900</v>
      </c>
    </row>
    <row r="165" spans="1:19" x14ac:dyDescent="0.25">
      <c r="B165" t="s">
        <v>1191</v>
      </c>
      <c r="D165">
        <v>120000</v>
      </c>
      <c r="E165">
        <v>60</v>
      </c>
      <c r="F165" s="11">
        <f>(S165*37500000/(L165*M165*D165*E165*K165*J165)-((500/(K165*J165))+(2500000000/(D165*E165*K165*J165)*(D165/100000+E165/100+J165/200))))/(1+5000000/(D165*E165)+(500000000/(D165*E165*J165)))</f>
        <v>8.2352941176470598</v>
      </c>
      <c r="G165">
        <v>24000</v>
      </c>
      <c r="H165">
        <v>1</v>
      </c>
      <c r="I165">
        <v>40</v>
      </c>
      <c r="J165" s="10">
        <f t="shared" si="73"/>
        <v>600</v>
      </c>
      <c r="K165">
        <v>1</v>
      </c>
      <c r="L165">
        <v>1</v>
      </c>
      <c r="M165">
        <v>0.75</v>
      </c>
      <c r="N165" s="10">
        <f t="shared" si="51"/>
        <v>200</v>
      </c>
      <c r="O165" s="10">
        <f>(D165/100000+E165/100+F165*K165/5+J165/200)*200*L165*M165</f>
        <v>967.05882352941182</v>
      </c>
      <c r="P165" s="10">
        <f>((D165*E165/25000)+(F165*K165*J165/2.5))*L165*M165</f>
        <v>1698.3529411764709</v>
      </c>
      <c r="Q165" s="10">
        <f>(D165*E165*F165*K165*J165*L165*M165)/12500000</f>
        <v>2134.588235294118</v>
      </c>
      <c r="R165" s="10">
        <f>(O165+P165+Q165)/3</f>
        <v>1600.0000000000002</v>
      </c>
      <c r="S165">
        <v>1600</v>
      </c>
    </row>
    <row r="166" spans="1:19" x14ac:dyDescent="0.25">
      <c r="B166" t="s">
        <v>1195</v>
      </c>
      <c r="D166">
        <v>80000</v>
      </c>
      <c r="E166">
        <v>90</v>
      </c>
      <c r="F166" s="11">
        <f>(S166*37500000/(L166*M166*D166*E166*K166*J166)-((500/(K166*J166))+(2500000000/(D166*E166*K166*J166)*(D166/100000+E166/100+J166/200))))/(1+5000000/(D166*E166)+(500000000/(D166*E166*J166)))</f>
        <v>7.4700000000000006</v>
      </c>
      <c r="G166">
        <v>6000</v>
      </c>
      <c r="H166">
        <v>1.25</v>
      </c>
      <c r="I166">
        <v>33</v>
      </c>
      <c r="J166" s="10">
        <f t="shared" si="73"/>
        <v>227.27272727272725</v>
      </c>
      <c r="K166">
        <v>1.25</v>
      </c>
      <c r="L166">
        <v>1</v>
      </c>
      <c r="M166">
        <v>1</v>
      </c>
      <c r="N166" s="10">
        <f>D166/J166</f>
        <v>352.00000000000006</v>
      </c>
      <c r="O166" s="10">
        <f>(D166/100000+E166/100+F166*K166/5+J166/200)*200*L166*M166</f>
        <v>940.77272727272737</v>
      </c>
      <c r="P166" s="10">
        <f>((D166*E166/25000)+(F166*K166*J166/2.5))*L166*M166</f>
        <v>1136.8636363636365</v>
      </c>
      <c r="Q166" s="10">
        <f>(D166*E166*F166*K166*J166*L166*M166)/12500000</f>
        <v>1222.3636363636365</v>
      </c>
      <c r="R166" s="10">
        <f>(O166+P166+Q166)/3</f>
        <v>1100.0000000000002</v>
      </c>
      <c r="S166">
        <v>1100</v>
      </c>
    </row>
    <row r="167" spans="1:19" x14ac:dyDescent="0.25">
      <c r="B167" t="s">
        <v>1196</v>
      </c>
      <c r="D167">
        <v>160000</v>
      </c>
      <c r="E167">
        <v>80</v>
      </c>
      <c r="F167" s="11">
        <f>(S167*37500000/(L167*M167*D167*E167*K167*J167)-((500/(K167*J167))+(2500000000/(D167*E167*K167*J167)*(D167/100000+E167/100+J167/200))))/(1+5000000/(D167*E167)+(500000000/(D167*E167*J167)))</f>
        <v>9.8497902097902106</v>
      </c>
      <c r="G167">
        <v>6000</v>
      </c>
      <c r="H167">
        <v>1.25</v>
      </c>
      <c r="I167">
        <v>19</v>
      </c>
      <c r="J167" s="10">
        <f t="shared" si="73"/>
        <v>394.73684210526312</v>
      </c>
      <c r="K167">
        <v>1.25</v>
      </c>
      <c r="L167">
        <v>1</v>
      </c>
      <c r="M167">
        <v>0.75</v>
      </c>
      <c r="N167" s="10">
        <f>D167/J167</f>
        <v>405.33333333333337</v>
      </c>
      <c r="O167" s="10">
        <f>(D167/100000+E167/100+F167*K167/5+J167/200)*200*L167*M167</f>
        <v>1025.4197644460803</v>
      </c>
      <c r="P167" s="10">
        <f>((D167*E167/25000)+(F167*K167*J167/2.5))*L167*M167</f>
        <v>1842.028156054472</v>
      </c>
      <c r="Q167" s="10">
        <f>(D167*E167*F167*K167*J167*L167*M167)/12500000</f>
        <v>3732.5520794994482</v>
      </c>
      <c r="R167" s="10">
        <f>(O167+P167+Q167)/3</f>
        <v>2200</v>
      </c>
      <c r="S167">
        <v>2200</v>
      </c>
    </row>
    <row r="174" spans="1:19" x14ac:dyDescent="0.25">
      <c r="B174" t="s">
        <v>205</v>
      </c>
      <c r="D174" t="s">
        <v>36</v>
      </c>
      <c r="E174" t="s">
        <v>37</v>
      </c>
      <c r="F174" t="s">
        <v>38</v>
      </c>
      <c r="G174" t="s">
        <v>39</v>
      </c>
      <c r="H174" t="s">
        <v>181</v>
      </c>
      <c r="I174" t="s">
        <v>40</v>
      </c>
      <c r="J174" s="10" t="s">
        <v>544</v>
      </c>
      <c r="K174" t="s">
        <v>142</v>
      </c>
      <c r="L174" t="s">
        <v>182</v>
      </c>
      <c r="M174" t="s">
        <v>385</v>
      </c>
      <c r="N174" t="s">
        <v>1127</v>
      </c>
      <c r="O174" s="10"/>
      <c r="P174" s="10"/>
      <c r="Q174" s="10"/>
      <c r="R174" s="10"/>
      <c r="S174" t="s">
        <v>41</v>
      </c>
    </row>
    <row r="175" spans="1:19" x14ac:dyDescent="0.25">
      <c r="N175" s="10"/>
    </row>
    <row r="176" spans="1:19" x14ac:dyDescent="0.25">
      <c r="A176" t="s">
        <v>321</v>
      </c>
      <c r="B176" t="s">
        <v>49</v>
      </c>
      <c r="D176">
        <v>17500</v>
      </c>
      <c r="E176">
        <v>55</v>
      </c>
      <c r="F176" s="11">
        <f t="shared" ref="F176:F181" si="74">(S176*37500000/(L176*M176*D176*E176*K176*J176)-((500/(K176*J176))+(2500000000/(D176*E176*K176*J176)*(D176/100000+E176/100+J176/200))))/(1+5000000/(D176*E176)+(500000000/(D176*E176*J176)))</f>
        <v>12.348508634222918</v>
      </c>
      <c r="G176">
        <v>32000</v>
      </c>
      <c r="H176">
        <v>0.875</v>
      </c>
      <c r="I176">
        <v>112</v>
      </c>
      <c r="J176" s="10">
        <f t="shared" ref="J176:J181" si="75">G176/I176*H176</f>
        <v>250</v>
      </c>
      <c r="K176">
        <v>1</v>
      </c>
      <c r="L176">
        <v>0.5</v>
      </c>
      <c r="M176">
        <v>1</v>
      </c>
      <c r="N176" s="10">
        <f t="shared" ref="N176:N194" si="76">D176/J176</f>
        <v>70</v>
      </c>
      <c r="O176" s="10">
        <f t="shared" ref="O176:O181" si="77">(D176/100000+E176/100+F176*K176/5+J176/200)*200*L176*M176</f>
        <v>444.47017268445836</v>
      </c>
      <c r="P176" s="10">
        <f t="shared" ref="P176:P181" si="78">((D176*E176/25000)+(F176*K176*J176/2.5))*L176*M176</f>
        <v>636.67543171114596</v>
      </c>
      <c r="Q176" s="10">
        <f t="shared" ref="Q176:Q181" si="79">(D176*E176*F176*K176*J176*L176*M176)/12500000</f>
        <v>118.85439560439558</v>
      </c>
      <c r="R176" s="10">
        <f t="shared" ref="R176:R181" si="80">(O176+P176+Q176)/3</f>
        <v>400</v>
      </c>
      <c r="S176">
        <v>400</v>
      </c>
    </row>
    <row r="177" spans="1:19" x14ac:dyDescent="0.25">
      <c r="B177" t="s">
        <v>537</v>
      </c>
      <c r="D177">
        <v>35000</v>
      </c>
      <c r="E177">
        <v>70</v>
      </c>
      <c r="F177" s="11">
        <f t="shared" si="74"/>
        <v>13.980424143556281</v>
      </c>
      <c r="G177">
        <v>70000</v>
      </c>
      <c r="H177">
        <v>1.1000000000000001</v>
      </c>
      <c r="I177">
        <v>140</v>
      </c>
      <c r="J177" s="10">
        <f t="shared" si="75"/>
        <v>550</v>
      </c>
      <c r="K177">
        <v>1</v>
      </c>
      <c r="L177">
        <v>0.5</v>
      </c>
      <c r="M177">
        <v>0.75</v>
      </c>
      <c r="N177" s="10">
        <f t="shared" si="76"/>
        <v>63.636363636363633</v>
      </c>
      <c r="O177" s="10">
        <f t="shared" si="77"/>
        <v>494.70636215334412</v>
      </c>
      <c r="P177" s="10">
        <f t="shared" si="78"/>
        <v>1190.1349918433932</v>
      </c>
      <c r="Q177" s="10">
        <f t="shared" si="79"/>
        <v>565.15864600326267</v>
      </c>
      <c r="R177" s="10">
        <f t="shared" si="80"/>
        <v>750</v>
      </c>
      <c r="S177">
        <v>750</v>
      </c>
    </row>
    <row r="178" spans="1:19" x14ac:dyDescent="0.25">
      <c r="B178" t="s">
        <v>64</v>
      </c>
      <c r="D178">
        <v>32500</v>
      </c>
      <c r="E178">
        <v>75</v>
      </c>
      <c r="F178" s="11">
        <f t="shared" si="74"/>
        <v>12.312493416201413</v>
      </c>
      <c r="G178">
        <v>120000</v>
      </c>
      <c r="H178">
        <v>1.25</v>
      </c>
      <c r="I178">
        <v>142</v>
      </c>
      <c r="J178" s="10">
        <f t="shared" si="75"/>
        <v>1056.338028169014</v>
      </c>
      <c r="K178">
        <v>1</v>
      </c>
      <c r="L178">
        <v>0.5</v>
      </c>
      <c r="M178">
        <v>0.75</v>
      </c>
      <c r="N178" s="10">
        <f t="shared" si="76"/>
        <v>30.766666666666669</v>
      </c>
      <c r="O178" s="10">
        <f t="shared" si="77"/>
        <v>661.43916180640144</v>
      </c>
      <c r="P178" s="10">
        <f t="shared" si="78"/>
        <v>1987.485752567125</v>
      </c>
      <c r="Q178" s="10">
        <f t="shared" si="79"/>
        <v>951.07508562647342</v>
      </c>
      <c r="R178" s="10">
        <f t="shared" si="80"/>
        <v>1200</v>
      </c>
      <c r="S178">
        <v>1200</v>
      </c>
    </row>
    <row r="179" spans="1:19" x14ac:dyDescent="0.25">
      <c r="B179" t="s">
        <v>72</v>
      </c>
      <c r="D179">
        <v>22500</v>
      </c>
      <c r="E179">
        <v>100</v>
      </c>
      <c r="F179" s="11">
        <f t="shared" si="74"/>
        <v>12.640151515151512</v>
      </c>
      <c r="G179">
        <v>48000</v>
      </c>
      <c r="H179">
        <v>0.875</v>
      </c>
      <c r="I179">
        <v>117</v>
      </c>
      <c r="J179" s="10">
        <f t="shared" si="75"/>
        <v>358.97435897435901</v>
      </c>
      <c r="K179">
        <v>1.5</v>
      </c>
      <c r="L179">
        <v>0.5</v>
      </c>
      <c r="M179">
        <v>1</v>
      </c>
      <c r="N179" s="10">
        <f t="shared" si="76"/>
        <v>62.678571428571423</v>
      </c>
      <c r="O179" s="10">
        <f t="shared" si="77"/>
        <v>681.19172494172483</v>
      </c>
      <c r="P179" s="10">
        <f t="shared" si="78"/>
        <v>1406.2470862470859</v>
      </c>
      <c r="Q179" s="10">
        <f t="shared" si="79"/>
        <v>612.56118881118869</v>
      </c>
      <c r="R179" s="10">
        <f t="shared" si="80"/>
        <v>899.99999999999966</v>
      </c>
      <c r="S179">
        <v>900</v>
      </c>
    </row>
    <row r="180" spans="1:19" x14ac:dyDescent="0.25">
      <c r="A180" t="s">
        <v>320</v>
      </c>
      <c r="B180" t="s">
        <v>563</v>
      </c>
      <c r="D180">
        <v>25000</v>
      </c>
      <c r="E180">
        <v>100</v>
      </c>
      <c r="F180" s="11">
        <f t="shared" si="74"/>
        <v>9.5953237410071939</v>
      </c>
      <c r="G180">
        <v>96000</v>
      </c>
      <c r="H180">
        <v>0.875</v>
      </c>
      <c r="I180">
        <v>130</v>
      </c>
      <c r="J180" s="10">
        <f t="shared" si="75"/>
        <v>646.15384615384619</v>
      </c>
      <c r="K180">
        <v>1</v>
      </c>
      <c r="L180">
        <v>0.5</v>
      </c>
      <c r="M180">
        <v>1</v>
      </c>
      <c r="N180" s="10">
        <f t="shared" si="76"/>
        <v>38.69047619047619</v>
      </c>
      <c r="O180" s="10">
        <f t="shared" si="77"/>
        <v>639.98339789706688</v>
      </c>
      <c r="P180" s="10">
        <f t="shared" si="78"/>
        <v>1290.0110680686221</v>
      </c>
      <c r="Q180" s="10">
        <f t="shared" si="79"/>
        <v>620.00553403431104</v>
      </c>
      <c r="R180" s="10">
        <f t="shared" si="80"/>
        <v>850</v>
      </c>
      <c r="S180">
        <v>850</v>
      </c>
    </row>
    <row r="181" spans="1:19" x14ac:dyDescent="0.25">
      <c r="B181" t="s">
        <v>101</v>
      </c>
      <c r="D181">
        <v>30000</v>
      </c>
      <c r="E181">
        <v>85</v>
      </c>
      <c r="F181" s="11">
        <f t="shared" si="74"/>
        <v>14.110691823899371</v>
      </c>
      <c r="G181">
        <v>120000</v>
      </c>
      <c r="H181">
        <v>1.25</v>
      </c>
      <c r="I181">
        <v>120</v>
      </c>
      <c r="J181" s="10">
        <f t="shared" si="75"/>
        <v>1250</v>
      </c>
      <c r="K181">
        <v>1</v>
      </c>
      <c r="L181">
        <v>0.5</v>
      </c>
      <c r="M181">
        <v>0.75</v>
      </c>
      <c r="N181" s="10">
        <f t="shared" si="76"/>
        <v>24</v>
      </c>
      <c r="O181" s="10">
        <f t="shared" si="77"/>
        <v>766.66037735849045</v>
      </c>
      <c r="P181" s="10">
        <f t="shared" si="78"/>
        <v>2684.0047169811323</v>
      </c>
      <c r="Q181" s="10">
        <f t="shared" si="79"/>
        <v>1349.3349056603774</v>
      </c>
      <c r="R181" s="10">
        <f t="shared" si="80"/>
        <v>1600</v>
      </c>
      <c r="S181">
        <v>1600</v>
      </c>
    </row>
    <row r="182" spans="1:19" x14ac:dyDescent="0.25">
      <c r="B182" t="s">
        <v>217</v>
      </c>
      <c r="D182">
        <v>40000</v>
      </c>
      <c r="E182">
        <v>80</v>
      </c>
      <c r="F182" s="11">
        <f t="shared" ref="F182:F204" si="81">(S182*37500000/(L182*M182*D182*E182*K182*J182)-((500/(K182*J182))+(2500000000/(D182*E182*K182*J182)*(D182/100000+E182/100+J182/200))))/(1+5000000/(D182*E182)+(500000000/(D182*E182*J182)))</f>
        <v>12.549507680189048</v>
      </c>
      <c r="G182">
        <v>300000</v>
      </c>
      <c r="H182">
        <v>1</v>
      </c>
      <c r="I182">
        <v>158</v>
      </c>
      <c r="J182" s="10">
        <f>G182/I182*H182</f>
        <v>1898.7341772151899</v>
      </c>
      <c r="K182">
        <v>1</v>
      </c>
      <c r="L182">
        <v>0.5</v>
      </c>
      <c r="M182">
        <v>0.75</v>
      </c>
      <c r="N182" s="10">
        <f t="shared" si="76"/>
        <v>21.066666666666666</v>
      </c>
      <c r="O182" s="10">
        <f>(D182/100000+E182/100+F182*K182/5+J182/200)*200*L182*M182</f>
        <v>990.26793165853201</v>
      </c>
      <c r="P182" s="10">
        <f>((D182*E182/25000)+(F182*K182*J182/2.5))*L182*M182</f>
        <v>3622.2268709399191</v>
      </c>
      <c r="Q182" s="10">
        <f>(D182*E182*F182*K182*J182*L182*M182)/12500000</f>
        <v>2287.5051974015487</v>
      </c>
      <c r="R182" s="10">
        <f>(O182+P182+Q182)/3</f>
        <v>2300</v>
      </c>
      <c r="S182">
        <v>2300</v>
      </c>
    </row>
    <row r="183" spans="1:19" x14ac:dyDescent="0.25">
      <c r="B183" t="s">
        <v>794</v>
      </c>
      <c r="D183">
        <v>50000</v>
      </c>
      <c r="E183">
        <v>75</v>
      </c>
      <c r="F183" s="11">
        <f t="shared" si="81"/>
        <v>13.820224719101125</v>
      </c>
      <c r="G183">
        <v>128000</v>
      </c>
      <c r="H183">
        <v>1.125</v>
      </c>
      <c r="I183">
        <v>150</v>
      </c>
      <c r="J183" s="10">
        <f>G183/I183*H183</f>
        <v>960</v>
      </c>
      <c r="K183">
        <v>1</v>
      </c>
      <c r="L183">
        <v>0.5</v>
      </c>
      <c r="M183">
        <v>0.75</v>
      </c>
      <c r="N183" s="10">
        <f t="shared" si="76"/>
        <v>52.083333333333336</v>
      </c>
      <c r="O183" s="10">
        <f>(D183/100000+E183/100+F183*K183/5+J183/200)*200*L183*M183</f>
        <v>661.05337078651678</v>
      </c>
      <c r="P183" s="10">
        <f>((D183*E183/25000)+(F183*K183*J183/2.5))*L183*M183</f>
        <v>2046.3623595505619</v>
      </c>
      <c r="Q183" s="10">
        <f>(D183*E183*F183*K183*J183*L183*M183)/12500000</f>
        <v>1492.5842696629218</v>
      </c>
      <c r="R183" s="10">
        <f>(O183+P183+Q183)/3</f>
        <v>1400</v>
      </c>
      <c r="S183">
        <v>1400</v>
      </c>
    </row>
    <row r="184" spans="1:19" x14ac:dyDescent="0.25">
      <c r="B184" t="s">
        <v>106</v>
      </c>
      <c r="D184">
        <v>20000</v>
      </c>
      <c r="E184">
        <v>60</v>
      </c>
      <c r="F184" s="11">
        <f t="shared" si="81"/>
        <v>13.349557522123892</v>
      </c>
      <c r="G184">
        <v>30000</v>
      </c>
      <c r="H184">
        <v>1</v>
      </c>
      <c r="I184">
        <v>80</v>
      </c>
      <c r="J184" s="10">
        <f t="shared" ref="J184:J190" si="82">G184/I184*H184</f>
        <v>375</v>
      </c>
      <c r="K184">
        <v>1</v>
      </c>
      <c r="L184">
        <v>0.5</v>
      </c>
      <c r="M184">
        <v>1</v>
      </c>
      <c r="N184" s="10">
        <f t="shared" si="76"/>
        <v>53.333333333333336</v>
      </c>
      <c r="O184" s="10">
        <f t="shared" ref="O184:O190" si="83">(D184/100000+E184/100+F184*K184/5+J184/200)*200*L184*M184</f>
        <v>534.49115044247776</v>
      </c>
      <c r="P184" s="10">
        <f t="shared" ref="P184:P190" si="84">((D184*E184/25000)+(F184*K184*J184/2.5))*L184*M184</f>
        <v>1025.2168141592917</v>
      </c>
      <c r="Q184" s="10">
        <f t="shared" ref="Q184:Q190" si="85">(D184*E184*F184*K184*J184*L184*M184)/12500000</f>
        <v>240.29203539823007</v>
      </c>
      <c r="R184" s="10">
        <f t="shared" ref="R184:R190" si="86">(O184+P184+Q184)/3</f>
        <v>599.99999999999989</v>
      </c>
      <c r="S184">
        <v>600</v>
      </c>
    </row>
    <row r="185" spans="1:19" x14ac:dyDescent="0.25">
      <c r="B185" t="s">
        <v>528</v>
      </c>
      <c r="D185">
        <v>65000</v>
      </c>
      <c r="E185">
        <v>65</v>
      </c>
      <c r="F185" s="11">
        <f t="shared" si="81"/>
        <v>13.514743049705141</v>
      </c>
      <c r="G185">
        <v>200000</v>
      </c>
      <c r="H185">
        <v>0.75</v>
      </c>
      <c r="I185">
        <v>200</v>
      </c>
      <c r="J185" s="10">
        <f t="shared" si="82"/>
        <v>750</v>
      </c>
      <c r="K185">
        <v>1</v>
      </c>
      <c r="L185">
        <v>0.5</v>
      </c>
      <c r="M185">
        <v>0.75</v>
      </c>
      <c r="N185" s="10">
        <f t="shared" si="76"/>
        <v>86.666666666666671</v>
      </c>
      <c r="O185" s="10">
        <f t="shared" si="83"/>
        <v>581.47114574557713</v>
      </c>
      <c r="P185" s="10">
        <f t="shared" si="84"/>
        <v>1583.7835930918286</v>
      </c>
      <c r="Q185" s="10">
        <f t="shared" si="85"/>
        <v>1284.7452611625949</v>
      </c>
      <c r="R185" s="10">
        <f t="shared" si="86"/>
        <v>1150.0000000000002</v>
      </c>
      <c r="S185">
        <v>1150</v>
      </c>
    </row>
    <row r="186" spans="1:19" x14ac:dyDescent="0.25">
      <c r="A186" t="s">
        <v>571</v>
      </c>
      <c r="B186" t="s">
        <v>324</v>
      </c>
      <c r="D186">
        <v>60000</v>
      </c>
      <c r="E186">
        <v>60</v>
      </c>
      <c r="F186" s="11">
        <f t="shared" si="81"/>
        <v>11.995604395604396</v>
      </c>
      <c r="G186">
        <v>144000</v>
      </c>
      <c r="H186">
        <v>1</v>
      </c>
      <c r="I186">
        <v>144</v>
      </c>
      <c r="J186" s="10">
        <f t="shared" si="82"/>
        <v>1000</v>
      </c>
      <c r="K186">
        <v>1.25</v>
      </c>
      <c r="L186">
        <v>0.5</v>
      </c>
      <c r="M186">
        <v>1</v>
      </c>
      <c r="N186" s="10">
        <f t="shared" si="76"/>
        <v>60</v>
      </c>
      <c r="O186" s="10">
        <f t="shared" si="83"/>
        <v>919.89010989011001</v>
      </c>
      <c r="P186" s="10">
        <f t="shared" si="84"/>
        <v>3070.901098901099</v>
      </c>
      <c r="Q186" s="10">
        <f t="shared" si="85"/>
        <v>2159.2087912087914</v>
      </c>
      <c r="R186" s="10">
        <f t="shared" si="86"/>
        <v>2050</v>
      </c>
      <c r="S186">
        <v>2050</v>
      </c>
    </row>
    <row r="187" spans="1:19" x14ac:dyDescent="0.25">
      <c r="B187" t="s">
        <v>896</v>
      </c>
      <c r="D187">
        <v>45000</v>
      </c>
      <c r="E187">
        <v>45</v>
      </c>
      <c r="F187" s="11">
        <f t="shared" si="81"/>
        <v>7.6401864651985214</v>
      </c>
      <c r="G187">
        <v>120000</v>
      </c>
      <c r="H187">
        <v>0.875</v>
      </c>
      <c r="I187">
        <v>80</v>
      </c>
      <c r="J187" s="10">
        <f t="shared" si="82"/>
        <v>1312.5</v>
      </c>
      <c r="K187">
        <v>1.25</v>
      </c>
      <c r="L187">
        <v>0.5</v>
      </c>
      <c r="M187">
        <v>1</v>
      </c>
      <c r="N187" s="10">
        <f t="shared" si="76"/>
        <v>34.285714285714285</v>
      </c>
      <c r="O187" s="10">
        <f t="shared" si="83"/>
        <v>937.25466162996304</v>
      </c>
      <c r="P187" s="10">
        <f t="shared" si="84"/>
        <v>2547.436183893265</v>
      </c>
      <c r="Q187" s="10">
        <f t="shared" si="85"/>
        <v>1015.3091544767723</v>
      </c>
      <c r="R187" s="10">
        <f t="shared" si="86"/>
        <v>1500</v>
      </c>
      <c r="S187">
        <v>1500</v>
      </c>
    </row>
    <row r="188" spans="1:19" x14ac:dyDescent="0.25">
      <c r="B188" t="s">
        <v>887</v>
      </c>
      <c r="D188">
        <v>70000</v>
      </c>
      <c r="E188">
        <v>40</v>
      </c>
      <c r="F188" s="11">
        <f t="shared" si="81"/>
        <v>9.3801941747572819</v>
      </c>
      <c r="G188">
        <v>240000</v>
      </c>
      <c r="H188">
        <v>0.875</v>
      </c>
      <c r="I188">
        <v>123</v>
      </c>
      <c r="J188" s="10">
        <f t="shared" si="82"/>
        <v>1707.3170731707316</v>
      </c>
      <c r="K188">
        <v>1.25</v>
      </c>
      <c r="L188">
        <v>0.5</v>
      </c>
      <c r="M188">
        <v>1</v>
      </c>
      <c r="N188" s="10">
        <f t="shared" si="76"/>
        <v>41</v>
      </c>
      <c r="O188" s="10">
        <f t="shared" si="83"/>
        <v>1198.1633909542979</v>
      </c>
      <c r="P188" s="10">
        <f t="shared" si="84"/>
        <v>4059.741416054937</v>
      </c>
      <c r="Q188" s="10">
        <f t="shared" si="85"/>
        <v>2242.0951929907646</v>
      </c>
      <c r="R188" s="10">
        <f t="shared" si="86"/>
        <v>2500</v>
      </c>
      <c r="S188">
        <v>2500</v>
      </c>
    </row>
    <row r="189" spans="1:19" x14ac:dyDescent="0.25">
      <c r="B189" s="9" t="s">
        <v>877</v>
      </c>
      <c r="D189">
        <v>55000</v>
      </c>
      <c r="E189">
        <v>55</v>
      </c>
      <c r="F189" s="11">
        <f t="shared" si="81"/>
        <v>10.024564327379442</v>
      </c>
      <c r="G189">
        <v>180000</v>
      </c>
      <c r="H189">
        <v>1.125</v>
      </c>
      <c r="I189">
        <v>200</v>
      </c>
      <c r="J189" s="10">
        <f t="shared" si="82"/>
        <v>1012.5</v>
      </c>
      <c r="K189">
        <v>1.25</v>
      </c>
      <c r="L189">
        <v>0.5</v>
      </c>
      <c r="M189">
        <v>0.75</v>
      </c>
      <c r="N189" s="10">
        <f t="shared" si="76"/>
        <v>54.320987654320987</v>
      </c>
      <c r="O189" s="10">
        <f t="shared" si="83"/>
        <v>650.14808113836455</v>
      </c>
      <c r="P189" s="10">
        <f t="shared" si="84"/>
        <v>1948.4758840259412</v>
      </c>
      <c r="Q189" s="10">
        <f t="shared" si="85"/>
        <v>1151.3760348356943</v>
      </c>
      <c r="R189" s="10">
        <f t="shared" si="86"/>
        <v>1250</v>
      </c>
      <c r="S189">
        <v>1250</v>
      </c>
    </row>
    <row r="190" spans="1:19" x14ac:dyDescent="0.25">
      <c r="A190" t="s">
        <v>581</v>
      </c>
      <c r="B190" t="s">
        <v>719</v>
      </c>
      <c r="D190">
        <v>40000</v>
      </c>
      <c r="E190">
        <v>80</v>
      </c>
      <c r="F190" s="11">
        <f t="shared" si="81"/>
        <v>12.356713426853705</v>
      </c>
      <c r="G190">
        <v>48000</v>
      </c>
      <c r="H190">
        <v>1</v>
      </c>
      <c r="I190">
        <v>111</v>
      </c>
      <c r="J190" s="10">
        <f t="shared" si="82"/>
        <v>432.43243243243245</v>
      </c>
      <c r="K190">
        <v>1</v>
      </c>
      <c r="L190">
        <v>0.5</v>
      </c>
      <c r="M190">
        <v>1</v>
      </c>
      <c r="N190" s="10">
        <f t="shared" si="76"/>
        <v>92.5</v>
      </c>
      <c r="O190" s="10">
        <f t="shared" si="83"/>
        <v>583.3504847532904</v>
      </c>
      <c r="P190" s="10">
        <f t="shared" si="84"/>
        <v>1132.688728808969</v>
      </c>
      <c r="Q190" s="10">
        <f t="shared" si="85"/>
        <v>683.96078643774024</v>
      </c>
      <c r="R190" s="10">
        <f t="shared" si="86"/>
        <v>799.99999999999989</v>
      </c>
      <c r="S190">
        <v>800</v>
      </c>
    </row>
    <row r="191" spans="1:19" x14ac:dyDescent="0.25">
      <c r="B191" t="s">
        <v>720</v>
      </c>
      <c r="D191">
        <v>90000</v>
      </c>
      <c r="E191">
        <v>60</v>
      </c>
      <c r="F191" s="11">
        <f t="shared" si="81"/>
        <v>13.595559845559846</v>
      </c>
      <c r="G191">
        <v>56000</v>
      </c>
      <c r="H191">
        <v>1.125</v>
      </c>
      <c r="I191">
        <v>140</v>
      </c>
      <c r="J191" s="10">
        <f>G191/I191*H191</f>
        <v>450</v>
      </c>
      <c r="K191">
        <v>1</v>
      </c>
      <c r="L191">
        <v>0.5</v>
      </c>
      <c r="M191">
        <v>1</v>
      </c>
      <c r="N191" s="10">
        <f t="shared" si="76"/>
        <v>200</v>
      </c>
      <c r="O191" s="10">
        <f t="shared" ref="O191:O204" si="87">(D191/100000+E191/100+F191*K191/5+J191/200)*200*L191*M191</f>
        <v>646.91119691119695</v>
      </c>
      <c r="P191" s="10">
        <f t="shared" ref="P191:P204" si="88">((D191*E191/25000)+(F191*K191*J191/2.5))*L191*M191</f>
        <v>1331.600386100386</v>
      </c>
      <c r="Q191" s="10">
        <f t="shared" ref="Q191:Q204" si="89">(D191*E191*F191*K191*J191*L191*M191)/12500000</f>
        <v>1321.4884169884169</v>
      </c>
      <c r="R191" s="10">
        <f t="shared" ref="R191:R204" si="90">(O191+P191+Q191)/3</f>
        <v>1100</v>
      </c>
      <c r="S191">
        <v>1100</v>
      </c>
    </row>
    <row r="192" spans="1:19" x14ac:dyDescent="0.25">
      <c r="B192" t="s">
        <v>718</v>
      </c>
      <c r="D192">
        <v>62500</v>
      </c>
      <c r="E192">
        <v>90</v>
      </c>
      <c r="F192" s="11">
        <f t="shared" si="81"/>
        <v>11.075424929178469</v>
      </c>
      <c r="G192">
        <v>32000</v>
      </c>
      <c r="H192">
        <v>0.875</v>
      </c>
      <c r="I192">
        <v>111</v>
      </c>
      <c r="J192" s="10">
        <f t="shared" ref="J192:J200" si="91">G192/I192*H192</f>
        <v>252.25225225225228</v>
      </c>
      <c r="K192">
        <v>1</v>
      </c>
      <c r="L192">
        <v>0.5</v>
      </c>
      <c r="M192">
        <v>1</v>
      </c>
      <c r="N192" s="10">
        <f t="shared" si="76"/>
        <v>247.76785714285711</v>
      </c>
      <c r="O192" s="10">
        <f t="shared" si="87"/>
        <v>500.13462470969552</v>
      </c>
      <c r="P192" s="10">
        <f t="shared" si="88"/>
        <v>671.26017660720208</v>
      </c>
      <c r="Q192" s="10">
        <f t="shared" si="89"/>
        <v>628.60519868310246</v>
      </c>
      <c r="R192" s="10">
        <f t="shared" si="90"/>
        <v>600</v>
      </c>
      <c r="S192">
        <v>600</v>
      </c>
    </row>
    <row r="193" spans="1:19" x14ac:dyDescent="0.25">
      <c r="B193" t="s">
        <v>1176</v>
      </c>
      <c r="D193">
        <v>80000</v>
      </c>
      <c r="E193">
        <v>40</v>
      </c>
      <c r="F193" s="11">
        <f t="shared" si="81"/>
        <v>20.129814550641939</v>
      </c>
      <c r="G193">
        <v>160000</v>
      </c>
      <c r="H193">
        <v>1</v>
      </c>
      <c r="I193">
        <v>180</v>
      </c>
      <c r="J193" s="10">
        <f t="shared" si="91"/>
        <v>888.88888888888891</v>
      </c>
      <c r="K193">
        <v>1</v>
      </c>
      <c r="L193">
        <v>0.5</v>
      </c>
      <c r="M193">
        <v>1</v>
      </c>
      <c r="N193" s="10">
        <f t="shared" si="76"/>
        <v>90</v>
      </c>
      <c r="O193" s="10">
        <f t="shared" si="87"/>
        <v>967.04073545728329</v>
      </c>
      <c r="P193" s="10">
        <f t="shared" si="88"/>
        <v>3642.6336978919003</v>
      </c>
      <c r="Q193" s="10">
        <f t="shared" si="89"/>
        <v>2290.3255666508162</v>
      </c>
      <c r="R193" s="10">
        <f t="shared" si="90"/>
        <v>2300</v>
      </c>
      <c r="S193">
        <v>2300</v>
      </c>
    </row>
    <row r="194" spans="1:19" x14ac:dyDescent="0.25">
      <c r="A194" t="s">
        <v>707</v>
      </c>
      <c r="B194" t="s">
        <v>528</v>
      </c>
      <c r="D194">
        <v>45000</v>
      </c>
      <c r="E194">
        <v>45</v>
      </c>
      <c r="F194" s="11">
        <f t="shared" si="81"/>
        <v>14.451713395638631</v>
      </c>
      <c r="G194">
        <v>90000</v>
      </c>
      <c r="H194">
        <v>1</v>
      </c>
      <c r="I194">
        <v>180</v>
      </c>
      <c r="J194" s="10">
        <f t="shared" si="91"/>
        <v>500</v>
      </c>
      <c r="K194">
        <v>1</v>
      </c>
      <c r="L194">
        <v>0.5</v>
      </c>
      <c r="M194">
        <v>1</v>
      </c>
      <c r="N194" s="10">
        <f t="shared" si="76"/>
        <v>90</v>
      </c>
      <c r="O194" s="10">
        <f t="shared" si="87"/>
        <v>629.03426791277252</v>
      </c>
      <c r="P194" s="10">
        <f t="shared" si="88"/>
        <v>1485.6713395638631</v>
      </c>
      <c r="Q194" s="10">
        <f t="shared" si="89"/>
        <v>585.29439252336454</v>
      </c>
      <c r="R194" s="10">
        <f t="shared" si="90"/>
        <v>900</v>
      </c>
      <c r="S194">
        <v>900</v>
      </c>
    </row>
    <row r="195" spans="1:19" x14ac:dyDescent="0.25">
      <c r="B195" t="s">
        <v>714</v>
      </c>
      <c r="D195">
        <v>40000</v>
      </c>
      <c r="E195">
        <v>40</v>
      </c>
      <c r="F195" s="11">
        <f t="shared" si="81"/>
        <v>13.407894736842104</v>
      </c>
      <c r="G195">
        <v>120000</v>
      </c>
      <c r="H195">
        <v>1</v>
      </c>
      <c r="I195">
        <v>240</v>
      </c>
      <c r="J195" s="10">
        <f t="shared" si="91"/>
        <v>500</v>
      </c>
      <c r="K195">
        <v>1</v>
      </c>
      <c r="L195">
        <v>0.5</v>
      </c>
      <c r="M195">
        <v>1</v>
      </c>
      <c r="N195" s="10">
        <f t="shared" ref="N195:N203" si="92">D195/J195</f>
        <v>80</v>
      </c>
      <c r="O195" s="10">
        <f t="shared" si="87"/>
        <v>598.15789473684208</v>
      </c>
      <c r="P195" s="10">
        <f t="shared" si="88"/>
        <v>1372.7894736842104</v>
      </c>
      <c r="Q195" s="10">
        <f t="shared" si="89"/>
        <v>429.05263157894728</v>
      </c>
      <c r="R195" s="10">
        <f t="shared" si="90"/>
        <v>800</v>
      </c>
      <c r="S195">
        <v>800</v>
      </c>
    </row>
    <row r="196" spans="1:19" x14ac:dyDescent="0.25">
      <c r="B196" t="s">
        <v>1019</v>
      </c>
      <c r="D196">
        <v>70000</v>
      </c>
      <c r="E196">
        <v>70</v>
      </c>
      <c r="F196" s="11">
        <f t="shared" si="81"/>
        <v>11.20673076923077</v>
      </c>
      <c r="G196">
        <v>140000</v>
      </c>
      <c r="H196">
        <v>1</v>
      </c>
      <c r="I196">
        <v>140</v>
      </c>
      <c r="J196" s="10">
        <f t="shared" si="91"/>
        <v>1000</v>
      </c>
      <c r="K196">
        <v>1</v>
      </c>
      <c r="L196">
        <v>0.5</v>
      </c>
      <c r="M196">
        <v>1</v>
      </c>
      <c r="N196" s="10">
        <f t="shared" si="92"/>
        <v>70</v>
      </c>
      <c r="O196" s="10">
        <f t="shared" si="87"/>
        <v>864.13461538461536</v>
      </c>
      <c r="P196" s="10">
        <f t="shared" si="88"/>
        <v>2339.3461538461538</v>
      </c>
      <c r="Q196" s="10">
        <f t="shared" si="89"/>
        <v>2196.5192307692309</v>
      </c>
      <c r="R196" s="10">
        <f t="shared" si="90"/>
        <v>1800</v>
      </c>
      <c r="S196">
        <v>1800</v>
      </c>
    </row>
    <row r="197" spans="1:19" x14ac:dyDescent="0.25">
      <c r="A197" t="s">
        <v>629</v>
      </c>
      <c r="B197" t="s">
        <v>228</v>
      </c>
      <c r="D197">
        <v>37500</v>
      </c>
      <c r="E197">
        <v>75</v>
      </c>
      <c r="F197" s="11">
        <f t="shared" si="81"/>
        <v>20.040381791483117</v>
      </c>
      <c r="G197">
        <v>90000</v>
      </c>
      <c r="H197">
        <v>1</v>
      </c>
      <c r="I197">
        <v>126</v>
      </c>
      <c r="J197" s="10">
        <f t="shared" si="91"/>
        <v>714.28571428571433</v>
      </c>
      <c r="K197">
        <v>1</v>
      </c>
      <c r="L197">
        <v>0.25</v>
      </c>
      <c r="M197">
        <v>1</v>
      </c>
      <c r="N197" s="10">
        <f t="shared" si="92"/>
        <v>52.499999999999993</v>
      </c>
      <c r="O197" s="10">
        <f t="shared" si="87"/>
        <v>435.22524648625972</v>
      </c>
      <c r="P197" s="10">
        <f t="shared" si="88"/>
        <v>1459.5808422487942</v>
      </c>
      <c r="Q197" s="10">
        <f t="shared" si="89"/>
        <v>805.19391126494679</v>
      </c>
      <c r="R197" s="10">
        <f t="shared" si="90"/>
        <v>900.00000000000034</v>
      </c>
      <c r="S197">
        <v>900</v>
      </c>
    </row>
    <row r="198" spans="1:19" x14ac:dyDescent="0.25">
      <c r="A198" t="s">
        <v>724</v>
      </c>
      <c r="B198" t="s">
        <v>349</v>
      </c>
      <c r="D198">
        <v>25000</v>
      </c>
      <c r="E198">
        <v>125</v>
      </c>
      <c r="F198" s="11">
        <f t="shared" si="81"/>
        <v>9</v>
      </c>
      <c r="G198">
        <v>24000</v>
      </c>
      <c r="H198">
        <v>1</v>
      </c>
      <c r="I198">
        <v>60</v>
      </c>
      <c r="J198" s="10">
        <f t="shared" si="91"/>
        <v>400</v>
      </c>
      <c r="K198">
        <v>1.25</v>
      </c>
      <c r="L198">
        <v>0.5</v>
      </c>
      <c r="M198">
        <v>1</v>
      </c>
      <c r="N198" s="10">
        <f t="shared" si="92"/>
        <v>62.5</v>
      </c>
      <c r="O198" s="10">
        <f t="shared" si="87"/>
        <v>575</v>
      </c>
      <c r="P198" s="10">
        <f t="shared" si="88"/>
        <v>962.5</v>
      </c>
      <c r="Q198" s="10">
        <f t="shared" si="89"/>
        <v>562.5</v>
      </c>
      <c r="R198" s="10">
        <f t="shared" si="90"/>
        <v>700</v>
      </c>
      <c r="S198">
        <v>700</v>
      </c>
    </row>
    <row r="199" spans="1:19" x14ac:dyDescent="0.25">
      <c r="B199" t="s">
        <v>347</v>
      </c>
      <c r="D199">
        <v>40000</v>
      </c>
      <c r="E199">
        <v>60</v>
      </c>
      <c r="F199" s="11">
        <f t="shared" si="81"/>
        <v>16.11756373937677</v>
      </c>
      <c r="G199">
        <v>160000</v>
      </c>
      <c r="H199">
        <v>1.125</v>
      </c>
      <c r="I199">
        <v>160</v>
      </c>
      <c r="J199" s="10">
        <f t="shared" si="91"/>
        <v>1125</v>
      </c>
      <c r="K199">
        <v>1</v>
      </c>
      <c r="L199">
        <v>0.5</v>
      </c>
      <c r="M199">
        <v>0.75</v>
      </c>
      <c r="N199" s="10">
        <f t="shared" si="92"/>
        <v>35.555555555555557</v>
      </c>
      <c r="O199" s="10">
        <f t="shared" si="87"/>
        <v>738.63845609065152</v>
      </c>
      <c r="P199" s="10">
        <f t="shared" si="88"/>
        <v>2755.8388810198303</v>
      </c>
      <c r="Q199" s="10">
        <f t="shared" si="89"/>
        <v>1305.5226628895182</v>
      </c>
      <c r="R199" s="10">
        <f t="shared" si="90"/>
        <v>1600</v>
      </c>
      <c r="S199">
        <v>1600</v>
      </c>
    </row>
    <row r="200" spans="1:19" x14ac:dyDescent="0.25">
      <c r="B200" t="s">
        <v>432</v>
      </c>
      <c r="D200">
        <v>35000</v>
      </c>
      <c r="E200">
        <v>80</v>
      </c>
      <c r="F200" s="11">
        <f t="shared" si="81"/>
        <v>11.997303543913715</v>
      </c>
      <c r="G200">
        <v>240000</v>
      </c>
      <c r="H200">
        <v>1</v>
      </c>
      <c r="I200">
        <v>150</v>
      </c>
      <c r="J200" s="10">
        <f t="shared" si="91"/>
        <v>1600</v>
      </c>
      <c r="K200">
        <v>1</v>
      </c>
      <c r="L200">
        <v>0.5</v>
      </c>
      <c r="M200">
        <v>0.75</v>
      </c>
      <c r="N200" s="10">
        <f t="shared" si="92"/>
        <v>21.875</v>
      </c>
      <c r="O200" s="10">
        <f t="shared" si="87"/>
        <v>866.2095531587056</v>
      </c>
      <c r="P200" s="10">
        <f t="shared" si="88"/>
        <v>2921.3528505392915</v>
      </c>
      <c r="Q200" s="10">
        <f t="shared" si="89"/>
        <v>1612.4375963020032</v>
      </c>
      <c r="R200" s="10">
        <f t="shared" si="90"/>
        <v>1800</v>
      </c>
      <c r="S200">
        <v>1800</v>
      </c>
    </row>
    <row r="201" spans="1:19" x14ac:dyDescent="0.25">
      <c r="B201" t="s">
        <v>1121</v>
      </c>
      <c r="D201">
        <v>100000</v>
      </c>
      <c r="E201">
        <v>75</v>
      </c>
      <c r="F201" s="11">
        <f t="shared" si="81"/>
        <v>37.217741935483879</v>
      </c>
      <c r="G201">
        <v>120000</v>
      </c>
      <c r="H201">
        <v>5</v>
      </c>
      <c r="I201">
        <v>500</v>
      </c>
      <c r="J201" s="10">
        <f>G201/I201*H201</f>
        <v>1200</v>
      </c>
      <c r="K201">
        <v>1</v>
      </c>
      <c r="L201">
        <v>0.5</v>
      </c>
      <c r="M201">
        <v>0.75</v>
      </c>
      <c r="N201" s="10">
        <f t="shared" si="92"/>
        <v>83.333333333333329</v>
      </c>
      <c r="O201" s="10">
        <f t="shared" si="87"/>
        <v>1139.516129032258</v>
      </c>
      <c r="P201" s="10">
        <f t="shared" si="88"/>
        <v>6811.6935483870984</v>
      </c>
      <c r="Q201" s="10">
        <f t="shared" si="89"/>
        <v>10048.790322580648</v>
      </c>
      <c r="R201" s="10">
        <f t="shared" si="90"/>
        <v>6000.0000000000009</v>
      </c>
      <c r="S201">
        <v>6000</v>
      </c>
    </row>
    <row r="202" spans="1:19" x14ac:dyDescent="0.25">
      <c r="B202" t="s">
        <v>361</v>
      </c>
      <c r="D202">
        <v>52500</v>
      </c>
      <c r="E202">
        <v>100</v>
      </c>
      <c r="F202" s="11">
        <f t="shared" si="81"/>
        <v>5.1496800731261425</v>
      </c>
      <c r="G202">
        <v>24000</v>
      </c>
      <c r="H202">
        <v>1</v>
      </c>
      <c r="I202">
        <v>55</v>
      </c>
      <c r="J202" s="10">
        <f>G202/I202*H202</f>
        <v>436.36363636363637</v>
      </c>
      <c r="K202">
        <v>1</v>
      </c>
      <c r="L202">
        <v>1</v>
      </c>
      <c r="M202">
        <v>1</v>
      </c>
      <c r="N202" s="10">
        <f t="shared" si="92"/>
        <v>120.3125</v>
      </c>
      <c r="O202" s="10">
        <f t="shared" si="87"/>
        <v>947.3508392886821</v>
      </c>
      <c r="P202" s="10">
        <f t="shared" si="88"/>
        <v>1108.8532491274723</v>
      </c>
      <c r="Q202" s="10">
        <f t="shared" si="89"/>
        <v>943.79591158384562</v>
      </c>
      <c r="R202" s="10">
        <f t="shared" si="90"/>
        <v>1000</v>
      </c>
      <c r="S202">
        <v>1000</v>
      </c>
    </row>
    <row r="203" spans="1:19" x14ac:dyDescent="0.25">
      <c r="B203" t="s">
        <v>362</v>
      </c>
      <c r="D203">
        <v>52500</v>
      </c>
      <c r="E203">
        <v>66</v>
      </c>
      <c r="F203" s="11">
        <f t="shared" si="81"/>
        <v>11.24591578023886</v>
      </c>
      <c r="G203">
        <v>66666</v>
      </c>
      <c r="H203">
        <v>1</v>
      </c>
      <c r="I203">
        <v>111</v>
      </c>
      <c r="J203" s="10">
        <f>G203/I203*H203</f>
        <v>600.59459459459458</v>
      </c>
      <c r="K203">
        <v>1</v>
      </c>
      <c r="L203">
        <v>0.5</v>
      </c>
      <c r="M203">
        <v>1</v>
      </c>
      <c r="N203" s="10">
        <f t="shared" si="92"/>
        <v>87.413374133741343</v>
      </c>
      <c r="O203" s="10">
        <f t="shared" si="87"/>
        <v>643.71561290207455</v>
      </c>
      <c r="P203" s="10">
        <f t="shared" si="88"/>
        <v>1420.1472457755024</v>
      </c>
      <c r="Q203" s="10">
        <f t="shared" si="89"/>
        <v>936.1371413224233</v>
      </c>
      <c r="R203" s="10">
        <f t="shared" si="90"/>
        <v>1000</v>
      </c>
      <c r="S203">
        <v>1000</v>
      </c>
    </row>
    <row r="204" spans="1:19" x14ac:dyDescent="0.25">
      <c r="B204" t="s">
        <v>1174</v>
      </c>
      <c r="D204">
        <v>62500</v>
      </c>
      <c r="E204">
        <v>60</v>
      </c>
      <c r="F204" s="11">
        <f t="shared" si="81"/>
        <v>16.636235955056186</v>
      </c>
      <c r="G204">
        <v>192000</v>
      </c>
      <c r="H204">
        <v>1</v>
      </c>
      <c r="I204">
        <v>200</v>
      </c>
      <c r="J204" s="10">
        <f>G204/I204*H204</f>
        <v>960</v>
      </c>
      <c r="K204">
        <v>1</v>
      </c>
      <c r="L204">
        <v>0.5</v>
      </c>
      <c r="M204">
        <v>1</v>
      </c>
      <c r="N204" s="10">
        <f>D204/J204</f>
        <v>65.104166666666671</v>
      </c>
      <c r="O204" s="10">
        <f t="shared" si="87"/>
        <v>935.2247191011237</v>
      </c>
      <c r="P204" s="10">
        <f t="shared" si="88"/>
        <v>3269.1573033707878</v>
      </c>
      <c r="Q204" s="10">
        <f t="shared" si="89"/>
        <v>2395.6179775280907</v>
      </c>
      <c r="R204" s="10">
        <f t="shared" si="90"/>
        <v>2200.0000000000005</v>
      </c>
      <c r="S204">
        <v>2200</v>
      </c>
    </row>
    <row r="206" spans="1:19" x14ac:dyDescent="0.25">
      <c r="B206" t="s">
        <v>526</v>
      </c>
      <c r="D206">
        <v>125000</v>
      </c>
      <c r="E206">
        <v>125</v>
      </c>
      <c r="F206">
        <v>7.5</v>
      </c>
      <c r="G206">
        <v>32000</v>
      </c>
      <c r="H206">
        <v>0.875</v>
      </c>
      <c r="I206">
        <v>75</v>
      </c>
      <c r="J206" s="10">
        <f>G206/I206*H206</f>
        <v>373.33333333333337</v>
      </c>
      <c r="K206">
        <v>1</v>
      </c>
      <c r="L206">
        <v>1</v>
      </c>
      <c r="M206">
        <v>0.5</v>
      </c>
      <c r="O206" s="10">
        <f>(D206/100000+E206/100+F206*K206/5+J206/200)*200*L206*M206</f>
        <v>586.66666666666674</v>
      </c>
      <c r="P206" s="10">
        <f>((D206*E206/25000)+(F206*K206*J206/2.5))*L206*M206</f>
        <v>872.50000000000011</v>
      </c>
      <c r="Q206" s="10">
        <f>(D206*E206*F206*K206*J206*L206*M206)/12500000</f>
        <v>1750.0000000000002</v>
      </c>
      <c r="R206" s="10">
        <f>(O206+P206+Q206)/3</f>
        <v>1069.7222222222224</v>
      </c>
      <c r="S206">
        <v>1700</v>
      </c>
    </row>
    <row r="207" spans="1:19" x14ac:dyDescent="0.25">
      <c r="B207" t="s">
        <v>527</v>
      </c>
      <c r="D207">
        <v>125000</v>
      </c>
      <c r="E207">
        <v>125</v>
      </c>
      <c r="F207">
        <v>7.5</v>
      </c>
      <c r="G207">
        <v>50000</v>
      </c>
      <c r="H207">
        <v>1</v>
      </c>
      <c r="I207">
        <v>75</v>
      </c>
      <c r="J207" s="10">
        <f>G207/I207*H207</f>
        <v>666.66666666666663</v>
      </c>
      <c r="K207">
        <v>1</v>
      </c>
      <c r="L207">
        <v>1</v>
      </c>
      <c r="M207">
        <v>0.5</v>
      </c>
      <c r="O207" s="10">
        <f>(D207/100000+E207/100+F207*K207/5+J207/200)*200*L207*M207</f>
        <v>733.33333333333326</v>
      </c>
      <c r="P207" s="10">
        <f>((D207*E207/25000)+(F207*K207*J207/2.5))*L207*M207</f>
        <v>1312.5</v>
      </c>
      <c r="Q207" s="10">
        <f>(D207*E207*F207*K207*J207*L207*M207)/12500000</f>
        <v>3125</v>
      </c>
      <c r="R207" s="10">
        <f>(O207+P207+Q207)/3</f>
        <v>1723.6111111111111</v>
      </c>
      <c r="S207">
        <v>2800</v>
      </c>
    </row>
    <row r="209" spans="2:19" x14ac:dyDescent="0.25">
      <c r="B209" t="s">
        <v>461</v>
      </c>
    </row>
    <row r="210" spans="2:19" x14ac:dyDescent="0.25">
      <c r="J210" s="10"/>
      <c r="O210" s="10"/>
      <c r="P210" s="10"/>
      <c r="Q210" s="10"/>
      <c r="R210" s="10"/>
    </row>
    <row r="215" spans="2:19" x14ac:dyDescent="0.25">
      <c r="B215" t="s">
        <v>372</v>
      </c>
      <c r="D215">
        <v>45000</v>
      </c>
      <c r="E215">
        <v>110</v>
      </c>
      <c r="F215">
        <v>6.6660000000000004</v>
      </c>
      <c r="G215">
        <v>32000</v>
      </c>
      <c r="H215">
        <v>0.75</v>
      </c>
      <c r="I215">
        <v>30</v>
      </c>
      <c r="J215" s="10">
        <f>G215/I215*H215</f>
        <v>800</v>
      </c>
      <c r="K215">
        <v>1</v>
      </c>
      <c r="L215">
        <v>1</v>
      </c>
      <c r="M215">
        <v>1</v>
      </c>
      <c r="O215" s="10">
        <f>(D215/100000+E215/100+F215*K215/5+J215/200)*200*L215*M215</f>
        <v>1376.64</v>
      </c>
      <c r="P215" s="10">
        <f>((D215*E215/25000)+(F215*K215*J215/2.5))*L215*M215</f>
        <v>2331.12</v>
      </c>
      <c r="Q215" s="10">
        <f>(D215*E215*F215*K215*J215*L215*M215)/12500000</f>
        <v>2111.7887999999998</v>
      </c>
      <c r="R215" s="10">
        <f>(O215+P215+Q215)/3</f>
        <v>1939.8496000000002</v>
      </c>
      <c r="S215">
        <v>2000</v>
      </c>
    </row>
    <row r="216" spans="2:19" x14ac:dyDescent="0.25">
      <c r="B216" t="s">
        <v>373</v>
      </c>
      <c r="D216">
        <v>25000</v>
      </c>
      <c r="E216">
        <v>150</v>
      </c>
      <c r="F216">
        <v>6.6660000000000004</v>
      </c>
      <c r="G216">
        <v>6000</v>
      </c>
      <c r="H216">
        <v>1</v>
      </c>
      <c r="I216">
        <v>10</v>
      </c>
      <c r="J216" s="10">
        <f>G216/I216*H216</f>
        <v>600</v>
      </c>
      <c r="K216">
        <v>1</v>
      </c>
      <c r="L216">
        <v>1</v>
      </c>
      <c r="M216">
        <v>1</v>
      </c>
      <c r="O216" s="10">
        <f>(D216/100000+E216/100+F216*K216/5+J216/200)*200*L216*M216</f>
        <v>1216.6399999999999</v>
      </c>
      <c r="P216" s="10">
        <f>((D216*E216/25000)+(F216*K216*J216/2.5))*L216*M216</f>
        <v>1749.8400000000001</v>
      </c>
      <c r="Q216" s="10">
        <f>(D216*E216*F216*K216*J216*L216*M216)/12500000</f>
        <v>1199.8800000000001</v>
      </c>
      <c r="R216" s="10">
        <f>(O216+P216+Q216)/3</f>
        <v>1388.7866666666669</v>
      </c>
      <c r="S216">
        <v>1200</v>
      </c>
    </row>
    <row r="232" spans="2:19" x14ac:dyDescent="0.25">
      <c r="B232" t="s">
        <v>350</v>
      </c>
      <c r="D232">
        <v>115000</v>
      </c>
      <c r="E232">
        <v>65</v>
      </c>
      <c r="F232">
        <v>9</v>
      </c>
      <c r="G232">
        <v>24000</v>
      </c>
      <c r="H232">
        <v>1</v>
      </c>
      <c r="I232">
        <v>60</v>
      </c>
      <c r="J232" s="10">
        <f>G232/I232*H232</f>
        <v>400</v>
      </c>
      <c r="K232">
        <v>1</v>
      </c>
      <c r="L232">
        <v>1</v>
      </c>
      <c r="M232">
        <v>1</v>
      </c>
      <c r="O232" s="10">
        <f>(D232/100000+E232/100+F232*K232/5+J232/200)*200*L232*M232</f>
        <v>1120</v>
      </c>
      <c r="P232" s="10">
        <f>((D232*E232/25000)+(F232*K232*J232/2.5))*L232*M232</f>
        <v>1739</v>
      </c>
      <c r="Q232" s="10">
        <f>(D232*E232*F232*K232*J232*L232*M232)/12500000</f>
        <v>2152.8000000000002</v>
      </c>
      <c r="R232" s="10">
        <f>(O232+P232+Q232)/3</f>
        <v>1670.6000000000001</v>
      </c>
      <c r="S232">
        <v>2000</v>
      </c>
    </row>
    <row r="233" spans="2:19" x14ac:dyDescent="0.25">
      <c r="B233" t="s">
        <v>351</v>
      </c>
      <c r="D233">
        <v>175000</v>
      </c>
      <c r="E233">
        <v>50</v>
      </c>
      <c r="F233">
        <v>10</v>
      </c>
      <c r="G233">
        <v>36000</v>
      </c>
      <c r="H233">
        <v>1</v>
      </c>
      <c r="I233">
        <v>75</v>
      </c>
      <c r="J233" s="10">
        <f>G233/I233*H233</f>
        <v>480</v>
      </c>
      <c r="K233">
        <v>1</v>
      </c>
      <c r="L233">
        <v>1</v>
      </c>
      <c r="M233">
        <v>1</v>
      </c>
      <c r="O233" s="10">
        <f>(D233/100000+E233/100+F233*K233/5+J233/200)*200*L233*M233</f>
        <v>1330</v>
      </c>
      <c r="P233" s="10">
        <f>((D233*E233/25000)+(F233*K233*J233/2.5))*L233*M233</f>
        <v>2270</v>
      </c>
      <c r="Q233" s="10">
        <f>(D233*E233*F233*K233*J233*L233*M233)/12500000</f>
        <v>3360</v>
      </c>
      <c r="R233" s="10">
        <f>(O233+P233+Q233)/3</f>
        <v>2320</v>
      </c>
      <c r="S233">
        <v>3000</v>
      </c>
    </row>
    <row r="244" spans="2:19" x14ac:dyDescent="0.25">
      <c r="B244" t="s">
        <v>471</v>
      </c>
      <c r="D244">
        <v>37500</v>
      </c>
      <c r="E244">
        <v>160</v>
      </c>
      <c r="F244">
        <v>3.3330000000000002</v>
      </c>
      <c r="G244">
        <v>32000</v>
      </c>
      <c r="H244">
        <v>1</v>
      </c>
      <c r="I244">
        <v>25</v>
      </c>
      <c r="J244" s="10">
        <f>G244/I244*H244</f>
        <v>1280</v>
      </c>
      <c r="K244">
        <v>1</v>
      </c>
      <c r="L244">
        <v>1</v>
      </c>
      <c r="M244">
        <v>1</v>
      </c>
      <c r="O244" s="10">
        <f>(D244/100000+E244/100+F244*K244/5+J244/200)*200*L244*M244</f>
        <v>1808.3200000000002</v>
      </c>
      <c r="P244" s="10">
        <f>((D244*E244/25000)+(F244*K244*J244/2.5))*L244*M244</f>
        <v>1946.4959999999999</v>
      </c>
      <c r="Q244" s="10">
        <f>(D244*E244*F244*K244*J244*L244*M244)/12500000</f>
        <v>2047.7952</v>
      </c>
      <c r="R244" s="10">
        <f>(O244+P244+Q244)/3</f>
        <v>1934.203733333333</v>
      </c>
      <c r="S244">
        <v>2000</v>
      </c>
    </row>
    <row r="247" spans="2:19" x14ac:dyDescent="0.25">
      <c r="B247" t="s">
        <v>205</v>
      </c>
    </row>
    <row r="257" spans="2:19" x14ac:dyDescent="0.25">
      <c r="B257" t="s">
        <v>361</v>
      </c>
      <c r="D257">
        <v>42500</v>
      </c>
      <c r="E257">
        <v>100</v>
      </c>
      <c r="F257">
        <v>5</v>
      </c>
      <c r="G257">
        <v>8000</v>
      </c>
      <c r="H257">
        <v>3.33</v>
      </c>
      <c r="I257">
        <v>55</v>
      </c>
      <c r="J257" s="10">
        <f>G257/I257*H257</f>
        <v>484.36363636363643</v>
      </c>
      <c r="K257">
        <v>1</v>
      </c>
      <c r="L257">
        <v>1</v>
      </c>
      <c r="M257">
        <v>1</v>
      </c>
      <c r="O257" s="10">
        <f>(D257/100000+E257/100+F257*K257/5+J257/200)*200*L257*M257</f>
        <v>969.36363636363649</v>
      </c>
      <c r="P257" s="10">
        <f>((D257*E257/25000)+(F257*K257*J257/2.5))*L257*M257</f>
        <v>1138.7272727272727</v>
      </c>
      <c r="Q257" s="10">
        <f>(D257*E257*F257*K257*J257*L257*M257)/12500000</f>
        <v>823.41818181818189</v>
      </c>
      <c r="R257" s="10">
        <f>(O257+P257+Q257)/3</f>
        <v>977.16969696969693</v>
      </c>
      <c r="S257">
        <v>800</v>
      </c>
    </row>
    <row r="258" spans="2:19" x14ac:dyDescent="0.25">
      <c r="B258" t="s">
        <v>362</v>
      </c>
      <c r="D258">
        <v>42500</v>
      </c>
      <c r="E258">
        <v>66</v>
      </c>
      <c r="F258">
        <v>11.111000000000001</v>
      </c>
      <c r="G258">
        <v>33333</v>
      </c>
      <c r="H258">
        <v>1</v>
      </c>
      <c r="I258">
        <v>111</v>
      </c>
      <c r="J258" s="10">
        <f>G258/I258*H258</f>
        <v>300.29729729729729</v>
      </c>
      <c r="K258">
        <v>1</v>
      </c>
      <c r="L258">
        <v>1</v>
      </c>
      <c r="M258">
        <v>1</v>
      </c>
      <c r="O258" s="10">
        <f>(D258/100000+E258/100+F258*K258/5+J258/200)*200*L258*M258</f>
        <v>961.73729729729735</v>
      </c>
      <c r="P258" s="10">
        <f>((D258*E258/25000)+(F258*K258*J258/2.5))*L258*M258</f>
        <v>1446.8413081081083</v>
      </c>
      <c r="Q258" s="10">
        <f>(D258*E258*F258*K258*J258*L258*M258)/12500000</f>
        <v>748.73377384864864</v>
      </c>
      <c r="R258" s="10">
        <f>(O258+P258+Q258)/3</f>
        <v>1052.4374597513513</v>
      </c>
      <c r="S258">
        <v>800</v>
      </c>
    </row>
  </sheetData>
  <pageMargins left="0.7" right="0.7" top="0.78740157499999996" bottom="0.78740157499999996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9FEA2-D3DD-4DC6-8BF1-C6CB6449791A}">
  <dimension ref="A2:S150"/>
  <sheetViews>
    <sheetView workbookViewId="0">
      <selection activeCell="O4" sqref="O4"/>
    </sheetView>
  </sheetViews>
  <sheetFormatPr baseColWidth="10" defaultRowHeight="15" x14ac:dyDescent="0.25"/>
  <cols>
    <col min="1" max="1" width="23.28515625" bestFit="1" customWidth="1"/>
    <col min="2" max="2" width="23.5703125" bestFit="1" customWidth="1"/>
    <col min="3" max="3" width="17.28515625" bestFit="1" customWidth="1"/>
    <col min="4" max="4" width="8.85546875" customWidth="1"/>
    <col min="5" max="5" width="7" bestFit="1" customWidth="1"/>
    <col min="6" max="6" width="8.140625" bestFit="1" customWidth="1"/>
    <col min="7" max="7" width="12.5703125" bestFit="1" customWidth="1"/>
  </cols>
  <sheetData>
    <row r="2" spans="1:19" x14ac:dyDescent="0.25">
      <c r="B2" t="s">
        <v>412</v>
      </c>
      <c r="D2" t="s">
        <v>36</v>
      </c>
      <c r="E2" t="s">
        <v>37</v>
      </c>
      <c r="F2" t="s">
        <v>38</v>
      </c>
      <c r="G2" t="s">
        <v>39</v>
      </c>
      <c r="H2" t="s">
        <v>181</v>
      </c>
      <c r="I2" t="s">
        <v>40</v>
      </c>
      <c r="J2" s="10" t="s">
        <v>544</v>
      </c>
      <c r="K2" t="s">
        <v>142</v>
      </c>
      <c r="L2" t="s">
        <v>182</v>
      </c>
      <c r="M2" t="s">
        <v>385</v>
      </c>
      <c r="O2" s="10"/>
      <c r="P2" s="10"/>
      <c r="Q2" s="10"/>
      <c r="R2" s="10"/>
      <c r="S2" t="s">
        <v>41</v>
      </c>
    </row>
    <row r="3" spans="1:19" x14ac:dyDescent="0.25">
      <c r="J3" s="10"/>
      <c r="O3" s="10"/>
      <c r="P3" s="10"/>
      <c r="Q3" s="10"/>
      <c r="R3" s="10"/>
    </row>
    <row r="4" spans="1:19" x14ac:dyDescent="0.25">
      <c r="A4" t="s">
        <v>321</v>
      </c>
      <c r="B4" t="s">
        <v>55</v>
      </c>
      <c r="D4">
        <v>32500</v>
      </c>
      <c r="E4">
        <v>175</v>
      </c>
      <c r="F4" s="11">
        <f t="shared" ref="F4:F43" si="0">(S4*37500000/(L4*M4*D4*E4*K4*J4)-((500/(K4*J4))+(2500000000/(D4*E4*K4*J4)*(D4/100000+E4/100+J4/200))))/(1+5000000/(D4*E4)+(500000000/(D4*E4*J4)))</f>
        <v>5.4422018348623853</v>
      </c>
      <c r="G4">
        <v>12000</v>
      </c>
      <c r="H4">
        <v>1</v>
      </c>
      <c r="I4">
        <v>16</v>
      </c>
      <c r="J4" s="10">
        <f t="shared" ref="J4:J14" si="1">G4/I4*H4</f>
        <v>750</v>
      </c>
      <c r="K4">
        <v>1</v>
      </c>
      <c r="L4">
        <v>1</v>
      </c>
      <c r="M4">
        <v>1</v>
      </c>
      <c r="O4" s="10">
        <f t="shared" ref="O4:O14" si="2">(D4/100000+E4/100+F4*K4/5+J4/200)*200*L4*M4</f>
        <v>1382.6880733944954</v>
      </c>
      <c r="P4" s="10">
        <f t="shared" ref="P4:P14" si="3">((D4*E4/25000)+(F4*K4*J4/2.5))*L4*M4</f>
        <v>1860.1605504587155</v>
      </c>
      <c r="Q4" s="10">
        <f t="shared" ref="Q4:Q14" si="4">(D4*E4*F4*K4*J4*L4*M4)/12500000</f>
        <v>1857.1513761467888</v>
      </c>
      <c r="R4" s="10">
        <f t="shared" ref="R4:R14" si="5">(O4+P4+Q4)/3</f>
        <v>1700</v>
      </c>
      <c r="S4">
        <v>1700</v>
      </c>
    </row>
    <row r="5" spans="1:19" x14ac:dyDescent="0.25">
      <c r="B5" t="s">
        <v>54</v>
      </c>
      <c r="D5">
        <v>45000</v>
      </c>
      <c r="E5">
        <v>160</v>
      </c>
      <c r="F5" s="11">
        <f t="shared" si="0"/>
        <v>4.5007274490785649</v>
      </c>
      <c r="G5">
        <v>16000</v>
      </c>
      <c r="H5">
        <v>1</v>
      </c>
      <c r="I5">
        <v>22</v>
      </c>
      <c r="J5" s="10">
        <f t="shared" si="1"/>
        <v>727.27272727272725</v>
      </c>
      <c r="K5">
        <v>1</v>
      </c>
      <c r="L5">
        <v>1</v>
      </c>
      <c r="M5">
        <v>1</v>
      </c>
      <c r="O5" s="10">
        <f t="shared" si="2"/>
        <v>1317.3018252358697</v>
      </c>
      <c r="P5" s="10">
        <f t="shared" si="3"/>
        <v>1597.302530641037</v>
      </c>
      <c r="Q5" s="10">
        <f t="shared" si="4"/>
        <v>1885.3956441230932</v>
      </c>
      <c r="R5" s="10">
        <f t="shared" si="5"/>
        <v>1600</v>
      </c>
      <c r="S5">
        <v>1600</v>
      </c>
    </row>
    <row r="6" spans="1:19" x14ac:dyDescent="0.25">
      <c r="B6" t="s">
        <v>73</v>
      </c>
      <c r="D6">
        <v>27500</v>
      </c>
      <c r="E6">
        <v>200</v>
      </c>
      <c r="F6" s="11">
        <f t="shared" si="0"/>
        <v>4.0008960573476706</v>
      </c>
      <c r="G6">
        <v>8000</v>
      </c>
      <c r="H6">
        <v>1</v>
      </c>
      <c r="I6">
        <v>18</v>
      </c>
      <c r="J6" s="10">
        <f t="shared" si="1"/>
        <v>444.44444444444446</v>
      </c>
      <c r="K6">
        <v>1.5</v>
      </c>
      <c r="L6">
        <v>1</v>
      </c>
      <c r="M6">
        <v>0.75</v>
      </c>
      <c r="O6" s="10">
        <f t="shared" si="2"/>
        <v>854.62365591397861</v>
      </c>
      <c r="P6" s="10">
        <f t="shared" si="3"/>
        <v>965.17921146953404</v>
      </c>
      <c r="Q6" s="10">
        <f t="shared" si="4"/>
        <v>880.19713261648758</v>
      </c>
      <c r="R6" s="10">
        <f t="shared" si="5"/>
        <v>900</v>
      </c>
      <c r="S6">
        <v>900</v>
      </c>
    </row>
    <row r="7" spans="1:19" x14ac:dyDescent="0.25">
      <c r="A7" t="s">
        <v>320</v>
      </c>
      <c r="B7" t="s">
        <v>111</v>
      </c>
      <c r="D7">
        <v>100000</v>
      </c>
      <c r="E7">
        <v>120</v>
      </c>
      <c r="F7" s="11">
        <f t="shared" si="0"/>
        <v>5.5277777777777777</v>
      </c>
      <c r="G7">
        <v>4000</v>
      </c>
      <c r="H7">
        <v>1</v>
      </c>
      <c r="I7">
        <v>8</v>
      </c>
      <c r="J7" s="10">
        <f t="shared" si="1"/>
        <v>500</v>
      </c>
      <c r="K7">
        <v>1</v>
      </c>
      <c r="L7">
        <v>1</v>
      </c>
      <c r="M7">
        <v>1</v>
      </c>
      <c r="O7" s="10">
        <f t="shared" si="2"/>
        <v>1161.1111111111111</v>
      </c>
      <c r="P7" s="10">
        <f t="shared" si="3"/>
        <v>1585.5555555555554</v>
      </c>
      <c r="Q7" s="10">
        <f t="shared" si="4"/>
        <v>2653.3333333333335</v>
      </c>
      <c r="R7" s="10">
        <f t="shared" si="5"/>
        <v>1800</v>
      </c>
      <c r="S7">
        <v>1800</v>
      </c>
    </row>
    <row r="8" spans="1:19" x14ac:dyDescent="0.25">
      <c r="B8" t="s">
        <v>784</v>
      </c>
      <c r="D8">
        <v>122500</v>
      </c>
      <c r="E8">
        <v>125</v>
      </c>
      <c r="F8" s="11">
        <f t="shared" si="0"/>
        <v>5.5043988269794735</v>
      </c>
      <c r="G8">
        <v>4000</v>
      </c>
      <c r="H8">
        <v>1</v>
      </c>
      <c r="I8">
        <v>8</v>
      </c>
      <c r="J8" s="10">
        <f t="shared" si="1"/>
        <v>500</v>
      </c>
      <c r="K8">
        <v>1</v>
      </c>
      <c r="L8">
        <v>1</v>
      </c>
      <c r="M8">
        <v>1</v>
      </c>
      <c r="O8" s="10">
        <f t="shared" si="2"/>
        <v>1215.175953079179</v>
      </c>
      <c r="P8" s="10">
        <f t="shared" si="3"/>
        <v>1713.3797653958948</v>
      </c>
      <c r="Q8" s="10">
        <f t="shared" si="4"/>
        <v>3371.4442815249272</v>
      </c>
      <c r="R8" s="10">
        <f t="shared" si="5"/>
        <v>2100.0000000000005</v>
      </c>
      <c r="S8">
        <v>2100</v>
      </c>
    </row>
    <row r="9" spans="1:19" x14ac:dyDescent="0.25">
      <c r="B9" t="s">
        <v>110</v>
      </c>
      <c r="D9">
        <v>50000</v>
      </c>
      <c r="E9">
        <v>130</v>
      </c>
      <c r="F9" s="11">
        <f t="shared" si="0"/>
        <v>3.3751438434982739</v>
      </c>
      <c r="G9">
        <v>5000</v>
      </c>
      <c r="H9">
        <v>0.875</v>
      </c>
      <c r="I9">
        <v>8</v>
      </c>
      <c r="J9" s="10">
        <f t="shared" si="1"/>
        <v>546.875</v>
      </c>
      <c r="K9">
        <v>1</v>
      </c>
      <c r="L9">
        <v>1</v>
      </c>
      <c r="M9">
        <v>1</v>
      </c>
      <c r="O9" s="10">
        <f t="shared" si="2"/>
        <v>1041.8807537399309</v>
      </c>
      <c r="P9" s="10">
        <f t="shared" si="3"/>
        <v>998.31271576524739</v>
      </c>
      <c r="Q9" s="10">
        <f t="shared" si="4"/>
        <v>959.80653049482157</v>
      </c>
      <c r="R9" s="10">
        <f t="shared" si="5"/>
        <v>1000</v>
      </c>
      <c r="S9">
        <v>1000</v>
      </c>
    </row>
    <row r="10" spans="1:19" x14ac:dyDescent="0.25">
      <c r="B10" t="s">
        <v>109</v>
      </c>
      <c r="D10">
        <v>35000</v>
      </c>
      <c r="E10">
        <v>150</v>
      </c>
      <c r="F10" s="11">
        <f t="shared" si="0"/>
        <v>6.5402597402597396</v>
      </c>
      <c r="G10">
        <v>16000</v>
      </c>
      <c r="H10">
        <v>1.125</v>
      </c>
      <c r="I10">
        <v>16</v>
      </c>
      <c r="J10" s="10">
        <f t="shared" si="1"/>
        <v>1125</v>
      </c>
      <c r="K10">
        <v>1</v>
      </c>
      <c r="L10">
        <v>1</v>
      </c>
      <c r="M10">
        <v>0.75</v>
      </c>
      <c r="O10" s="10">
        <f t="shared" si="2"/>
        <v>1317.4577922077922</v>
      </c>
      <c r="P10" s="10">
        <f t="shared" si="3"/>
        <v>2364.8376623376616</v>
      </c>
      <c r="Q10" s="10">
        <f t="shared" si="4"/>
        <v>2317.7045454545455</v>
      </c>
      <c r="R10" s="10">
        <f t="shared" si="5"/>
        <v>2000</v>
      </c>
      <c r="S10">
        <v>2000</v>
      </c>
    </row>
    <row r="11" spans="1:19" x14ac:dyDescent="0.25">
      <c r="B11" t="s">
        <v>565</v>
      </c>
      <c r="D11">
        <v>75000</v>
      </c>
      <c r="E11">
        <v>125</v>
      </c>
      <c r="F11" s="11">
        <f t="shared" si="0"/>
        <v>3.0528438886647846</v>
      </c>
      <c r="G11">
        <v>12000</v>
      </c>
      <c r="H11">
        <v>0.875</v>
      </c>
      <c r="I11">
        <v>8</v>
      </c>
      <c r="J11" s="10">
        <f t="shared" si="1"/>
        <v>1312.5</v>
      </c>
      <c r="K11">
        <v>1.25</v>
      </c>
      <c r="L11">
        <v>1</v>
      </c>
      <c r="M11">
        <v>0.75</v>
      </c>
      <c r="O11" s="10">
        <f t="shared" si="2"/>
        <v>1398.8566458249293</v>
      </c>
      <c r="P11" s="10">
        <f t="shared" si="3"/>
        <v>1783.821601452199</v>
      </c>
      <c r="Q11" s="10">
        <f t="shared" si="4"/>
        <v>2817.3217527228721</v>
      </c>
      <c r="R11" s="10">
        <f t="shared" si="5"/>
        <v>2000</v>
      </c>
      <c r="S11">
        <v>2000</v>
      </c>
    </row>
    <row r="12" spans="1:19" x14ac:dyDescent="0.25">
      <c r="B12" t="s">
        <v>195</v>
      </c>
      <c r="D12">
        <v>25000</v>
      </c>
      <c r="E12">
        <v>160</v>
      </c>
      <c r="F12" s="11">
        <f t="shared" si="0"/>
        <v>3.4497854077253223</v>
      </c>
      <c r="G12">
        <v>24000</v>
      </c>
      <c r="H12">
        <v>1</v>
      </c>
      <c r="I12">
        <v>34</v>
      </c>
      <c r="J12" s="10">
        <f t="shared" si="1"/>
        <v>705.88235294117646</v>
      </c>
      <c r="K12">
        <v>1.25</v>
      </c>
      <c r="L12">
        <v>1</v>
      </c>
      <c r="M12">
        <v>0.75</v>
      </c>
      <c r="O12" s="10">
        <f t="shared" si="2"/>
        <v>936.27871749558176</v>
      </c>
      <c r="P12" s="10">
        <f t="shared" si="3"/>
        <v>1033.1784902802324</v>
      </c>
      <c r="Q12" s="10">
        <f t="shared" si="4"/>
        <v>730.54279222418575</v>
      </c>
      <c r="R12" s="10">
        <f t="shared" si="5"/>
        <v>900</v>
      </c>
      <c r="S12">
        <v>900</v>
      </c>
    </row>
    <row r="13" spans="1:19" x14ac:dyDescent="0.25">
      <c r="A13" t="s">
        <v>571</v>
      </c>
      <c r="B13" t="s">
        <v>619</v>
      </c>
      <c r="D13">
        <v>30000</v>
      </c>
      <c r="E13">
        <v>170</v>
      </c>
      <c r="F13" s="11">
        <f t="shared" si="0"/>
        <v>6.0339622641509427</v>
      </c>
      <c r="G13">
        <v>24000</v>
      </c>
      <c r="H13">
        <v>1</v>
      </c>
      <c r="I13">
        <v>24</v>
      </c>
      <c r="J13" s="10">
        <f t="shared" si="1"/>
        <v>1000</v>
      </c>
      <c r="K13">
        <v>1.25</v>
      </c>
      <c r="L13">
        <v>1</v>
      </c>
      <c r="M13">
        <v>0.75</v>
      </c>
      <c r="O13" s="10">
        <f t="shared" si="2"/>
        <v>1276.2735849056603</v>
      </c>
      <c r="P13" s="10">
        <f t="shared" si="3"/>
        <v>2415.7358490566039</v>
      </c>
      <c r="Q13" s="10">
        <f t="shared" si="4"/>
        <v>2307.9905660377358</v>
      </c>
      <c r="R13" s="10">
        <f t="shared" si="5"/>
        <v>2000</v>
      </c>
      <c r="S13">
        <v>2000</v>
      </c>
    </row>
    <row r="14" spans="1:19" x14ac:dyDescent="0.25">
      <c r="B14" t="s">
        <v>886</v>
      </c>
      <c r="D14">
        <v>37500</v>
      </c>
      <c r="E14">
        <v>165</v>
      </c>
      <c r="F14" s="11">
        <f t="shared" si="0"/>
        <v>6.4741546413956508</v>
      </c>
      <c r="G14">
        <v>50000</v>
      </c>
      <c r="H14">
        <v>1</v>
      </c>
      <c r="I14">
        <v>42</v>
      </c>
      <c r="J14" s="10">
        <f t="shared" si="1"/>
        <v>1190.4761904761904</v>
      </c>
      <c r="K14">
        <v>1</v>
      </c>
      <c r="L14">
        <v>1</v>
      </c>
      <c r="M14">
        <v>0.75</v>
      </c>
      <c r="O14" s="10">
        <f t="shared" si="2"/>
        <v>1390.8317820990123</v>
      </c>
      <c r="P14" s="10">
        <f t="shared" si="3"/>
        <v>2497.8230862127321</v>
      </c>
      <c r="Q14" s="10">
        <f t="shared" si="4"/>
        <v>2861.3451316882561</v>
      </c>
      <c r="R14" s="10">
        <f t="shared" si="5"/>
        <v>2250</v>
      </c>
      <c r="S14">
        <v>2250</v>
      </c>
    </row>
    <row r="15" spans="1:19" x14ac:dyDescent="0.25">
      <c r="A15" t="s">
        <v>629</v>
      </c>
      <c r="B15" t="s">
        <v>230</v>
      </c>
      <c r="D15">
        <v>55000</v>
      </c>
      <c r="E15">
        <v>150</v>
      </c>
      <c r="F15" s="11">
        <f t="shared" si="0"/>
        <v>4.8253164556962043</v>
      </c>
      <c r="G15">
        <v>2000</v>
      </c>
      <c r="H15">
        <v>0.875</v>
      </c>
      <c r="I15">
        <v>3</v>
      </c>
      <c r="J15" s="10">
        <f t="shared" ref="J15:J20" si="6">G15/I15*H15</f>
        <v>583.33333333333326</v>
      </c>
      <c r="K15">
        <v>1</v>
      </c>
      <c r="L15">
        <v>1</v>
      </c>
      <c r="M15">
        <v>1</v>
      </c>
      <c r="O15" s="10">
        <f t="shared" ref="O15:O20" si="7">(D15/100000+E15/100+F15*K15/5+J15/200)*200*L15*M15</f>
        <v>1186.3459915611813</v>
      </c>
      <c r="P15" s="10">
        <f t="shared" ref="P15:P20" si="8">((D15*E15/25000)+(F15*K15*J15/2.5))*L15*M15</f>
        <v>1455.9071729957809</v>
      </c>
      <c r="Q15" s="10">
        <f t="shared" ref="Q15:Q20" si="9">(D15*E15*F15*K15*J15*L15*M15)/12500000</f>
        <v>1857.7468354430384</v>
      </c>
      <c r="R15" s="10">
        <f t="shared" ref="R15:R20" si="10">(O15+P15+Q15)/3</f>
        <v>1500.0000000000002</v>
      </c>
      <c r="S15">
        <v>1500</v>
      </c>
    </row>
    <row r="16" spans="1:19" x14ac:dyDescent="0.25">
      <c r="B16" t="s">
        <v>230</v>
      </c>
      <c r="D16">
        <v>55000</v>
      </c>
      <c r="E16">
        <v>150</v>
      </c>
      <c r="F16" s="11">
        <f t="shared" si="0"/>
        <v>11.397329727902653</v>
      </c>
      <c r="G16">
        <v>60000</v>
      </c>
      <c r="H16">
        <v>0.875</v>
      </c>
      <c r="I16">
        <v>88</v>
      </c>
      <c r="J16" s="10">
        <f t="shared" si="6"/>
        <v>596.59090909090912</v>
      </c>
      <c r="K16">
        <v>1</v>
      </c>
      <c r="L16">
        <v>0.5</v>
      </c>
      <c r="M16">
        <v>1</v>
      </c>
      <c r="O16" s="10">
        <f t="shared" si="7"/>
        <v>731.2420491035075</v>
      </c>
      <c r="P16" s="10">
        <f t="shared" si="8"/>
        <v>1524.9086607156573</v>
      </c>
      <c r="Q16" s="10">
        <f t="shared" si="9"/>
        <v>2243.8492901808349</v>
      </c>
      <c r="R16" s="10">
        <f t="shared" si="10"/>
        <v>1500</v>
      </c>
      <c r="S16">
        <v>1500</v>
      </c>
    </row>
    <row r="17" spans="1:19" x14ac:dyDescent="0.25">
      <c r="B17" t="s">
        <v>241</v>
      </c>
      <c r="D17">
        <v>87500</v>
      </c>
      <c r="E17">
        <v>120</v>
      </c>
      <c r="F17" s="11">
        <f t="shared" si="0"/>
        <v>4.7445414847161569</v>
      </c>
      <c r="G17">
        <v>2000</v>
      </c>
      <c r="H17">
        <v>0.875</v>
      </c>
      <c r="I17">
        <v>3</v>
      </c>
      <c r="J17" s="10">
        <f t="shared" si="6"/>
        <v>583.33333333333326</v>
      </c>
      <c r="K17">
        <v>1</v>
      </c>
      <c r="L17">
        <v>1.25</v>
      </c>
      <c r="M17">
        <v>1</v>
      </c>
      <c r="O17" s="10">
        <f t="shared" si="7"/>
        <v>1485.1437409024743</v>
      </c>
      <c r="P17" s="10">
        <f t="shared" si="8"/>
        <v>1908.8245997088788</v>
      </c>
      <c r="Q17" s="10">
        <f t="shared" si="9"/>
        <v>2906.0316593886464</v>
      </c>
      <c r="R17" s="10">
        <f t="shared" si="10"/>
        <v>2100</v>
      </c>
      <c r="S17">
        <v>2100</v>
      </c>
    </row>
    <row r="18" spans="1:19" x14ac:dyDescent="0.25">
      <c r="B18" t="s">
        <v>233</v>
      </c>
      <c r="D18">
        <v>18000</v>
      </c>
      <c r="E18">
        <v>180</v>
      </c>
      <c r="F18" s="11">
        <f t="shared" si="0"/>
        <v>5.001953125</v>
      </c>
      <c r="G18">
        <v>4000</v>
      </c>
      <c r="H18">
        <v>0.875</v>
      </c>
      <c r="I18">
        <v>14</v>
      </c>
      <c r="J18" s="10">
        <f t="shared" si="6"/>
        <v>250</v>
      </c>
      <c r="K18">
        <v>1</v>
      </c>
      <c r="L18">
        <v>1</v>
      </c>
      <c r="M18">
        <v>1</v>
      </c>
      <c r="O18" s="10">
        <f t="shared" si="7"/>
        <v>846.078125</v>
      </c>
      <c r="P18" s="10">
        <f t="shared" si="8"/>
        <v>629.79531250000002</v>
      </c>
      <c r="Q18" s="10">
        <f t="shared" si="9"/>
        <v>324.12656249999998</v>
      </c>
      <c r="R18" s="10">
        <f t="shared" si="10"/>
        <v>600</v>
      </c>
      <c r="S18">
        <v>600</v>
      </c>
    </row>
    <row r="19" spans="1:19" x14ac:dyDescent="0.25">
      <c r="B19" t="s">
        <v>242</v>
      </c>
      <c r="D19">
        <v>28000</v>
      </c>
      <c r="E19">
        <v>165</v>
      </c>
      <c r="F19" s="11">
        <f t="shared" si="0"/>
        <v>4.7495254666244859</v>
      </c>
      <c r="G19">
        <v>6000</v>
      </c>
      <c r="H19">
        <v>1</v>
      </c>
      <c r="I19">
        <v>11</v>
      </c>
      <c r="J19" s="10">
        <f t="shared" si="6"/>
        <v>545.4545454545455</v>
      </c>
      <c r="K19">
        <v>1</v>
      </c>
      <c r="L19">
        <v>1</v>
      </c>
      <c r="M19">
        <v>1</v>
      </c>
      <c r="O19" s="10">
        <f t="shared" si="7"/>
        <v>1121.435564119525</v>
      </c>
      <c r="P19" s="10">
        <f t="shared" si="8"/>
        <v>1221.0601018089787</v>
      </c>
      <c r="Q19" s="10">
        <f t="shared" si="9"/>
        <v>957.50433407149637</v>
      </c>
      <c r="R19" s="10">
        <f t="shared" si="10"/>
        <v>1100</v>
      </c>
      <c r="S19">
        <v>1100</v>
      </c>
    </row>
    <row r="20" spans="1:19" x14ac:dyDescent="0.25">
      <c r="B20" t="s">
        <v>725</v>
      </c>
      <c r="D20">
        <v>265000</v>
      </c>
      <c r="E20">
        <v>35</v>
      </c>
      <c r="F20" s="11">
        <f t="shared" si="0"/>
        <v>4.7381588535341281</v>
      </c>
      <c r="G20">
        <v>4000</v>
      </c>
      <c r="H20">
        <v>0.875</v>
      </c>
      <c r="I20">
        <v>3</v>
      </c>
      <c r="J20" s="10">
        <f t="shared" si="6"/>
        <v>1166.6666666666665</v>
      </c>
      <c r="K20">
        <v>1</v>
      </c>
      <c r="L20">
        <v>1.25</v>
      </c>
      <c r="M20">
        <v>1</v>
      </c>
      <c r="O20" s="10">
        <f t="shared" si="7"/>
        <v>2445.2412760100397</v>
      </c>
      <c r="P20" s="10">
        <f t="shared" si="8"/>
        <v>3227.6759978949076</v>
      </c>
      <c r="Q20" s="10">
        <f t="shared" si="9"/>
        <v>5127.0827260950537</v>
      </c>
      <c r="R20" s="10">
        <f t="shared" si="10"/>
        <v>3600</v>
      </c>
      <c r="S20">
        <v>3600</v>
      </c>
    </row>
    <row r="21" spans="1:19" x14ac:dyDescent="0.25">
      <c r="A21" t="s">
        <v>581</v>
      </c>
      <c r="B21" t="s">
        <v>582</v>
      </c>
      <c r="D21">
        <v>48000</v>
      </c>
      <c r="E21">
        <v>160</v>
      </c>
      <c r="F21" s="11">
        <f t="shared" si="0"/>
        <v>4.9961138946596604</v>
      </c>
      <c r="G21">
        <v>24000</v>
      </c>
      <c r="H21">
        <v>1</v>
      </c>
      <c r="I21">
        <v>46</v>
      </c>
      <c r="J21" s="10">
        <f t="shared" ref="J21:J54" si="11">G21/I21*H21</f>
        <v>521.73913043478262</v>
      </c>
      <c r="K21">
        <v>1.25</v>
      </c>
      <c r="L21">
        <v>1</v>
      </c>
      <c r="M21">
        <v>0.75</v>
      </c>
      <c r="O21" s="10">
        <f t="shared" ref="O21:O54" si="12">(D21/100000+E21/100+F21*K21/5+J21/200)*200*L21*M21</f>
        <v>890.65861887582435</v>
      </c>
      <c r="P21" s="10">
        <f t="shared" ref="P21:P54" si="13">((D21*E21/25000)+(F21*K21*J21/2.5))*L21*M21</f>
        <v>1207.9005446073249</v>
      </c>
      <c r="Q21" s="10">
        <f t="shared" ref="Q21:Q54" si="14">(D21*E21*F21*K21*J21*L21*M21)/12500000</f>
        <v>1501.4408365168513</v>
      </c>
      <c r="R21" s="10">
        <f t="shared" ref="R21:R54" si="15">(O21+P21+Q21)/3</f>
        <v>1200.0000000000002</v>
      </c>
      <c r="S21">
        <v>1200</v>
      </c>
    </row>
    <row r="22" spans="1:19" x14ac:dyDescent="0.25">
      <c r="A22" t="s">
        <v>605</v>
      </c>
      <c r="B22" t="s">
        <v>613</v>
      </c>
      <c r="D22">
        <v>50000</v>
      </c>
      <c r="E22">
        <v>120</v>
      </c>
      <c r="F22" s="11">
        <f t="shared" si="0"/>
        <v>5.0762711864406782</v>
      </c>
      <c r="G22">
        <v>16000</v>
      </c>
      <c r="H22">
        <v>1.25</v>
      </c>
      <c r="I22">
        <v>32</v>
      </c>
      <c r="J22" s="10">
        <f t="shared" si="11"/>
        <v>625</v>
      </c>
      <c r="K22">
        <v>1</v>
      </c>
      <c r="L22">
        <v>1</v>
      </c>
      <c r="M22">
        <v>1</v>
      </c>
      <c r="O22" s="10">
        <f t="shared" si="12"/>
        <v>1168.0508474576272</v>
      </c>
      <c r="P22" s="10">
        <f t="shared" si="13"/>
        <v>1509.0677966101696</v>
      </c>
      <c r="Q22" s="10">
        <f t="shared" si="14"/>
        <v>1522.8813559322034</v>
      </c>
      <c r="R22" s="10">
        <f t="shared" si="15"/>
        <v>1400</v>
      </c>
      <c r="S22">
        <v>1400</v>
      </c>
    </row>
    <row r="23" spans="1:19" x14ac:dyDescent="0.25">
      <c r="B23" t="s">
        <v>614</v>
      </c>
      <c r="D23">
        <v>50000</v>
      </c>
      <c r="E23">
        <v>120</v>
      </c>
      <c r="F23" s="11">
        <f t="shared" si="0"/>
        <v>5.0762711864406782</v>
      </c>
      <c r="G23">
        <v>20000</v>
      </c>
      <c r="H23">
        <v>0.75</v>
      </c>
      <c r="I23">
        <v>24</v>
      </c>
      <c r="J23" s="10">
        <f t="shared" si="11"/>
        <v>625</v>
      </c>
      <c r="K23">
        <v>1</v>
      </c>
      <c r="L23">
        <v>1</v>
      </c>
      <c r="M23">
        <v>1</v>
      </c>
      <c r="O23" s="10">
        <f t="shared" si="12"/>
        <v>1168.0508474576272</v>
      </c>
      <c r="P23" s="10">
        <f t="shared" si="13"/>
        <v>1509.0677966101696</v>
      </c>
      <c r="Q23" s="10">
        <f t="shared" si="14"/>
        <v>1522.8813559322034</v>
      </c>
      <c r="R23" s="10">
        <f t="shared" si="15"/>
        <v>1400</v>
      </c>
      <c r="S23">
        <v>1400</v>
      </c>
    </row>
    <row r="24" spans="1:19" x14ac:dyDescent="0.25">
      <c r="B24" t="s">
        <v>622</v>
      </c>
      <c r="D24">
        <v>160000</v>
      </c>
      <c r="E24">
        <v>120</v>
      </c>
      <c r="F24" s="11">
        <f t="shared" si="0"/>
        <v>6.0602780536246277</v>
      </c>
      <c r="G24">
        <v>16000</v>
      </c>
      <c r="H24">
        <v>1.25</v>
      </c>
      <c r="I24">
        <v>39</v>
      </c>
      <c r="J24" s="10">
        <f t="shared" si="11"/>
        <v>512.82051282051282</v>
      </c>
      <c r="K24">
        <v>1</v>
      </c>
      <c r="L24">
        <v>1</v>
      </c>
      <c r="M24">
        <v>1</v>
      </c>
      <c r="O24" s="10">
        <f t="shared" si="12"/>
        <v>1315.2316349654977</v>
      </c>
      <c r="P24" s="10">
        <f t="shared" si="13"/>
        <v>2011.1339597178724</v>
      </c>
      <c r="Q24" s="10">
        <f t="shared" si="14"/>
        <v>4773.6344053166295</v>
      </c>
      <c r="R24" s="10">
        <f t="shared" si="15"/>
        <v>2700</v>
      </c>
      <c r="S24">
        <v>2700</v>
      </c>
    </row>
    <row r="25" spans="1:19" x14ac:dyDescent="0.25">
      <c r="B25" t="s">
        <v>623</v>
      </c>
      <c r="D25">
        <v>160000</v>
      </c>
      <c r="E25">
        <v>120</v>
      </c>
      <c r="F25" s="11">
        <f t="shared" si="0"/>
        <v>6.0602780536246277</v>
      </c>
      <c r="G25">
        <v>20000</v>
      </c>
      <c r="H25">
        <v>1</v>
      </c>
      <c r="I25">
        <v>39</v>
      </c>
      <c r="J25" s="10">
        <f t="shared" si="11"/>
        <v>512.82051282051282</v>
      </c>
      <c r="K25">
        <v>1</v>
      </c>
      <c r="L25">
        <v>1</v>
      </c>
      <c r="M25">
        <v>1</v>
      </c>
      <c r="O25" s="10">
        <f t="shared" si="12"/>
        <v>1315.2316349654977</v>
      </c>
      <c r="P25" s="10">
        <f t="shared" si="13"/>
        <v>2011.1339597178724</v>
      </c>
      <c r="Q25" s="10">
        <f t="shared" si="14"/>
        <v>4773.6344053166295</v>
      </c>
      <c r="R25" s="10">
        <f t="shared" si="15"/>
        <v>2700</v>
      </c>
      <c r="S25">
        <v>2700</v>
      </c>
    </row>
    <row r="26" spans="1:19" x14ac:dyDescent="0.25">
      <c r="B26" t="s">
        <v>616</v>
      </c>
      <c r="D26">
        <v>120000</v>
      </c>
      <c r="E26">
        <v>140</v>
      </c>
      <c r="F26" s="11">
        <f t="shared" si="0"/>
        <v>7.3801867540659192</v>
      </c>
      <c r="G26">
        <v>64000</v>
      </c>
      <c r="H26">
        <v>1.125</v>
      </c>
      <c r="I26">
        <v>95</v>
      </c>
      <c r="J26" s="10">
        <f t="shared" si="11"/>
        <v>757.89473684210532</v>
      </c>
      <c r="K26">
        <v>1</v>
      </c>
      <c r="L26">
        <v>0.5</v>
      </c>
      <c r="M26">
        <v>1</v>
      </c>
      <c r="O26" s="10">
        <f t="shared" si="12"/>
        <v>786.55110350237101</v>
      </c>
      <c r="P26" s="10">
        <f t="shared" si="13"/>
        <v>1454.6809395636762</v>
      </c>
      <c r="Q26" s="10">
        <f t="shared" si="14"/>
        <v>3758.7679569339521</v>
      </c>
      <c r="R26" s="10">
        <f t="shared" si="15"/>
        <v>2000</v>
      </c>
      <c r="S26">
        <v>2000</v>
      </c>
    </row>
    <row r="27" spans="1:19" x14ac:dyDescent="0.25">
      <c r="B27" t="s">
        <v>624</v>
      </c>
      <c r="D27">
        <v>180000</v>
      </c>
      <c r="E27">
        <v>70</v>
      </c>
      <c r="F27" s="11">
        <f t="shared" si="0"/>
        <v>7.9963680387409211</v>
      </c>
      <c r="G27">
        <v>128000</v>
      </c>
      <c r="H27">
        <v>1.125</v>
      </c>
      <c r="I27">
        <v>135</v>
      </c>
      <c r="J27" s="10">
        <f t="shared" si="11"/>
        <v>1066.6666666666667</v>
      </c>
      <c r="K27">
        <v>1</v>
      </c>
      <c r="L27">
        <v>1</v>
      </c>
      <c r="M27">
        <v>0.75</v>
      </c>
      <c r="O27" s="10">
        <f t="shared" si="12"/>
        <v>1414.8910411622278</v>
      </c>
      <c r="P27" s="10">
        <f t="shared" si="13"/>
        <v>2936.8377723970953</v>
      </c>
      <c r="Q27" s="10">
        <f t="shared" si="14"/>
        <v>6448.2711864406783</v>
      </c>
      <c r="R27" s="10">
        <f t="shared" si="15"/>
        <v>3600</v>
      </c>
      <c r="S27">
        <v>3600</v>
      </c>
    </row>
    <row r="28" spans="1:19" x14ac:dyDescent="0.25">
      <c r="B28" t="s">
        <v>638</v>
      </c>
      <c r="D28">
        <v>40000</v>
      </c>
      <c r="E28">
        <v>160</v>
      </c>
      <c r="F28" s="11">
        <f t="shared" si="0"/>
        <v>4.4409799554565703</v>
      </c>
      <c r="G28">
        <v>8000</v>
      </c>
      <c r="H28">
        <v>0.875</v>
      </c>
      <c r="I28">
        <v>20</v>
      </c>
      <c r="J28" s="10">
        <f t="shared" si="11"/>
        <v>350</v>
      </c>
      <c r="K28">
        <v>1.25</v>
      </c>
      <c r="L28">
        <v>1</v>
      </c>
      <c r="M28">
        <v>1</v>
      </c>
      <c r="O28" s="10">
        <f t="shared" si="12"/>
        <v>972.04899777282844</v>
      </c>
      <c r="P28" s="10">
        <f t="shared" si="13"/>
        <v>1033.1714922048998</v>
      </c>
      <c r="Q28" s="10">
        <f t="shared" si="14"/>
        <v>994.77951002227189</v>
      </c>
      <c r="R28" s="10">
        <f t="shared" si="15"/>
        <v>1000</v>
      </c>
      <c r="S28">
        <v>1000</v>
      </c>
    </row>
    <row r="29" spans="1:19" x14ac:dyDescent="0.25">
      <c r="B29" t="s">
        <v>639</v>
      </c>
      <c r="D29">
        <v>250000</v>
      </c>
      <c r="E29">
        <v>90</v>
      </c>
      <c r="F29" s="11">
        <f t="shared" si="0"/>
        <v>4.395833333333333</v>
      </c>
      <c r="G29">
        <v>20000</v>
      </c>
      <c r="H29">
        <v>1</v>
      </c>
      <c r="I29">
        <v>100</v>
      </c>
      <c r="J29" s="10">
        <f t="shared" si="11"/>
        <v>200</v>
      </c>
      <c r="K29">
        <v>2</v>
      </c>
      <c r="L29">
        <v>1</v>
      </c>
      <c r="M29">
        <v>1</v>
      </c>
      <c r="O29" s="10">
        <f t="shared" si="12"/>
        <v>1231.6666666666667</v>
      </c>
      <c r="P29" s="10">
        <f t="shared" si="13"/>
        <v>1603.3333333333333</v>
      </c>
      <c r="Q29" s="10">
        <f t="shared" si="14"/>
        <v>3165</v>
      </c>
      <c r="R29" s="10">
        <f t="shared" si="15"/>
        <v>2000</v>
      </c>
      <c r="S29">
        <v>2000</v>
      </c>
    </row>
    <row r="30" spans="1:19" x14ac:dyDescent="0.25">
      <c r="B30" t="s">
        <v>640</v>
      </c>
      <c r="D30">
        <v>125000</v>
      </c>
      <c r="E30">
        <v>100</v>
      </c>
      <c r="F30" s="11">
        <f t="shared" si="0"/>
        <v>5.480086893555395</v>
      </c>
      <c r="G30">
        <v>20000</v>
      </c>
      <c r="H30">
        <v>0.875</v>
      </c>
      <c r="I30">
        <v>78</v>
      </c>
      <c r="J30" s="10">
        <f t="shared" si="11"/>
        <v>224.35897435897436</v>
      </c>
      <c r="K30">
        <v>1.25</v>
      </c>
      <c r="L30">
        <v>1</v>
      </c>
      <c r="M30">
        <v>1</v>
      </c>
      <c r="O30" s="10">
        <f t="shared" si="12"/>
        <v>948.3633190367442</v>
      </c>
      <c r="P30" s="10">
        <f t="shared" si="13"/>
        <v>1114.7533374180732</v>
      </c>
      <c r="Q30" s="10">
        <f t="shared" si="14"/>
        <v>1536.8833435451832</v>
      </c>
      <c r="R30" s="10">
        <f t="shared" si="15"/>
        <v>1200.0000000000002</v>
      </c>
      <c r="S30">
        <v>1200</v>
      </c>
    </row>
    <row r="31" spans="1:19" x14ac:dyDescent="0.25">
      <c r="B31" t="s">
        <v>208</v>
      </c>
      <c r="D31">
        <v>150000</v>
      </c>
      <c r="E31">
        <v>50</v>
      </c>
      <c r="F31" s="11">
        <f t="shared" si="0"/>
        <v>10</v>
      </c>
      <c r="G31">
        <v>24000</v>
      </c>
      <c r="H31">
        <v>1</v>
      </c>
      <c r="I31">
        <v>60</v>
      </c>
      <c r="J31" s="10">
        <f t="shared" si="11"/>
        <v>400</v>
      </c>
      <c r="K31">
        <v>1.25</v>
      </c>
      <c r="L31">
        <v>1</v>
      </c>
      <c r="M31">
        <v>1</v>
      </c>
      <c r="O31" s="10">
        <f t="shared" si="12"/>
        <v>1300</v>
      </c>
      <c r="P31" s="10">
        <f t="shared" si="13"/>
        <v>2300</v>
      </c>
      <c r="Q31" s="10">
        <f t="shared" si="14"/>
        <v>3000</v>
      </c>
      <c r="R31" s="10">
        <f t="shared" si="15"/>
        <v>2200</v>
      </c>
      <c r="S31">
        <v>2200</v>
      </c>
    </row>
    <row r="32" spans="1:19" x14ac:dyDescent="0.25">
      <c r="B32" t="s">
        <v>656</v>
      </c>
      <c r="D32">
        <v>14000</v>
      </c>
      <c r="E32">
        <v>195</v>
      </c>
      <c r="F32" s="11">
        <f t="shared" si="0"/>
        <v>1.1499176276771008</v>
      </c>
      <c r="G32">
        <v>4000</v>
      </c>
      <c r="H32">
        <v>1</v>
      </c>
      <c r="I32">
        <v>11</v>
      </c>
      <c r="J32" s="10">
        <f t="shared" si="11"/>
        <v>363.63636363636363</v>
      </c>
      <c r="K32">
        <v>2</v>
      </c>
      <c r="L32">
        <v>1</v>
      </c>
      <c r="M32">
        <v>1</v>
      </c>
      <c r="O32" s="10">
        <f t="shared" si="12"/>
        <v>873.62977385053159</v>
      </c>
      <c r="P32" s="10">
        <f t="shared" si="13"/>
        <v>443.72149168788388</v>
      </c>
      <c r="Q32" s="10">
        <f t="shared" si="14"/>
        <v>182.64873446158458</v>
      </c>
      <c r="R32" s="10">
        <f t="shared" si="15"/>
        <v>500</v>
      </c>
      <c r="S32">
        <v>500</v>
      </c>
    </row>
    <row r="33" spans="1:19" x14ac:dyDescent="0.25">
      <c r="B33" t="s">
        <v>650</v>
      </c>
      <c r="D33">
        <v>40000</v>
      </c>
      <c r="E33">
        <v>80</v>
      </c>
      <c r="F33" s="11">
        <f t="shared" si="0"/>
        <v>8.5607476635514015</v>
      </c>
      <c r="G33">
        <v>16000</v>
      </c>
      <c r="H33">
        <v>1</v>
      </c>
      <c r="I33">
        <v>80</v>
      </c>
      <c r="J33" s="10">
        <f t="shared" si="11"/>
        <v>200</v>
      </c>
      <c r="K33">
        <v>1.25</v>
      </c>
      <c r="L33">
        <v>1</v>
      </c>
      <c r="M33">
        <v>1</v>
      </c>
      <c r="O33" s="10">
        <f t="shared" si="12"/>
        <v>868.03738317757006</v>
      </c>
      <c r="P33" s="10">
        <f t="shared" si="13"/>
        <v>984.07476635514013</v>
      </c>
      <c r="Q33" s="10">
        <f t="shared" si="14"/>
        <v>547.8878504672897</v>
      </c>
      <c r="R33" s="10">
        <f t="shared" si="15"/>
        <v>800</v>
      </c>
      <c r="S33">
        <v>800</v>
      </c>
    </row>
    <row r="34" spans="1:19" x14ac:dyDescent="0.25">
      <c r="B34" t="s">
        <v>657</v>
      </c>
      <c r="D34">
        <v>350000</v>
      </c>
      <c r="E34">
        <v>70</v>
      </c>
      <c r="F34" s="11">
        <f t="shared" si="0"/>
        <v>1.4476813317479187</v>
      </c>
      <c r="G34">
        <v>14000</v>
      </c>
      <c r="H34">
        <v>1</v>
      </c>
      <c r="I34">
        <v>15</v>
      </c>
      <c r="J34" s="10">
        <f t="shared" si="11"/>
        <v>933.33333333333337</v>
      </c>
      <c r="K34">
        <v>1</v>
      </c>
      <c r="L34">
        <v>1</v>
      </c>
      <c r="M34">
        <v>1</v>
      </c>
      <c r="O34" s="10">
        <f t="shared" si="12"/>
        <v>1831.24058660325</v>
      </c>
      <c r="P34" s="10">
        <f t="shared" si="13"/>
        <v>1520.4676971858896</v>
      </c>
      <c r="Q34" s="10">
        <f t="shared" si="14"/>
        <v>2648.2917162108592</v>
      </c>
      <c r="R34" s="10">
        <f t="shared" si="15"/>
        <v>1999.9999999999993</v>
      </c>
      <c r="S34">
        <v>2000</v>
      </c>
    </row>
    <row r="35" spans="1:19" x14ac:dyDescent="0.25">
      <c r="B35" t="s">
        <v>666</v>
      </c>
      <c r="D35">
        <v>100000</v>
      </c>
      <c r="E35">
        <v>100</v>
      </c>
      <c r="F35" s="11">
        <f t="shared" si="0"/>
        <v>6.25</v>
      </c>
      <c r="G35">
        <v>10000</v>
      </c>
      <c r="H35">
        <v>1</v>
      </c>
      <c r="I35">
        <v>50</v>
      </c>
      <c r="J35" s="10">
        <f t="shared" si="11"/>
        <v>200</v>
      </c>
      <c r="K35">
        <v>2</v>
      </c>
      <c r="L35">
        <v>1</v>
      </c>
      <c r="M35">
        <v>1</v>
      </c>
      <c r="O35" s="10">
        <f t="shared" si="12"/>
        <v>1100</v>
      </c>
      <c r="P35" s="10">
        <f t="shared" si="13"/>
        <v>1400</v>
      </c>
      <c r="Q35" s="10">
        <f t="shared" si="14"/>
        <v>2000</v>
      </c>
      <c r="R35" s="10">
        <f t="shared" si="15"/>
        <v>1500</v>
      </c>
      <c r="S35">
        <v>1500</v>
      </c>
    </row>
    <row r="36" spans="1:19" x14ac:dyDescent="0.25">
      <c r="B36" t="s">
        <v>667</v>
      </c>
      <c r="D36">
        <v>60000</v>
      </c>
      <c r="E36">
        <v>120</v>
      </c>
      <c r="F36" s="11">
        <f t="shared" si="0"/>
        <v>5.850340136054422</v>
      </c>
      <c r="G36">
        <v>12000</v>
      </c>
      <c r="H36">
        <v>1</v>
      </c>
      <c r="I36">
        <v>60</v>
      </c>
      <c r="J36" s="10">
        <f t="shared" si="11"/>
        <v>200</v>
      </c>
      <c r="K36">
        <v>2</v>
      </c>
      <c r="L36">
        <v>1</v>
      </c>
      <c r="M36">
        <v>1</v>
      </c>
      <c r="O36" s="10">
        <f t="shared" si="12"/>
        <v>1028.0272108843537</v>
      </c>
      <c r="P36" s="10">
        <f t="shared" si="13"/>
        <v>1224.0544217687075</v>
      </c>
      <c r="Q36" s="10">
        <f t="shared" si="14"/>
        <v>1347.9183673469388</v>
      </c>
      <c r="R36" s="10">
        <f t="shared" si="15"/>
        <v>1200</v>
      </c>
      <c r="S36">
        <v>1200</v>
      </c>
    </row>
    <row r="37" spans="1:19" x14ac:dyDescent="0.25">
      <c r="B37" t="s">
        <v>668</v>
      </c>
      <c r="D37">
        <v>50000</v>
      </c>
      <c r="E37">
        <v>45</v>
      </c>
      <c r="F37" s="11">
        <f t="shared" si="0"/>
        <v>4.5265957446808516</v>
      </c>
      <c r="G37">
        <v>60000</v>
      </c>
      <c r="H37">
        <v>1</v>
      </c>
      <c r="I37">
        <v>70</v>
      </c>
      <c r="J37" s="10">
        <f t="shared" si="11"/>
        <v>857.14285714285711</v>
      </c>
      <c r="K37">
        <v>2</v>
      </c>
      <c r="L37">
        <v>1</v>
      </c>
      <c r="M37">
        <v>1</v>
      </c>
      <c r="O37" s="10">
        <f t="shared" si="12"/>
        <v>1409.2705167173251</v>
      </c>
      <c r="P37" s="10">
        <f t="shared" si="13"/>
        <v>3193.9513677811551</v>
      </c>
      <c r="Q37" s="10">
        <f t="shared" si="14"/>
        <v>1396.7781155015198</v>
      </c>
      <c r="R37" s="10">
        <f t="shared" si="15"/>
        <v>2000</v>
      </c>
      <c r="S37">
        <v>2000</v>
      </c>
    </row>
    <row r="38" spans="1:19" x14ac:dyDescent="0.25">
      <c r="B38" t="s">
        <v>692</v>
      </c>
      <c r="D38">
        <v>75000</v>
      </c>
      <c r="E38">
        <v>150</v>
      </c>
      <c r="F38" s="11">
        <f t="shared" si="0"/>
        <v>4.4927536231884062</v>
      </c>
      <c r="G38">
        <v>16000</v>
      </c>
      <c r="H38">
        <v>1</v>
      </c>
      <c r="I38">
        <v>32</v>
      </c>
      <c r="J38" s="10">
        <f t="shared" si="11"/>
        <v>500</v>
      </c>
      <c r="K38">
        <v>1</v>
      </c>
      <c r="L38">
        <v>1</v>
      </c>
      <c r="M38">
        <v>1</v>
      </c>
      <c r="O38" s="10">
        <f t="shared" si="12"/>
        <v>1129.7101449275362</v>
      </c>
      <c r="P38" s="10">
        <f t="shared" si="13"/>
        <v>1348.5507246376812</v>
      </c>
      <c r="Q38" s="10">
        <f t="shared" si="14"/>
        <v>2021.7391304347827</v>
      </c>
      <c r="R38" s="10">
        <f t="shared" si="15"/>
        <v>1500</v>
      </c>
      <c r="S38">
        <v>1500</v>
      </c>
    </row>
    <row r="39" spans="1:19" x14ac:dyDescent="0.25">
      <c r="B39" t="s">
        <v>693</v>
      </c>
      <c r="D39">
        <v>75000</v>
      </c>
      <c r="E39">
        <v>150</v>
      </c>
      <c r="F39" s="11">
        <f t="shared" si="0"/>
        <v>4.4927536231884062</v>
      </c>
      <c r="G39">
        <v>20000</v>
      </c>
      <c r="H39">
        <v>1</v>
      </c>
      <c r="I39">
        <v>40</v>
      </c>
      <c r="J39" s="10">
        <f t="shared" si="11"/>
        <v>500</v>
      </c>
      <c r="K39">
        <v>1</v>
      </c>
      <c r="L39">
        <v>1</v>
      </c>
      <c r="M39">
        <v>1</v>
      </c>
      <c r="O39" s="10">
        <f t="shared" si="12"/>
        <v>1129.7101449275362</v>
      </c>
      <c r="P39" s="10">
        <f t="shared" si="13"/>
        <v>1348.5507246376812</v>
      </c>
      <c r="Q39" s="10">
        <f t="shared" si="14"/>
        <v>2021.7391304347827</v>
      </c>
      <c r="R39" s="10">
        <f t="shared" si="15"/>
        <v>1500</v>
      </c>
      <c r="S39">
        <v>1500</v>
      </c>
    </row>
    <row r="40" spans="1:19" x14ac:dyDescent="0.25">
      <c r="B40" t="s">
        <v>694</v>
      </c>
      <c r="D40">
        <v>200000</v>
      </c>
      <c r="E40">
        <v>100</v>
      </c>
      <c r="F40" s="11">
        <f t="shared" si="0"/>
        <v>5.077220077220078</v>
      </c>
      <c r="G40">
        <v>20000</v>
      </c>
      <c r="H40">
        <v>1</v>
      </c>
      <c r="I40">
        <v>36</v>
      </c>
      <c r="J40" s="10">
        <f t="shared" si="11"/>
        <v>555.55555555555554</v>
      </c>
      <c r="K40">
        <v>1</v>
      </c>
      <c r="L40">
        <v>1</v>
      </c>
      <c r="M40">
        <v>1</v>
      </c>
      <c r="O40" s="10">
        <f t="shared" si="12"/>
        <v>1358.6443586443586</v>
      </c>
      <c r="P40" s="10">
        <f t="shared" si="13"/>
        <v>1928.2711282711284</v>
      </c>
      <c r="Q40" s="10">
        <f t="shared" si="14"/>
        <v>4513.0845130845137</v>
      </c>
      <c r="R40" s="10">
        <f t="shared" si="15"/>
        <v>2600.0000000000005</v>
      </c>
      <c r="S40">
        <v>2600</v>
      </c>
    </row>
    <row r="41" spans="1:19" x14ac:dyDescent="0.25">
      <c r="B41" t="s">
        <v>1122</v>
      </c>
      <c r="D41">
        <v>70000</v>
      </c>
      <c r="E41">
        <v>140</v>
      </c>
      <c r="F41" s="11">
        <f t="shared" si="0"/>
        <v>6.4741691345837449</v>
      </c>
      <c r="G41">
        <v>1440</v>
      </c>
      <c r="H41">
        <v>1</v>
      </c>
      <c r="I41">
        <v>6</v>
      </c>
      <c r="J41" s="10">
        <f t="shared" si="11"/>
        <v>240</v>
      </c>
      <c r="K41">
        <v>1.5</v>
      </c>
      <c r="L41">
        <v>1</v>
      </c>
      <c r="M41">
        <v>1</v>
      </c>
      <c r="O41" s="10">
        <f t="shared" si="12"/>
        <v>1048.4501480750246</v>
      </c>
      <c r="P41" s="10">
        <f t="shared" si="13"/>
        <v>1324.2803553800591</v>
      </c>
      <c r="Q41" s="10">
        <f t="shared" si="14"/>
        <v>1827.2694965449161</v>
      </c>
      <c r="R41" s="10">
        <f t="shared" si="15"/>
        <v>1400</v>
      </c>
      <c r="S41">
        <v>1400</v>
      </c>
    </row>
    <row r="42" spans="1:19" x14ac:dyDescent="0.25">
      <c r="B42" t="s">
        <v>695</v>
      </c>
      <c r="D42">
        <v>100000</v>
      </c>
      <c r="E42">
        <v>50</v>
      </c>
      <c r="F42" s="11">
        <f t="shared" si="0"/>
        <v>10</v>
      </c>
      <c r="G42">
        <v>40000</v>
      </c>
      <c r="H42">
        <v>1</v>
      </c>
      <c r="I42">
        <v>80</v>
      </c>
      <c r="J42" s="10">
        <f t="shared" si="11"/>
        <v>500</v>
      </c>
      <c r="K42">
        <v>1</v>
      </c>
      <c r="L42">
        <v>1</v>
      </c>
      <c r="M42">
        <v>1</v>
      </c>
      <c r="O42" s="10">
        <f t="shared" si="12"/>
        <v>1200</v>
      </c>
      <c r="P42" s="10">
        <f t="shared" si="13"/>
        <v>2200</v>
      </c>
      <c r="Q42" s="10">
        <f t="shared" si="14"/>
        <v>2000</v>
      </c>
      <c r="R42" s="10">
        <f t="shared" si="15"/>
        <v>1800</v>
      </c>
      <c r="S42">
        <v>1800</v>
      </c>
    </row>
    <row r="43" spans="1:19" x14ac:dyDescent="0.25">
      <c r="B43" t="s">
        <v>696</v>
      </c>
      <c r="D43">
        <v>125000</v>
      </c>
      <c r="E43">
        <v>125</v>
      </c>
      <c r="F43" s="11">
        <f t="shared" si="0"/>
        <v>5.4419889502762429</v>
      </c>
      <c r="G43">
        <v>50000</v>
      </c>
      <c r="H43">
        <v>1.25</v>
      </c>
      <c r="I43">
        <v>250</v>
      </c>
      <c r="J43" s="10">
        <f t="shared" si="11"/>
        <v>250</v>
      </c>
      <c r="K43">
        <v>2</v>
      </c>
      <c r="L43">
        <v>1</v>
      </c>
      <c r="M43">
        <v>1</v>
      </c>
      <c r="O43" s="10">
        <f t="shared" si="12"/>
        <v>1185.3591160220994</v>
      </c>
      <c r="P43" s="10">
        <f t="shared" si="13"/>
        <v>1713.3977900552486</v>
      </c>
      <c r="Q43" s="10">
        <f t="shared" si="14"/>
        <v>3401.243093922652</v>
      </c>
      <c r="R43" s="10">
        <f t="shared" si="15"/>
        <v>2100</v>
      </c>
      <c r="S43">
        <v>2100</v>
      </c>
    </row>
    <row r="44" spans="1:19" x14ac:dyDescent="0.25">
      <c r="B44" t="s">
        <v>700</v>
      </c>
      <c r="D44">
        <v>125000</v>
      </c>
      <c r="E44">
        <v>125</v>
      </c>
      <c r="F44" s="11">
        <f t="shared" ref="F44:F50" si="16">(S44*37500000/(L44*M44*D44*E44*K44*J44)-((500/(K44*J44))+(2500000000/(D44*E44*K44*J44)*(D44/100000+E44/100+J44/200))))/(1+5000000/(D44*E44)+(500000000/(D44*E44*J44)))</f>
        <v>5.4941335740072192</v>
      </c>
      <c r="G44">
        <v>32000</v>
      </c>
      <c r="H44">
        <v>1</v>
      </c>
      <c r="I44">
        <v>65</v>
      </c>
      <c r="J44" s="10">
        <f t="shared" si="11"/>
        <v>492.30769230769232</v>
      </c>
      <c r="K44">
        <v>1</v>
      </c>
      <c r="L44">
        <v>1</v>
      </c>
      <c r="M44">
        <v>1</v>
      </c>
      <c r="O44" s="10">
        <f t="shared" si="12"/>
        <v>1212.0730352679811</v>
      </c>
      <c r="P44" s="10">
        <f t="shared" si="13"/>
        <v>1706.9216884198831</v>
      </c>
      <c r="Q44" s="10">
        <f t="shared" si="14"/>
        <v>3381.0052763121348</v>
      </c>
      <c r="R44" s="10">
        <f t="shared" si="15"/>
        <v>2099.9999999999995</v>
      </c>
      <c r="S44">
        <v>2100</v>
      </c>
    </row>
    <row r="45" spans="1:19" x14ac:dyDescent="0.25">
      <c r="B45" t="s">
        <v>699</v>
      </c>
      <c r="D45">
        <v>225000</v>
      </c>
      <c r="E45">
        <v>75</v>
      </c>
      <c r="F45" s="11">
        <f t="shared" si="16"/>
        <v>4.2795138888888893</v>
      </c>
      <c r="G45">
        <v>20000</v>
      </c>
      <c r="H45">
        <v>1</v>
      </c>
      <c r="I45">
        <v>25</v>
      </c>
      <c r="J45" s="10">
        <f t="shared" si="11"/>
        <v>800</v>
      </c>
      <c r="K45">
        <v>2</v>
      </c>
      <c r="L45">
        <v>1</v>
      </c>
      <c r="M45">
        <v>1</v>
      </c>
      <c r="O45" s="10">
        <f t="shared" si="12"/>
        <v>1742.3611111111111</v>
      </c>
      <c r="P45" s="10">
        <f t="shared" si="13"/>
        <v>3413.8888888888891</v>
      </c>
      <c r="Q45" s="10">
        <f t="shared" si="14"/>
        <v>9243.75</v>
      </c>
      <c r="R45" s="10">
        <f t="shared" si="15"/>
        <v>4800</v>
      </c>
      <c r="S45">
        <v>4800</v>
      </c>
    </row>
    <row r="46" spans="1:19" x14ac:dyDescent="0.25">
      <c r="A46" t="s">
        <v>724</v>
      </c>
      <c r="B46" t="s">
        <v>403</v>
      </c>
      <c r="D46">
        <v>95000</v>
      </c>
      <c r="E46">
        <v>90</v>
      </c>
      <c r="F46" s="11">
        <f t="shared" si="16"/>
        <v>4.7854324734446125</v>
      </c>
      <c r="G46">
        <v>3000</v>
      </c>
      <c r="H46">
        <v>0.875</v>
      </c>
      <c r="I46">
        <v>3</v>
      </c>
      <c r="J46" s="10">
        <f t="shared" si="11"/>
        <v>875</v>
      </c>
      <c r="K46">
        <v>1.25</v>
      </c>
      <c r="L46">
        <v>1</v>
      </c>
      <c r="M46">
        <v>1</v>
      </c>
      <c r="O46" s="10">
        <f t="shared" si="12"/>
        <v>1484.2716236722306</v>
      </c>
      <c r="P46" s="10">
        <f t="shared" si="13"/>
        <v>2435.6267071320181</v>
      </c>
      <c r="Q46" s="10">
        <f t="shared" si="14"/>
        <v>3580.1016691957507</v>
      </c>
      <c r="R46" s="10">
        <f t="shared" si="15"/>
        <v>2500</v>
      </c>
      <c r="S46">
        <v>2500</v>
      </c>
    </row>
    <row r="47" spans="1:19" x14ac:dyDescent="0.25">
      <c r="B47" t="s">
        <v>1119</v>
      </c>
      <c r="D47">
        <v>40000</v>
      </c>
      <c r="E47">
        <v>125</v>
      </c>
      <c r="F47" s="11">
        <f t="shared" si="16"/>
        <v>6.0991124260355027</v>
      </c>
      <c r="G47">
        <v>24000</v>
      </c>
      <c r="H47">
        <v>1</v>
      </c>
      <c r="I47">
        <v>27</v>
      </c>
      <c r="J47" s="10">
        <f t="shared" si="11"/>
        <v>888.88888888888891</v>
      </c>
      <c r="K47">
        <v>1</v>
      </c>
      <c r="L47">
        <v>1</v>
      </c>
      <c r="M47">
        <v>1</v>
      </c>
      <c r="O47" s="10">
        <f t="shared" si="12"/>
        <v>1462.8533859303091</v>
      </c>
      <c r="P47" s="10">
        <f t="shared" si="13"/>
        <v>2368.5733070348456</v>
      </c>
      <c r="Q47" s="10">
        <f t="shared" si="14"/>
        <v>2168.5733070348451</v>
      </c>
      <c r="R47" s="10">
        <f t="shared" si="15"/>
        <v>2000</v>
      </c>
      <c r="S47">
        <v>2000</v>
      </c>
    </row>
    <row r="48" spans="1:19" x14ac:dyDescent="0.25">
      <c r="B48" t="s">
        <v>1120</v>
      </c>
      <c r="D48">
        <v>40000</v>
      </c>
      <c r="E48">
        <v>125</v>
      </c>
      <c r="F48" s="11">
        <f t="shared" si="16"/>
        <v>6.0991124260355027</v>
      </c>
      <c r="G48">
        <v>24000</v>
      </c>
      <c r="H48">
        <v>1</v>
      </c>
      <c r="I48">
        <v>27</v>
      </c>
      <c r="J48" s="10">
        <f t="shared" si="11"/>
        <v>888.88888888888891</v>
      </c>
      <c r="K48">
        <v>1</v>
      </c>
      <c r="L48">
        <v>1</v>
      </c>
      <c r="M48">
        <v>1</v>
      </c>
      <c r="O48" s="10">
        <f t="shared" si="12"/>
        <v>1462.8533859303091</v>
      </c>
      <c r="P48" s="10">
        <f t="shared" si="13"/>
        <v>2368.5733070348456</v>
      </c>
      <c r="Q48" s="10">
        <f t="shared" si="14"/>
        <v>2168.5733070348451</v>
      </c>
      <c r="R48" s="10">
        <f t="shared" si="15"/>
        <v>2000</v>
      </c>
      <c r="S48">
        <v>2000</v>
      </c>
    </row>
    <row r="49" spans="1:19" x14ac:dyDescent="0.25">
      <c r="B49" t="s">
        <v>1056</v>
      </c>
      <c r="D49">
        <v>125000</v>
      </c>
      <c r="E49">
        <v>100</v>
      </c>
      <c r="F49" s="11">
        <f t="shared" si="16"/>
        <v>4.7250996015936266</v>
      </c>
      <c r="G49">
        <v>4000</v>
      </c>
      <c r="H49">
        <v>0.875</v>
      </c>
      <c r="I49">
        <v>3</v>
      </c>
      <c r="J49" s="10">
        <f t="shared" si="11"/>
        <v>1166.6666666666665</v>
      </c>
      <c r="K49">
        <v>1.25</v>
      </c>
      <c r="L49">
        <v>1</v>
      </c>
      <c r="M49">
        <v>1</v>
      </c>
      <c r="O49" s="10">
        <f t="shared" si="12"/>
        <v>1852.9216467463477</v>
      </c>
      <c r="P49" s="10">
        <f t="shared" si="13"/>
        <v>3256.3081009296152</v>
      </c>
      <c r="Q49" s="10">
        <f t="shared" si="14"/>
        <v>6890.7702523240378</v>
      </c>
      <c r="R49" s="10">
        <f t="shared" si="15"/>
        <v>4000</v>
      </c>
      <c r="S49">
        <v>4000</v>
      </c>
    </row>
    <row r="50" spans="1:19" x14ac:dyDescent="0.25">
      <c r="B50" t="s">
        <v>1207</v>
      </c>
      <c r="D50">
        <v>120000</v>
      </c>
      <c r="E50">
        <v>120</v>
      </c>
      <c r="F50" s="11">
        <f t="shared" si="16"/>
        <v>8.0120603015075371</v>
      </c>
      <c r="G50">
        <v>48000</v>
      </c>
      <c r="H50">
        <v>1.25</v>
      </c>
      <c r="I50">
        <v>60</v>
      </c>
      <c r="J50" s="10">
        <f t="shared" si="11"/>
        <v>1000</v>
      </c>
      <c r="K50">
        <v>1.25</v>
      </c>
      <c r="L50">
        <v>1</v>
      </c>
      <c r="M50">
        <v>0.75</v>
      </c>
      <c r="O50" s="10">
        <f t="shared" si="12"/>
        <v>1410.4522613065328</v>
      </c>
      <c r="P50" s="10">
        <f t="shared" si="13"/>
        <v>3436.5226130653264</v>
      </c>
      <c r="Q50" s="10">
        <f t="shared" si="14"/>
        <v>8653.0251256281408</v>
      </c>
      <c r="R50" s="10">
        <f t="shared" si="15"/>
        <v>4500</v>
      </c>
      <c r="S50">
        <v>4500</v>
      </c>
    </row>
    <row r="51" spans="1:19" x14ac:dyDescent="0.25">
      <c r="B51" t="s">
        <v>1123</v>
      </c>
      <c r="D51">
        <v>90000</v>
      </c>
      <c r="E51">
        <v>90</v>
      </c>
      <c r="F51" s="11">
        <f>(S51*37500000/(L51*M51*D51*E51*K51*J51)-((500/(K51*J51))+(2500000000/(D51*E51*K51*J51)*(D51/100000+E51/100+J51/200))))/(1+5000000/(D51*E51)+(500000000/(D51*E51*J51)))</f>
        <v>5.2003535651149084</v>
      </c>
      <c r="G51">
        <v>3840</v>
      </c>
      <c r="H51">
        <v>1</v>
      </c>
      <c r="I51">
        <v>8</v>
      </c>
      <c r="J51" s="10">
        <f t="shared" si="11"/>
        <v>480</v>
      </c>
      <c r="K51">
        <v>1.5</v>
      </c>
      <c r="L51">
        <v>1</v>
      </c>
      <c r="M51">
        <v>0.75</v>
      </c>
      <c r="O51" s="10">
        <f t="shared" si="12"/>
        <v>864.01591043017083</v>
      </c>
      <c r="P51" s="10">
        <f t="shared" si="13"/>
        <v>1366.2763700648202</v>
      </c>
      <c r="Q51" s="10">
        <f t="shared" si="14"/>
        <v>1819.7077195050085</v>
      </c>
      <c r="R51" s="10">
        <f t="shared" si="15"/>
        <v>1350</v>
      </c>
      <c r="S51">
        <v>1350</v>
      </c>
    </row>
    <row r="52" spans="1:19" x14ac:dyDescent="0.25">
      <c r="B52" t="s">
        <v>1124</v>
      </c>
      <c r="D52">
        <v>90000</v>
      </c>
      <c r="E52">
        <v>90</v>
      </c>
      <c r="F52" s="11">
        <f>(S52*37500000/(L52*M52*D52*E52*K52*J52)-((500/(K52*J52))+(2500000000/(D52*E52*K52*J52)*(D52/100000+E52/100+J52/200))))/(1+5000000/(D52*E52)+(500000000/(D52*E52*J52)))</f>
        <v>5.2003535651149084</v>
      </c>
      <c r="G52">
        <v>30720</v>
      </c>
      <c r="H52">
        <v>1</v>
      </c>
      <c r="I52">
        <v>64</v>
      </c>
      <c r="J52" s="10">
        <f t="shared" si="11"/>
        <v>480</v>
      </c>
      <c r="K52">
        <v>1.5</v>
      </c>
      <c r="L52">
        <v>1</v>
      </c>
      <c r="M52">
        <v>0.75</v>
      </c>
      <c r="O52" s="10">
        <f t="shared" si="12"/>
        <v>864.01591043017083</v>
      </c>
      <c r="P52" s="10">
        <f t="shared" si="13"/>
        <v>1366.2763700648202</v>
      </c>
      <c r="Q52" s="10">
        <f t="shared" si="14"/>
        <v>1819.7077195050085</v>
      </c>
      <c r="R52" s="10">
        <f t="shared" si="15"/>
        <v>1350</v>
      </c>
      <c r="S52">
        <v>1350</v>
      </c>
    </row>
    <row r="53" spans="1:19" x14ac:dyDescent="0.25">
      <c r="A53" t="s">
        <v>901</v>
      </c>
      <c r="B53" t="s">
        <v>55</v>
      </c>
      <c r="D53">
        <v>62500</v>
      </c>
      <c r="E53">
        <v>145</v>
      </c>
      <c r="F53" s="11">
        <f>(S53*37500000/(L53*M53*D53*E53*K53*J53)-((500/(K53*J53))+(2500000000/(D53*E53*K53*J53)*(D53/100000+E53/100+J53/200))))/(1+5000000/(D53*E53)+(500000000/(D53*E53*J53)))</f>
        <v>5.7397454031117388</v>
      </c>
      <c r="G53">
        <v>24000</v>
      </c>
      <c r="H53">
        <v>1</v>
      </c>
      <c r="I53">
        <v>32</v>
      </c>
      <c r="J53" s="10">
        <f t="shared" si="11"/>
        <v>750</v>
      </c>
      <c r="K53">
        <v>1</v>
      </c>
      <c r="L53">
        <v>1</v>
      </c>
      <c r="M53">
        <v>1</v>
      </c>
      <c r="O53" s="10">
        <f t="shared" si="12"/>
        <v>1394.5898161244695</v>
      </c>
      <c r="P53" s="10">
        <f t="shared" si="13"/>
        <v>2084.4236209335218</v>
      </c>
      <c r="Q53" s="10">
        <f t="shared" si="14"/>
        <v>3120.9865629420083</v>
      </c>
      <c r="R53" s="10">
        <f t="shared" si="15"/>
        <v>2200</v>
      </c>
      <c r="S53">
        <v>2200</v>
      </c>
    </row>
    <row r="54" spans="1:19" x14ac:dyDescent="0.25">
      <c r="B54" t="s">
        <v>1199</v>
      </c>
      <c r="D54">
        <v>35000</v>
      </c>
      <c r="E54">
        <v>110</v>
      </c>
      <c r="F54" s="11">
        <f>(S54*37500000/(L54*M54*D54*E54*K54*J54)-((500/(K54*J54))+(2500000000/(D54*E54*K54*J54)*(D54/100000+E54/100+J54/200))))/(1+5000000/(D54*E54)+(500000000/(D54*E54*J54)))</f>
        <v>3.096040438079191</v>
      </c>
      <c r="G54">
        <v>12000</v>
      </c>
      <c r="H54">
        <v>1</v>
      </c>
      <c r="I54">
        <v>25</v>
      </c>
      <c r="J54" s="10">
        <f t="shared" si="11"/>
        <v>480</v>
      </c>
      <c r="K54">
        <v>1</v>
      </c>
      <c r="L54">
        <v>1</v>
      </c>
      <c r="M54">
        <v>1</v>
      </c>
      <c r="O54" s="10">
        <f t="shared" si="12"/>
        <v>893.84161752316766</v>
      </c>
      <c r="P54" s="10">
        <f t="shared" si="13"/>
        <v>748.43976411120468</v>
      </c>
      <c r="Q54" s="10">
        <f t="shared" si="14"/>
        <v>457.71861836562761</v>
      </c>
      <c r="R54" s="10">
        <f t="shared" si="15"/>
        <v>700</v>
      </c>
      <c r="S54">
        <v>700</v>
      </c>
    </row>
    <row r="57" spans="1:19" x14ac:dyDescent="0.25">
      <c r="B57" t="s">
        <v>426</v>
      </c>
      <c r="D57" t="s">
        <v>36</v>
      </c>
      <c r="E57" t="s">
        <v>37</v>
      </c>
      <c r="F57" t="s">
        <v>38</v>
      </c>
      <c r="G57" t="s">
        <v>39</v>
      </c>
      <c r="H57" t="s">
        <v>181</v>
      </c>
      <c r="I57" t="s">
        <v>40</v>
      </c>
      <c r="J57" s="10" t="s">
        <v>544</v>
      </c>
      <c r="K57" t="s">
        <v>142</v>
      </c>
      <c r="L57" t="s">
        <v>182</v>
      </c>
      <c r="M57" t="s">
        <v>385</v>
      </c>
    </row>
    <row r="59" spans="1:19" x14ac:dyDescent="0.25">
      <c r="A59" t="s">
        <v>320</v>
      </c>
      <c r="B59" t="s">
        <v>539</v>
      </c>
      <c r="C59">
        <v>7</v>
      </c>
      <c r="D59">
        <v>32000</v>
      </c>
      <c r="E59">
        <v>170</v>
      </c>
      <c r="F59" s="11">
        <f>(3*S59/(L59*M59)-( D59/250 + 4*E59/3 + J59 + D59*E59/15000 ))/(40*K59 + K59*J59/4 + D59*E59*K59*J59/15000000)</f>
        <v>7.0198538234973284</v>
      </c>
      <c r="G59">
        <v>32000</v>
      </c>
      <c r="H59">
        <v>1</v>
      </c>
      <c r="I59">
        <v>121</v>
      </c>
      <c r="J59" s="10">
        <f t="shared" ref="J59:J66" si="17">G59/I59*H59</f>
        <v>264.46280991735534</v>
      </c>
      <c r="K59">
        <v>1</v>
      </c>
      <c r="L59">
        <v>1</v>
      </c>
      <c r="M59">
        <v>1</v>
      </c>
      <c r="O59" s="10">
        <f t="shared" ref="O59:O66" si="18">(D59/100000+E59/100+F59*K59/5+J59/200)*200*L59*M59</f>
        <v>949.25696285724848</v>
      </c>
      <c r="P59" s="10">
        <f t="shared" ref="P59:P66" si="19">((D59*E59/25000)+(F59*K59*J59/2.5))*L59*M59</f>
        <v>960.19610694847768</v>
      </c>
      <c r="Q59" s="10">
        <f t="shared" ref="Q59:Q66" si="20">(D59*E59*F59*K59*J59*L59*M59)/12500000</f>
        <v>807.94456435994368</v>
      </c>
      <c r="R59" s="10">
        <f t="shared" ref="R59:R66" si="21">(O59+P59+Q59)/3</f>
        <v>905.79921138855661</v>
      </c>
      <c r="S59">
        <v>800</v>
      </c>
    </row>
    <row r="60" spans="1:19" x14ac:dyDescent="0.25">
      <c r="B60" t="s">
        <v>540</v>
      </c>
      <c r="C60">
        <v>1.6</v>
      </c>
      <c r="D60">
        <v>32000</v>
      </c>
      <c r="E60">
        <v>170</v>
      </c>
      <c r="F60" s="11">
        <f>(3*S60/(L60*M60)-( D60/250 + 4*E60/3 + J60 + D60*E60/15000 ))/(40*K60 + K60*J60/4 + D60*E60*K60*J60/15000000)</f>
        <v>1.8403561491374516</v>
      </c>
      <c r="G60">
        <v>80000</v>
      </c>
      <c r="H60">
        <v>1.125</v>
      </c>
      <c r="I60">
        <v>119</v>
      </c>
      <c r="J60" s="10">
        <f t="shared" si="17"/>
        <v>756.30252100840335</v>
      </c>
      <c r="K60">
        <v>1</v>
      </c>
      <c r="L60">
        <v>1</v>
      </c>
      <c r="M60">
        <v>1</v>
      </c>
      <c r="O60" s="10">
        <f t="shared" si="18"/>
        <v>1233.9167669739015</v>
      </c>
      <c r="P60" s="10">
        <f t="shared" si="19"/>
        <v>774.34639805838867</v>
      </c>
      <c r="Q60" s="10">
        <f t="shared" si="20"/>
        <v>605.74008108752685</v>
      </c>
      <c r="R60" s="10">
        <f t="shared" si="21"/>
        <v>871.33441537327235</v>
      </c>
      <c r="S60">
        <v>800</v>
      </c>
    </row>
    <row r="61" spans="1:19" x14ac:dyDescent="0.25">
      <c r="B61" t="s">
        <v>926</v>
      </c>
      <c r="C61">
        <v>7</v>
      </c>
      <c r="D61">
        <v>64000</v>
      </c>
      <c r="E61">
        <v>190</v>
      </c>
      <c r="F61" s="11">
        <f t="shared" ref="F61:F66" si="22">(3*S61/(L61*M61)-( D61/250 + 4*E61/3 + J61 + D61*E61/15000 ))/(40*K61 + K61*J61/4 + D61*E61*K61*J61/15000000)</f>
        <v>6.9067874298705609</v>
      </c>
      <c r="G61">
        <v>64000</v>
      </c>
      <c r="H61">
        <v>1</v>
      </c>
      <c r="I61">
        <v>121</v>
      </c>
      <c r="J61" s="10">
        <f t="shared" si="17"/>
        <v>528.92561983471069</v>
      </c>
      <c r="K61">
        <v>1</v>
      </c>
      <c r="L61">
        <v>1</v>
      </c>
      <c r="M61">
        <v>1</v>
      </c>
      <c r="O61" s="10">
        <f t="shared" si="18"/>
        <v>1313.197117029533</v>
      </c>
      <c r="P61" s="10">
        <f t="shared" si="19"/>
        <v>1947.67072896435</v>
      </c>
      <c r="Q61" s="10">
        <f t="shared" si="20"/>
        <v>3553.8104128412988</v>
      </c>
      <c r="R61" s="10">
        <f t="shared" si="21"/>
        <v>2271.5594196117272</v>
      </c>
      <c r="S61">
        <v>2000</v>
      </c>
    </row>
    <row r="62" spans="1:19" x14ac:dyDescent="0.25">
      <c r="B62" t="s">
        <v>928</v>
      </c>
      <c r="C62">
        <v>1.1599999999999999</v>
      </c>
      <c r="D62">
        <v>64000</v>
      </c>
      <c r="E62">
        <v>190</v>
      </c>
      <c r="F62" s="11">
        <f t="shared" si="22"/>
        <v>1.239975323874152</v>
      </c>
      <c r="G62">
        <v>200000</v>
      </c>
      <c r="H62">
        <v>1.25</v>
      </c>
      <c r="I62">
        <v>125</v>
      </c>
      <c r="J62" s="10">
        <f t="shared" si="17"/>
        <v>2000</v>
      </c>
      <c r="K62">
        <v>1</v>
      </c>
      <c r="L62">
        <v>1</v>
      </c>
      <c r="M62">
        <v>1</v>
      </c>
      <c r="O62" s="10">
        <f t="shared" si="18"/>
        <v>2557.5990129549659</v>
      </c>
      <c r="P62" s="10">
        <f t="shared" si="19"/>
        <v>1478.3802590993216</v>
      </c>
      <c r="Q62" s="10">
        <f t="shared" si="20"/>
        <v>2412.4959901295501</v>
      </c>
      <c r="R62" s="10">
        <f t="shared" si="21"/>
        <v>2149.4917540612792</v>
      </c>
      <c r="S62">
        <v>2000</v>
      </c>
    </row>
    <row r="63" spans="1:19" x14ac:dyDescent="0.25">
      <c r="B63" t="s">
        <v>929</v>
      </c>
      <c r="C63">
        <v>7</v>
      </c>
      <c r="D63">
        <v>64000</v>
      </c>
      <c r="E63">
        <v>190</v>
      </c>
      <c r="F63" s="11">
        <f t="shared" si="22"/>
        <v>6.9067874298705609</v>
      </c>
      <c r="G63">
        <v>64000</v>
      </c>
      <c r="H63">
        <v>1</v>
      </c>
      <c r="I63">
        <v>121</v>
      </c>
      <c r="J63" s="10">
        <f t="shared" si="17"/>
        <v>528.92561983471069</v>
      </c>
      <c r="K63">
        <v>1</v>
      </c>
      <c r="L63">
        <v>1</v>
      </c>
      <c r="M63">
        <v>1</v>
      </c>
      <c r="O63" s="10">
        <f t="shared" si="18"/>
        <v>1313.197117029533</v>
      </c>
      <c r="P63" s="10">
        <f t="shared" si="19"/>
        <v>1947.67072896435</v>
      </c>
      <c r="Q63" s="10">
        <f t="shared" si="20"/>
        <v>3553.8104128412988</v>
      </c>
      <c r="R63" s="10">
        <f t="shared" si="21"/>
        <v>2271.5594196117272</v>
      </c>
      <c r="S63">
        <v>2000</v>
      </c>
    </row>
    <row r="64" spans="1:19" x14ac:dyDescent="0.25">
      <c r="B64" t="s">
        <v>782</v>
      </c>
      <c r="C64">
        <v>7</v>
      </c>
      <c r="D64">
        <v>80000</v>
      </c>
      <c r="E64">
        <v>135</v>
      </c>
      <c r="F64" s="11">
        <f t="shared" si="22"/>
        <v>6.459810874704492</v>
      </c>
      <c r="G64">
        <v>80000</v>
      </c>
      <c r="H64">
        <v>1</v>
      </c>
      <c r="I64">
        <v>175</v>
      </c>
      <c r="J64" s="10">
        <f t="shared" si="17"/>
        <v>457.14285714285717</v>
      </c>
      <c r="K64">
        <v>1</v>
      </c>
      <c r="L64">
        <v>1</v>
      </c>
      <c r="M64">
        <v>1</v>
      </c>
      <c r="O64" s="10">
        <f t="shared" si="18"/>
        <v>1145.5352921310371</v>
      </c>
      <c r="P64" s="10">
        <f t="shared" si="19"/>
        <v>1613.2225599459643</v>
      </c>
      <c r="Q64" s="10">
        <f t="shared" si="20"/>
        <v>2551.4407294832831</v>
      </c>
      <c r="R64" s="10">
        <f t="shared" si="21"/>
        <v>1770.0661938534279</v>
      </c>
      <c r="S64">
        <v>1600</v>
      </c>
    </row>
    <row r="65" spans="1:19" x14ac:dyDescent="0.25">
      <c r="B65" t="s">
        <v>927</v>
      </c>
      <c r="C65">
        <v>7</v>
      </c>
      <c r="D65">
        <v>64000</v>
      </c>
      <c r="E65">
        <v>190</v>
      </c>
      <c r="F65" s="11">
        <f t="shared" si="22"/>
        <v>6.9067874298705609</v>
      </c>
      <c r="G65">
        <v>64000</v>
      </c>
      <c r="H65">
        <v>1</v>
      </c>
      <c r="I65">
        <v>121</v>
      </c>
      <c r="J65" s="10">
        <f t="shared" si="17"/>
        <v>528.92561983471069</v>
      </c>
      <c r="K65">
        <v>1</v>
      </c>
      <c r="L65">
        <v>1</v>
      </c>
      <c r="M65">
        <v>1</v>
      </c>
      <c r="O65" s="10">
        <f t="shared" si="18"/>
        <v>1313.197117029533</v>
      </c>
      <c r="P65" s="10">
        <f t="shared" si="19"/>
        <v>1947.67072896435</v>
      </c>
      <c r="Q65" s="10">
        <f t="shared" si="20"/>
        <v>3553.8104128412988</v>
      </c>
      <c r="R65" s="10">
        <f t="shared" si="21"/>
        <v>2271.5594196117272</v>
      </c>
      <c r="S65">
        <v>2000</v>
      </c>
    </row>
    <row r="66" spans="1:19" x14ac:dyDescent="0.25">
      <c r="B66" t="s">
        <v>930</v>
      </c>
      <c r="C66">
        <v>1.1000000000000001</v>
      </c>
      <c r="D66">
        <v>64000</v>
      </c>
      <c r="E66">
        <v>190</v>
      </c>
      <c r="F66" s="11">
        <f t="shared" si="22"/>
        <v>1.239975323874152</v>
      </c>
      <c r="G66">
        <v>200000</v>
      </c>
      <c r="H66">
        <v>1.25</v>
      </c>
      <c r="I66">
        <v>125</v>
      </c>
      <c r="J66" s="10">
        <f t="shared" si="17"/>
        <v>2000</v>
      </c>
      <c r="K66">
        <v>1</v>
      </c>
      <c r="L66">
        <v>1</v>
      </c>
      <c r="M66">
        <v>1</v>
      </c>
      <c r="O66" s="10">
        <f t="shared" si="18"/>
        <v>2557.5990129549659</v>
      </c>
      <c r="P66" s="10">
        <f t="shared" si="19"/>
        <v>1478.3802590993216</v>
      </c>
      <c r="Q66" s="10">
        <f t="shared" si="20"/>
        <v>2412.4959901295501</v>
      </c>
      <c r="R66" s="10">
        <f t="shared" si="21"/>
        <v>2149.4917540612792</v>
      </c>
      <c r="S66">
        <v>2000</v>
      </c>
    </row>
    <row r="67" spans="1:19" x14ac:dyDescent="0.25">
      <c r="B67" t="s">
        <v>541</v>
      </c>
      <c r="C67">
        <v>7.1</v>
      </c>
      <c r="D67">
        <v>30000</v>
      </c>
      <c r="E67">
        <v>175</v>
      </c>
      <c r="F67" s="11">
        <f t="shared" ref="F67:F75" si="23">(3*S67/(L67*M67)-( D67/250 + 4*E67/3 + J67 + D67*E67/15000 ))/(40*K67 + K67*J67/4 + D67*E67*K67*J67/15000000)</f>
        <v>6.6189692982456139</v>
      </c>
      <c r="G67">
        <v>72000</v>
      </c>
      <c r="H67">
        <v>1</v>
      </c>
      <c r="I67">
        <v>136</v>
      </c>
      <c r="J67" s="10">
        <f t="shared" ref="J67:J75" si="24">G67/I67*H67</f>
        <v>529.41176470588232</v>
      </c>
      <c r="K67">
        <v>1</v>
      </c>
      <c r="L67">
        <v>1</v>
      </c>
      <c r="M67">
        <v>1</v>
      </c>
      <c r="O67" s="10">
        <f t="shared" ref="O67:O75" si="25">(D67/100000+E67/100+F67*K67/5+J67/200)*200*L67*M67</f>
        <v>1204.1705366357069</v>
      </c>
      <c r="P67" s="10">
        <f t="shared" ref="P67:P75" si="26">((D67*E67/25000)+(F67*K67*J67/2.5))*L67*M67</f>
        <v>1611.6640866873063</v>
      </c>
      <c r="Q67" s="10">
        <f t="shared" ref="Q67:Q75" si="27">(D67*E67*F67*K67*J67*L67*M67)/12500000</f>
        <v>1471.7472910216718</v>
      </c>
      <c r="R67" s="10">
        <f t="shared" ref="R67:R75" si="28">(O67+P67+Q67)/3</f>
        <v>1429.1939714482285</v>
      </c>
      <c r="S67">
        <v>1200</v>
      </c>
    </row>
    <row r="68" spans="1:19" x14ac:dyDescent="0.25">
      <c r="B68" t="s">
        <v>542</v>
      </c>
      <c r="C68">
        <v>7.5</v>
      </c>
      <c r="D68">
        <v>30000</v>
      </c>
      <c r="E68">
        <v>175</v>
      </c>
      <c r="F68" s="11">
        <f t="shared" si="23"/>
        <v>6.6189692982456139</v>
      </c>
      <c r="G68">
        <v>72000</v>
      </c>
      <c r="H68">
        <v>0.875</v>
      </c>
      <c r="I68">
        <v>119</v>
      </c>
      <c r="J68" s="10">
        <f t="shared" si="24"/>
        <v>529.41176470588232</v>
      </c>
      <c r="K68">
        <v>1</v>
      </c>
      <c r="L68">
        <v>1</v>
      </c>
      <c r="M68">
        <v>1</v>
      </c>
      <c r="O68" s="10">
        <f t="shared" si="25"/>
        <v>1204.1705366357069</v>
      </c>
      <c r="P68" s="10">
        <f t="shared" si="26"/>
        <v>1611.6640866873063</v>
      </c>
      <c r="Q68" s="10">
        <f t="shared" si="27"/>
        <v>1471.7472910216718</v>
      </c>
      <c r="R68" s="10">
        <f t="shared" si="28"/>
        <v>1429.1939714482285</v>
      </c>
      <c r="S68">
        <v>1200</v>
      </c>
    </row>
    <row r="69" spans="1:19" x14ac:dyDescent="0.25">
      <c r="A69" t="s">
        <v>629</v>
      </c>
      <c r="B69" t="s">
        <v>213</v>
      </c>
      <c r="D69">
        <v>72000</v>
      </c>
      <c r="E69">
        <v>180</v>
      </c>
      <c r="F69" s="11">
        <f t="shared" si="23"/>
        <v>5.5299735249621795</v>
      </c>
      <c r="G69">
        <v>72000</v>
      </c>
      <c r="H69">
        <v>1</v>
      </c>
      <c r="I69">
        <v>110</v>
      </c>
      <c r="J69" s="10">
        <f t="shared" si="24"/>
        <v>654.5454545454545</v>
      </c>
      <c r="K69">
        <v>1</v>
      </c>
      <c r="L69">
        <v>1</v>
      </c>
      <c r="M69">
        <v>1</v>
      </c>
      <c r="O69" s="10">
        <f t="shared" si="25"/>
        <v>1379.7443955439417</v>
      </c>
      <c r="P69" s="10">
        <f t="shared" si="26"/>
        <v>1966.2476138082798</v>
      </c>
      <c r="Q69" s="10">
        <f t="shared" si="27"/>
        <v>3752.8210149910606</v>
      </c>
      <c r="R69" s="10">
        <f t="shared" si="28"/>
        <v>2366.2710081144273</v>
      </c>
      <c r="S69">
        <v>2100</v>
      </c>
    </row>
    <row r="70" spans="1:19" x14ac:dyDescent="0.25">
      <c r="A70" t="s">
        <v>571</v>
      </c>
      <c r="B70" t="s">
        <v>898</v>
      </c>
      <c r="D70">
        <v>20000</v>
      </c>
      <c r="E70">
        <v>260</v>
      </c>
      <c r="F70" s="11">
        <f t="shared" si="23"/>
        <v>6.1838034576888079</v>
      </c>
      <c r="G70">
        <v>20000</v>
      </c>
      <c r="H70">
        <v>1</v>
      </c>
      <c r="I70">
        <v>68</v>
      </c>
      <c r="J70" s="10">
        <f t="shared" si="24"/>
        <v>294.11764705882354</v>
      </c>
      <c r="K70">
        <v>1</v>
      </c>
      <c r="L70">
        <v>1</v>
      </c>
      <c r="M70">
        <v>1</v>
      </c>
      <c r="O70" s="10">
        <f t="shared" si="25"/>
        <v>1101.4697853663758</v>
      </c>
      <c r="P70" s="10">
        <f t="shared" si="26"/>
        <v>935.50628913985975</v>
      </c>
      <c r="Q70" s="10">
        <f t="shared" si="27"/>
        <v>756.60654070545422</v>
      </c>
      <c r="R70" s="10">
        <f t="shared" si="28"/>
        <v>931.19420507056327</v>
      </c>
      <c r="S70">
        <v>800</v>
      </c>
    </row>
    <row r="71" spans="1:19" x14ac:dyDescent="0.25">
      <c r="B71" t="s">
        <v>899</v>
      </c>
      <c r="D71">
        <v>150000</v>
      </c>
      <c r="E71">
        <v>180</v>
      </c>
      <c r="F71" s="11">
        <f t="shared" si="23"/>
        <v>3.9047619047619047</v>
      </c>
      <c r="G71">
        <v>100000</v>
      </c>
      <c r="H71">
        <v>1</v>
      </c>
      <c r="I71">
        <v>125</v>
      </c>
      <c r="J71" s="10">
        <f t="shared" si="24"/>
        <v>800</v>
      </c>
      <c r="K71">
        <v>1</v>
      </c>
      <c r="L71">
        <v>1</v>
      </c>
      <c r="M71">
        <v>0.75</v>
      </c>
      <c r="O71" s="10">
        <f t="shared" si="25"/>
        <v>1212.1428571428571</v>
      </c>
      <c r="P71" s="10">
        <f t="shared" si="26"/>
        <v>1747.1428571428573</v>
      </c>
      <c r="Q71" s="10">
        <f t="shared" si="27"/>
        <v>5060.5714285714284</v>
      </c>
      <c r="R71" s="10">
        <f t="shared" si="28"/>
        <v>2673.2857142857142</v>
      </c>
      <c r="S71">
        <v>2500</v>
      </c>
    </row>
    <row r="72" spans="1:19" x14ac:dyDescent="0.25">
      <c r="A72" t="s">
        <v>724</v>
      </c>
      <c r="B72" t="s">
        <v>920</v>
      </c>
      <c r="D72">
        <v>75000</v>
      </c>
      <c r="E72">
        <v>155</v>
      </c>
      <c r="F72" s="11">
        <f t="shared" si="23"/>
        <v>6.0424715205547299</v>
      </c>
      <c r="G72">
        <v>60000</v>
      </c>
      <c r="H72">
        <v>1</v>
      </c>
      <c r="I72">
        <v>145</v>
      </c>
      <c r="J72" s="10">
        <f t="shared" si="24"/>
        <v>413.79310344827587</v>
      </c>
      <c r="K72">
        <v>1</v>
      </c>
      <c r="L72">
        <v>1</v>
      </c>
      <c r="M72">
        <v>1</v>
      </c>
      <c r="O72" s="10">
        <f t="shared" si="25"/>
        <v>1115.4919642704651</v>
      </c>
      <c r="P72" s="10">
        <f t="shared" si="26"/>
        <v>1465.1332171952658</v>
      </c>
      <c r="Q72" s="10">
        <f t="shared" si="27"/>
        <v>2325.3097299789924</v>
      </c>
      <c r="R72" s="10">
        <f t="shared" si="28"/>
        <v>1635.3116371482411</v>
      </c>
      <c r="S72">
        <v>1500</v>
      </c>
    </row>
    <row r="73" spans="1:19" x14ac:dyDescent="0.25">
      <c r="B73" t="s">
        <v>921</v>
      </c>
      <c r="D73">
        <v>75000</v>
      </c>
      <c r="E73">
        <v>155</v>
      </c>
      <c r="F73" s="11">
        <f t="shared" si="23"/>
        <v>6.0572117130500809</v>
      </c>
      <c r="G73">
        <v>40000</v>
      </c>
      <c r="H73">
        <v>1.125</v>
      </c>
      <c r="I73">
        <v>109</v>
      </c>
      <c r="J73" s="10">
        <f t="shared" si="24"/>
        <v>412.8440366972477</v>
      </c>
      <c r="K73">
        <v>1</v>
      </c>
      <c r="L73">
        <v>1</v>
      </c>
      <c r="M73">
        <v>1</v>
      </c>
      <c r="O73" s="10">
        <f t="shared" si="25"/>
        <v>1115.1325052192508</v>
      </c>
      <c r="P73" s="10">
        <f t="shared" si="26"/>
        <v>1465.2734938981785</v>
      </c>
      <c r="Q73" s="10">
        <f t="shared" si="27"/>
        <v>2325.6358733132652</v>
      </c>
      <c r="R73" s="10">
        <f t="shared" si="28"/>
        <v>1635.3472908102315</v>
      </c>
      <c r="S73">
        <v>1500</v>
      </c>
    </row>
    <row r="74" spans="1:19" x14ac:dyDescent="0.25">
      <c r="B74" t="s">
        <v>600</v>
      </c>
      <c r="D74">
        <v>60000</v>
      </c>
      <c r="E74">
        <v>115</v>
      </c>
      <c r="F74" s="11">
        <f t="shared" si="23"/>
        <v>6.0902203856749306</v>
      </c>
      <c r="G74">
        <v>60000</v>
      </c>
      <c r="H74">
        <v>1</v>
      </c>
      <c r="I74">
        <v>145</v>
      </c>
      <c r="J74" s="10">
        <f t="shared" si="24"/>
        <v>413.79310344827587</v>
      </c>
      <c r="K74">
        <v>1</v>
      </c>
      <c r="L74">
        <v>1</v>
      </c>
      <c r="M74">
        <v>1</v>
      </c>
      <c r="O74" s="10">
        <f t="shared" si="25"/>
        <v>1007.4019188752733</v>
      </c>
      <c r="P74" s="10">
        <f t="shared" si="26"/>
        <v>1284.0364776289539</v>
      </c>
      <c r="Q74" s="10">
        <f t="shared" si="27"/>
        <v>1391.0903391279564</v>
      </c>
      <c r="R74" s="10">
        <f t="shared" si="28"/>
        <v>1227.509578544061</v>
      </c>
      <c r="S74">
        <v>1100</v>
      </c>
    </row>
    <row r="75" spans="1:19" x14ac:dyDescent="0.25">
      <c r="B75" t="s">
        <v>757</v>
      </c>
      <c r="D75">
        <v>40000</v>
      </c>
      <c r="E75">
        <v>165</v>
      </c>
      <c r="F75" s="11">
        <f t="shared" si="23"/>
        <v>4.4140127388535042</v>
      </c>
      <c r="G75">
        <v>40000</v>
      </c>
      <c r="H75">
        <v>1</v>
      </c>
      <c r="I75">
        <v>95</v>
      </c>
      <c r="J75" s="10">
        <f t="shared" si="24"/>
        <v>421.05263157894734</v>
      </c>
      <c r="K75">
        <v>1</v>
      </c>
      <c r="L75">
        <v>1</v>
      </c>
      <c r="M75">
        <v>1</v>
      </c>
      <c r="O75" s="10">
        <f t="shared" si="25"/>
        <v>1007.6131411330873</v>
      </c>
      <c r="P75" s="10">
        <f t="shared" si="26"/>
        <v>1007.4126718069059</v>
      </c>
      <c r="Q75" s="10">
        <f t="shared" si="27"/>
        <v>981.3047267851158</v>
      </c>
      <c r="R75" s="10">
        <f t="shared" si="28"/>
        <v>998.7768465750363</v>
      </c>
      <c r="S75">
        <v>900</v>
      </c>
    </row>
    <row r="76" spans="1:19" x14ac:dyDescent="0.25">
      <c r="B76" t="s">
        <v>365</v>
      </c>
      <c r="D76">
        <v>50000</v>
      </c>
      <c r="E76">
        <v>150</v>
      </c>
      <c r="F76" s="11">
        <f>(3*S76/(L76*M76)-( D76/250 + 4*E76/3 + J76 + D76*E76/15000 ))/(40*K76 + K76*J76/4 + D76*E76*K76*J76/15000000)</f>
        <v>5</v>
      </c>
      <c r="G76">
        <v>50000</v>
      </c>
      <c r="H76">
        <v>1</v>
      </c>
      <c r="I76">
        <v>125</v>
      </c>
      <c r="J76" s="10">
        <f>G76/I76*H76</f>
        <v>400</v>
      </c>
      <c r="K76">
        <v>1</v>
      </c>
      <c r="L76">
        <v>1</v>
      </c>
      <c r="M76">
        <v>1</v>
      </c>
      <c r="O76" s="10">
        <f>(D76/50000+E76/150+F76*K76/5+J76/200)*200*L76*M76</f>
        <v>1000</v>
      </c>
      <c r="P76" s="10">
        <f>((D76*E76/15000)+(F76*K76*J76/4))*L76*M76</f>
        <v>1000</v>
      </c>
      <c r="Q76" s="10">
        <f>(D76*E76*F76*K76*J76*L76*M76)/15000000</f>
        <v>1000</v>
      </c>
      <c r="R76" s="10">
        <f>(O76+P76+Q76)/3</f>
        <v>1000</v>
      </c>
      <c r="S76">
        <v>1000</v>
      </c>
    </row>
    <row r="81" spans="1:19" x14ac:dyDescent="0.25">
      <c r="F81" s="11"/>
      <c r="J81" s="10"/>
      <c r="O81" s="10"/>
      <c r="P81" s="10"/>
      <c r="Q81" s="10"/>
      <c r="R81" s="10"/>
    </row>
    <row r="84" spans="1:19" x14ac:dyDescent="0.25">
      <c r="B84" t="s">
        <v>427</v>
      </c>
      <c r="F84" s="4" t="s">
        <v>561</v>
      </c>
    </row>
    <row r="86" spans="1:19" x14ac:dyDescent="0.25">
      <c r="A86" t="s">
        <v>321</v>
      </c>
      <c r="B86" t="s">
        <v>417</v>
      </c>
      <c r="D86">
        <v>180000</v>
      </c>
      <c r="E86">
        <v>180</v>
      </c>
      <c r="F86" s="11">
        <f>(S86*37500000/(L86*M86*D86*E86*K86*J86)-((500/(K86*J86))+(2500000000/(D86*E86*K86*J86)*(D86/100000+E86/100+J86/200))))/(1+5000000/(D86*E86)+(500000000/(D86*E86*J86)))</f>
        <v>5.03437410484102</v>
      </c>
      <c r="G86">
        <v>80000</v>
      </c>
      <c r="H86">
        <v>1.125</v>
      </c>
      <c r="I86">
        <v>250</v>
      </c>
      <c r="J86" s="10">
        <f t="shared" ref="J86:J93" si="29">G86/I86*H86</f>
        <v>360</v>
      </c>
      <c r="K86">
        <v>1</v>
      </c>
      <c r="L86">
        <v>1</v>
      </c>
      <c r="M86">
        <v>0.75</v>
      </c>
      <c r="N86">
        <v>2100</v>
      </c>
      <c r="O86" s="10">
        <f t="shared" ref="O86:O93" si="30">(D86/100000+E86/100+F86*K86/5+J86/200)*200*L86*M86</f>
        <v>961.03122314523057</v>
      </c>
      <c r="P86" s="10">
        <f t="shared" ref="P86:P93" si="31">((D86*E86/25000)+(F86*K86*J86/2.5))*L86*M86</f>
        <v>1515.7124033228301</v>
      </c>
      <c r="Q86" s="10">
        <f t="shared" ref="Q86:Q93" si="32">(D86*E86*F86*K86*J86*L86*M86)/12500000</f>
        <v>3523.2563735319395</v>
      </c>
      <c r="R86" s="10">
        <f t="shared" ref="R86:R93" si="33">(O86+P86+Q86)/3</f>
        <v>2000</v>
      </c>
      <c r="S86">
        <v>2000</v>
      </c>
    </row>
    <row r="87" spans="1:19" x14ac:dyDescent="0.25">
      <c r="B87" t="s">
        <v>418</v>
      </c>
      <c r="D87">
        <v>150000</v>
      </c>
      <c r="E87">
        <v>190</v>
      </c>
      <c r="F87">
        <v>12.5</v>
      </c>
      <c r="G87">
        <v>80000</v>
      </c>
      <c r="H87">
        <v>1.25</v>
      </c>
      <c r="I87">
        <v>250</v>
      </c>
      <c r="J87" s="10">
        <f t="shared" si="29"/>
        <v>400</v>
      </c>
      <c r="K87">
        <v>1</v>
      </c>
      <c r="L87">
        <v>1</v>
      </c>
      <c r="M87">
        <v>0.75</v>
      </c>
      <c r="O87" s="10">
        <f t="shared" si="30"/>
        <v>1185</v>
      </c>
      <c r="P87" s="10">
        <f t="shared" si="31"/>
        <v>2355</v>
      </c>
      <c r="Q87" s="10">
        <f t="shared" si="32"/>
        <v>8550</v>
      </c>
      <c r="R87" s="10">
        <f t="shared" si="33"/>
        <v>4030</v>
      </c>
      <c r="S87">
        <v>5000</v>
      </c>
    </row>
    <row r="88" spans="1:19" x14ac:dyDescent="0.25">
      <c r="A88" t="s">
        <v>320</v>
      </c>
      <c r="B88" t="s">
        <v>187</v>
      </c>
      <c r="D88">
        <v>40000</v>
      </c>
      <c r="E88">
        <v>200</v>
      </c>
      <c r="F88" s="11">
        <f>(S88*37500000/(L88*M88*D88*E88*K88*J88)-((500/(K88*J88))+(2500000000/(D88*E88*K88*J88)*(D88/100000+E88/100+J88/200))))/(1+5000000/(D88*E88)+(500000000/(D88*E88*J88)))</f>
        <v>5.895691609977324</v>
      </c>
      <c r="G88">
        <v>160000</v>
      </c>
      <c r="H88">
        <v>1</v>
      </c>
      <c r="I88">
        <v>250</v>
      </c>
      <c r="J88" s="10">
        <f t="shared" si="29"/>
        <v>640</v>
      </c>
      <c r="K88">
        <v>1</v>
      </c>
      <c r="L88">
        <v>1</v>
      </c>
      <c r="M88">
        <v>0.75</v>
      </c>
      <c r="O88" s="10">
        <f t="shared" si="30"/>
        <v>1016.8707482993198</v>
      </c>
      <c r="P88" s="10">
        <f t="shared" si="31"/>
        <v>1371.9727891156463</v>
      </c>
      <c r="Q88" s="10">
        <f t="shared" si="32"/>
        <v>1811.156462585034</v>
      </c>
      <c r="R88" s="10">
        <f t="shared" si="33"/>
        <v>1400</v>
      </c>
      <c r="S88">
        <v>1400</v>
      </c>
    </row>
    <row r="89" spans="1:19" x14ac:dyDescent="0.25">
      <c r="B89" t="s">
        <v>428</v>
      </c>
      <c r="D89">
        <v>77500</v>
      </c>
      <c r="E89">
        <v>210</v>
      </c>
      <c r="F89">
        <v>5</v>
      </c>
      <c r="G89">
        <v>80000</v>
      </c>
      <c r="H89">
        <v>1.25</v>
      </c>
      <c r="I89">
        <v>250</v>
      </c>
      <c r="J89" s="10">
        <f t="shared" si="29"/>
        <v>400</v>
      </c>
      <c r="K89">
        <v>1</v>
      </c>
      <c r="L89">
        <v>1</v>
      </c>
      <c r="M89">
        <v>0.75</v>
      </c>
      <c r="N89">
        <v>1700</v>
      </c>
      <c r="O89" s="10">
        <f t="shared" si="30"/>
        <v>881.25</v>
      </c>
      <c r="P89" s="10">
        <f t="shared" si="31"/>
        <v>1088.25</v>
      </c>
      <c r="Q89" s="10">
        <f t="shared" si="32"/>
        <v>1953</v>
      </c>
      <c r="R89" s="10">
        <f t="shared" si="33"/>
        <v>1307.5</v>
      </c>
      <c r="S89">
        <v>1300</v>
      </c>
    </row>
    <row r="90" spans="1:19" x14ac:dyDescent="0.25">
      <c r="B90" t="s">
        <v>429</v>
      </c>
      <c r="D90">
        <v>77500</v>
      </c>
      <c r="E90">
        <v>210</v>
      </c>
      <c r="F90">
        <v>7</v>
      </c>
      <c r="G90">
        <v>64000</v>
      </c>
      <c r="H90">
        <v>1.125</v>
      </c>
      <c r="I90">
        <v>250</v>
      </c>
      <c r="J90" s="10">
        <f t="shared" si="29"/>
        <v>288</v>
      </c>
      <c r="K90">
        <v>1</v>
      </c>
      <c r="L90">
        <v>1</v>
      </c>
      <c r="M90">
        <v>0.75</v>
      </c>
      <c r="O90" s="10">
        <f t="shared" si="30"/>
        <v>857.25</v>
      </c>
      <c r="P90" s="10">
        <f t="shared" si="31"/>
        <v>1093.0500000000002</v>
      </c>
      <c r="Q90" s="10">
        <f t="shared" si="32"/>
        <v>1968.624</v>
      </c>
      <c r="R90" s="10">
        <f t="shared" si="33"/>
        <v>1306.308</v>
      </c>
      <c r="S90" s="10">
        <f>(R89+R90)/2</f>
        <v>1306.904</v>
      </c>
    </row>
    <row r="91" spans="1:19" x14ac:dyDescent="0.25">
      <c r="B91" t="s">
        <v>419</v>
      </c>
      <c r="D91">
        <v>125000</v>
      </c>
      <c r="E91">
        <v>200</v>
      </c>
      <c r="F91">
        <v>5</v>
      </c>
      <c r="G91">
        <v>400000</v>
      </c>
      <c r="H91">
        <v>1.25</v>
      </c>
      <c r="I91">
        <v>250</v>
      </c>
      <c r="J91" s="10">
        <f t="shared" si="29"/>
        <v>2000</v>
      </c>
      <c r="K91">
        <v>1</v>
      </c>
      <c r="L91">
        <v>1</v>
      </c>
      <c r="M91">
        <v>0.75</v>
      </c>
      <c r="N91">
        <v>7000</v>
      </c>
      <c r="O91" s="10">
        <f t="shared" si="30"/>
        <v>2137.5</v>
      </c>
      <c r="P91" s="10">
        <f t="shared" si="31"/>
        <v>3750</v>
      </c>
      <c r="Q91" s="10">
        <f t="shared" si="32"/>
        <v>15000</v>
      </c>
      <c r="R91" s="10">
        <f t="shared" si="33"/>
        <v>6962.5</v>
      </c>
      <c r="S91">
        <v>7000</v>
      </c>
    </row>
    <row r="92" spans="1:19" x14ac:dyDescent="0.25">
      <c r="B92" t="s">
        <v>415</v>
      </c>
      <c r="D92">
        <v>65000</v>
      </c>
      <c r="E92">
        <v>220</v>
      </c>
      <c r="F92" s="11">
        <f>(S92*37500000/(L92*M92*D92*E92*K92*J92)-((500/(K92*J92))+(2500000000/(D92*E92*K92*J92)*(D92/100000+E92/100+J92/200))))/(1+5000000/(D92*E92)+(500000000/(D92*E92*J92)))</f>
        <v>7.8873902132998754</v>
      </c>
      <c r="G92">
        <v>160000</v>
      </c>
      <c r="H92">
        <v>1.25</v>
      </c>
      <c r="I92">
        <v>250</v>
      </c>
      <c r="J92" s="10">
        <f t="shared" si="29"/>
        <v>800</v>
      </c>
      <c r="K92">
        <v>1</v>
      </c>
      <c r="L92">
        <v>1</v>
      </c>
      <c r="M92">
        <v>0.75</v>
      </c>
      <c r="O92" s="10">
        <f t="shared" si="30"/>
        <v>1264.1217063989961</v>
      </c>
      <c r="P92" s="10">
        <f t="shared" si="31"/>
        <v>2321.97365119197</v>
      </c>
      <c r="Q92" s="10">
        <f t="shared" si="32"/>
        <v>5413.9046424090348</v>
      </c>
      <c r="R92" s="10">
        <f t="shared" si="33"/>
        <v>3000</v>
      </c>
      <c r="S92">
        <v>3000</v>
      </c>
    </row>
    <row r="93" spans="1:19" x14ac:dyDescent="0.25">
      <c r="B93" t="s">
        <v>189</v>
      </c>
      <c r="D93">
        <v>122500</v>
      </c>
      <c r="E93">
        <v>165</v>
      </c>
      <c r="F93" s="11">
        <f>(S93*37500000/(L93*M93*D93*E93*K93*J93)-((500/(K93*J93))+(2500000000/(D93*E93*K93*J93)*(D93/100000+E93/100+J93/200))))/(1+5000000/(D93*E93)+(500000000/(D93*E93*J93)))</f>
        <v>4.9793339631554074</v>
      </c>
      <c r="G93">
        <v>80000</v>
      </c>
      <c r="H93">
        <v>1.25</v>
      </c>
      <c r="I93">
        <v>250</v>
      </c>
      <c r="J93" s="10">
        <f t="shared" si="29"/>
        <v>400</v>
      </c>
      <c r="K93">
        <v>1</v>
      </c>
      <c r="L93">
        <v>1</v>
      </c>
      <c r="M93">
        <v>0.75</v>
      </c>
      <c r="N93">
        <v>1500</v>
      </c>
      <c r="O93" s="10">
        <f t="shared" si="30"/>
        <v>880.63001889466227</v>
      </c>
      <c r="P93" s="10">
        <f t="shared" si="31"/>
        <v>1203.8950755786489</v>
      </c>
      <c r="Q93" s="10">
        <f t="shared" si="32"/>
        <v>2415.474905526688</v>
      </c>
      <c r="R93" s="10">
        <f t="shared" si="33"/>
        <v>1499.9999999999998</v>
      </c>
      <c r="S93">
        <v>1500</v>
      </c>
    </row>
    <row r="94" spans="1:19" x14ac:dyDescent="0.25">
      <c r="A94" t="s">
        <v>571</v>
      </c>
      <c r="B94" t="s">
        <v>572</v>
      </c>
      <c r="D94">
        <v>62500</v>
      </c>
      <c r="E94">
        <v>165</v>
      </c>
      <c r="F94" s="11">
        <f t="shared" ref="F94:F100" si="34">(S94*37500000/(L94*M94*D94*E94*K94*J94)-((500/(K94*J94))+(2500000000/(D94*E94*K94*J94)*(D94/100000+E94/100+J94/200))))/(1+5000000/(D94*E94)+(500000000/(D94*E94*J94)))</f>
        <v>6.5023510971786829</v>
      </c>
      <c r="G94">
        <v>96000</v>
      </c>
      <c r="H94">
        <v>1</v>
      </c>
      <c r="I94">
        <v>250</v>
      </c>
      <c r="J94" s="10">
        <f>G94/I94*H94</f>
        <v>384</v>
      </c>
      <c r="K94">
        <v>1.25</v>
      </c>
      <c r="L94">
        <v>1</v>
      </c>
      <c r="M94">
        <v>1</v>
      </c>
      <c r="O94" s="10">
        <f>(D94/100000+E94/100+F94*K94/5+J94/200)*200*L94*M94</f>
        <v>1164.1175548589342</v>
      </c>
      <c r="P94" s="10">
        <f>((D94*E94/25000)+(F94*K94*J94/2.5))*L94*M94</f>
        <v>1660.9514106583072</v>
      </c>
      <c r="Q94" s="10">
        <f>(D94*E94*F94*K94*J94*L94*M94)/12500000</f>
        <v>2574.9310344827586</v>
      </c>
      <c r="R94" s="10">
        <f>(O94+P94+Q94)/3</f>
        <v>1800</v>
      </c>
      <c r="S94">
        <v>1800</v>
      </c>
    </row>
    <row r="95" spans="1:19" x14ac:dyDescent="0.25">
      <c r="B95" t="s">
        <v>573</v>
      </c>
      <c r="D95">
        <v>62500</v>
      </c>
      <c r="E95">
        <v>165</v>
      </c>
      <c r="F95" s="11">
        <f t="shared" si="34"/>
        <v>6.5023510971786829</v>
      </c>
      <c r="G95">
        <v>96000</v>
      </c>
      <c r="H95">
        <v>1</v>
      </c>
      <c r="I95">
        <v>250</v>
      </c>
      <c r="J95" s="10">
        <f>G95/I95*H95</f>
        <v>384</v>
      </c>
      <c r="K95">
        <v>1.25</v>
      </c>
      <c r="L95">
        <v>1</v>
      </c>
      <c r="M95">
        <v>1</v>
      </c>
      <c r="O95" s="10">
        <f>(D95/100000+E95/100+F95*K95/5+J95/200)*200*L95*M95</f>
        <v>1164.1175548589342</v>
      </c>
      <c r="P95" s="10">
        <f>((D95*E95/25000)+(F95*K95*J95/2.5))*L95*M95</f>
        <v>1660.9514106583072</v>
      </c>
      <c r="Q95" s="10">
        <f>(D95*E95*F95*K95*J95*L95*M95)/12500000</f>
        <v>2574.9310344827586</v>
      </c>
      <c r="R95" s="10">
        <f>(O95+P95+Q95)/3</f>
        <v>1800</v>
      </c>
      <c r="S95">
        <v>1800</v>
      </c>
    </row>
    <row r="96" spans="1:19" x14ac:dyDescent="0.25">
      <c r="B96" t="s">
        <v>1053</v>
      </c>
      <c r="D96">
        <v>111000</v>
      </c>
      <c r="E96">
        <v>145</v>
      </c>
      <c r="F96" s="11">
        <f t="shared" si="34"/>
        <v>4.9999999999999991</v>
      </c>
      <c r="G96">
        <v>90000</v>
      </c>
      <c r="H96">
        <v>1.25</v>
      </c>
      <c r="I96">
        <v>250</v>
      </c>
      <c r="J96" s="10">
        <f>G96/I96*H96</f>
        <v>450</v>
      </c>
      <c r="K96">
        <v>2</v>
      </c>
      <c r="L96">
        <v>1</v>
      </c>
      <c r="M96">
        <v>0.75</v>
      </c>
      <c r="O96" s="10">
        <f>(D96/100000+E96/100+F96*K96/5+J96/200)*200*L96*M96</f>
        <v>1021.5</v>
      </c>
      <c r="P96" s="10">
        <f>((D96*E96/25000)+(F96*K96*J96/2.5))*L96*M96</f>
        <v>1832.8499999999995</v>
      </c>
      <c r="Q96" s="10">
        <f>(D96*E96*F96*K96*J96*L96*M96)/12500000</f>
        <v>4345.6499999999987</v>
      </c>
      <c r="R96" s="10">
        <f>(O96+P96+Q96)/3</f>
        <v>2399.9999999999995</v>
      </c>
      <c r="S96">
        <v>2400</v>
      </c>
    </row>
    <row r="97" spans="1:19" x14ac:dyDescent="0.25">
      <c r="A97" t="s">
        <v>629</v>
      </c>
      <c r="B97" s="6" t="s">
        <v>232</v>
      </c>
      <c r="C97" s="6"/>
      <c r="D97" s="6">
        <v>85000</v>
      </c>
      <c r="E97" s="6">
        <v>150</v>
      </c>
      <c r="F97" s="11">
        <f t="shared" si="34"/>
        <v>9.0680724596660056</v>
      </c>
      <c r="G97" s="6">
        <v>192000</v>
      </c>
      <c r="H97" s="6">
        <v>1</v>
      </c>
      <c r="I97" s="6">
        <v>250</v>
      </c>
      <c r="J97" s="14">
        <v>768</v>
      </c>
      <c r="K97" s="6">
        <v>1</v>
      </c>
      <c r="L97">
        <v>1</v>
      </c>
      <c r="M97">
        <v>0.75</v>
      </c>
      <c r="N97" s="6">
        <v>3200</v>
      </c>
      <c r="O97" s="14">
        <v>799</v>
      </c>
      <c r="P97" s="14">
        <v>1637.4</v>
      </c>
      <c r="Q97" s="14">
        <v>3525.12</v>
      </c>
      <c r="R97" s="14">
        <v>1987.17</v>
      </c>
      <c r="S97" s="6">
        <v>3000</v>
      </c>
    </row>
    <row r="98" spans="1:19" x14ac:dyDescent="0.25">
      <c r="B98" t="s">
        <v>414</v>
      </c>
      <c r="D98">
        <v>57500</v>
      </c>
      <c r="E98">
        <v>215</v>
      </c>
      <c r="F98" s="11">
        <f t="shared" si="34"/>
        <v>7.6000161892427247</v>
      </c>
      <c r="G98">
        <v>128000</v>
      </c>
      <c r="H98">
        <v>1.125</v>
      </c>
      <c r="I98">
        <v>250</v>
      </c>
      <c r="J98" s="10">
        <f>G98/I98*H98</f>
        <v>576</v>
      </c>
      <c r="K98">
        <v>1</v>
      </c>
      <c r="L98">
        <v>1</v>
      </c>
      <c r="M98">
        <v>0.75</v>
      </c>
      <c r="N98">
        <v>2000</v>
      </c>
      <c r="O98" s="10">
        <f>(D98/100000+E98/100+F98*K98/5+J98/200)*200*L98*M98</f>
        <v>1068.7504856772816</v>
      </c>
      <c r="P98" s="10">
        <f>((D98*E98/25000)+(F98*K98*J98/2.5))*L98*M98</f>
        <v>1684.1577975011428</v>
      </c>
      <c r="Q98" s="10">
        <f>(D98*E98*F98*K98*J98*L98*M98)/12500000</f>
        <v>3247.0917168215751</v>
      </c>
      <c r="R98" s="10">
        <f>(O98+P98+Q98)/3</f>
        <v>2000</v>
      </c>
      <c r="S98">
        <v>2000</v>
      </c>
    </row>
    <row r="99" spans="1:19" x14ac:dyDescent="0.25">
      <c r="A99" t="s">
        <v>724</v>
      </c>
      <c r="B99" t="s">
        <v>352</v>
      </c>
      <c r="D99">
        <v>90000</v>
      </c>
      <c r="E99">
        <v>180</v>
      </c>
      <c r="F99" s="11">
        <f t="shared" si="34"/>
        <v>6.4771449981266391</v>
      </c>
      <c r="G99">
        <v>120000</v>
      </c>
      <c r="H99">
        <v>1</v>
      </c>
      <c r="I99">
        <v>250</v>
      </c>
      <c r="J99" s="10">
        <f>G99/I99*H99</f>
        <v>480</v>
      </c>
      <c r="K99">
        <v>1</v>
      </c>
      <c r="L99">
        <v>1</v>
      </c>
      <c r="M99">
        <v>0.75</v>
      </c>
      <c r="N99">
        <v>1800</v>
      </c>
      <c r="O99" s="10">
        <f>(D99/100000+E99/100+F99*K99/5+J99/200)*200*L99*M99</f>
        <v>959.31434994379902</v>
      </c>
      <c r="P99" s="10">
        <f>((D99*E99/25000)+(F99*K99*J99/2.5))*L99*M99</f>
        <v>1418.7088797302363</v>
      </c>
      <c r="Q99" s="10">
        <f>(D99*E99*F99*K99*J99*L99*M99)/12500000</f>
        <v>3021.9767703259649</v>
      </c>
      <c r="R99" s="10">
        <f>(O99+P99+Q99)/3</f>
        <v>1800</v>
      </c>
      <c r="S99">
        <v>1800</v>
      </c>
    </row>
    <row r="100" spans="1:19" x14ac:dyDescent="0.25">
      <c r="B100" t="s">
        <v>430</v>
      </c>
      <c r="D100">
        <v>50000</v>
      </c>
      <c r="E100">
        <v>190</v>
      </c>
      <c r="F100" s="11">
        <f t="shared" si="34"/>
        <v>7.6240376390076996</v>
      </c>
      <c r="G100">
        <v>64000</v>
      </c>
      <c r="H100">
        <v>1.125</v>
      </c>
      <c r="I100">
        <v>250</v>
      </c>
      <c r="J100" s="10">
        <f>G100/I100*H100</f>
        <v>288</v>
      </c>
      <c r="K100">
        <v>1</v>
      </c>
      <c r="L100">
        <v>1</v>
      </c>
      <c r="M100">
        <v>0.75</v>
      </c>
      <c r="N100">
        <v>1000</v>
      </c>
      <c r="O100" s="10">
        <f>(D100/100000+E100/100+F100*K100/5+J100/200)*200*L100*M100</f>
        <v>804.72112917023105</v>
      </c>
      <c r="P100" s="10">
        <f>((D100*E100/25000)+(F100*K100*J100/2.5))*L100*M100</f>
        <v>943.71685201026514</v>
      </c>
      <c r="Q100" s="10">
        <f>(D100*E100*F100*K100*J100*L100*M100)/12500000</f>
        <v>1251.5620188195039</v>
      </c>
      <c r="R100" s="10">
        <f>(O100+P100+Q100)/3</f>
        <v>1000</v>
      </c>
      <c r="S100">
        <v>1000</v>
      </c>
    </row>
    <row r="101" spans="1:19" x14ac:dyDescent="0.25">
      <c r="A101" t="s">
        <v>901</v>
      </c>
      <c r="B101" t="s">
        <v>1054</v>
      </c>
      <c r="D101">
        <v>152500</v>
      </c>
      <c r="E101">
        <v>160</v>
      </c>
      <c r="F101" s="11">
        <f>(S101*37500000/(L101*M101*D101*E101*K101*J101)-((500/(K101*J101))+(2500000000/(D101*E101*K101*J101)*(D101/100000+E101/100+J101/200))))/(1+5000000/(D101*E101)+(500000000/(D101*E101*J101)))</f>
        <v>5.0518936635105609</v>
      </c>
      <c r="G101">
        <v>100000</v>
      </c>
      <c r="H101">
        <v>1.125</v>
      </c>
      <c r="I101">
        <v>250</v>
      </c>
      <c r="J101" s="10">
        <f>G101/I101*H101</f>
        <v>450</v>
      </c>
      <c r="K101">
        <v>1</v>
      </c>
      <c r="L101">
        <v>1</v>
      </c>
      <c r="M101">
        <v>0.75</v>
      </c>
      <c r="N101">
        <v>2100</v>
      </c>
      <c r="O101" s="10">
        <f>(D101/100000+E101/100+F101*K101/5+J101/200)*200*L101*M101</f>
        <v>957.80680990531687</v>
      </c>
      <c r="P101" s="10">
        <f>((D101*E101/25000)+(F101*K101*J101/2.5))*L101*M101</f>
        <v>1414.0056445739258</v>
      </c>
      <c r="Q101" s="10">
        <f>(D101*E101*F101*K101*J101*L101*M101)/12500000</f>
        <v>3328.1875455207582</v>
      </c>
      <c r="R101" s="10">
        <f>(O101+P101+Q101)/3</f>
        <v>1900.0000000000002</v>
      </c>
      <c r="S101">
        <v>1900</v>
      </c>
    </row>
    <row r="105" spans="1:19" x14ac:dyDescent="0.25">
      <c r="B105" t="s">
        <v>413</v>
      </c>
      <c r="D105" t="s">
        <v>36</v>
      </c>
      <c r="E105" t="s">
        <v>37</v>
      </c>
      <c r="F105" t="s">
        <v>38</v>
      </c>
      <c r="G105" t="s">
        <v>39</v>
      </c>
      <c r="H105" t="s">
        <v>181</v>
      </c>
      <c r="I105" t="s">
        <v>40</v>
      </c>
      <c r="J105" s="10" t="s">
        <v>544</v>
      </c>
      <c r="K105" t="s">
        <v>142</v>
      </c>
      <c r="L105" t="s">
        <v>182</v>
      </c>
      <c r="M105" t="s">
        <v>385</v>
      </c>
      <c r="O105" s="10"/>
      <c r="P105" s="10"/>
      <c r="Q105" s="10"/>
      <c r="R105" s="10"/>
    </row>
    <row r="106" spans="1:19" x14ac:dyDescent="0.25">
      <c r="O106" s="10"/>
      <c r="P106" s="10"/>
      <c r="Q106" s="10"/>
      <c r="R106" s="10"/>
    </row>
    <row r="107" spans="1:19" x14ac:dyDescent="0.25">
      <c r="A107" t="s">
        <v>571</v>
      </c>
      <c r="B107" t="s">
        <v>260</v>
      </c>
      <c r="D107">
        <v>250000</v>
      </c>
      <c r="E107">
        <v>40</v>
      </c>
      <c r="F107" s="11">
        <f t="shared" ref="F107:F115" si="35">(S107*37500000/(L107*M107*D107*E107*K107*J107)-((500/(K107*J107))+(2500000000/(D107*E107*K107*J107)*(D107/100000+E107/100+J107/200))))/(1+5000000/(D107*E107)+(500000000/(D107*E107*J107)))</f>
        <v>6.3956236323851208</v>
      </c>
      <c r="G107">
        <v>300000</v>
      </c>
      <c r="H107">
        <v>1.25</v>
      </c>
      <c r="I107">
        <v>175</v>
      </c>
      <c r="J107" s="10">
        <f>G107/I107*H107</f>
        <v>2142.8571428571427</v>
      </c>
      <c r="K107">
        <v>1.25</v>
      </c>
      <c r="L107">
        <v>1</v>
      </c>
      <c r="M107">
        <v>0.75</v>
      </c>
      <c r="O107" s="10">
        <f>(D107/100000+E107/100+F107*K107/5+J107/200)*200*L107*M107</f>
        <v>2281.9787433572992</v>
      </c>
      <c r="P107" s="10">
        <f>((D107*E107/25000)+(F107*K107*J107/2.5))*L107*M107</f>
        <v>5439.3404188809</v>
      </c>
      <c r="Q107" s="10">
        <f>(D107*E107*F107*K107*J107*L107*M107)/12500000</f>
        <v>10278.6808377618</v>
      </c>
      <c r="R107" s="10">
        <f>(O107+P107+Q107)/3</f>
        <v>6000</v>
      </c>
      <c r="S107">
        <v>6000</v>
      </c>
    </row>
    <row r="108" spans="1:19" x14ac:dyDescent="0.25">
      <c r="B108" s="12" t="s">
        <v>893</v>
      </c>
      <c r="D108">
        <v>375000</v>
      </c>
      <c r="E108">
        <v>45</v>
      </c>
      <c r="F108" s="11">
        <f t="shared" si="35"/>
        <v>8.3696149843912586</v>
      </c>
      <c r="G108">
        <v>240000</v>
      </c>
      <c r="H108">
        <v>1.125</v>
      </c>
      <c r="I108">
        <v>200</v>
      </c>
      <c r="J108" s="10">
        <f>G108/I108*H108</f>
        <v>1350</v>
      </c>
      <c r="K108">
        <v>1.25</v>
      </c>
      <c r="L108">
        <v>1</v>
      </c>
      <c r="M108">
        <v>0.75</v>
      </c>
      <c r="O108" s="10">
        <f>(D108/100000+E108/100+F108*K108/5+J108/200)*200*L108*M108</f>
        <v>1956.360561914672</v>
      </c>
      <c r="P108" s="10">
        <f>((D108*E108/25000)+(F108*K108*J108/2.5))*L108*M108</f>
        <v>4743.3675858480747</v>
      </c>
      <c r="Q108" s="10">
        <f>(D108*E108*F108*K108*J108*L108*M108)/12500000</f>
        <v>14300.271852237254</v>
      </c>
      <c r="R108" s="10">
        <f>(O108+P108+Q108)/3</f>
        <v>7000</v>
      </c>
      <c r="S108">
        <v>7000</v>
      </c>
    </row>
    <row r="109" spans="1:19" x14ac:dyDescent="0.25">
      <c r="A109" t="s">
        <v>605</v>
      </c>
      <c r="B109" s="12" t="s">
        <v>611</v>
      </c>
      <c r="D109">
        <v>500000</v>
      </c>
      <c r="E109">
        <v>30</v>
      </c>
      <c r="F109" s="11">
        <f t="shared" si="35"/>
        <v>7.7063492063492065</v>
      </c>
      <c r="G109">
        <v>32000</v>
      </c>
      <c r="H109">
        <v>1.25</v>
      </c>
      <c r="I109">
        <v>38</v>
      </c>
      <c r="J109" s="10">
        <f t="shared" ref="J109:J114" si="36">G109/I109*H109</f>
        <v>1052.6315789473683</v>
      </c>
      <c r="K109">
        <v>1</v>
      </c>
      <c r="L109">
        <v>1</v>
      </c>
      <c r="M109">
        <v>0.75</v>
      </c>
      <c r="O109" s="10">
        <f t="shared" ref="O109:O114" si="37">(D109/100000+E109/100+F109*K109/5+J109/200)*200*L109*M109</f>
        <v>1815.6641604010024</v>
      </c>
      <c r="P109" s="10">
        <f t="shared" ref="P109:P114" si="38">((D109*E109/25000)+(F109*K109*J109/2.5))*L109*M109</f>
        <v>2883.5839598997495</v>
      </c>
      <c r="Q109" s="10">
        <f t="shared" ref="Q109:Q114" si="39">(D109*E109*F109*K109*J109*L109*M109)/12500000</f>
        <v>7300.7518796992481</v>
      </c>
      <c r="R109" s="10">
        <f t="shared" ref="R109:R114" si="40">(O109+P109+Q109)/3</f>
        <v>4000</v>
      </c>
      <c r="S109">
        <v>4000</v>
      </c>
    </row>
    <row r="110" spans="1:19" x14ac:dyDescent="0.25">
      <c r="B110" t="s">
        <v>621</v>
      </c>
      <c r="D110">
        <v>1000000</v>
      </c>
      <c r="E110">
        <v>25</v>
      </c>
      <c r="F110" s="11">
        <f t="shared" si="35"/>
        <v>8.9945145364783325</v>
      </c>
      <c r="G110">
        <v>96000</v>
      </c>
      <c r="H110">
        <v>1.25</v>
      </c>
      <c r="I110">
        <v>92</v>
      </c>
      <c r="J110" s="10">
        <f t="shared" si="36"/>
        <v>1304.3478260869565</v>
      </c>
      <c r="K110">
        <v>1.25</v>
      </c>
      <c r="L110">
        <v>1</v>
      </c>
      <c r="M110">
        <v>0.75</v>
      </c>
      <c r="O110" s="10">
        <f t="shared" si="37"/>
        <v>2853.0551646831545</v>
      </c>
      <c r="P110" s="10">
        <f t="shared" si="38"/>
        <v>5149.4908058861411</v>
      </c>
      <c r="Q110" s="10">
        <f t="shared" si="39"/>
        <v>21997.454029430704</v>
      </c>
      <c r="R110" s="10">
        <f t="shared" si="40"/>
        <v>10000</v>
      </c>
      <c r="S110">
        <v>10000</v>
      </c>
    </row>
    <row r="111" spans="1:19" x14ac:dyDescent="0.25">
      <c r="B111" t="s">
        <v>643</v>
      </c>
      <c r="D111">
        <v>600000</v>
      </c>
      <c r="E111">
        <v>30</v>
      </c>
      <c r="F111" s="11">
        <f t="shared" si="35"/>
        <v>41.215686274509807</v>
      </c>
      <c r="G111">
        <v>12000</v>
      </c>
      <c r="H111">
        <v>1</v>
      </c>
      <c r="I111">
        <v>60</v>
      </c>
      <c r="J111" s="10">
        <f t="shared" si="36"/>
        <v>200</v>
      </c>
      <c r="K111">
        <v>1.25</v>
      </c>
      <c r="L111">
        <v>1</v>
      </c>
      <c r="M111">
        <v>0.75</v>
      </c>
      <c r="O111" s="10">
        <f t="shared" si="37"/>
        <v>2640.588235294118</v>
      </c>
      <c r="P111" s="10">
        <f t="shared" si="38"/>
        <v>3631.1764705882356</v>
      </c>
      <c r="Q111" s="10">
        <f t="shared" si="39"/>
        <v>11128.235294117647</v>
      </c>
      <c r="R111" s="10">
        <f t="shared" si="40"/>
        <v>5800</v>
      </c>
      <c r="S111">
        <v>5800</v>
      </c>
    </row>
    <row r="112" spans="1:19" x14ac:dyDescent="0.25">
      <c r="B112" t="s">
        <v>644</v>
      </c>
      <c r="D112">
        <v>600000</v>
      </c>
      <c r="E112">
        <v>30</v>
      </c>
      <c r="F112" s="11">
        <f t="shared" si="35"/>
        <v>5.2600536193029495</v>
      </c>
      <c r="G112">
        <v>32000</v>
      </c>
      <c r="H112">
        <v>0.75</v>
      </c>
      <c r="I112">
        <v>15</v>
      </c>
      <c r="J112" s="10">
        <f t="shared" si="36"/>
        <v>1600</v>
      </c>
      <c r="K112">
        <v>1.25</v>
      </c>
      <c r="L112">
        <v>1</v>
      </c>
      <c r="M112">
        <v>0.75</v>
      </c>
      <c r="O112" s="10">
        <f t="shared" si="37"/>
        <v>2342.2520107238606</v>
      </c>
      <c r="P112" s="10">
        <f t="shared" si="38"/>
        <v>3696.0321715817704</v>
      </c>
      <c r="Q112" s="10">
        <f t="shared" si="39"/>
        <v>11361.71581769437</v>
      </c>
      <c r="R112" s="10">
        <f t="shared" si="40"/>
        <v>5800</v>
      </c>
      <c r="S112">
        <v>5800</v>
      </c>
    </row>
    <row r="113" spans="1:19" x14ac:dyDescent="0.25">
      <c r="B113" t="s">
        <v>697</v>
      </c>
      <c r="D113">
        <v>300000</v>
      </c>
      <c r="E113">
        <v>45</v>
      </c>
      <c r="F113" s="11">
        <f t="shared" si="35"/>
        <v>7.4600492784230905</v>
      </c>
      <c r="G113">
        <v>40000</v>
      </c>
      <c r="H113">
        <v>1.25</v>
      </c>
      <c r="I113">
        <v>44</v>
      </c>
      <c r="J113" s="10">
        <f t="shared" si="36"/>
        <v>1136.3636363636365</v>
      </c>
      <c r="K113">
        <v>0.75</v>
      </c>
      <c r="L113">
        <v>1</v>
      </c>
      <c r="M113">
        <v>0.75</v>
      </c>
      <c r="O113" s="10">
        <f t="shared" si="37"/>
        <v>1537.623836037247</v>
      </c>
      <c r="P113" s="10">
        <f t="shared" si="38"/>
        <v>2312.3989632331768</v>
      </c>
      <c r="Q113" s="10">
        <f t="shared" si="39"/>
        <v>5149.9772007295778</v>
      </c>
      <c r="R113" s="10">
        <f t="shared" si="40"/>
        <v>3000.0000000000005</v>
      </c>
      <c r="S113">
        <v>3000</v>
      </c>
    </row>
    <row r="114" spans="1:19" x14ac:dyDescent="0.25">
      <c r="B114" t="s">
        <v>698</v>
      </c>
      <c r="D114">
        <v>750000</v>
      </c>
      <c r="E114">
        <v>40</v>
      </c>
      <c r="F114" s="11">
        <f t="shared" si="35"/>
        <v>8.4752941176470582</v>
      </c>
      <c r="G114">
        <v>12000</v>
      </c>
      <c r="H114">
        <v>1</v>
      </c>
      <c r="I114">
        <v>10</v>
      </c>
      <c r="J114" s="10">
        <f t="shared" si="36"/>
        <v>1200</v>
      </c>
      <c r="K114">
        <v>1.25</v>
      </c>
      <c r="L114">
        <v>1</v>
      </c>
      <c r="M114">
        <v>0.75</v>
      </c>
      <c r="O114" s="10">
        <f t="shared" si="37"/>
        <v>2402.8235294117649</v>
      </c>
      <c r="P114" s="10">
        <f t="shared" si="38"/>
        <v>4713.8823529411766</v>
      </c>
      <c r="Q114" s="10">
        <f t="shared" si="39"/>
        <v>22883.294117647056</v>
      </c>
      <c r="R114" s="10">
        <f t="shared" si="40"/>
        <v>9999.9999999999982</v>
      </c>
      <c r="S114">
        <v>10000</v>
      </c>
    </row>
    <row r="115" spans="1:19" x14ac:dyDescent="0.25">
      <c r="A115" t="s">
        <v>707</v>
      </c>
      <c r="B115" t="s">
        <v>715</v>
      </c>
      <c r="D115">
        <v>125000</v>
      </c>
      <c r="E115">
        <v>145</v>
      </c>
      <c r="F115" s="11">
        <f t="shared" si="35"/>
        <v>4.4461538461538463</v>
      </c>
      <c r="G115">
        <v>40000</v>
      </c>
      <c r="H115">
        <v>1</v>
      </c>
      <c r="I115">
        <v>100</v>
      </c>
      <c r="J115" s="10">
        <f t="shared" ref="J115:J122" si="41">G115/I115*H115</f>
        <v>400</v>
      </c>
      <c r="K115">
        <v>1.25</v>
      </c>
      <c r="L115">
        <v>1</v>
      </c>
      <c r="M115">
        <v>0.75</v>
      </c>
      <c r="O115" s="10">
        <f t="shared" ref="O115:O122" si="42">(D115/100000+E115/100+F115*K115/5+J115/200)*200*L115*M115</f>
        <v>871.73076923076928</v>
      </c>
      <c r="P115" s="10">
        <f t="shared" ref="P115:P122" si="43">((D115*E115/25000)+(F115*K115*J115/2.5))*L115*M115</f>
        <v>1210.6730769230769</v>
      </c>
      <c r="Q115" s="10">
        <f t="shared" ref="Q115:Q122" si="44">(D115*E115*F115*K115*J115*L115*M115)/12500000</f>
        <v>2417.5961538461534</v>
      </c>
      <c r="R115" s="10">
        <f t="shared" ref="R115:R122" si="45">(O115+P115+Q115)/3</f>
        <v>1500</v>
      </c>
      <c r="S115">
        <v>1500</v>
      </c>
    </row>
    <row r="116" spans="1:19" x14ac:dyDescent="0.25">
      <c r="B116" t="s">
        <v>716</v>
      </c>
      <c r="D116">
        <v>150000</v>
      </c>
      <c r="E116">
        <v>125</v>
      </c>
      <c r="F116" s="11">
        <f t="shared" ref="F116:F122" si="46">(S116*37500000/(L116*M116*D116*E116*K116*J116)-((500/(K116*J116))+(2500000000/(D116*E116*K116*J116)*(D116/100000+E116/100+J116/200))))/(1+5000000/(D116*E116)+(500000000/(D116*E116*J116)))</f>
        <v>5.0101010101010104</v>
      </c>
      <c r="G116">
        <v>60000</v>
      </c>
      <c r="H116">
        <v>1</v>
      </c>
      <c r="I116">
        <v>120</v>
      </c>
      <c r="J116" s="10">
        <f t="shared" si="41"/>
        <v>500</v>
      </c>
      <c r="K116">
        <v>1.25</v>
      </c>
      <c r="L116">
        <v>1</v>
      </c>
      <c r="M116">
        <v>0.75</v>
      </c>
      <c r="O116" s="10">
        <f t="shared" si="42"/>
        <v>975.37878787878799</v>
      </c>
      <c r="P116" s="10">
        <f t="shared" si="43"/>
        <v>1501.8939393939395</v>
      </c>
      <c r="Q116" s="10">
        <f t="shared" si="44"/>
        <v>3522.7272727272725</v>
      </c>
      <c r="R116" s="10">
        <f t="shared" si="45"/>
        <v>2000</v>
      </c>
      <c r="S116">
        <v>2000</v>
      </c>
    </row>
    <row r="117" spans="1:19" x14ac:dyDescent="0.25">
      <c r="A117" t="s">
        <v>629</v>
      </c>
      <c r="B117" t="s">
        <v>231</v>
      </c>
      <c r="D117">
        <v>800000</v>
      </c>
      <c r="E117">
        <v>30</v>
      </c>
      <c r="F117" s="11">
        <f t="shared" si="46"/>
        <v>2.4316239316239319</v>
      </c>
      <c r="G117">
        <v>80000</v>
      </c>
      <c r="H117">
        <v>1.25</v>
      </c>
      <c r="I117">
        <v>50</v>
      </c>
      <c r="J117" s="10">
        <f t="shared" si="41"/>
        <v>2000</v>
      </c>
      <c r="K117">
        <v>1</v>
      </c>
      <c r="L117">
        <v>1</v>
      </c>
      <c r="M117">
        <v>0.75</v>
      </c>
      <c r="O117" s="10">
        <f t="shared" si="42"/>
        <v>2817.9487179487182</v>
      </c>
      <c r="P117" s="10">
        <f t="shared" si="43"/>
        <v>2178.9743589743593</v>
      </c>
      <c r="Q117" s="10">
        <f t="shared" si="44"/>
        <v>7003.0769230769238</v>
      </c>
      <c r="R117" s="10">
        <f t="shared" si="45"/>
        <v>4000.0000000000005</v>
      </c>
      <c r="S117">
        <v>4000</v>
      </c>
    </row>
    <row r="118" spans="1:19" x14ac:dyDescent="0.25">
      <c r="B118" t="s">
        <v>240</v>
      </c>
      <c r="D118">
        <v>125000</v>
      </c>
      <c r="E118">
        <v>80</v>
      </c>
      <c r="F118" s="11">
        <f t="shared" si="46"/>
        <v>6.8425531914893618</v>
      </c>
      <c r="G118">
        <v>24000</v>
      </c>
      <c r="H118">
        <v>1.25</v>
      </c>
      <c r="I118">
        <v>40</v>
      </c>
      <c r="J118" s="10">
        <f t="shared" si="41"/>
        <v>750</v>
      </c>
      <c r="K118">
        <v>1.25</v>
      </c>
      <c r="L118">
        <v>1</v>
      </c>
      <c r="M118">
        <v>0.75</v>
      </c>
      <c r="O118" s="10">
        <f t="shared" si="42"/>
        <v>1126.5957446808511</v>
      </c>
      <c r="P118" s="10">
        <f t="shared" si="43"/>
        <v>2224.4680851063831</v>
      </c>
      <c r="Q118" s="10">
        <f t="shared" si="44"/>
        <v>3848.9361702127653</v>
      </c>
      <c r="R118" s="10">
        <f t="shared" si="45"/>
        <v>2400</v>
      </c>
      <c r="S118">
        <v>2400</v>
      </c>
    </row>
    <row r="119" spans="1:19" x14ac:dyDescent="0.25">
      <c r="A119" t="s">
        <v>724</v>
      </c>
      <c r="B119" t="s">
        <v>839</v>
      </c>
      <c r="D119">
        <v>1500000</v>
      </c>
      <c r="E119">
        <v>25</v>
      </c>
      <c r="F119" s="11">
        <f t="shared" si="46"/>
        <v>2.6480186480186481</v>
      </c>
      <c r="G119">
        <v>25000</v>
      </c>
      <c r="H119">
        <v>1.25</v>
      </c>
      <c r="I119">
        <v>25</v>
      </c>
      <c r="J119" s="10">
        <f t="shared" si="41"/>
        <v>1250</v>
      </c>
      <c r="K119">
        <v>1.25</v>
      </c>
      <c r="L119">
        <v>1</v>
      </c>
      <c r="M119">
        <v>0.75</v>
      </c>
      <c r="O119" s="10">
        <f t="shared" si="42"/>
        <v>3324.3006993006993</v>
      </c>
      <c r="P119" s="10">
        <f t="shared" si="43"/>
        <v>2366.2587412587418</v>
      </c>
      <c r="Q119" s="10">
        <f t="shared" si="44"/>
        <v>9309.4405594405598</v>
      </c>
      <c r="R119" s="10">
        <f t="shared" si="45"/>
        <v>5000</v>
      </c>
      <c r="S119">
        <v>5000</v>
      </c>
    </row>
    <row r="120" spans="1:19" x14ac:dyDescent="0.25">
      <c r="B120" t="s">
        <v>1117</v>
      </c>
      <c r="D120">
        <v>250000</v>
      </c>
      <c r="E120">
        <v>50</v>
      </c>
      <c r="F120" s="11">
        <f t="shared" si="46"/>
        <v>7.0000000000000009</v>
      </c>
      <c r="G120">
        <v>8000</v>
      </c>
      <c r="H120">
        <v>0.875</v>
      </c>
      <c r="I120">
        <v>5</v>
      </c>
      <c r="J120" s="10">
        <f t="shared" si="41"/>
        <v>1400</v>
      </c>
      <c r="K120">
        <v>1.25</v>
      </c>
      <c r="L120">
        <v>1</v>
      </c>
      <c r="M120">
        <v>0.75</v>
      </c>
      <c r="O120" s="10">
        <f t="shared" si="42"/>
        <v>1762.5</v>
      </c>
      <c r="P120" s="10">
        <f t="shared" si="43"/>
        <v>4050.0000000000009</v>
      </c>
      <c r="Q120" s="10">
        <f t="shared" si="44"/>
        <v>9187.5000000000018</v>
      </c>
      <c r="R120" s="10">
        <f t="shared" si="45"/>
        <v>5000.0000000000009</v>
      </c>
      <c r="S120">
        <v>5000</v>
      </c>
    </row>
    <row r="121" spans="1:19" x14ac:dyDescent="0.25">
      <c r="B121" t="s">
        <v>1118</v>
      </c>
      <c r="D121">
        <v>250000</v>
      </c>
      <c r="E121">
        <v>50</v>
      </c>
      <c r="F121" s="11">
        <f t="shared" si="46"/>
        <v>7.0000000000000009</v>
      </c>
      <c r="G121">
        <v>32000</v>
      </c>
      <c r="H121">
        <v>0.875</v>
      </c>
      <c r="I121">
        <v>20</v>
      </c>
      <c r="J121" s="10">
        <f t="shared" si="41"/>
        <v>1400</v>
      </c>
      <c r="K121">
        <v>1.25</v>
      </c>
      <c r="L121">
        <v>1</v>
      </c>
      <c r="M121">
        <v>0.75</v>
      </c>
      <c r="O121" s="10">
        <f t="shared" si="42"/>
        <v>1762.5</v>
      </c>
      <c r="P121" s="10">
        <f t="shared" si="43"/>
        <v>4050.0000000000009</v>
      </c>
      <c r="Q121" s="10">
        <f t="shared" si="44"/>
        <v>9187.5000000000018</v>
      </c>
      <c r="R121" s="10">
        <f t="shared" si="45"/>
        <v>5000.0000000000009</v>
      </c>
      <c r="S121">
        <v>5000</v>
      </c>
    </row>
    <row r="122" spans="1:19" x14ac:dyDescent="0.25">
      <c r="A122" t="s">
        <v>901</v>
      </c>
      <c r="B122" t="s">
        <v>863</v>
      </c>
      <c r="D122">
        <v>900000</v>
      </c>
      <c r="E122">
        <v>30</v>
      </c>
      <c r="F122" s="11">
        <f t="shared" si="46"/>
        <v>9.1649484536082468</v>
      </c>
      <c r="G122">
        <v>120000</v>
      </c>
      <c r="H122">
        <v>1.25</v>
      </c>
      <c r="I122">
        <v>100</v>
      </c>
      <c r="J122" s="10">
        <f t="shared" si="41"/>
        <v>1500</v>
      </c>
      <c r="K122">
        <v>1</v>
      </c>
      <c r="L122">
        <v>1</v>
      </c>
      <c r="M122">
        <v>0.75</v>
      </c>
      <c r="O122" s="10">
        <f t="shared" si="42"/>
        <v>2794.9484536082477</v>
      </c>
      <c r="P122" s="10">
        <f t="shared" si="43"/>
        <v>4934.2268041237112</v>
      </c>
      <c r="Q122" s="10">
        <f t="shared" si="44"/>
        <v>22270.824742268036</v>
      </c>
      <c r="R122" s="10">
        <f t="shared" si="45"/>
        <v>9999.9999999999982</v>
      </c>
      <c r="S122">
        <v>10000</v>
      </c>
    </row>
    <row r="124" spans="1:19" x14ac:dyDescent="0.25">
      <c r="B124" t="s">
        <v>922</v>
      </c>
      <c r="D124">
        <v>400000</v>
      </c>
      <c r="E124">
        <v>40</v>
      </c>
      <c r="F124" s="11">
        <f>(S124*37500000/(L124*M124*D124*E124*K124*J124)-((500/(K124*J124))+(2500000000/(D124*E124*K124*J124)*(D124/100000+E124/100+J124/200))))/(1+5000000/(D124*E124)+(500000000/(D124*E124*J124)))</f>
        <v>5.2431985614014733</v>
      </c>
      <c r="J124" s="10">
        <v>1618</v>
      </c>
      <c r="K124">
        <v>1</v>
      </c>
      <c r="L124">
        <v>1.25</v>
      </c>
      <c r="M124">
        <v>0.75</v>
      </c>
      <c r="O124" s="10">
        <f>(D124/100000+E124/100+F124*K124/5+J124/200)*200*L124*M124</f>
        <v>2538.494946052555</v>
      </c>
      <c r="P124" s="10">
        <f>((D124*E124/25000)+(F124*K124*J124/2.5))*L124*M124</f>
        <v>3781.3107271303438</v>
      </c>
      <c r="Q124" s="10">
        <f>(D124*E124*F124*K124*J124*L124*M124)/12500000</f>
        <v>10180.1943268171</v>
      </c>
      <c r="R124" s="10">
        <f>(O124+P124+Q124)/3</f>
        <v>5500</v>
      </c>
      <c r="S124">
        <v>5500</v>
      </c>
    </row>
    <row r="126" spans="1:19" x14ac:dyDescent="0.25">
      <c r="E126" t="s">
        <v>923</v>
      </c>
      <c r="F126">
        <v>4.444</v>
      </c>
      <c r="G126">
        <v>6000</v>
      </c>
      <c r="H126">
        <v>1</v>
      </c>
      <c r="I126">
        <v>30</v>
      </c>
      <c r="J126" s="10">
        <f t="shared" ref="J126:J132" si="47">G126/I126*H126</f>
        <v>200</v>
      </c>
      <c r="O126" s="10"/>
      <c r="P126" s="10"/>
      <c r="Q126" s="10"/>
      <c r="R126" s="10"/>
    </row>
    <row r="127" spans="1:19" x14ac:dyDescent="0.25">
      <c r="E127" t="s">
        <v>625</v>
      </c>
      <c r="F127">
        <v>4.5869999999999997</v>
      </c>
      <c r="G127">
        <v>6000</v>
      </c>
      <c r="H127">
        <v>1</v>
      </c>
      <c r="I127">
        <v>25</v>
      </c>
      <c r="J127" s="10">
        <f t="shared" si="47"/>
        <v>240</v>
      </c>
      <c r="O127" s="10"/>
      <c r="P127" s="10"/>
      <c r="Q127" s="10"/>
      <c r="R127" s="10"/>
    </row>
    <row r="128" spans="1:19" x14ac:dyDescent="0.25">
      <c r="E128" t="s">
        <v>604</v>
      </c>
      <c r="F128" s="11">
        <v>3.4</v>
      </c>
      <c r="G128">
        <v>26000</v>
      </c>
      <c r="H128">
        <v>1</v>
      </c>
      <c r="I128">
        <v>52</v>
      </c>
      <c r="J128" s="10">
        <f t="shared" si="47"/>
        <v>500</v>
      </c>
      <c r="O128" s="10"/>
      <c r="P128" s="10"/>
      <c r="Q128" s="10"/>
      <c r="R128" s="10"/>
    </row>
    <row r="129" spans="2:19" x14ac:dyDescent="0.25">
      <c r="E129" t="s">
        <v>626</v>
      </c>
      <c r="F129" s="11">
        <v>3.4</v>
      </c>
      <c r="G129">
        <v>26000</v>
      </c>
      <c r="H129">
        <v>1</v>
      </c>
      <c r="I129">
        <v>52</v>
      </c>
      <c r="J129" s="10">
        <f t="shared" si="47"/>
        <v>500</v>
      </c>
      <c r="O129" s="10"/>
      <c r="P129" s="10"/>
      <c r="Q129" s="10"/>
      <c r="R129" s="10"/>
    </row>
    <row r="130" spans="2:19" x14ac:dyDescent="0.25">
      <c r="E130" t="s">
        <v>603</v>
      </c>
      <c r="F130" s="11">
        <v>7.01</v>
      </c>
      <c r="G130">
        <v>30000</v>
      </c>
      <c r="H130">
        <v>1</v>
      </c>
      <c r="I130">
        <v>60</v>
      </c>
      <c r="J130" s="10">
        <f t="shared" si="47"/>
        <v>500</v>
      </c>
    </row>
    <row r="131" spans="2:19" x14ac:dyDescent="0.25">
      <c r="E131" t="s">
        <v>606</v>
      </c>
      <c r="F131" s="11">
        <v>8.4280000000000008</v>
      </c>
      <c r="G131">
        <v>10000</v>
      </c>
      <c r="H131">
        <v>1</v>
      </c>
      <c r="I131">
        <v>22</v>
      </c>
      <c r="J131" s="10">
        <f t="shared" si="47"/>
        <v>454.54545454545456</v>
      </c>
    </row>
    <row r="132" spans="2:19" x14ac:dyDescent="0.25">
      <c r="E132" t="s">
        <v>72</v>
      </c>
      <c r="F132" s="11">
        <v>7.9219999999999997</v>
      </c>
      <c r="G132">
        <v>20000</v>
      </c>
      <c r="H132">
        <v>1</v>
      </c>
      <c r="I132">
        <v>33</v>
      </c>
      <c r="J132" s="10">
        <f t="shared" si="47"/>
        <v>606.06060606060601</v>
      </c>
    </row>
    <row r="133" spans="2:19" x14ac:dyDescent="0.25">
      <c r="E133" t="s">
        <v>924</v>
      </c>
      <c r="F133" s="11">
        <v>4.375</v>
      </c>
      <c r="G133">
        <v>4000</v>
      </c>
      <c r="H133">
        <v>0.75</v>
      </c>
      <c r="I133">
        <v>22</v>
      </c>
      <c r="J133" s="10">
        <f>G133/I133*H133</f>
        <v>136.36363636363637</v>
      </c>
      <c r="O133" s="10"/>
      <c r="P133" s="10"/>
      <c r="Q133" s="10"/>
      <c r="R133" s="10"/>
    </row>
    <row r="134" spans="2:19" x14ac:dyDescent="0.25">
      <c r="E134" t="s">
        <v>925</v>
      </c>
      <c r="F134" s="11">
        <v>6</v>
      </c>
      <c r="G134">
        <v>6000</v>
      </c>
      <c r="H134">
        <v>1</v>
      </c>
      <c r="I134">
        <v>60</v>
      </c>
      <c r="J134" s="10">
        <f>G134/I134*H134</f>
        <v>100</v>
      </c>
      <c r="O134" s="10"/>
      <c r="P134" s="10"/>
      <c r="Q134" s="10"/>
      <c r="R134" s="10"/>
    </row>
    <row r="135" spans="2:19" x14ac:dyDescent="0.25">
      <c r="F135" s="10">
        <f>AVERAGE(F126:F134)</f>
        <v>5.5073333333333334</v>
      </c>
      <c r="J135" s="10">
        <f>SUM(J126:J134)/2</f>
        <v>1618.4848484848485</v>
      </c>
      <c r="O135" s="10"/>
      <c r="P135" s="10"/>
      <c r="Q135" s="10"/>
      <c r="R135" s="10"/>
    </row>
    <row r="136" spans="2:19" x14ac:dyDescent="0.25">
      <c r="O136" s="10"/>
      <c r="P136" s="10"/>
      <c r="Q136" s="10"/>
      <c r="R136" s="10"/>
    </row>
    <row r="137" spans="2:19" x14ac:dyDescent="0.25">
      <c r="H137" s="11"/>
      <c r="L137" s="10"/>
      <c r="O137" s="10"/>
      <c r="P137" s="10"/>
      <c r="Q137" s="10"/>
      <c r="R137" s="10"/>
    </row>
    <row r="138" spans="2:19" x14ac:dyDescent="0.25">
      <c r="B138" t="s">
        <v>1170</v>
      </c>
      <c r="D138">
        <v>400000</v>
      </c>
      <c r="E138">
        <v>125</v>
      </c>
      <c r="F138" s="11">
        <f>(S138*37500000/(L138*M138*D138*E138*K138*J138)-((500/(K138*J138))+(2500000000/(D138*E138*K138*J138)*(D138/100000+E138/100+J138/200))))/(1+5000000/(D138*E138)+(500000000/(D138*E138*J138)))</f>
        <v>6.0299097065462739</v>
      </c>
      <c r="G138">
        <v>80000</v>
      </c>
      <c r="H138">
        <v>1.25</v>
      </c>
      <c r="I138">
        <v>75</v>
      </c>
      <c r="J138" s="10">
        <f>G138/I138*H138</f>
        <v>1333.3333333333335</v>
      </c>
      <c r="K138">
        <v>1</v>
      </c>
      <c r="L138">
        <v>1</v>
      </c>
      <c r="M138">
        <v>0.75</v>
      </c>
      <c r="O138" s="10">
        <f>(D138/100000+E138/100+F138*K138/5+J138/200)*200*L138*M138</f>
        <v>1968.3972911963883</v>
      </c>
      <c r="P138" s="10">
        <f>((D138*E138/25000)+(F138*K138*J138/2.5))*L138*M138</f>
        <v>3911.9638826185096</v>
      </c>
      <c r="Q138" s="10">
        <f>(D138*E138*F138*K138*J138*L138*M138)/12500000</f>
        <v>24119.638826185099</v>
      </c>
      <c r="R138" s="10">
        <f>(O138+P138+Q138)/3</f>
        <v>9999.9999999999982</v>
      </c>
      <c r="S138">
        <v>10000</v>
      </c>
    </row>
    <row r="139" spans="2:19" x14ac:dyDescent="0.25">
      <c r="B139" t="s">
        <v>1171</v>
      </c>
      <c r="D139">
        <v>400000</v>
      </c>
      <c r="E139">
        <v>125</v>
      </c>
      <c r="F139" s="11">
        <f>(S139*37500000/(L139*M139*D139*E139*K139*J139)-((500/(K139*J139))+(2500000000/(D139*E139*K139*J139)*(D139/100000+E139/100+J139/200))))/(1+5000000/(D139*E139)+(500000000/(D139*E139*J139)))</f>
        <v>6.0299097065462739</v>
      </c>
      <c r="G139">
        <v>12000</v>
      </c>
      <c r="H139">
        <v>1</v>
      </c>
      <c r="I139">
        <v>9</v>
      </c>
      <c r="J139" s="10">
        <f>G139/I139*H139</f>
        <v>1333.3333333333333</v>
      </c>
      <c r="K139">
        <v>1</v>
      </c>
      <c r="L139">
        <v>1</v>
      </c>
      <c r="M139">
        <v>0.75</v>
      </c>
      <c r="O139" s="10">
        <f>(D139/100000+E139/100+F139*K139/5+J139/200)*200*L139*M139</f>
        <v>1968.3972911963883</v>
      </c>
      <c r="P139" s="10">
        <f>((D139*E139/25000)+(F139*K139*J139/2.5))*L139*M139</f>
        <v>3911.9638826185096</v>
      </c>
      <c r="Q139" s="10">
        <f>(D139*E139*F139*K139*J139*L139*M139)/12500000</f>
        <v>24119.638826185099</v>
      </c>
      <c r="R139" s="10">
        <f>(O139+P139+Q139)/3</f>
        <v>9999.9999999999982</v>
      </c>
      <c r="S139">
        <v>10000</v>
      </c>
    </row>
    <row r="140" spans="2:19" x14ac:dyDescent="0.25">
      <c r="O140" s="10"/>
      <c r="P140" s="10"/>
      <c r="Q140" s="10"/>
      <c r="R140" s="10"/>
    </row>
    <row r="143" spans="2:19" x14ac:dyDescent="0.25">
      <c r="O143" s="10"/>
      <c r="P143" s="10"/>
      <c r="Q143" s="10"/>
      <c r="R143" s="10"/>
    </row>
    <row r="144" spans="2:19" x14ac:dyDescent="0.25">
      <c r="B144" t="s">
        <v>413</v>
      </c>
      <c r="O144" s="10"/>
      <c r="P144" s="10"/>
      <c r="Q144" s="10"/>
      <c r="R144" s="10"/>
    </row>
    <row r="145" spans="2:19" x14ac:dyDescent="0.25">
      <c r="O145" s="10"/>
      <c r="P145" s="10"/>
      <c r="Q145" s="10"/>
      <c r="R145" s="10"/>
    </row>
    <row r="147" spans="2:19" x14ac:dyDescent="0.25">
      <c r="B147" t="s">
        <v>533</v>
      </c>
      <c r="D147">
        <v>250000</v>
      </c>
      <c r="E147">
        <v>66</v>
      </c>
      <c r="F147">
        <v>6.6660000000000004</v>
      </c>
      <c r="G147">
        <v>36000</v>
      </c>
      <c r="H147">
        <v>1</v>
      </c>
      <c r="I147">
        <v>66</v>
      </c>
      <c r="J147" s="10">
        <f>G147/I147*H147</f>
        <v>545.4545454545455</v>
      </c>
      <c r="K147">
        <v>1</v>
      </c>
      <c r="L147">
        <v>0.75</v>
      </c>
      <c r="M147">
        <v>1</v>
      </c>
      <c r="O147" s="10">
        <f>(D147/100000+E147/100+F147*K147/5+J147/200)*200*L147*M147</f>
        <v>1083.070909090909</v>
      </c>
      <c r="P147" s="10">
        <f>((D147*E147/25000)+(F147*K147*J147/2.5))*L147*M147</f>
        <v>1585.8000000000002</v>
      </c>
      <c r="Q147" s="10">
        <f>(D147*E147*F147*K147*J147*L147*M147)/12500000</f>
        <v>3599.6400000000008</v>
      </c>
      <c r="R147" s="10">
        <f>(O147+P147+Q147)/3</f>
        <v>2089.5036363636368</v>
      </c>
      <c r="S147">
        <v>3200</v>
      </c>
    </row>
    <row r="150" spans="2:19" x14ac:dyDescent="0.25">
      <c r="B150" t="s">
        <v>474</v>
      </c>
      <c r="D150">
        <v>375000</v>
      </c>
      <c r="E150">
        <v>55</v>
      </c>
      <c r="F150">
        <v>6.6660000000000004</v>
      </c>
      <c r="G150">
        <v>36000</v>
      </c>
      <c r="H150">
        <v>1</v>
      </c>
      <c r="I150">
        <v>66</v>
      </c>
      <c r="J150" s="10">
        <f>G150/I150*H150</f>
        <v>545.4545454545455</v>
      </c>
      <c r="K150">
        <v>1</v>
      </c>
      <c r="L150">
        <v>0.75</v>
      </c>
      <c r="M150">
        <v>1</v>
      </c>
      <c r="O150" s="10">
        <f>(D150/100000+E150/100+F150*K150/5+J150/200)*200*L150*M150</f>
        <v>1254.0709090909095</v>
      </c>
      <c r="P150" s="10">
        <f>((D150*E150/25000)+(F150*K150*J150/2.5))*L150*M150</f>
        <v>1709.5500000000002</v>
      </c>
      <c r="Q150" s="10">
        <f>(D150*E150*F150*K150*J150*L150*M150)/12500000</f>
        <v>4499.55</v>
      </c>
      <c r="R150" s="10">
        <f>(O150+P150+Q150)/3</f>
        <v>2487.7236363636366</v>
      </c>
      <c r="S150">
        <v>4000</v>
      </c>
    </row>
  </sheetData>
  <pageMargins left="0.7" right="0.7" top="0.78740157499999996" bottom="0.78740157499999996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16779-D55B-4297-8FDE-BF1514A50B43}">
  <dimension ref="A1:S89"/>
  <sheetViews>
    <sheetView topLeftCell="A37" workbookViewId="0">
      <selection activeCell="D40" sqref="D40"/>
    </sheetView>
  </sheetViews>
  <sheetFormatPr baseColWidth="10" defaultRowHeight="15" x14ac:dyDescent="0.25"/>
  <cols>
    <col min="1" max="1" width="20" bestFit="1" customWidth="1"/>
    <col min="2" max="2" width="26.5703125" bestFit="1" customWidth="1"/>
    <col min="6" max="6" width="12.7109375" style="11" bestFit="1" customWidth="1"/>
  </cols>
  <sheetData>
    <row r="1" spans="1:19" x14ac:dyDescent="0.25">
      <c r="E1" s="4" t="s">
        <v>560</v>
      </c>
    </row>
    <row r="3" spans="1:19" x14ac:dyDescent="0.25">
      <c r="B3" t="s">
        <v>556</v>
      </c>
      <c r="D3" t="s">
        <v>36</v>
      </c>
      <c r="E3" t="s">
        <v>37</v>
      </c>
      <c r="F3" s="11" t="s">
        <v>38</v>
      </c>
      <c r="G3" t="s">
        <v>39</v>
      </c>
      <c r="H3" t="s">
        <v>181</v>
      </c>
      <c r="I3" t="s">
        <v>40</v>
      </c>
      <c r="J3" s="10" t="s">
        <v>544</v>
      </c>
      <c r="K3" t="s">
        <v>142</v>
      </c>
      <c r="L3" t="s">
        <v>182</v>
      </c>
      <c r="M3" t="s">
        <v>385</v>
      </c>
      <c r="O3" s="10"/>
      <c r="P3" s="10"/>
      <c r="Q3" s="10"/>
      <c r="R3" s="10"/>
      <c r="S3" t="s">
        <v>41</v>
      </c>
    </row>
    <row r="4" spans="1:19" x14ac:dyDescent="0.25">
      <c r="F4" s="11" t="e">
        <f>(S4*37500000/(L4*M4*D4*E4*K4*J4)-((500/(K4*J4))+(2500000000/(D4*E4*K4*J4)*(D4/100000+E4/100+J4/200))))/(1+5000000/(D4*E4)+(500000000/(D4*E4*J4)))</f>
        <v>#DIV/0!</v>
      </c>
      <c r="O4">
        <f>(S5/(200*L5*M5)-(D5/100000+E5/100+J5/200))/(K5/5)</f>
        <v>37.803571428571431</v>
      </c>
      <c r="P4">
        <f>(S5/(L5*M5)-(D5*E5/25000))/(K5*J5/2.5)</f>
        <v>6.4178571428571436</v>
      </c>
      <c r="Q4">
        <f>S5*12500000/(D5*E5*K5*J5*L5*M5)</f>
        <v>4.9261083743842367</v>
      </c>
      <c r="R4" s="10">
        <f t="shared" ref="R4:R15" si="0">(O4+P4+Q4)/3</f>
        <v>16.382512315270937</v>
      </c>
    </row>
    <row r="5" spans="1:19" x14ac:dyDescent="0.25">
      <c r="A5" t="s">
        <v>321</v>
      </c>
      <c r="B5" t="s">
        <v>214</v>
      </c>
      <c r="D5">
        <v>72500</v>
      </c>
      <c r="E5">
        <v>100</v>
      </c>
      <c r="F5" s="11">
        <f>(S5*37500000/(L5*M5*D5*E5*K5*J5)-((500/(K5*J5))+(2500000000/(D5*E5*K5*J5)*(D5/100000+E5/100+J5/200))))/(1+5000000/(D5*E5)+(500000000/(D5*E5*J5)))</f>
        <v>6.8004201680672276</v>
      </c>
      <c r="G5">
        <v>24000</v>
      </c>
      <c r="H5">
        <v>1</v>
      </c>
      <c r="I5">
        <v>24</v>
      </c>
      <c r="J5" s="10">
        <f t="shared" ref="J5:J15" si="1">G5/I5*H5</f>
        <v>1000</v>
      </c>
      <c r="K5">
        <v>1</v>
      </c>
      <c r="L5">
        <v>0.35</v>
      </c>
      <c r="M5">
        <v>1</v>
      </c>
      <c r="O5" s="10">
        <f t="shared" ref="O5:O15" si="2">(D5/100000+E5/100+F5*K5/5+J5/200)*200*L5*M5</f>
        <v>565.9558823529411</v>
      </c>
      <c r="P5" s="10">
        <f t="shared" ref="P5:P15" si="3">((D5*E5/25000)+(F5*K5*J5/2.5))*L5*M5</f>
        <v>1053.5588235294119</v>
      </c>
      <c r="Q5" s="10">
        <f t="shared" ref="Q5:Q15" si="4">(D5*E5*F5*K5*J5*L5*M5)/12500000</f>
        <v>1380.4852941176471</v>
      </c>
      <c r="R5" s="10">
        <f t="shared" si="0"/>
        <v>1000</v>
      </c>
      <c r="S5">
        <v>1000</v>
      </c>
    </row>
    <row r="6" spans="1:19" x14ac:dyDescent="0.25">
      <c r="B6" t="s">
        <v>58</v>
      </c>
      <c r="D6">
        <v>150000</v>
      </c>
      <c r="E6">
        <v>100</v>
      </c>
      <c r="F6" s="11">
        <f>(S6*37500000/(L6*M6*D6*E6*K6*J6)-((500/(K6*J6))+(2500000000/(D6*E6*K6*J6)*(D6/100000+E6/100+J6/200))))/(1+5000000/(D6*E6)+(500000000/(D6*E6*J6)))</f>
        <v>7.71087680355161</v>
      </c>
      <c r="G6">
        <v>24000</v>
      </c>
      <c r="H6">
        <v>0.875</v>
      </c>
      <c r="I6">
        <v>61</v>
      </c>
      <c r="J6" s="10">
        <f t="shared" si="1"/>
        <v>344.26229508196718</v>
      </c>
      <c r="K6">
        <v>1</v>
      </c>
      <c r="L6">
        <v>0.35</v>
      </c>
      <c r="M6">
        <v>1</v>
      </c>
      <c r="O6" s="10">
        <f t="shared" si="2"/>
        <v>403.44407852841107</v>
      </c>
      <c r="P6" s="10">
        <f t="shared" si="3"/>
        <v>581.63898036789715</v>
      </c>
      <c r="Q6" s="10">
        <f t="shared" si="4"/>
        <v>1114.9169411036917</v>
      </c>
      <c r="R6" s="10">
        <f t="shared" si="0"/>
        <v>700</v>
      </c>
      <c r="S6">
        <v>700</v>
      </c>
    </row>
    <row r="7" spans="1:19" x14ac:dyDescent="0.25">
      <c r="B7" t="s">
        <v>60</v>
      </c>
      <c r="D7">
        <v>60000</v>
      </c>
      <c r="E7">
        <v>100</v>
      </c>
      <c r="F7" s="11">
        <f>(S7*37500000/(L7*M7*D7*E7*K7*J7)-((500/(K7*J7))+(2500000000/(D7*E7*K7*J7)*(D7/100000+E7/100+J7/200))))/(1+5000000/(D7*E7)+(500000000/(D7*E7*J7)))</f>
        <v>6.7202380952380958</v>
      </c>
      <c r="G7">
        <v>16000</v>
      </c>
      <c r="H7">
        <v>0.875</v>
      </c>
      <c r="I7">
        <v>28</v>
      </c>
      <c r="J7" s="10">
        <f t="shared" si="1"/>
        <v>500</v>
      </c>
      <c r="K7">
        <v>1</v>
      </c>
      <c r="L7">
        <v>0.35</v>
      </c>
      <c r="M7">
        <v>1</v>
      </c>
      <c r="O7" s="10">
        <f t="shared" si="2"/>
        <v>381.08333333333331</v>
      </c>
      <c r="P7" s="10">
        <f t="shared" si="3"/>
        <v>554.41666666666663</v>
      </c>
      <c r="Q7" s="10">
        <f t="shared" si="4"/>
        <v>564.5</v>
      </c>
      <c r="R7" s="10">
        <f t="shared" si="0"/>
        <v>500</v>
      </c>
      <c r="S7">
        <v>500</v>
      </c>
    </row>
    <row r="8" spans="1:19" x14ac:dyDescent="0.25">
      <c r="A8" t="s">
        <v>320</v>
      </c>
      <c r="B8" t="s">
        <v>122</v>
      </c>
      <c r="D8">
        <v>90000</v>
      </c>
      <c r="E8">
        <v>100</v>
      </c>
      <c r="F8" s="11">
        <v>6.57</v>
      </c>
      <c r="G8">
        <v>20000</v>
      </c>
      <c r="H8">
        <v>0.875</v>
      </c>
      <c r="I8">
        <v>60</v>
      </c>
      <c r="J8" s="10">
        <f t="shared" si="1"/>
        <v>291.66666666666663</v>
      </c>
      <c r="K8">
        <v>1</v>
      </c>
      <c r="L8">
        <v>0.35</v>
      </c>
      <c r="M8">
        <v>1</v>
      </c>
      <c r="O8" s="10">
        <f t="shared" si="2"/>
        <v>327.06333333333322</v>
      </c>
      <c r="P8" s="10">
        <f t="shared" si="3"/>
        <v>394.27499999999998</v>
      </c>
      <c r="Q8" s="10">
        <f t="shared" si="4"/>
        <v>482.89499999999987</v>
      </c>
      <c r="R8" s="10">
        <f t="shared" si="0"/>
        <v>401.41111111111104</v>
      </c>
      <c r="S8">
        <v>400</v>
      </c>
    </row>
    <row r="9" spans="1:19" x14ac:dyDescent="0.25">
      <c r="B9" t="s">
        <v>123</v>
      </c>
      <c r="D9">
        <v>100000</v>
      </c>
      <c r="E9">
        <v>100</v>
      </c>
      <c r="F9" s="11">
        <f>(S9*37500000/(L9*M9*D9*E9*K9*J9)-((500/(K9*J9))+(2500000000/(D9*E9*K9*J9)*(D9/100000+E9/100+J9/200))))/(1+5000000/(D9*E9)+(500000000/(D9*E9*J9)))</f>
        <v>7.684815184815184</v>
      </c>
      <c r="G9">
        <v>20000</v>
      </c>
      <c r="H9">
        <v>1.125</v>
      </c>
      <c r="I9">
        <v>40</v>
      </c>
      <c r="J9" s="10">
        <f t="shared" si="1"/>
        <v>562.5</v>
      </c>
      <c r="K9">
        <v>1</v>
      </c>
      <c r="L9">
        <v>0.35</v>
      </c>
      <c r="M9">
        <v>1</v>
      </c>
      <c r="O9" s="10">
        <f t="shared" si="2"/>
        <v>444.46241258741259</v>
      </c>
      <c r="P9" s="10">
        <f t="shared" si="3"/>
        <v>745.17919580419561</v>
      </c>
      <c r="Q9" s="10">
        <f t="shared" si="4"/>
        <v>1210.3583916083912</v>
      </c>
      <c r="R9" s="10">
        <f t="shared" si="0"/>
        <v>799.99999999999989</v>
      </c>
      <c r="S9">
        <v>800</v>
      </c>
    </row>
    <row r="10" spans="1:19" x14ac:dyDescent="0.25">
      <c r="B10" t="s">
        <v>125</v>
      </c>
      <c r="D10">
        <v>64000</v>
      </c>
      <c r="E10">
        <v>100</v>
      </c>
      <c r="F10" s="11">
        <f>(S10*37500000/(L10*M10*D10*E10*K10*J10)-((500/(K10*J10))+(2500000000/(D10*E10*K10*J10)*(D10/100000+E10/100+J10/200))))/(1+5000000/(D10*E10)+(500000000/(D10*E10*J10)))</f>
        <v>6.7419229272090293</v>
      </c>
      <c r="G10">
        <v>18000</v>
      </c>
      <c r="H10">
        <v>1</v>
      </c>
      <c r="I10">
        <v>30</v>
      </c>
      <c r="J10" s="10">
        <f t="shared" si="1"/>
        <v>600</v>
      </c>
      <c r="K10">
        <v>1</v>
      </c>
      <c r="L10">
        <v>0.35</v>
      </c>
      <c r="M10">
        <v>1</v>
      </c>
      <c r="O10" s="10">
        <f t="shared" si="2"/>
        <v>419.1869209809264</v>
      </c>
      <c r="P10" s="10">
        <f t="shared" si="3"/>
        <v>655.92152588555837</v>
      </c>
      <c r="Q10" s="10">
        <f t="shared" si="4"/>
        <v>724.89155313351489</v>
      </c>
      <c r="R10" s="10">
        <f t="shared" si="0"/>
        <v>599.99999999999989</v>
      </c>
      <c r="S10">
        <v>600</v>
      </c>
    </row>
    <row r="11" spans="1:19" x14ac:dyDescent="0.25">
      <c r="B11" t="s">
        <v>128</v>
      </c>
      <c r="D11">
        <v>110000</v>
      </c>
      <c r="E11">
        <v>100</v>
      </c>
      <c r="F11" s="11">
        <f>(S11*37500000/(L11*M11*D11*E11*K11*J11)-((500/(K11*J11))+(2500000000/(D11*E11*K11*J11)*(D11/100000+E11/100+J11/200))))/(1+5000000/(D11*E11)+(500000000/(D11*E11*J11)))</f>
        <v>6.6955855303494785</v>
      </c>
      <c r="G11">
        <v>40000</v>
      </c>
      <c r="H11">
        <v>0.875</v>
      </c>
      <c r="I11">
        <v>45</v>
      </c>
      <c r="J11" s="10">
        <f t="shared" si="1"/>
        <v>777.77777777777783</v>
      </c>
      <c r="K11">
        <v>1</v>
      </c>
      <c r="L11">
        <v>0.35</v>
      </c>
      <c r="M11">
        <v>1</v>
      </c>
      <c r="O11" s="10">
        <f t="shared" si="2"/>
        <v>512.96041964711492</v>
      </c>
      <c r="P11" s="10">
        <f t="shared" si="3"/>
        <v>883.07486886027652</v>
      </c>
      <c r="Q11" s="10">
        <f t="shared" si="4"/>
        <v>1603.9647114926083</v>
      </c>
      <c r="R11" s="10">
        <f t="shared" si="0"/>
        <v>1000</v>
      </c>
      <c r="S11">
        <v>1000</v>
      </c>
    </row>
    <row r="12" spans="1:19" x14ac:dyDescent="0.25">
      <c r="B12" t="s">
        <v>566</v>
      </c>
      <c r="D12">
        <v>122500</v>
      </c>
      <c r="E12">
        <v>100</v>
      </c>
      <c r="F12" s="11">
        <v>6.57</v>
      </c>
      <c r="G12">
        <v>20000</v>
      </c>
      <c r="H12">
        <v>0.875</v>
      </c>
      <c r="I12">
        <v>60</v>
      </c>
      <c r="J12" s="10">
        <f t="shared" si="1"/>
        <v>291.66666666666663</v>
      </c>
      <c r="K12">
        <v>1.25</v>
      </c>
      <c r="L12">
        <v>0.35</v>
      </c>
      <c r="M12">
        <v>1</v>
      </c>
      <c r="O12" s="10">
        <f t="shared" si="2"/>
        <v>372.80833333333334</v>
      </c>
      <c r="P12" s="10">
        <f t="shared" si="3"/>
        <v>506.84374999999994</v>
      </c>
      <c r="Q12" s="10">
        <f t="shared" si="4"/>
        <v>821.5921874999998</v>
      </c>
      <c r="R12" s="10">
        <f t="shared" si="0"/>
        <v>567.08142361111106</v>
      </c>
      <c r="S12">
        <v>1200</v>
      </c>
    </row>
    <row r="13" spans="1:19" x14ac:dyDescent="0.25">
      <c r="B13" t="s">
        <v>567</v>
      </c>
      <c r="D13">
        <v>122500</v>
      </c>
      <c r="E13">
        <v>100</v>
      </c>
      <c r="F13" s="11">
        <v>7.6390000000000002</v>
      </c>
      <c r="G13">
        <v>20000</v>
      </c>
      <c r="H13">
        <v>0.875</v>
      </c>
      <c r="I13">
        <v>50</v>
      </c>
      <c r="J13" s="10">
        <f t="shared" si="1"/>
        <v>350</v>
      </c>
      <c r="K13">
        <v>1.25</v>
      </c>
      <c r="L13">
        <v>0.35</v>
      </c>
      <c r="M13">
        <v>1</v>
      </c>
      <c r="O13" s="10">
        <f t="shared" si="2"/>
        <v>411.9325</v>
      </c>
      <c r="P13" s="10">
        <f t="shared" si="3"/>
        <v>639.38874999999996</v>
      </c>
      <c r="Q13" s="10">
        <f t="shared" si="4"/>
        <v>1146.3274375000001</v>
      </c>
      <c r="R13" s="10">
        <f t="shared" si="0"/>
        <v>732.54956249999998</v>
      </c>
      <c r="S13" s="10">
        <f>(R12+R13)/2</f>
        <v>649.81549305555552</v>
      </c>
    </row>
    <row r="14" spans="1:19" x14ac:dyDescent="0.25">
      <c r="A14" t="s">
        <v>571</v>
      </c>
      <c r="B14" t="s">
        <v>570</v>
      </c>
      <c r="D14">
        <v>75000</v>
      </c>
      <c r="E14">
        <v>100</v>
      </c>
      <c r="F14" s="11">
        <f t="shared" ref="F14:F20" si="5">(S14*37500000/(L14*M14*D14*E14*K14*J14)-((500/(K14*J14))+(2500000000/(D14*E14*K14*J14)*(D14/100000+E14/100+J14/200))))/(1+5000000/(D14*E14)+(500000000/(D14*E14*J14)))</f>
        <v>7.3941798941798949</v>
      </c>
      <c r="G14">
        <v>16000</v>
      </c>
      <c r="H14">
        <v>0.875</v>
      </c>
      <c r="I14">
        <v>28</v>
      </c>
      <c r="J14" s="10">
        <f t="shared" si="1"/>
        <v>500</v>
      </c>
      <c r="K14">
        <v>1</v>
      </c>
      <c r="L14">
        <v>0.35</v>
      </c>
      <c r="M14">
        <v>1</v>
      </c>
      <c r="O14" s="10">
        <f t="shared" si="2"/>
        <v>401.01851851851859</v>
      </c>
      <c r="P14" s="10">
        <f t="shared" si="3"/>
        <v>622.59259259259261</v>
      </c>
      <c r="Q14" s="10">
        <f t="shared" si="4"/>
        <v>776.3888888888888</v>
      </c>
      <c r="R14" s="10">
        <f t="shared" si="0"/>
        <v>600</v>
      </c>
      <c r="S14">
        <v>600</v>
      </c>
    </row>
    <row r="15" spans="1:19" x14ac:dyDescent="0.25">
      <c r="B15" t="s">
        <v>322</v>
      </c>
      <c r="D15">
        <v>125000</v>
      </c>
      <c r="E15">
        <v>100</v>
      </c>
      <c r="F15" s="11">
        <f t="shared" si="5"/>
        <v>7.9788961038961048</v>
      </c>
      <c r="G15">
        <v>30000</v>
      </c>
      <c r="H15">
        <v>1</v>
      </c>
      <c r="I15">
        <v>50</v>
      </c>
      <c r="J15" s="10">
        <f t="shared" si="1"/>
        <v>600</v>
      </c>
      <c r="K15">
        <v>1</v>
      </c>
      <c r="L15">
        <v>0.35</v>
      </c>
      <c r="M15">
        <v>1</v>
      </c>
      <c r="O15" s="10">
        <f t="shared" si="2"/>
        <v>479.20454545454538</v>
      </c>
      <c r="P15" s="10">
        <f t="shared" si="3"/>
        <v>845.22727272727263</v>
      </c>
      <c r="Q15" s="10">
        <f t="shared" si="4"/>
        <v>1675.568181818182</v>
      </c>
      <c r="R15" s="10">
        <f t="shared" si="0"/>
        <v>1000</v>
      </c>
      <c r="S15">
        <v>1000</v>
      </c>
    </row>
    <row r="16" spans="1:19" x14ac:dyDescent="0.25">
      <c r="A16" t="s">
        <v>629</v>
      </c>
      <c r="B16" t="s">
        <v>200</v>
      </c>
      <c r="D16">
        <v>100000</v>
      </c>
      <c r="E16">
        <v>100</v>
      </c>
      <c r="F16" s="11">
        <f t="shared" si="5"/>
        <v>6.5832641196013277</v>
      </c>
      <c r="G16">
        <v>12000</v>
      </c>
      <c r="H16">
        <v>0.875</v>
      </c>
      <c r="I16">
        <v>29</v>
      </c>
      <c r="J16" s="10">
        <f t="shared" ref="J16:J23" si="6">G16/I16*H16</f>
        <v>362.06896551724139</v>
      </c>
      <c r="K16">
        <v>1</v>
      </c>
      <c r="L16">
        <v>0.35</v>
      </c>
      <c r="M16">
        <v>1</v>
      </c>
      <c r="O16" s="10">
        <f t="shared" ref="O16:O23" si="7">(D16/100000+E16/100+F16*K16/5+J16/200)*200*L16*M16</f>
        <v>358.88983560545307</v>
      </c>
      <c r="P16" s="10">
        <f t="shared" ref="P16:P23" si="8">((D16*E16/25000)+(F16*K16*J16/2.5))*L16*M16</f>
        <v>473.70338813151557</v>
      </c>
      <c r="Q16" s="10">
        <f t="shared" ref="Q16:Q23" si="9">(D16*E16*F16*K16*J16*L16*M16)/12500000</f>
        <v>667.40677626303113</v>
      </c>
      <c r="R16" s="10">
        <f t="shared" ref="R16:R23" si="10">(O16+P16+Q16)/3</f>
        <v>499.99999999999994</v>
      </c>
      <c r="S16">
        <v>500</v>
      </c>
    </row>
    <row r="17" spans="1:19" x14ac:dyDescent="0.25">
      <c r="B17" t="s">
        <v>202</v>
      </c>
      <c r="D17">
        <v>57000</v>
      </c>
      <c r="E17">
        <v>100</v>
      </c>
      <c r="F17" s="11">
        <f t="shared" si="5"/>
        <v>6.5768579601844808</v>
      </c>
      <c r="G17">
        <v>12000</v>
      </c>
      <c r="H17">
        <v>0.875</v>
      </c>
      <c r="I17">
        <v>20</v>
      </c>
      <c r="J17" s="10">
        <f t="shared" si="6"/>
        <v>525</v>
      </c>
      <c r="K17">
        <v>1</v>
      </c>
      <c r="L17">
        <v>0.35</v>
      </c>
      <c r="M17">
        <v>1</v>
      </c>
      <c r="O17" s="10">
        <f t="shared" si="7"/>
        <v>385.72601144258272</v>
      </c>
      <c r="P17" s="10">
        <f t="shared" si="8"/>
        <v>563.19906007355939</v>
      </c>
      <c r="Q17" s="10">
        <f t="shared" si="9"/>
        <v>551.07492848385755</v>
      </c>
      <c r="R17" s="10">
        <f t="shared" si="10"/>
        <v>499.99999999999983</v>
      </c>
      <c r="S17">
        <v>500</v>
      </c>
    </row>
    <row r="18" spans="1:19" x14ac:dyDescent="0.25">
      <c r="B18" t="s">
        <v>238</v>
      </c>
      <c r="D18">
        <v>140000</v>
      </c>
      <c r="E18">
        <v>100</v>
      </c>
      <c r="F18" s="11">
        <f t="shared" si="5"/>
        <v>7.4979445015416246</v>
      </c>
      <c r="G18">
        <v>4000</v>
      </c>
      <c r="H18">
        <v>0.875</v>
      </c>
      <c r="I18">
        <v>6</v>
      </c>
      <c r="J18" s="10">
        <f t="shared" si="6"/>
        <v>583.33333333333326</v>
      </c>
      <c r="K18">
        <v>1</v>
      </c>
      <c r="L18">
        <v>0.35</v>
      </c>
      <c r="M18">
        <v>1</v>
      </c>
      <c r="O18" s="10">
        <f t="shared" si="7"/>
        <v>477.1378896882494</v>
      </c>
      <c r="P18" s="10">
        <f t="shared" si="8"/>
        <v>808.33213429256591</v>
      </c>
      <c r="Q18" s="10">
        <f t="shared" si="9"/>
        <v>1714.5299760191845</v>
      </c>
      <c r="R18" s="10">
        <f t="shared" si="10"/>
        <v>1000</v>
      </c>
      <c r="S18">
        <v>1000</v>
      </c>
    </row>
    <row r="19" spans="1:19" x14ac:dyDescent="0.25">
      <c r="A19" t="s">
        <v>724</v>
      </c>
      <c r="B19" t="s">
        <v>325</v>
      </c>
      <c r="D19">
        <v>71000</v>
      </c>
      <c r="E19">
        <v>100</v>
      </c>
      <c r="F19" s="11">
        <f t="shared" si="5"/>
        <v>6.6688885770418187</v>
      </c>
      <c r="G19">
        <v>48000</v>
      </c>
      <c r="H19">
        <v>0.75</v>
      </c>
      <c r="I19">
        <v>45</v>
      </c>
      <c r="J19" s="10">
        <f t="shared" si="6"/>
        <v>800</v>
      </c>
      <c r="K19">
        <v>1</v>
      </c>
      <c r="L19">
        <v>0.35</v>
      </c>
      <c r="M19">
        <v>1</v>
      </c>
      <c r="O19" s="10">
        <f t="shared" si="7"/>
        <v>493.06444007858545</v>
      </c>
      <c r="P19" s="10">
        <f t="shared" si="8"/>
        <v>846.31552062868354</v>
      </c>
      <c r="Q19" s="10">
        <f t="shared" si="9"/>
        <v>1060.6200392927308</v>
      </c>
      <c r="R19" s="10">
        <f t="shared" si="10"/>
        <v>800</v>
      </c>
      <c r="S19">
        <v>800</v>
      </c>
    </row>
    <row r="20" spans="1:19" x14ac:dyDescent="0.25">
      <c r="B20" t="s">
        <v>453</v>
      </c>
      <c r="D20">
        <v>113500</v>
      </c>
      <c r="E20">
        <v>100</v>
      </c>
      <c r="F20" s="11">
        <f t="shared" si="5"/>
        <v>6.6556195965417873</v>
      </c>
      <c r="G20">
        <v>18000</v>
      </c>
      <c r="H20">
        <v>1</v>
      </c>
      <c r="I20">
        <v>36</v>
      </c>
      <c r="J20" s="10">
        <f t="shared" si="6"/>
        <v>500</v>
      </c>
      <c r="K20">
        <v>1</v>
      </c>
      <c r="L20">
        <v>0.35</v>
      </c>
      <c r="M20">
        <v>1</v>
      </c>
      <c r="O20" s="10">
        <f t="shared" si="7"/>
        <v>417.62867435158495</v>
      </c>
      <c r="P20" s="10">
        <f t="shared" si="8"/>
        <v>624.79337175792512</v>
      </c>
      <c r="Q20" s="10">
        <f t="shared" si="9"/>
        <v>1057.5779538904901</v>
      </c>
      <c r="R20" s="10">
        <f t="shared" si="10"/>
        <v>700</v>
      </c>
      <c r="S20">
        <v>700</v>
      </c>
    </row>
    <row r="21" spans="1:19" x14ac:dyDescent="0.25">
      <c r="B21" t="s">
        <v>916</v>
      </c>
      <c r="D21">
        <v>105000</v>
      </c>
      <c r="E21">
        <v>100</v>
      </c>
      <c r="F21" s="11">
        <f t="shared" ref="F21:F26" si="11">(S21*37500000/(L21*M21*D21*E21*K21*J21)-((500/(K21*J21))+(2500000000/(D21*E21*K21*J21)*(D21/100000+E21/100+J21/200))))/(1+5000000/(D21*E21)+(500000000/(D21*E21*J21)))</f>
        <v>7.4096852300242135</v>
      </c>
      <c r="G21">
        <v>24000</v>
      </c>
      <c r="H21">
        <v>0.75</v>
      </c>
      <c r="I21">
        <v>32</v>
      </c>
      <c r="J21" s="10">
        <f t="shared" si="6"/>
        <v>562.5</v>
      </c>
      <c r="K21">
        <v>1</v>
      </c>
      <c r="L21">
        <v>0.35</v>
      </c>
      <c r="M21">
        <v>1</v>
      </c>
      <c r="O21" s="10">
        <f t="shared" si="7"/>
        <v>444.11059322033896</v>
      </c>
      <c r="P21" s="10">
        <f t="shared" si="8"/>
        <v>730.51271186440681</v>
      </c>
      <c r="Q21" s="10">
        <f t="shared" si="9"/>
        <v>1225.3766949152541</v>
      </c>
      <c r="R21" s="10">
        <f t="shared" si="10"/>
        <v>800</v>
      </c>
      <c r="S21">
        <v>800</v>
      </c>
    </row>
    <row r="22" spans="1:19" x14ac:dyDescent="0.25">
      <c r="B22" t="s">
        <v>917</v>
      </c>
      <c r="D22">
        <v>105000</v>
      </c>
      <c r="E22">
        <v>100</v>
      </c>
      <c r="F22" s="11">
        <f t="shared" si="11"/>
        <v>8.9749631811487482</v>
      </c>
      <c r="G22">
        <v>30000</v>
      </c>
      <c r="H22">
        <v>1</v>
      </c>
      <c r="I22">
        <v>40</v>
      </c>
      <c r="J22" s="10">
        <f t="shared" si="6"/>
        <v>750</v>
      </c>
      <c r="K22">
        <v>1</v>
      </c>
      <c r="L22">
        <v>0.35</v>
      </c>
      <c r="M22">
        <v>1</v>
      </c>
      <c r="O22" s="10">
        <f t="shared" si="7"/>
        <v>531.64948453608247</v>
      </c>
      <c r="P22" s="10">
        <f t="shared" si="8"/>
        <v>1089.3711340206187</v>
      </c>
      <c r="Q22" s="10">
        <f t="shared" si="9"/>
        <v>1978.9793814432987</v>
      </c>
      <c r="R22" s="10">
        <f t="shared" si="10"/>
        <v>1200</v>
      </c>
      <c r="S22">
        <v>1200</v>
      </c>
    </row>
    <row r="23" spans="1:19" x14ac:dyDescent="0.25">
      <c r="B23" t="s">
        <v>918</v>
      </c>
      <c r="D23">
        <v>105000</v>
      </c>
      <c r="E23">
        <v>100</v>
      </c>
      <c r="F23" s="11">
        <f t="shared" si="11"/>
        <v>8.2988914453043297</v>
      </c>
      <c r="G23">
        <v>48000</v>
      </c>
      <c r="H23">
        <v>0.875</v>
      </c>
      <c r="I23">
        <v>64</v>
      </c>
      <c r="J23" s="10">
        <f t="shared" si="6"/>
        <v>656.25</v>
      </c>
      <c r="K23">
        <v>1</v>
      </c>
      <c r="L23">
        <v>0.35</v>
      </c>
      <c r="M23">
        <v>1</v>
      </c>
      <c r="O23" s="10">
        <f t="shared" si="7"/>
        <v>489.3719802342606</v>
      </c>
      <c r="P23" s="10">
        <f t="shared" si="8"/>
        <v>909.46065153733514</v>
      </c>
      <c r="Q23" s="10">
        <f t="shared" si="9"/>
        <v>1601.167368228404</v>
      </c>
      <c r="R23" s="10">
        <f t="shared" si="10"/>
        <v>1000</v>
      </c>
      <c r="S23">
        <v>1000</v>
      </c>
    </row>
    <row r="24" spans="1:19" x14ac:dyDescent="0.25">
      <c r="B24" t="s">
        <v>919</v>
      </c>
      <c r="D24">
        <v>105000</v>
      </c>
      <c r="E24">
        <v>100</v>
      </c>
      <c r="F24" s="11">
        <f t="shared" si="11"/>
        <v>8.9996896316737605</v>
      </c>
      <c r="G24">
        <v>150000</v>
      </c>
      <c r="H24">
        <v>1.125</v>
      </c>
      <c r="I24">
        <v>62</v>
      </c>
      <c r="J24" s="10">
        <f>G24/I24*H24</f>
        <v>2721.7741935483873</v>
      </c>
      <c r="K24">
        <v>1</v>
      </c>
      <c r="L24">
        <v>0.35</v>
      </c>
      <c r="M24">
        <v>1</v>
      </c>
      <c r="O24" s="10">
        <f>(D24/100000+E24/100+F24*K24/5+J24/200)*200*L24*M24</f>
        <v>1222.1166225853683</v>
      </c>
      <c r="P24" s="10">
        <f>((D24*E24/25000)+(F24*K24*J24/2.5))*L24*M24</f>
        <v>3576.3172185208482</v>
      </c>
      <c r="Q24" s="10">
        <f>(D24*E24*F24*K24*J24*L24*M24)/12500000</f>
        <v>7201.5661588937819</v>
      </c>
      <c r="R24" s="10">
        <f>(O24+P24+Q24)/3</f>
        <v>3999.9999999999995</v>
      </c>
      <c r="S24">
        <v>4000</v>
      </c>
    </row>
    <row r="25" spans="1:19" x14ac:dyDescent="0.25">
      <c r="B25" t="s">
        <v>368</v>
      </c>
      <c r="D25">
        <v>88000</v>
      </c>
      <c r="E25">
        <v>100</v>
      </c>
      <c r="F25" s="11">
        <f t="shared" si="11"/>
        <v>6.6514806378132123</v>
      </c>
      <c r="G25">
        <v>6000</v>
      </c>
      <c r="H25">
        <v>1</v>
      </c>
      <c r="I25">
        <v>10</v>
      </c>
      <c r="J25" s="10">
        <f>G25/I25*H25</f>
        <v>600</v>
      </c>
      <c r="K25">
        <v>1</v>
      </c>
      <c r="L25">
        <v>0.35</v>
      </c>
      <c r="M25">
        <v>1</v>
      </c>
      <c r="O25" s="10">
        <f>(D25/100000+E25/100+F25*K25/5+J25/200)*200*L25*M25</f>
        <v>434.7207289293849</v>
      </c>
      <c r="P25" s="10">
        <f>((D25*E25/25000)+(F25*K25*J25/2.5))*L25*M25</f>
        <v>681.92437357630979</v>
      </c>
      <c r="Q25" s="10">
        <f>(D25*E25*F25*K25*J25*L25*M25)/12500000</f>
        <v>983.35489749430531</v>
      </c>
      <c r="R25" s="10">
        <f>(O25+P25+Q25)/3</f>
        <v>700</v>
      </c>
      <c r="S25">
        <v>700</v>
      </c>
    </row>
    <row r="26" spans="1:19" x14ac:dyDescent="0.25">
      <c r="B26" t="s">
        <v>1125</v>
      </c>
      <c r="D26">
        <v>90000</v>
      </c>
      <c r="E26">
        <v>100</v>
      </c>
      <c r="F26" s="11">
        <f t="shared" si="11"/>
        <v>7.2140878512069664</v>
      </c>
      <c r="G26">
        <v>3840</v>
      </c>
      <c r="H26">
        <v>1</v>
      </c>
      <c r="I26">
        <v>8</v>
      </c>
      <c r="J26" s="10">
        <f>G26/I26*H26</f>
        <v>480</v>
      </c>
      <c r="K26">
        <v>1.25</v>
      </c>
      <c r="L26">
        <v>0.35</v>
      </c>
      <c r="M26">
        <v>1</v>
      </c>
      <c r="O26" s="10">
        <f>(D26/100000+E26/100+F26*K26/5+J26/200)*200*L26*M26</f>
        <v>427.24653739612182</v>
      </c>
      <c r="P26" s="10">
        <f>((D26*E26/25000)+(F26*K26*J26/2.5))*L26*M26</f>
        <v>731.98337950138512</v>
      </c>
      <c r="Q26" s="10">
        <f>(D26*E26*F26*K26*J26*L26*M26)/12500000</f>
        <v>1090.7700831024931</v>
      </c>
      <c r="R26" s="10">
        <f>(O26+P26+Q26)/3</f>
        <v>750</v>
      </c>
      <c r="S26">
        <v>750</v>
      </c>
    </row>
    <row r="32" spans="1:19" x14ac:dyDescent="0.25">
      <c r="A32" t="s">
        <v>605</v>
      </c>
      <c r="B32" t="s">
        <v>647</v>
      </c>
      <c r="D32">
        <v>80000</v>
      </c>
      <c r="E32">
        <v>100</v>
      </c>
      <c r="F32" s="11">
        <f>(S32*37500000/(L32*M32*D32*E32*K32*J32)-((500/(K32*J32))+(2500000000/(D32*E32*K32*J32)*(D32/100000+E32/100+J32/200))))/(1+5000000/(D32*E32)+(500000000/(D32*E32*J32)))</f>
        <v>7.6813935383417675</v>
      </c>
      <c r="G32">
        <v>24000</v>
      </c>
      <c r="H32">
        <v>1.125</v>
      </c>
      <c r="I32">
        <v>32</v>
      </c>
      <c r="J32" s="10">
        <f>G32/I32*H32</f>
        <v>843.75</v>
      </c>
      <c r="K32">
        <v>1</v>
      </c>
      <c r="L32">
        <v>0.35</v>
      </c>
      <c r="M32">
        <v>1</v>
      </c>
      <c r="O32" s="10">
        <f>(D32/100000+E32/100+F32*K32/5+J32/200)*200*L32*M32</f>
        <v>528.85200953678475</v>
      </c>
      <c r="P32" s="10">
        <f>((D32*E32/25000)+(F32*K32*J32/2.5))*L32*M32</f>
        <v>1019.3646117166213</v>
      </c>
      <c r="Q32" s="10">
        <f>(D32*E32*F32*K32*J32*L32*M32)/12500000</f>
        <v>1451.7833787465938</v>
      </c>
      <c r="R32" s="10">
        <f>(O32+P32+Q32)/3</f>
        <v>1000</v>
      </c>
      <c r="S32">
        <v>1000</v>
      </c>
    </row>
    <row r="33" spans="1:19" x14ac:dyDescent="0.25">
      <c r="A33" t="s">
        <v>707</v>
      </c>
      <c r="B33" t="s">
        <v>647</v>
      </c>
      <c r="D33">
        <v>100000</v>
      </c>
      <c r="E33">
        <v>100</v>
      </c>
      <c r="F33" s="11">
        <f>(S33*37500000/(L33*M33*D33*E33*K33*J33)-((500/(K33*J33))+(2500000000/(D33*E33*K33*J33)*(D33/100000+E33/100+J33/200))))/(1+5000000/(D33*E33)+(500000000/(D33*E33*J33)))</f>
        <v>8.7533852403520651</v>
      </c>
      <c r="G33">
        <v>24000</v>
      </c>
      <c r="H33">
        <v>1.125</v>
      </c>
      <c r="I33">
        <v>34</v>
      </c>
      <c r="J33" s="10">
        <f>G33/I33*H33</f>
        <v>794.11764705882354</v>
      </c>
      <c r="K33">
        <v>1</v>
      </c>
      <c r="L33">
        <v>0.35</v>
      </c>
      <c r="M33">
        <v>1</v>
      </c>
      <c r="O33" s="10">
        <f>(D33/100000+E33/100+F33*K33/5+J33/200)*200*L33*M33</f>
        <v>540.48856983551707</v>
      </c>
      <c r="P33" s="10">
        <f>((D33*E33/25000)+(F33*K33*J33/2.5))*L33*M33</f>
        <v>1113.1704767214942</v>
      </c>
      <c r="Q33" s="10">
        <f>(D33*E33*F33*K33*J33*L33*M33)/12500000</f>
        <v>1946.3409534429884</v>
      </c>
      <c r="R33" s="10">
        <f>(O33+P33+Q33)/3</f>
        <v>1199.9999999999998</v>
      </c>
      <c r="S33">
        <v>1200</v>
      </c>
    </row>
    <row r="34" spans="1:19" x14ac:dyDescent="0.25">
      <c r="B34" t="s">
        <v>717</v>
      </c>
      <c r="D34">
        <v>100000</v>
      </c>
      <c r="E34">
        <v>100</v>
      </c>
      <c r="F34" s="11">
        <f>(S34*37500000/(L34*M34*D34*E34*K34*J34)-((500/(K34*J34))+(2500000000/(D34*E34*K34*J34)*(D34/100000+E34/100+J34/200))))/(1+5000000/(D34*E34)+(500000000/(D34*E34*J34)))</f>
        <v>10.498866213151929</v>
      </c>
      <c r="G34">
        <v>60000</v>
      </c>
      <c r="H34">
        <v>1</v>
      </c>
      <c r="I34">
        <v>90</v>
      </c>
      <c r="J34" s="10">
        <f>G34/I34*H34</f>
        <v>666.66666666666663</v>
      </c>
      <c r="K34">
        <v>1</v>
      </c>
      <c r="L34">
        <v>0.35</v>
      </c>
      <c r="M34">
        <v>1</v>
      </c>
      <c r="O34" s="10">
        <f>(D34/100000+E34/100+F34*K34/5+J34/200)*200*L34*M34</f>
        <v>520.31746031746036</v>
      </c>
      <c r="P34" s="10">
        <f>((D34*E34/25000)+(F34*K34*J34/2.5))*L34*M34</f>
        <v>1119.8941798941798</v>
      </c>
      <c r="Q34" s="10">
        <f>(D34*E34*F34*K34*J34*L34*M34)/12500000</f>
        <v>1959.7883597883597</v>
      </c>
      <c r="R34" s="10">
        <f>(O34+P34+Q34)/3</f>
        <v>1200</v>
      </c>
      <c r="S34">
        <v>1200</v>
      </c>
    </row>
    <row r="37" spans="1:19" x14ac:dyDescent="0.25">
      <c r="B37" t="s">
        <v>145</v>
      </c>
      <c r="D37" t="s">
        <v>36</v>
      </c>
      <c r="E37" t="s">
        <v>37</v>
      </c>
      <c r="F37" s="11" t="s">
        <v>38</v>
      </c>
      <c r="G37" t="s">
        <v>39</v>
      </c>
      <c r="H37" t="s">
        <v>181</v>
      </c>
      <c r="I37" t="s">
        <v>40</v>
      </c>
      <c r="J37" s="10" t="s">
        <v>544</v>
      </c>
      <c r="K37" t="s">
        <v>142</v>
      </c>
      <c r="L37" t="s">
        <v>182</v>
      </c>
      <c r="M37" t="s">
        <v>385</v>
      </c>
      <c r="O37" s="10"/>
      <c r="P37" s="10"/>
      <c r="Q37" s="10"/>
      <c r="R37" s="10"/>
      <c r="S37" t="s">
        <v>41</v>
      </c>
    </row>
    <row r="39" spans="1:19" x14ac:dyDescent="0.25">
      <c r="A39" t="s">
        <v>321</v>
      </c>
      <c r="B39" t="s">
        <v>59</v>
      </c>
      <c r="D39">
        <v>100000</v>
      </c>
      <c r="E39">
        <v>100</v>
      </c>
      <c r="F39" s="11">
        <f>(S39*37500000/(L39*M39*D39*E39*K39*J39)-((500/(K39*J39))+(2500000000/(D39*E39*K39*J39)*(D39/100000+E39/100+J39/200))))/(1+5000000/(D39*E39)+(500000000/(D39*E39*J39)))</f>
        <v>12.192982456140351</v>
      </c>
      <c r="G39">
        <v>24000</v>
      </c>
      <c r="H39">
        <v>1.25</v>
      </c>
      <c r="I39">
        <v>50</v>
      </c>
      <c r="J39" s="10">
        <f>G39/I39*H39</f>
        <v>600</v>
      </c>
      <c r="K39">
        <v>1</v>
      </c>
      <c r="L39">
        <v>0.22500000000000001</v>
      </c>
      <c r="M39">
        <v>1</v>
      </c>
      <c r="O39" s="10">
        <f>(D39/100000+E39/100+F39*K39/5+J39/200)*200*L39*M39</f>
        <v>334.73684210526318</v>
      </c>
      <c r="P39" s="10">
        <f>((D39*E39/25000)+(F39*K39*J39/2.5))*L39*M39</f>
        <v>748.42105263157896</v>
      </c>
      <c r="Q39" s="10">
        <f>(D39*E39*F39*K39*J39*L39*M39)/12500000</f>
        <v>1316.8421052631579</v>
      </c>
      <c r="R39" s="10">
        <f>(O39+P39+Q39)/3</f>
        <v>800</v>
      </c>
      <c r="S39">
        <v>800</v>
      </c>
    </row>
    <row r="40" spans="1:19" x14ac:dyDescent="0.25">
      <c r="B40" t="s">
        <v>1200</v>
      </c>
      <c r="D40">
        <v>93000</v>
      </c>
      <c r="E40">
        <v>100</v>
      </c>
      <c r="F40" s="11">
        <f>(S40*37500000/(L40*M40*D40*E40*K40*J40)-((500/(K40*J40))+(2500000000/(D40*E40*K40*J40)*(D40/100000+E40/100+J40/200))))/(1+5000000/(D40*E40)+(500000000/(D40*E40*J40)))</f>
        <v>13.80942234848485</v>
      </c>
      <c r="G40">
        <v>8000</v>
      </c>
      <c r="H40">
        <v>0.875</v>
      </c>
      <c r="I40">
        <v>11</v>
      </c>
      <c r="J40" s="10">
        <f>G40/I40*H40</f>
        <v>636.36363636363637</v>
      </c>
      <c r="K40">
        <v>1</v>
      </c>
      <c r="L40">
        <v>0.22500000000000001</v>
      </c>
      <c r="M40">
        <v>1</v>
      </c>
      <c r="O40" s="10">
        <f>(D40/100000+E40/100+F40*K40/5+J40/200)*200*L40*M40</f>
        <v>354.31661931818184</v>
      </c>
      <c r="P40" s="10">
        <f>((D40*E40/25000)+(F40*K40*J40/2.5))*L40*M40</f>
        <v>874.60327995867783</v>
      </c>
      <c r="Q40" s="10">
        <f>(D40*E40*F40*K40*J40*L40*M40)/12500000</f>
        <v>1471.0801007231405</v>
      </c>
      <c r="R40" s="10">
        <f>(O40+P40+Q40)/3</f>
        <v>900</v>
      </c>
      <c r="S40">
        <v>900</v>
      </c>
    </row>
    <row r="41" spans="1:19" x14ac:dyDescent="0.25">
      <c r="A41" t="s">
        <v>320</v>
      </c>
      <c r="B41" t="s">
        <v>124</v>
      </c>
      <c r="D41">
        <v>62500</v>
      </c>
      <c r="E41">
        <v>100</v>
      </c>
      <c r="F41" s="11">
        <f>(S41*37500000/(L41*M41*D41*E41*K41*J41)-((500/(K41*J41))+(2500000000/(D41*E41*K41*J41)*(D41/100000+E41/100+J41/200))))/(1+5000000/(D41*E41)+(500000000/(D41*E41*J41)))</f>
        <v>11.411564625850341</v>
      </c>
      <c r="G41">
        <v>8000</v>
      </c>
      <c r="H41">
        <v>1</v>
      </c>
      <c r="I41">
        <v>16</v>
      </c>
      <c r="J41" s="10">
        <f>G41/I41*H41</f>
        <v>500</v>
      </c>
      <c r="K41">
        <v>1</v>
      </c>
      <c r="L41">
        <v>0.22500000000000001</v>
      </c>
      <c r="M41">
        <v>1</v>
      </c>
      <c r="O41" s="10">
        <f>(D41/100000+E41/100+F41*K41/5+J41/200)*200*L41*M41</f>
        <v>288.32908163265307</v>
      </c>
      <c r="P41" s="10">
        <f>((D41*E41/25000)+(F41*K41*J41/2.5))*L41*M41</f>
        <v>569.7704081632653</v>
      </c>
      <c r="Q41" s="10">
        <f>(D41*E41*F41*K41*J41*L41*M41)/12500000</f>
        <v>641.90051020408168</v>
      </c>
      <c r="R41" s="10">
        <f>(O41+P41+Q41)/3</f>
        <v>500</v>
      </c>
      <c r="S41">
        <v>500</v>
      </c>
    </row>
    <row r="42" spans="1:19" x14ac:dyDescent="0.25">
      <c r="B42" t="s">
        <v>127</v>
      </c>
      <c r="D42">
        <v>75000</v>
      </c>
      <c r="E42">
        <v>100</v>
      </c>
      <c r="F42" s="11">
        <f>(S42*37500000/(L42*M42*D42*E42*K42*J42)-((500/(K42*J42))+(2500000000/(D42*E42*K42*J42)*(D42/100000+E42/100+J42/200))))/(1+5000000/(D42*E42)+(500000000/(D42*E42*J42)))</f>
        <v>12.789812646370024</v>
      </c>
      <c r="G42">
        <v>16000</v>
      </c>
      <c r="H42">
        <v>1</v>
      </c>
      <c r="I42">
        <v>27</v>
      </c>
      <c r="J42" s="10">
        <f>G42/I42*H42</f>
        <v>592.59259259259261</v>
      </c>
      <c r="K42">
        <v>1</v>
      </c>
      <c r="L42">
        <v>0.22500000000000001</v>
      </c>
      <c r="M42">
        <v>1</v>
      </c>
      <c r="O42" s="10">
        <f>(D42/100000+E42/100+F42*K42/5+J42/200)*200*L42*M42</f>
        <v>327.19164715066358</v>
      </c>
      <c r="P42" s="10">
        <f>((D42*E42/25000)+(F42*K42*J42/2.5))*L42*M42</f>
        <v>749.62334113973463</v>
      </c>
      <c r="Q42" s="10">
        <f>(D42*E42*F42*K42*J42*L42*M42)/12500000</f>
        <v>1023.185011709602</v>
      </c>
      <c r="R42" s="10">
        <f>(O42+P42+Q42)/3</f>
        <v>700</v>
      </c>
      <c r="S42">
        <v>700</v>
      </c>
    </row>
    <row r="43" spans="1:19" x14ac:dyDescent="0.25">
      <c r="A43" t="s">
        <v>605</v>
      </c>
      <c r="B43" t="s">
        <v>615</v>
      </c>
      <c r="D43">
        <v>60000</v>
      </c>
      <c r="E43">
        <v>100</v>
      </c>
      <c r="F43" s="11">
        <f>(S43*37500000/(L43*M43*D43*E43*K43*J43)-((500/(K43*J43))+(2500000000/(D43*E43*K43*J43)*(D43/100000+E43/100+J43/200))))/(1+5000000/(D43*E43)+(500000000/(D43*E43*J43)))</f>
        <v>11.626373626373626</v>
      </c>
      <c r="G43">
        <v>20000</v>
      </c>
      <c r="H43">
        <v>1</v>
      </c>
      <c r="I43">
        <v>15</v>
      </c>
      <c r="J43" s="10">
        <f>G43/I43*H43</f>
        <v>1333.3333333333333</v>
      </c>
      <c r="K43">
        <v>1</v>
      </c>
      <c r="L43">
        <v>0.22500000000000001</v>
      </c>
      <c r="M43">
        <v>1</v>
      </c>
      <c r="O43" s="10">
        <f>(D43/100000+E43/100+F43*K43/5+J43/200)*200*L43*M43</f>
        <v>476.63736263736263</v>
      </c>
      <c r="P43" s="10">
        <f>((D43*E43/25000)+(F43*K43*J43/2.5))*L43*M43</f>
        <v>1449.164835164835</v>
      </c>
      <c r="Q43" s="10">
        <f>(D43*E43*F43*K43*J43*L43*M43)/12500000</f>
        <v>1674.197802197802</v>
      </c>
      <c r="R43" s="10">
        <f>(O43+P43+Q43)/3</f>
        <v>1200</v>
      </c>
      <c r="S43">
        <v>1200</v>
      </c>
    </row>
    <row r="45" spans="1:19" x14ac:dyDescent="0.25">
      <c r="B45" t="s">
        <v>648</v>
      </c>
      <c r="D45">
        <v>80000</v>
      </c>
      <c r="E45">
        <v>100</v>
      </c>
      <c r="F45" s="11">
        <f>(S45*37500000/(L45*M45*D45*E45*K45*J45)-((500/(K45*J45))+(2500000000/(D45*E45*K45*J45)*(D45/100000+E45/100+J45/200))))/(1+5000000/(D45*E45)+(500000000/(D45*E45*J45)))</f>
        <v>10.160137457044675</v>
      </c>
      <c r="G45">
        <v>36000</v>
      </c>
      <c r="H45">
        <v>1</v>
      </c>
      <c r="I45">
        <v>34</v>
      </c>
      <c r="J45" s="10">
        <f>G45/I45*H45</f>
        <v>1058.8235294117646</v>
      </c>
      <c r="K45">
        <v>1</v>
      </c>
      <c r="L45">
        <v>0.22500000000000001</v>
      </c>
      <c r="M45">
        <v>1</v>
      </c>
      <c r="O45" s="10">
        <f>(D45/100000+E45/100+F45*K45/5+J45/200)*200*L45*M45</f>
        <v>410.67653123104918</v>
      </c>
      <c r="P45" s="10">
        <f>((D45*E45/25000)+(F45*K45*J45/2.5))*L45*M45</f>
        <v>1040.2013341419042</v>
      </c>
      <c r="Q45" s="10">
        <f>(D45*E45*F45*K45*J45*L45*M45)/12500000</f>
        <v>1549.1221346270468</v>
      </c>
      <c r="R45" s="10">
        <f>(O45+P45+Q45)/3</f>
        <v>1000</v>
      </c>
      <c r="S45">
        <v>1000</v>
      </c>
    </row>
    <row r="46" spans="1:19" x14ac:dyDescent="0.25">
      <c r="A46" t="s">
        <v>629</v>
      </c>
      <c r="B46" t="s">
        <v>203</v>
      </c>
      <c r="D46">
        <v>90000</v>
      </c>
      <c r="E46">
        <v>100</v>
      </c>
      <c r="F46" s="11">
        <f t="shared" ref="F46:F52" si="12">(S46*37500000/(L46*M46*D46*E46*K46*J46)-((500/(K46*J46))+(2500000000/(D46*E46*K46*J46)*(D46/100000+E46/100+J46/200))))/(1+5000000/(D46*E46)+(500000000/(D46*E46*J46)))</f>
        <v>14.151006711409396</v>
      </c>
      <c r="G46">
        <v>20000</v>
      </c>
      <c r="H46">
        <v>1</v>
      </c>
      <c r="I46">
        <v>36</v>
      </c>
      <c r="J46" s="10">
        <f t="shared" ref="J46:J51" si="13">G46/I46*H46</f>
        <v>555.55555555555554</v>
      </c>
      <c r="K46">
        <v>1</v>
      </c>
      <c r="L46">
        <v>0.22500000000000001</v>
      </c>
      <c r="M46">
        <v>1</v>
      </c>
      <c r="O46" s="10">
        <f t="shared" ref="O46:O51" si="14">(D46/100000+E46/100+F46*K46/5+J46/200)*200*L46*M46</f>
        <v>337.85906040268452</v>
      </c>
      <c r="P46" s="10">
        <f t="shared" ref="P46:P51" si="15">((D46*E46/25000)+(F46*K46*J46/2.5))*L46*M46</f>
        <v>788.55033557046977</v>
      </c>
      <c r="Q46" s="10">
        <f t="shared" ref="Q46:Q51" si="16">(D46*E46*F46*K46*J46*L46*M46)/12500000</f>
        <v>1273.5906040268458</v>
      </c>
      <c r="R46" s="10">
        <f t="shared" ref="R46:R51" si="17">(O46+P46+Q46)/3</f>
        <v>800</v>
      </c>
      <c r="S46">
        <v>800</v>
      </c>
    </row>
    <row r="47" spans="1:19" x14ac:dyDescent="0.25">
      <c r="B47" t="s">
        <v>215</v>
      </c>
      <c r="D47">
        <v>60000</v>
      </c>
      <c r="E47">
        <v>100</v>
      </c>
      <c r="F47" s="11">
        <f t="shared" si="12"/>
        <v>12.936170212765958</v>
      </c>
      <c r="G47">
        <v>10000</v>
      </c>
      <c r="H47">
        <v>1</v>
      </c>
      <c r="I47">
        <v>15</v>
      </c>
      <c r="J47" s="10">
        <f t="shared" si="13"/>
        <v>666.66666666666663</v>
      </c>
      <c r="K47">
        <v>1</v>
      </c>
      <c r="L47">
        <v>0.22500000000000001</v>
      </c>
      <c r="M47">
        <v>1</v>
      </c>
      <c r="O47" s="10">
        <f t="shared" si="14"/>
        <v>338.42553191489361</v>
      </c>
      <c r="P47" s="10">
        <f t="shared" si="15"/>
        <v>830.17021276595733</v>
      </c>
      <c r="Q47" s="10">
        <f t="shared" si="16"/>
        <v>931.404255319149</v>
      </c>
      <c r="R47" s="10">
        <f t="shared" si="17"/>
        <v>700</v>
      </c>
      <c r="S47">
        <v>700</v>
      </c>
    </row>
    <row r="48" spans="1:19" x14ac:dyDescent="0.25">
      <c r="A48" t="s">
        <v>724</v>
      </c>
      <c r="B48" t="s">
        <v>326</v>
      </c>
      <c r="C48" t="s">
        <v>727</v>
      </c>
      <c r="D48">
        <v>140000</v>
      </c>
      <c r="E48">
        <v>100</v>
      </c>
      <c r="F48" s="11">
        <f t="shared" si="12"/>
        <v>12.042372881355933</v>
      </c>
      <c r="G48">
        <v>8000</v>
      </c>
      <c r="H48">
        <v>1.125</v>
      </c>
      <c r="I48">
        <v>12</v>
      </c>
      <c r="J48" s="10">
        <f t="shared" si="13"/>
        <v>750</v>
      </c>
      <c r="K48">
        <v>1</v>
      </c>
      <c r="L48">
        <v>0.22500000000000001</v>
      </c>
      <c r="M48">
        <v>1</v>
      </c>
      <c r="O48" s="10">
        <f t="shared" si="14"/>
        <v>385.13135593220341</v>
      </c>
      <c r="P48" s="10">
        <f t="shared" si="15"/>
        <v>938.86016949152543</v>
      </c>
      <c r="Q48" s="10">
        <f t="shared" si="16"/>
        <v>2276.0084745762715</v>
      </c>
      <c r="R48" s="10">
        <f t="shared" si="17"/>
        <v>1200.0000000000002</v>
      </c>
      <c r="S48">
        <v>1200</v>
      </c>
    </row>
    <row r="49" spans="1:19" x14ac:dyDescent="0.25">
      <c r="B49" t="s">
        <v>327</v>
      </c>
      <c r="D49">
        <v>80000</v>
      </c>
      <c r="E49">
        <v>100</v>
      </c>
      <c r="F49" s="11">
        <f t="shared" si="12"/>
        <v>13.983805668016197</v>
      </c>
      <c r="G49">
        <v>8000</v>
      </c>
      <c r="H49">
        <v>1.125</v>
      </c>
      <c r="I49">
        <v>13</v>
      </c>
      <c r="J49" s="10">
        <f t="shared" si="13"/>
        <v>692.30769230769226</v>
      </c>
      <c r="K49">
        <v>1</v>
      </c>
      <c r="L49">
        <v>0.22500000000000001</v>
      </c>
      <c r="M49">
        <v>1</v>
      </c>
      <c r="O49" s="10">
        <f t="shared" si="14"/>
        <v>362.62348178137654</v>
      </c>
      <c r="P49" s="10">
        <f t="shared" si="15"/>
        <v>943.29866085331685</v>
      </c>
      <c r="Q49" s="10">
        <f t="shared" si="16"/>
        <v>1394.077857365307</v>
      </c>
      <c r="R49" s="10">
        <f t="shared" si="17"/>
        <v>900.00000000000011</v>
      </c>
      <c r="S49">
        <v>900</v>
      </c>
    </row>
    <row r="50" spans="1:19" x14ac:dyDescent="0.25">
      <c r="B50" t="s">
        <v>330</v>
      </c>
      <c r="D50">
        <v>100000</v>
      </c>
      <c r="E50">
        <v>100</v>
      </c>
      <c r="F50" s="11">
        <f t="shared" si="12"/>
        <v>9</v>
      </c>
      <c r="G50">
        <v>200000</v>
      </c>
      <c r="H50">
        <v>1.25</v>
      </c>
      <c r="I50">
        <v>300</v>
      </c>
      <c r="J50" s="10">
        <f t="shared" si="13"/>
        <v>833.33333333333326</v>
      </c>
      <c r="K50">
        <v>1.25</v>
      </c>
      <c r="L50">
        <v>0.22500000000000001</v>
      </c>
      <c r="M50">
        <v>1</v>
      </c>
      <c r="O50" s="10">
        <f t="shared" si="14"/>
        <v>378.75</v>
      </c>
      <c r="P50" s="10">
        <f t="shared" si="15"/>
        <v>933.75</v>
      </c>
      <c r="Q50" s="10">
        <f t="shared" si="16"/>
        <v>1687.4999999999998</v>
      </c>
      <c r="R50" s="10">
        <f t="shared" si="17"/>
        <v>1000</v>
      </c>
      <c r="S50">
        <v>1000</v>
      </c>
    </row>
    <row r="51" spans="1:19" x14ac:dyDescent="0.25">
      <c r="B51" t="s">
        <v>454</v>
      </c>
      <c r="D51">
        <v>132500</v>
      </c>
      <c r="E51">
        <v>100</v>
      </c>
      <c r="F51" s="11">
        <f t="shared" si="12"/>
        <v>15.070364238410596</v>
      </c>
      <c r="G51">
        <v>16000</v>
      </c>
      <c r="H51">
        <v>1</v>
      </c>
      <c r="I51">
        <v>20</v>
      </c>
      <c r="J51" s="10">
        <f t="shared" si="13"/>
        <v>800</v>
      </c>
      <c r="K51">
        <v>1</v>
      </c>
      <c r="L51">
        <v>0.22500000000000001</v>
      </c>
      <c r="M51">
        <v>1</v>
      </c>
      <c r="O51" s="10">
        <f t="shared" si="14"/>
        <v>420.25827814569539</v>
      </c>
      <c r="P51" s="10">
        <f t="shared" si="15"/>
        <v>1204.3162251655629</v>
      </c>
      <c r="Q51" s="10">
        <f t="shared" si="16"/>
        <v>2875.4254966887415</v>
      </c>
      <c r="R51" s="10">
        <f t="shared" si="17"/>
        <v>1500</v>
      </c>
      <c r="S51">
        <v>1500</v>
      </c>
    </row>
    <row r="52" spans="1:19" x14ac:dyDescent="0.25">
      <c r="B52" t="s">
        <v>369</v>
      </c>
      <c r="D52">
        <v>121000</v>
      </c>
      <c r="E52">
        <v>100</v>
      </c>
      <c r="F52" s="11">
        <f t="shared" si="12"/>
        <v>11.984595310430787</v>
      </c>
      <c r="G52">
        <v>48000</v>
      </c>
      <c r="H52">
        <v>1</v>
      </c>
      <c r="I52">
        <v>70</v>
      </c>
      <c r="J52" s="10">
        <f>G52/I52*H52</f>
        <v>685.71428571428567</v>
      </c>
      <c r="K52">
        <v>1</v>
      </c>
      <c r="L52">
        <v>0.22500000000000001</v>
      </c>
      <c r="M52">
        <v>1</v>
      </c>
      <c r="O52" s="10">
        <f>(D52/100000+E52/100+F52*K52/5+J52/200)*200*L52*M52</f>
        <v>361.59707207959144</v>
      </c>
      <c r="P52" s="10">
        <f>((D52*E52/25000)+(F52*K52*J52/2.5))*L52*M52</f>
        <v>848.52073915801429</v>
      </c>
      <c r="Q52" s="10">
        <f>(D52*E52*F52*K52*J52*L52*M52)/12500000</f>
        <v>1789.8821887623944</v>
      </c>
      <c r="R52" s="10">
        <f>(O52+P52+Q52)/3</f>
        <v>1000</v>
      </c>
      <c r="S52">
        <v>1000</v>
      </c>
    </row>
    <row r="56" spans="1:19" x14ac:dyDescent="0.25">
      <c r="B56" t="s">
        <v>146</v>
      </c>
      <c r="D56" t="s">
        <v>36</v>
      </c>
      <c r="E56" t="s">
        <v>37</v>
      </c>
      <c r="F56" s="11" t="s">
        <v>38</v>
      </c>
      <c r="G56" t="s">
        <v>39</v>
      </c>
      <c r="H56" t="s">
        <v>181</v>
      </c>
      <c r="I56" t="s">
        <v>40</v>
      </c>
      <c r="J56" s="10" t="s">
        <v>544</v>
      </c>
      <c r="K56" t="s">
        <v>142</v>
      </c>
      <c r="L56" t="s">
        <v>182</v>
      </c>
      <c r="M56" t="s">
        <v>385</v>
      </c>
      <c r="O56" s="10"/>
      <c r="P56" s="10"/>
      <c r="Q56" s="10"/>
      <c r="R56" s="10"/>
      <c r="S56" t="s">
        <v>41</v>
      </c>
    </row>
    <row r="58" spans="1:19" x14ac:dyDescent="0.25">
      <c r="A58" t="s">
        <v>321</v>
      </c>
      <c r="B58" t="s">
        <v>179</v>
      </c>
      <c r="D58">
        <v>242500</v>
      </c>
      <c r="E58">
        <v>100</v>
      </c>
      <c r="F58" s="11">
        <f t="shared" ref="F58:F63" si="18">(S58*37500000/(L58*M58*D58*E58*K58*J58)-((500/(K58*J58))+(2500000000/(D58*E58*K58*J58)*(D58/100000+E58/100+J58/200))))/(1+5000000/(D58*E58)+(500000000/(D58*E58*J58)))</f>
        <v>9.6018985665929595</v>
      </c>
      <c r="G58">
        <v>96000</v>
      </c>
      <c r="H58">
        <v>1.25</v>
      </c>
      <c r="I58">
        <v>146</v>
      </c>
      <c r="J58" s="10">
        <f t="shared" ref="J58:J66" si="19">G58/I58*H58</f>
        <v>821.91780821917803</v>
      </c>
      <c r="K58">
        <v>0.75</v>
      </c>
      <c r="L58">
        <v>0.32500000000000001</v>
      </c>
      <c r="M58">
        <v>1</v>
      </c>
      <c r="O58" s="10">
        <f t="shared" ref="O58:O66" si="20">(D58/100000+E58/100+F58*K58/5+J58/200)*200*L58*M58</f>
        <v>583.36679869551426</v>
      </c>
      <c r="P58" s="10">
        <f t="shared" ref="P58:P66" si="21">((D58*E58/25000)+(F58*K58*J58/2.5))*L58*M58</f>
        <v>1084.717213898203</v>
      </c>
      <c r="Q58" s="10">
        <f t="shared" ref="Q58:Q66" si="22">(D58*E58*F58*K58*J58*L58*M58)/12500000</f>
        <v>3731.9159874062843</v>
      </c>
      <c r="R58" s="10">
        <f t="shared" ref="R58:R66" si="23">(O58+P58+Q58)/3</f>
        <v>1800.0000000000007</v>
      </c>
      <c r="S58">
        <v>1800</v>
      </c>
    </row>
    <row r="59" spans="1:19" x14ac:dyDescent="0.25">
      <c r="B59" t="s">
        <v>61</v>
      </c>
      <c r="D59">
        <v>140000</v>
      </c>
      <c r="E59">
        <v>100</v>
      </c>
      <c r="F59" s="11">
        <f t="shared" si="18"/>
        <v>8.7723245675713688</v>
      </c>
      <c r="G59">
        <v>28000</v>
      </c>
      <c r="H59">
        <v>1</v>
      </c>
      <c r="I59">
        <v>30</v>
      </c>
      <c r="J59" s="10">
        <f t="shared" si="19"/>
        <v>933.33333333333337</v>
      </c>
      <c r="K59">
        <v>1</v>
      </c>
      <c r="L59">
        <v>0.32500000000000001</v>
      </c>
      <c r="M59">
        <v>1</v>
      </c>
      <c r="O59" s="10">
        <f t="shared" si="20"/>
        <v>573.37355271176114</v>
      </c>
      <c r="P59" s="10">
        <f t="shared" si="21"/>
        <v>1246.3753808653262</v>
      </c>
      <c r="Q59" s="10">
        <f t="shared" si="22"/>
        <v>2980.251066422913</v>
      </c>
      <c r="R59" s="10">
        <f t="shared" si="23"/>
        <v>1600</v>
      </c>
      <c r="S59">
        <v>1600</v>
      </c>
    </row>
    <row r="60" spans="1:19" x14ac:dyDescent="0.25">
      <c r="A60" t="s">
        <v>320</v>
      </c>
      <c r="B60" t="s">
        <v>126</v>
      </c>
      <c r="D60">
        <v>90000</v>
      </c>
      <c r="E60">
        <v>100</v>
      </c>
      <c r="F60" s="11">
        <f t="shared" si="18"/>
        <v>9.3176746917204927</v>
      </c>
      <c r="G60">
        <v>90000</v>
      </c>
      <c r="H60">
        <v>1.25</v>
      </c>
      <c r="I60">
        <v>125</v>
      </c>
      <c r="J60" s="10">
        <f t="shared" si="19"/>
        <v>900</v>
      </c>
      <c r="K60">
        <v>1.25</v>
      </c>
      <c r="L60">
        <v>0.32500000000000001</v>
      </c>
      <c r="M60">
        <v>1</v>
      </c>
      <c r="O60" s="10">
        <f t="shared" si="20"/>
        <v>567.41221374045801</v>
      </c>
      <c r="P60" s="10">
        <f t="shared" si="21"/>
        <v>1479.709923664122</v>
      </c>
      <c r="Q60" s="10">
        <f t="shared" si="22"/>
        <v>2452.8778625954196</v>
      </c>
      <c r="R60" s="10">
        <f t="shared" si="23"/>
        <v>1500</v>
      </c>
      <c r="S60">
        <v>1500</v>
      </c>
    </row>
    <row r="61" spans="1:19" x14ac:dyDescent="0.25">
      <c r="B61" s="6" t="s">
        <v>529</v>
      </c>
      <c r="C61" s="6"/>
      <c r="D61">
        <v>190000</v>
      </c>
      <c r="E61">
        <v>100</v>
      </c>
      <c r="F61" s="11">
        <f t="shared" si="18"/>
        <v>9.213990707279299</v>
      </c>
      <c r="G61" s="6">
        <v>160000</v>
      </c>
      <c r="H61" s="6">
        <v>0.75</v>
      </c>
      <c r="I61" s="6">
        <v>200</v>
      </c>
      <c r="J61" s="10">
        <f t="shared" si="19"/>
        <v>600</v>
      </c>
      <c r="K61" s="6">
        <v>1</v>
      </c>
      <c r="L61">
        <v>0.32500000000000001</v>
      </c>
      <c r="M61">
        <v>1</v>
      </c>
      <c r="N61" s="6"/>
      <c r="O61" s="10">
        <f t="shared" si="20"/>
        <v>503.2818791946309</v>
      </c>
      <c r="P61" s="10">
        <f t="shared" si="21"/>
        <v>965.69127516778542</v>
      </c>
      <c r="Q61" s="10">
        <f t="shared" si="22"/>
        <v>2731.0268456375843</v>
      </c>
      <c r="R61" s="10">
        <f t="shared" si="23"/>
        <v>1400.0000000000002</v>
      </c>
      <c r="S61">
        <v>1400</v>
      </c>
    </row>
    <row r="62" spans="1:19" x14ac:dyDescent="0.25">
      <c r="B62" t="s">
        <v>197</v>
      </c>
      <c r="D62">
        <v>220000</v>
      </c>
      <c r="E62">
        <v>100</v>
      </c>
      <c r="F62" s="11">
        <f t="shared" si="18"/>
        <v>9.8248951048951056</v>
      </c>
      <c r="G62">
        <v>80000</v>
      </c>
      <c r="H62">
        <v>1.25</v>
      </c>
      <c r="I62">
        <v>100</v>
      </c>
      <c r="J62" s="10">
        <f t="shared" si="19"/>
        <v>1000</v>
      </c>
      <c r="K62">
        <v>1.25</v>
      </c>
      <c r="L62">
        <v>0.32500000000000001</v>
      </c>
      <c r="M62">
        <v>1</v>
      </c>
      <c r="O62" s="10">
        <f t="shared" si="20"/>
        <v>692.65454545454543</v>
      </c>
      <c r="P62" s="10">
        <f t="shared" si="21"/>
        <v>1882.5454545454547</v>
      </c>
      <c r="Q62" s="10">
        <f t="shared" si="22"/>
        <v>7024.8000000000011</v>
      </c>
      <c r="R62" s="10">
        <f t="shared" si="23"/>
        <v>3200.0000000000005</v>
      </c>
      <c r="S62">
        <v>3200</v>
      </c>
    </row>
    <row r="63" spans="1:19" x14ac:dyDescent="0.25">
      <c r="B63" t="s">
        <v>134</v>
      </c>
      <c r="D63">
        <v>350000</v>
      </c>
      <c r="E63">
        <v>100</v>
      </c>
      <c r="F63" s="11">
        <f t="shared" si="18"/>
        <v>10.184863523573201</v>
      </c>
      <c r="G63">
        <v>40000</v>
      </c>
      <c r="H63">
        <v>0.75</v>
      </c>
      <c r="I63">
        <v>80</v>
      </c>
      <c r="J63" s="10">
        <f t="shared" si="19"/>
        <v>375</v>
      </c>
      <c r="K63">
        <v>1.25</v>
      </c>
      <c r="L63">
        <v>0.32500000000000001</v>
      </c>
      <c r="M63">
        <v>1</v>
      </c>
      <c r="O63" s="10">
        <f t="shared" si="20"/>
        <v>579.87903225806451</v>
      </c>
      <c r="P63" s="10">
        <f t="shared" si="21"/>
        <v>1075.640120967742</v>
      </c>
      <c r="Q63" s="10">
        <f t="shared" si="22"/>
        <v>4344.4808467741941</v>
      </c>
      <c r="R63" s="10">
        <f t="shared" si="23"/>
        <v>2000</v>
      </c>
      <c r="S63">
        <v>2000</v>
      </c>
    </row>
    <row r="64" spans="1:19" x14ac:dyDescent="0.25">
      <c r="A64" t="s">
        <v>581</v>
      </c>
      <c r="B64" t="s">
        <v>569</v>
      </c>
      <c r="D64">
        <v>160000</v>
      </c>
      <c r="E64">
        <v>100</v>
      </c>
      <c r="F64" s="11">
        <f t="shared" ref="F64:F73" si="24">(S64*37500000/(L64*M64*D64*E64*K64*J64)-((500/(K64*J64))+(2500000000/(D64*E64*K64*J64)*(D64/100000+E64/100+J64/200))))/(1+5000000/(D64*E64)+(500000000/(D64*E64*J64)))</f>
        <v>8.1806395851339673</v>
      </c>
      <c r="G64">
        <v>8000</v>
      </c>
      <c r="H64">
        <v>1</v>
      </c>
      <c r="I64">
        <v>20</v>
      </c>
      <c r="J64" s="10">
        <f t="shared" si="19"/>
        <v>400</v>
      </c>
      <c r="K64">
        <v>1</v>
      </c>
      <c r="L64">
        <v>0.32500000000000001</v>
      </c>
      <c r="M64">
        <v>1</v>
      </c>
      <c r="O64" s="10">
        <f t="shared" si="20"/>
        <v>405.34831460674161</v>
      </c>
      <c r="P64" s="10">
        <f t="shared" si="21"/>
        <v>633.39325842696633</v>
      </c>
      <c r="Q64" s="10">
        <f t="shared" si="22"/>
        <v>1361.2584269662923</v>
      </c>
      <c r="R64" s="10">
        <f t="shared" si="23"/>
        <v>800</v>
      </c>
      <c r="S64">
        <v>800</v>
      </c>
    </row>
    <row r="65" spans="1:19" x14ac:dyDescent="0.25">
      <c r="A65" t="s">
        <v>571</v>
      </c>
      <c r="B65" t="s">
        <v>323</v>
      </c>
      <c r="D65">
        <v>150000</v>
      </c>
      <c r="E65">
        <v>100</v>
      </c>
      <c r="F65" s="11">
        <f t="shared" si="24"/>
        <v>10.683293722103066</v>
      </c>
      <c r="G65">
        <v>32000</v>
      </c>
      <c r="H65">
        <v>1</v>
      </c>
      <c r="I65">
        <v>47</v>
      </c>
      <c r="J65" s="10">
        <f t="shared" si="19"/>
        <v>680.85106382978722</v>
      </c>
      <c r="K65">
        <v>1</v>
      </c>
      <c r="L65">
        <v>0.32500000000000001</v>
      </c>
      <c r="M65">
        <v>1</v>
      </c>
      <c r="O65" s="10">
        <f t="shared" si="20"/>
        <v>522.65941413202063</v>
      </c>
      <c r="P65" s="10">
        <f t="shared" si="21"/>
        <v>1140.5851464669947</v>
      </c>
      <c r="Q65" s="10">
        <f t="shared" si="22"/>
        <v>2836.7554394009844</v>
      </c>
      <c r="R65" s="10">
        <f t="shared" si="23"/>
        <v>1500</v>
      </c>
      <c r="S65">
        <v>1500</v>
      </c>
    </row>
    <row r="66" spans="1:19" x14ac:dyDescent="0.25">
      <c r="B66" t="s">
        <v>271</v>
      </c>
      <c r="D66">
        <v>200000</v>
      </c>
      <c r="E66">
        <v>100</v>
      </c>
      <c r="F66" s="11">
        <f t="shared" si="24"/>
        <v>11.38259109311741</v>
      </c>
      <c r="G66">
        <v>300000</v>
      </c>
      <c r="H66">
        <v>1.25</v>
      </c>
      <c r="I66">
        <v>250</v>
      </c>
      <c r="J66" s="10">
        <f t="shared" si="19"/>
        <v>1500</v>
      </c>
      <c r="K66">
        <v>1.25</v>
      </c>
      <c r="L66">
        <v>0.32500000000000001</v>
      </c>
      <c r="M66">
        <v>1</v>
      </c>
      <c r="O66" s="10">
        <f t="shared" si="20"/>
        <v>867.46710526315792</v>
      </c>
      <c r="P66" s="10">
        <f t="shared" si="21"/>
        <v>3034.5065789473688</v>
      </c>
      <c r="Q66" s="10">
        <f t="shared" si="22"/>
        <v>11098.026315789475</v>
      </c>
      <c r="R66" s="10">
        <f t="shared" si="23"/>
        <v>5000.0000000000009</v>
      </c>
      <c r="S66">
        <v>5000</v>
      </c>
    </row>
    <row r="67" spans="1:19" x14ac:dyDescent="0.25">
      <c r="B67" t="s">
        <v>862</v>
      </c>
      <c r="D67">
        <v>75000</v>
      </c>
      <c r="E67">
        <v>100</v>
      </c>
      <c r="F67" s="11">
        <f t="shared" si="24"/>
        <v>7.7104360607545317</v>
      </c>
      <c r="G67">
        <v>24000</v>
      </c>
      <c r="H67">
        <v>1</v>
      </c>
      <c r="I67">
        <v>28</v>
      </c>
      <c r="J67" s="10">
        <f t="shared" ref="J67:J79" si="25">G67/I67*H67</f>
        <v>857.14285714285711</v>
      </c>
      <c r="K67">
        <v>1.25</v>
      </c>
      <c r="L67">
        <v>0.32500000000000001</v>
      </c>
      <c r="M67">
        <v>1</v>
      </c>
      <c r="O67" s="10">
        <f>(D67/100000+E67/100+F67*K67/5+J67/200)*200*L67*M67</f>
        <v>517.6160145586897</v>
      </c>
      <c r="P67" s="10">
        <f>((D67*E67/25000)+(F67*K67*J67/2.5))*L67*M67</f>
        <v>1171.4535941765241</v>
      </c>
      <c r="Q67" s="10">
        <f>(D67*E67*F67*K67*J67*L67*M67)/12500000</f>
        <v>1610.9303912647861</v>
      </c>
      <c r="R67" s="10">
        <f>(O67+P67+Q67)/3</f>
        <v>1100</v>
      </c>
      <c r="S67">
        <v>1100</v>
      </c>
    </row>
    <row r="68" spans="1:19" x14ac:dyDescent="0.25">
      <c r="B68" t="s">
        <v>897</v>
      </c>
      <c r="D68">
        <v>125000</v>
      </c>
      <c r="E68">
        <v>100</v>
      </c>
      <c r="F68" s="11">
        <f t="shared" si="24"/>
        <v>9.997039733356722</v>
      </c>
      <c r="G68">
        <v>48000</v>
      </c>
      <c r="H68">
        <v>1</v>
      </c>
      <c r="I68">
        <v>74</v>
      </c>
      <c r="J68" s="10">
        <f t="shared" si="25"/>
        <v>648.64864864864865</v>
      </c>
      <c r="K68">
        <v>1</v>
      </c>
      <c r="L68">
        <v>0.32500000000000001</v>
      </c>
      <c r="M68">
        <v>1</v>
      </c>
      <c r="O68" s="10">
        <f>(D68/100000+E68/100+F68*K68/5+J68/200)*200*L68*M68</f>
        <v>487.02232734444817</v>
      </c>
      <c r="P68" s="10">
        <f>((D68*E68/25000)+(F68*K68*J68/2.5))*L68*M68</f>
        <v>1005.493620758729</v>
      </c>
      <c r="Q68" s="10">
        <f>(D68*E68*F68*K68*J68*L68*M68)/12500000</f>
        <v>2107.4840518968226</v>
      </c>
      <c r="R68" s="10">
        <f>(O68+P68+Q68)/3</f>
        <v>1200</v>
      </c>
      <c r="S68">
        <v>1200</v>
      </c>
    </row>
    <row r="69" spans="1:19" x14ac:dyDescent="0.25">
      <c r="A69" t="s">
        <v>629</v>
      </c>
      <c r="B69" t="s">
        <v>204</v>
      </c>
      <c r="D69">
        <v>135000</v>
      </c>
      <c r="E69">
        <v>100</v>
      </c>
      <c r="F69" s="11">
        <f t="shared" si="24"/>
        <v>9.6303643724696375</v>
      </c>
      <c r="G69">
        <v>32000</v>
      </c>
      <c r="H69">
        <v>1.25</v>
      </c>
      <c r="I69">
        <v>40</v>
      </c>
      <c r="J69" s="10">
        <f t="shared" si="25"/>
        <v>1000</v>
      </c>
      <c r="K69">
        <v>1.25</v>
      </c>
      <c r="L69">
        <v>0.32500000000000001</v>
      </c>
      <c r="M69">
        <v>1</v>
      </c>
      <c r="O69" s="10">
        <f t="shared" ref="O69:O74" si="26">(D69/100000+E69/100+F69*K69/5+J69/200)*200*L69*M69</f>
        <v>634.24342105263156</v>
      </c>
      <c r="P69" s="10">
        <f t="shared" ref="P69:P74" si="27">((D69*E69/25000)+(F69*K69*J69/2.5))*L69*M69</f>
        <v>1740.4342105263161</v>
      </c>
      <c r="Q69" s="10">
        <f t="shared" ref="Q69:Q74" si="28">(D69*E69*F69*K69*J69*L69*M69)/12500000</f>
        <v>4225.3223684210543</v>
      </c>
      <c r="R69" s="10">
        <f t="shared" ref="R69:R74" si="29">(O69+P69+Q69)/3</f>
        <v>2200.0000000000005</v>
      </c>
      <c r="S69">
        <v>2200</v>
      </c>
    </row>
    <row r="70" spans="1:19" x14ac:dyDescent="0.25">
      <c r="B70" t="s">
        <v>207</v>
      </c>
      <c r="D70">
        <v>250000</v>
      </c>
      <c r="E70">
        <v>100</v>
      </c>
      <c r="F70" s="11">
        <f t="shared" si="24"/>
        <v>11.800507185122569</v>
      </c>
      <c r="G70">
        <v>300000</v>
      </c>
      <c r="H70">
        <v>1</v>
      </c>
      <c r="I70">
        <v>200</v>
      </c>
      <c r="J70" s="10">
        <f t="shared" si="25"/>
        <v>1500</v>
      </c>
      <c r="K70">
        <v>1</v>
      </c>
      <c r="L70">
        <v>0.32500000000000001</v>
      </c>
      <c r="M70">
        <v>1</v>
      </c>
      <c r="O70" s="10">
        <f t="shared" si="26"/>
        <v>868.4065934065934</v>
      </c>
      <c r="P70" s="10">
        <f t="shared" si="27"/>
        <v>2626.0989010989015</v>
      </c>
      <c r="Q70" s="10">
        <f t="shared" si="28"/>
        <v>11505.494505494504</v>
      </c>
      <c r="R70" s="10">
        <f t="shared" si="29"/>
        <v>4999.9999999999991</v>
      </c>
      <c r="S70">
        <v>5000</v>
      </c>
    </row>
    <row r="71" spans="1:19" x14ac:dyDescent="0.25">
      <c r="B71" t="s">
        <v>216</v>
      </c>
      <c r="D71">
        <v>120000</v>
      </c>
      <c r="E71">
        <v>100</v>
      </c>
      <c r="F71" s="11">
        <f t="shared" si="24"/>
        <v>8.8416127700564182</v>
      </c>
      <c r="G71">
        <v>64000</v>
      </c>
      <c r="H71">
        <v>1.25</v>
      </c>
      <c r="I71">
        <v>75</v>
      </c>
      <c r="J71" s="10">
        <f t="shared" si="25"/>
        <v>1066.6666666666667</v>
      </c>
      <c r="K71">
        <v>1.25</v>
      </c>
      <c r="L71">
        <v>0.32500000000000001</v>
      </c>
      <c r="M71">
        <v>1</v>
      </c>
      <c r="O71" s="10">
        <f t="shared" si="26"/>
        <v>633.34287418008353</v>
      </c>
      <c r="P71" s="10">
        <f t="shared" si="27"/>
        <v>1688.5462134764457</v>
      </c>
      <c r="Q71" s="10">
        <f t="shared" si="28"/>
        <v>3678.1109123434699</v>
      </c>
      <c r="R71" s="10">
        <f t="shared" si="29"/>
        <v>1999.9999999999998</v>
      </c>
      <c r="S71">
        <v>2000</v>
      </c>
    </row>
    <row r="72" spans="1:19" x14ac:dyDescent="0.25">
      <c r="A72" t="s">
        <v>724</v>
      </c>
      <c r="B72" t="s">
        <v>328</v>
      </c>
      <c r="D72">
        <v>125000</v>
      </c>
      <c r="E72">
        <v>100</v>
      </c>
      <c r="F72" s="11">
        <f t="shared" si="24"/>
        <v>9.6387491013659261</v>
      </c>
      <c r="G72">
        <v>30000</v>
      </c>
      <c r="H72">
        <v>1.25</v>
      </c>
      <c r="I72">
        <v>25</v>
      </c>
      <c r="J72" s="10">
        <f t="shared" si="25"/>
        <v>1500</v>
      </c>
      <c r="K72">
        <v>1</v>
      </c>
      <c r="L72">
        <v>0.32500000000000001</v>
      </c>
      <c r="M72">
        <v>1</v>
      </c>
      <c r="O72" s="10">
        <f t="shared" si="26"/>
        <v>759.05373831775694</v>
      </c>
      <c r="P72" s="10">
        <f t="shared" si="27"/>
        <v>2042.0560747663558</v>
      </c>
      <c r="Q72" s="10">
        <f t="shared" si="28"/>
        <v>4698.890186915889</v>
      </c>
      <c r="R72" s="10">
        <f t="shared" si="29"/>
        <v>2500.0000000000005</v>
      </c>
      <c r="S72">
        <v>2500</v>
      </c>
    </row>
    <row r="73" spans="1:19" x14ac:dyDescent="0.25">
      <c r="B73" t="s">
        <v>329</v>
      </c>
      <c r="D73">
        <v>300000</v>
      </c>
      <c r="E73">
        <v>100</v>
      </c>
      <c r="F73" s="11">
        <f t="shared" si="24"/>
        <v>14.041095890410956</v>
      </c>
      <c r="G73">
        <v>32000</v>
      </c>
      <c r="H73">
        <v>1</v>
      </c>
      <c r="I73">
        <v>96</v>
      </c>
      <c r="J73" s="10">
        <f t="shared" si="25"/>
        <v>333.33333333333331</v>
      </c>
      <c r="K73">
        <v>1</v>
      </c>
      <c r="L73">
        <v>0.75</v>
      </c>
      <c r="M73">
        <v>1</v>
      </c>
      <c r="O73" s="10">
        <f t="shared" si="26"/>
        <v>1271.2328767123286</v>
      </c>
      <c r="P73" s="10">
        <f t="shared" si="27"/>
        <v>2304.1095890410952</v>
      </c>
      <c r="Q73" s="10">
        <f t="shared" si="28"/>
        <v>8424.6575342465731</v>
      </c>
      <c r="R73" s="10">
        <f t="shared" si="29"/>
        <v>3999.9999999999986</v>
      </c>
      <c r="S73">
        <v>4000</v>
      </c>
    </row>
    <row r="74" spans="1:19" x14ac:dyDescent="0.25">
      <c r="B74" t="s">
        <v>1125</v>
      </c>
      <c r="D74">
        <v>120000</v>
      </c>
      <c r="E74">
        <v>100</v>
      </c>
      <c r="F74" s="11">
        <f t="shared" ref="F74:F79" si="30">(S74*37500000/(L74*M74*D74*E74*K74*J74)-((500/(K74*J74))+(2500000000/(D74*E74*K74*J74)*(D74/100000+E74/100+J74/200))))/(1+5000000/(D74*E74)+(500000000/(D74*E74*J74)))</f>
        <v>7.1142412878441421</v>
      </c>
      <c r="G74">
        <v>7680</v>
      </c>
      <c r="H74">
        <v>1</v>
      </c>
      <c r="I74">
        <v>8</v>
      </c>
      <c r="J74" s="10">
        <f t="shared" si="25"/>
        <v>960</v>
      </c>
      <c r="K74">
        <v>1.25</v>
      </c>
      <c r="L74">
        <v>0.32500000000000001</v>
      </c>
      <c r="M74">
        <v>1</v>
      </c>
      <c r="O74" s="10">
        <f t="shared" si="26"/>
        <v>570.6064209274673</v>
      </c>
      <c r="P74" s="10">
        <f t="shared" si="27"/>
        <v>1265.8216409036861</v>
      </c>
      <c r="Q74" s="10">
        <f t="shared" si="28"/>
        <v>2663.5719381688468</v>
      </c>
      <c r="R74" s="10">
        <f t="shared" si="29"/>
        <v>1500</v>
      </c>
      <c r="S74">
        <v>1500</v>
      </c>
    </row>
    <row r="75" spans="1:19" x14ac:dyDescent="0.25">
      <c r="A75" t="s">
        <v>605</v>
      </c>
      <c r="B75" t="s">
        <v>683</v>
      </c>
      <c r="D75">
        <v>200000</v>
      </c>
      <c r="E75">
        <v>100</v>
      </c>
      <c r="F75" s="11">
        <f t="shared" si="30"/>
        <v>5.3959945380063719</v>
      </c>
      <c r="G75">
        <v>40000</v>
      </c>
      <c r="H75">
        <v>1</v>
      </c>
      <c r="I75">
        <v>28</v>
      </c>
      <c r="J75" s="10">
        <f t="shared" si="25"/>
        <v>1428.5714285714287</v>
      </c>
      <c r="K75">
        <v>1</v>
      </c>
      <c r="L75">
        <v>0.32500000000000001</v>
      </c>
      <c r="M75">
        <v>1</v>
      </c>
      <c r="O75" s="10">
        <f>(D75/100000+E75/100+F75*K75/5+J75/200)*200*L75*M75</f>
        <v>729.43364327979702</v>
      </c>
      <c r="P75" s="10">
        <f>((D75*E75/25000)+(F75*K75*J75/2.5))*L75*M75</f>
        <v>1262.1132713440406</v>
      </c>
      <c r="Q75" s="10">
        <f>(D75*E75*F75*K75*J75*L75*M75)/12500000</f>
        <v>4008.4530853761621</v>
      </c>
      <c r="R75" s="10">
        <f>(O75+P75+Q75)/3</f>
        <v>2000</v>
      </c>
      <c r="S75">
        <v>2000</v>
      </c>
    </row>
    <row r="76" spans="1:19" x14ac:dyDescent="0.25">
      <c r="B76" t="s">
        <v>721</v>
      </c>
      <c r="D76">
        <v>400000</v>
      </c>
      <c r="E76">
        <v>60</v>
      </c>
      <c r="F76" s="11">
        <f t="shared" si="30"/>
        <v>9.3743422701077428</v>
      </c>
      <c r="G76">
        <v>12000</v>
      </c>
      <c r="H76">
        <v>0.875</v>
      </c>
      <c r="I76">
        <v>5</v>
      </c>
      <c r="J76" s="10">
        <f t="shared" si="25"/>
        <v>2100</v>
      </c>
      <c r="K76">
        <v>1.25</v>
      </c>
      <c r="L76">
        <v>0.32500000000000001</v>
      </c>
      <c r="M76">
        <v>0.75</v>
      </c>
      <c r="O76" s="10">
        <f>(D76/100000+E76/100+F76*K76/5+J76/200)*200*L76*M76</f>
        <v>850.37479641693812</v>
      </c>
      <c r="P76" s="10">
        <f>((D76*E76/25000)+(F76*K76*J76/2.5))*L76*M76</f>
        <v>2633.2457247557004</v>
      </c>
      <c r="Q76" s="10">
        <f>(D76*E76*F76*K76*J76*L76*M76)/12500000</f>
        <v>11516.379478827361</v>
      </c>
      <c r="R76" s="10">
        <f>(O76+P76+Q76)/3</f>
        <v>5000</v>
      </c>
      <c r="S76">
        <v>5000</v>
      </c>
    </row>
    <row r="77" spans="1:19" x14ac:dyDescent="0.25">
      <c r="B77" t="s">
        <v>722</v>
      </c>
      <c r="D77">
        <v>400000</v>
      </c>
      <c r="E77">
        <v>60</v>
      </c>
      <c r="F77" s="11">
        <f t="shared" si="30"/>
        <v>9.3502417206564274</v>
      </c>
      <c r="G77">
        <v>160000</v>
      </c>
      <c r="H77">
        <v>1.25</v>
      </c>
      <c r="I77">
        <v>95</v>
      </c>
      <c r="J77" s="10">
        <f t="shared" si="25"/>
        <v>2105.2631578947367</v>
      </c>
      <c r="K77">
        <v>1.25</v>
      </c>
      <c r="L77">
        <v>0.32500000000000001</v>
      </c>
      <c r="M77">
        <v>0.75</v>
      </c>
      <c r="O77" s="10">
        <f>(D77/100000+E77/100+F77*K77/5+J77/200)*200*L77*M77</f>
        <v>851.36396570734223</v>
      </c>
      <c r="P77" s="10">
        <f>((D77*E77/25000)+(F77*K77*J77/2.5))*L77*M77</f>
        <v>2633.0751783263204</v>
      </c>
      <c r="Q77" s="10">
        <f>(D77*E77*F77*K77*J77*L77*M77)/12500000</f>
        <v>11515.560855966336</v>
      </c>
      <c r="R77" s="10">
        <f>(O77+P77+Q77)/3</f>
        <v>4999.9999999999991</v>
      </c>
      <c r="S77">
        <v>5000</v>
      </c>
    </row>
    <row r="78" spans="1:19" x14ac:dyDescent="0.25">
      <c r="B78" t="s">
        <v>723</v>
      </c>
      <c r="D78">
        <v>400000</v>
      </c>
      <c r="E78">
        <v>60</v>
      </c>
      <c r="F78" s="11">
        <f t="shared" si="30"/>
        <v>9.2236977346544418</v>
      </c>
      <c r="G78">
        <v>128000</v>
      </c>
      <c r="H78">
        <v>1</v>
      </c>
      <c r="I78">
        <v>60</v>
      </c>
      <c r="J78" s="10">
        <f t="shared" si="25"/>
        <v>2133.3333333333335</v>
      </c>
      <c r="K78">
        <v>1.25</v>
      </c>
      <c r="L78">
        <v>0.32500000000000001</v>
      </c>
      <c r="M78">
        <v>0.75</v>
      </c>
      <c r="O78" s="10">
        <f>(D78/100000+E78/100+F78*K78/5+J78/200)*200*L78*M78</f>
        <v>856.66381614110105</v>
      </c>
      <c r="P78" s="10">
        <f>((D78*E78/25000)+(F78*K78*J78/2.5))*L78*M78</f>
        <v>2632.1614110101555</v>
      </c>
      <c r="Q78" s="10">
        <f>(D78*E78*F78*K78*J78*L78*M78)/12500000</f>
        <v>11511.174772848744</v>
      </c>
      <c r="R78" s="10">
        <f>(O78+P78+Q78)/3</f>
        <v>5000</v>
      </c>
      <c r="S78">
        <v>5000</v>
      </c>
    </row>
    <row r="79" spans="1:19" x14ac:dyDescent="0.25">
      <c r="B79" t="s">
        <v>370</v>
      </c>
      <c r="D79">
        <v>230000</v>
      </c>
      <c r="E79">
        <v>100</v>
      </c>
      <c r="F79" s="11">
        <f t="shared" si="30"/>
        <v>8.8984060177308155</v>
      </c>
      <c r="G79">
        <v>24000</v>
      </c>
      <c r="H79">
        <v>1.25</v>
      </c>
      <c r="I79">
        <v>38</v>
      </c>
      <c r="J79" s="10">
        <f t="shared" si="25"/>
        <v>789.47368421052624</v>
      </c>
      <c r="K79">
        <v>1</v>
      </c>
      <c r="L79">
        <v>0.32500000000000001</v>
      </c>
      <c r="M79">
        <v>1</v>
      </c>
      <c r="O79" s="10">
        <f>(D79/100000+E79/100+F79*K79/5+J79/200)*200*L79*M79</f>
        <v>586.75822559892163</v>
      </c>
      <c r="P79" s="10">
        <f>((D79*E79/25000)+(F79*K79*J79/2.5))*L79*M79</f>
        <v>1212.2574597144785</v>
      </c>
      <c r="Q79" s="10">
        <f>(D79*E79*F79*K79*J79*L79*M79)/12500000</f>
        <v>4200.9843146866006</v>
      </c>
      <c r="R79" s="10">
        <f>(O79+P79+Q79)/3</f>
        <v>2000.0000000000002</v>
      </c>
      <c r="S79">
        <v>2000</v>
      </c>
    </row>
    <row r="85" spans="2:19" x14ac:dyDescent="0.25">
      <c r="B85" t="s">
        <v>371</v>
      </c>
      <c r="D85">
        <v>1000000</v>
      </c>
      <c r="E85">
        <v>100</v>
      </c>
      <c r="F85" s="11">
        <v>25</v>
      </c>
      <c r="G85">
        <v>300000</v>
      </c>
      <c r="H85">
        <v>1.25</v>
      </c>
      <c r="I85">
        <v>750</v>
      </c>
      <c r="J85" s="10">
        <f>G85/I85*H85</f>
        <v>500</v>
      </c>
      <c r="K85">
        <v>1</v>
      </c>
      <c r="L85">
        <v>0.5</v>
      </c>
      <c r="M85">
        <v>1</v>
      </c>
      <c r="O85" s="10">
        <f>(D85/100000+E85/100+F85*K85/5+J85/200)*200*L85*M85</f>
        <v>1850</v>
      </c>
      <c r="P85" s="10">
        <f>((D85*E85/25000)+(F85*K85*J85/2.5))*L85*M85</f>
        <v>4500</v>
      </c>
      <c r="Q85" s="10">
        <f>(D85*E85*F85*K85*J85*L85*M85)/12500000</f>
        <v>50000</v>
      </c>
      <c r="R85" s="10">
        <f>(O85+P85+Q85)/3</f>
        <v>18783.333333333332</v>
      </c>
      <c r="S85">
        <v>10000</v>
      </c>
    </row>
    <row r="86" spans="2:19" x14ac:dyDescent="0.25">
      <c r="B86" t="s">
        <v>416</v>
      </c>
      <c r="D86">
        <v>78000</v>
      </c>
      <c r="E86">
        <v>100</v>
      </c>
      <c r="F86" s="11">
        <v>8.1</v>
      </c>
      <c r="G86">
        <v>64000</v>
      </c>
      <c r="H86">
        <v>0.75</v>
      </c>
      <c r="I86">
        <v>55</v>
      </c>
      <c r="J86" s="10">
        <f>G86/I86*H86</f>
        <v>872.72727272727275</v>
      </c>
      <c r="K86">
        <v>1</v>
      </c>
      <c r="L86">
        <v>1</v>
      </c>
      <c r="M86">
        <v>1</v>
      </c>
      <c r="O86" s="10">
        <f>(D86/100000+E86/100+F86*K86/5+J86/200)*200*L86*M86</f>
        <v>1552.7272727272727</v>
      </c>
      <c r="P86" s="10">
        <f>((D86*E86/25000)+(F86*K86*J86/2.5))*L86*M86</f>
        <v>3139.6363636363635</v>
      </c>
      <c r="Q86" s="10">
        <f>(D86*E86*F86*K86*J86*L86*M86)/12500000</f>
        <v>4411.1127272727281</v>
      </c>
      <c r="R86" s="10">
        <f>(O86+P86+Q86)/3</f>
        <v>3034.4921212121212</v>
      </c>
      <c r="S86">
        <v>1200</v>
      </c>
    </row>
    <row r="89" spans="2:19" x14ac:dyDescent="0.25">
      <c r="B89" t="s">
        <v>475</v>
      </c>
      <c r="D89">
        <v>160000</v>
      </c>
      <c r="E89">
        <v>100</v>
      </c>
      <c r="F89" s="11">
        <v>13.2</v>
      </c>
      <c r="G89">
        <v>48000</v>
      </c>
      <c r="H89">
        <v>1</v>
      </c>
      <c r="I89">
        <v>88</v>
      </c>
      <c r="J89" s="10">
        <f>G89/I89*H89</f>
        <v>545.4545454545455</v>
      </c>
      <c r="K89">
        <v>1</v>
      </c>
      <c r="L89">
        <v>0.5</v>
      </c>
      <c r="M89">
        <v>1</v>
      </c>
      <c r="O89" s="10">
        <f>(D89/100000+E89/100+F89*K89/5+J89/200)*200*L89*M89</f>
        <v>796.72727272727275</v>
      </c>
      <c r="P89" s="10">
        <f>((D89*E89/25000)+(F89*K89*J89/2.5))*L89*M89</f>
        <v>1760</v>
      </c>
      <c r="Q89" s="10">
        <f>(D89*E89*F89*K89*J89*L89*M89)/12500000</f>
        <v>4608.0000000000009</v>
      </c>
      <c r="R89" s="10">
        <f>(O89+P89+Q89)/3</f>
        <v>2388.2424242424245</v>
      </c>
      <c r="S89">
        <v>1200</v>
      </c>
    </row>
  </sheetData>
  <pageMargins left="0.7" right="0.7" top="0.78740157499999996" bottom="0.78740157499999996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93A8F-001C-4B8D-A441-35AA3E25DF4F}">
  <dimension ref="A2:O219"/>
  <sheetViews>
    <sheetView workbookViewId="0">
      <selection activeCell="F112" sqref="F112"/>
    </sheetView>
  </sheetViews>
  <sheetFormatPr baseColWidth="10" defaultRowHeight="15" x14ac:dyDescent="0.25"/>
  <cols>
    <col min="1" max="1" width="15.5703125" bestFit="1" customWidth="1"/>
    <col min="2" max="2" width="13.28515625" customWidth="1"/>
    <col min="4" max="4" width="23.42578125" bestFit="1" customWidth="1"/>
    <col min="5" max="5" width="17.5703125" bestFit="1" customWidth="1"/>
    <col min="6" max="6" width="14.85546875" bestFit="1" customWidth="1"/>
    <col min="7" max="7" width="17.5703125" bestFit="1" customWidth="1"/>
    <col min="8" max="8" width="27.85546875" bestFit="1" customWidth="1"/>
    <col min="9" max="9" width="18.7109375" bestFit="1" customWidth="1"/>
    <col min="10" max="10" width="15.28515625" bestFit="1" customWidth="1"/>
    <col min="11" max="11" width="15.140625" bestFit="1" customWidth="1"/>
    <col min="12" max="12" width="18.5703125" bestFit="1" customWidth="1"/>
    <col min="13" max="13" width="14.85546875" customWidth="1"/>
    <col min="14" max="14" width="16.5703125" bestFit="1" customWidth="1"/>
  </cols>
  <sheetData>
    <row r="2" spans="2:13" x14ac:dyDescent="0.25">
      <c r="B2" t="s">
        <v>248</v>
      </c>
      <c r="D2" t="s">
        <v>71</v>
      </c>
      <c r="G2" t="s">
        <v>263</v>
      </c>
      <c r="I2" t="s">
        <v>269</v>
      </c>
      <c r="M2" s="3" t="s">
        <v>278</v>
      </c>
    </row>
    <row r="3" spans="2:13" x14ac:dyDescent="0.25">
      <c r="B3" t="s">
        <v>247</v>
      </c>
      <c r="D3" s="5" t="s">
        <v>249</v>
      </c>
      <c r="G3" t="s">
        <v>264</v>
      </c>
      <c r="I3" t="s">
        <v>270</v>
      </c>
      <c r="M3" s="3" t="s">
        <v>279</v>
      </c>
    </row>
    <row r="4" spans="2:13" x14ac:dyDescent="0.25">
      <c r="B4" t="s">
        <v>47</v>
      </c>
      <c r="D4" s="5" t="s">
        <v>250</v>
      </c>
      <c r="G4" t="s">
        <v>83</v>
      </c>
      <c r="I4" t="s">
        <v>271</v>
      </c>
      <c r="M4" s="3" t="s">
        <v>280</v>
      </c>
    </row>
    <row r="5" spans="2:13" x14ac:dyDescent="0.25">
      <c r="B5" t="s">
        <v>246</v>
      </c>
      <c r="D5" s="5" t="s">
        <v>251</v>
      </c>
      <c r="G5" t="s">
        <v>57</v>
      </c>
      <c r="I5" t="s">
        <v>272</v>
      </c>
      <c r="M5" s="3" t="s">
        <v>281</v>
      </c>
    </row>
    <row r="6" spans="2:13" x14ac:dyDescent="0.25">
      <c r="D6" t="s">
        <v>252</v>
      </c>
      <c r="I6" t="s">
        <v>274</v>
      </c>
      <c r="M6" s="3" t="s">
        <v>282</v>
      </c>
    </row>
    <row r="7" spans="2:13" x14ac:dyDescent="0.25">
      <c r="D7" t="s">
        <v>253</v>
      </c>
      <c r="I7" t="s">
        <v>276</v>
      </c>
      <c r="M7" s="3" t="s">
        <v>283</v>
      </c>
    </row>
    <row r="8" spans="2:13" x14ac:dyDescent="0.25">
      <c r="D8" t="s">
        <v>254</v>
      </c>
      <c r="G8" t="s">
        <v>265</v>
      </c>
      <c r="M8" s="3" t="s">
        <v>284</v>
      </c>
    </row>
    <row r="9" spans="2:13" x14ac:dyDescent="0.25">
      <c r="D9" s="5" t="s">
        <v>255</v>
      </c>
      <c r="G9" t="s">
        <v>266</v>
      </c>
      <c r="M9" s="3" t="s">
        <v>285</v>
      </c>
    </row>
    <row r="10" spans="2:13" x14ac:dyDescent="0.25">
      <c r="D10" s="5" t="s">
        <v>324</v>
      </c>
    </row>
    <row r="11" spans="2:13" x14ac:dyDescent="0.25">
      <c r="D11" s="5" t="s">
        <v>256</v>
      </c>
      <c r="G11" t="s">
        <v>267</v>
      </c>
      <c r="M11" s="3" t="s">
        <v>278</v>
      </c>
    </row>
    <row r="12" spans="2:13" x14ac:dyDescent="0.25">
      <c r="D12" t="s">
        <v>257</v>
      </c>
      <c r="G12" t="s">
        <v>268</v>
      </c>
      <c r="M12" s="3" t="s">
        <v>286</v>
      </c>
    </row>
    <row r="13" spans="2:13" x14ac:dyDescent="0.25">
      <c r="D13" s="5" t="s">
        <v>258</v>
      </c>
      <c r="G13" t="s">
        <v>273</v>
      </c>
      <c r="M13" s="3" t="s">
        <v>287</v>
      </c>
    </row>
    <row r="14" spans="2:13" x14ac:dyDescent="0.25">
      <c r="D14" s="5" t="s">
        <v>259</v>
      </c>
      <c r="G14" t="s">
        <v>275</v>
      </c>
      <c r="M14" s="3" t="s">
        <v>288</v>
      </c>
    </row>
    <row r="15" spans="2:13" x14ac:dyDescent="0.25">
      <c r="D15" t="s">
        <v>260</v>
      </c>
      <c r="M15" s="3" t="s">
        <v>290</v>
      </c>
    </row>
    <row r="16" spans="2:13" x14ac:dyDescent="0.25">
      <c r="D16" t="s">
        <v>261</v>
      </c>
      <c r="M16" s="3" t="s">
        <v>291</v>
      </c>
    </row>
    <row r="17" spans="2:13" x14ac:dyDescent="0.25">
      <c r="D17" t="s">
        <v>262</v>
      </c>
      <c r="M17" s="3" t="s">
        <v>289</v>
      </c>
    </row>
    <row r="19" spans="2:13" x14ac:dyDescent="0.25">
      <c r="M19" s="3" t="s">
        <v>278</v>
      </c>
    </row>
    <row r="20" spans="2:13" x14ac:dyDescent="0.25">
      <c r="M20" s="3" t="s">
        <v>292</v>
      </c>
    </row>
    <row r="21" spans="2:13" x14ac:dyDescent="0.25">
      <c r="H21" t="s">
        <v>34</v>
      </c>
      <c r="I21" t="s">
        <v>377</v>
      </c>
      <c r="J21" t="s">
        <v>256</v>
      </c>
      <c r="K21" t="s">
        <v>377</v>
      </c>
      <c r="L21" t="s">
        <v>254</v>
      </c>
      <c r="M21" s="3" t="s">
        <v>293</v>
      </c>
    </row>
    <row r="22" spans="2:13" x14ac:dyDescent="0.25">
      <c r="B22" t="s">
        <v>56</v>
      </c>
      <c r="D22" t="s">
        <v>263</v>
      </c>
      <c r="F22" t="s">
        <v>269</v>
      </c>
      <c r="H22" t="s">
        <v>470</v>
      </c>
      <c r="I22" t="s">
        <v>255</v>
      </c>
      <c r="J22" t="s">
        <v>472</v>
      </c>
      <c r="K22" t="s">
        <v>255</v>
      </c>
      <c r="L22" t="s">
        <v>379</v>
      </c>
      <c r="M22" s="3" t="s">
        <v>294</v>
      </c>
    </row>
    <row r="23" spans="2:13" x14ac:dyDescent="0.25">
      <c r="B23" t="s">
        <v>263</v>
      </c>
      <c r="D23" t="s">
        <v>57</v>
      </c>
      <c r="E23" t="s">
        <v>83</v>
      </c>
      <c r="H23" t="s">
        <v>354</v>
      </c>
      <c r="I23" t="s">
        <v>257</v>
      </c>
      <c r="J23" t="s">
        <v>258</v>
      </c>
      <c r="K23" t="s">
        <v>256</v>
      </c>
      <c r="L23" t="s">
        <v>378</v>
      </c>
      <c r="M23" s="3" t="s">
        <v>295</v>
      </c>
    </row>
    <row r="24" spans="2:13" x14ac:dyDescent="0.25">
      <c r="B24" t="s">
        <v>57</v>
      </c>
      <c r="D24" t="s">
        <v>270</v>
      </c>
      <c r="E24" t="s">
        <v>274</v>
      </c>
      <c r="F24" t="s">
        <v>276</v>
      </c>
      <c r="H24" t="s">
        <v>271</v>
      </c>
      <c r="I24" t="s">
        <v>254</v>
      </c>
      <c r="J24" t="s">
        <v>260</v>
      </c>
      <c r="K24" t="s">
        <v>260</v>
      </c>
      <c r="L24" t="s">
        <v>260</v>
      </c>
      <c r="M24" s="3" t="s">
        <v>296</v>
      </c>
    </row>
    <row r="25" spans="2:13" x14ac:dyDescent="0.25">
      <c r="B25" t="s">
        <v>83</v>
      </c>
      <c r="D25" t="s">
        <v>277</v>
      </c>
      <c r="E25" t="s">
        <v>267</v>
      </c>
      <c r="M25" s="3" t="s">
        <v>297</v>
      </c>
    </row>
    <row r="26" spans="2:13" x14ac:dyDescent="0.25">
      <c r="B26" t="s">
        <v>277</v>
      </c>
      <c r="D26" t="s">
        <v>273</v>
      </c>
      <c r="M26" s="3" t="s">
        <v>298</v>
      </c>
    </row>
    <row r="27" spans="2:13" x14ac:dyDescent="0.25">
      <c r="B27" t="s">
        <v>267</v>
      </c>
      <c r="D27" t="s">
        <v>265</v>
      </c>
      <c r="E27" t="s">
        <v>266</v>
      </c>
      <c r="F27" t="s">
        <v>272</v>
      </c>
      <c r="M27" s="3"/>
    </row>
    <row r="28" spans="2:13" x14ac:dyDescent="0.25">
      <c r="B28" t="s">
        <v>266</v>
      </c>
      <c r="D28" t="s">
        <v>275</v>
      </c>
      <c r="E28" t="s">
        <v>268</v>
      </c>
      <c r="F28" t="s">
        <v>271</v>
      </c>
      <c r="M28" s="3" t="s">
        <v>278</v>
      </c>
    </row>
    <row r="29" spans="2:13" x14ac:dyDescent="0.25">
      <c r="M29" s="3" t="s">
        <v>299</v>
      </c>
    </row>
    <row r="30" spans="2:13" x14ac:dyDescent="0.25">
      <c r="M30" s="3" t="s">
        <v>300</v>
      </c>
    </row>
    <row r="31" spans="2:13" x14ac:dyDescent="0.25">
      <c r="F31" t="s">
        <v>491</v>
      </c>
      <c r="G31" t="s">
        <v>384</v>
      </c>
      <c r="H31" t="s">
        <v>380</v>
      </c>
      <c r="I31">
        <v>5000</v>
      </c>
      <c r="M31" s="3" t="s">
        <v>301</v>
      </c>
    </row>
    <row r="32" spans="2:13" x14ac:dyDescent="0.25">
      <c r="H32" t="s">
        <v>477</v>
      </c>
      <c r="I32">
        <v>5000</v>
      </c>
      <c r="M32" s="3" t="s">
        <v>302</v>
      </c>
    </row>
    <row r="33" spans="1:13" x14ac:dyDescent="0.25">
      <c r="A33" t="s">
        <v>315</v>
      </c>
      <c r="B33" s="2">
        <v>0.1111111111111111</v>
      </c>
      <c r="C33">
        <v>18445</v>
      </c>
      <c r="D33">
        <f>VALUE(B33)</f>
        <v>0.1111111111111111</v>
      </c>
      <c r="E33">
        <f>(C33-12345)/(D33)/100</f>
        <v>549</v>
      </c>
      <c r="H33" t="s">
        <v>478</v>
      </c>
      <c r="I33">
        <v>5000</v>
      </c>
      <c r="M33" s="3" t="s">
        <v>303</v>
      </c>
    </row>
    <row r="34" spans="1:13" x14ac:dyDescent="0.25">
      <c r="A34" t="s">
        <v>316</v>
      </c>
      <c r="B34" s="2">
        <v>0.12430555555555556</v>
      </c>
      <c r="C34">
        <v>19845</v>
      </c>
      <c r="D34">
        <f>VALUE(B34)</f>
        <v>0.12430555555555556</v>
      </c>
      <c r="E34">
        <f t="shared" ref="E34:E45" si="0">(C34-12345)/(D34)/100</f>
        <v>603.35195530726253</v>
      </c>
      <c r="M34" s="3" t="s">
        <v>304</v>
      </c>
    </row>
    <row r="35" spans="1:13" x14ac:dyDescent="0.25">
      <c r="A35" t="s">
        <v>317</v>
      </c>
      <c r="B35" s="2">
        <v>0.12291666666666666</v>
      </c>
      <c r="C35">
        <v>20345</v>
      </c>
      <c r="D35">
        <f t="shared" ref="D35:D45" si="1">VALUE(B35)</f>
        <v>0.12291666666666666</v>
      </c>
      <c r="E35">
        <f t="shared" si="0"/>
        <v>650.84745762711873</v>
      </c>
      <c r="G35" t="s">
        <v>385</v>
      </c>
      <c r="H35" t="s">
        <v>381</v>
      </c>
      <c r="I35">
        <v>7500</v>
      </c>
      <c r="M35" s="3" t="s">
        <v>305</v>
      </c>
    </row>
    <row r="36" spans="1:13" x14ac:dyDescent="0.25">
      <c r="A36" t="s">
        <v>318</v>
      </c>
      <c r="B36" s="2">
        <v>0.12430555555555556</v>
      </c>
      <c r="C36">
        <v>21170</v>
      </c>
      <c r="D36">
        <f t="shared" si="1"/>
        <v>0.12430555555555556</v>
      </c>
      <c r="E36">
        <f t="shared" si="0"/>
        <v>709.94413407821219</v>
      </c>
      <c r="H36" t="s">
        <v>382</v>
      </c>
      <c r="I36">
        <v>7500</v>
      </c>
    </row>
    <row r="37" spans="1:13" x14ac:dyDescent="0.25">
      <c r="A37" t="s">
        <v>319</v>
      </c>
      <c r="B37" s="2">
        <v>0.12847222222222221</v>
      </c>
      <c r="C37">
        <v>19270</v>
      </c>
      <c r="D37">
        <f t="shared" si="1"/>
        <v>0.12847222222222221</v>
      </c>
      <c r="E37">
        <f t="shared" si="0"/>
        <v>539.02702702702709</v>
      </c>
      <c r="H37" t="s">
        <v>383</v>
      </c>
      <c r="I37">
        <v>7500</v>
      </c>
      <c r="M37" s="3" t="s">
        <v>278</v>
      </c>
    </row>
    <row r="38" spans="1:13" x14ac:dyDescent="0.25">
      <c r="A38" t="s">
        <v>320</v>
      </c>
      <c r="B38" s="2">
        <v>0.12361111111111112</v>
      </c>
      <c r="C38">
        <v>19070</v>
      </c>
      <c r="D38">
        <f t="shared" si="1"/>
        <v>0.12361111111111112</v>
      </c>
      <c r="E38">
        <f t="shared" si="0"/>
        <v>544.04494382022472</v>
      </c>
      <c r="H38" t="s">
        <v>479</v>
      </c>
      <c r="I38">
        <v>10000</v>
      </c>
      <c r="M38" s="3" t="s">
        <v>306</v>
      </c>
    </row>
    <row r="39" spans="1:13" x14ac:dyDescent="0.25">
      <c r="A39" t="s">
        <v>535</v>
      </c>
      <c r="B39" s="2">
        <v>0.12152777777777778</v>
      </c>
      <c r="C39">
        <v>19120</v>
      </c>
      <c r="D39">
        <f t="shared" si="1"/>
        <v>0.12152777777777778</v>
      </c>
      <c r="E39">
        <f t="shared" si="0"/>
        <v>557.48571428571427</v>
      </c>
      <c r="H39" t="s">
        <v>480</v>
      </c>
      <c r="I39">
        <v>12500</v>
      </c>
      <c r="M39" s="3" t="s">
        <v>307</v>
      </c>
    </row>
    <row r="40" spans="1:13" x14ac:dyDescent="0.25">
      <c r="A40" t="s">
        <v>321</v>
      </c>
      <c r="B40" s="2">
        <v>0.12430555555555556</v>
      </c>
      <c r="C40">
        <v>18245</v>
      </c>
      <c r="D40">
        <f t="shared" si="1"/>
        <v>0.12430555555555556</v>
      </c>
      <c r="E40">
        <f t="shared" si="0"/>
        <v>474.63687150837984</v>
      </c>
      <c r="M40" s="3" t="s">
        <v>308</v>
      </c>
    </row>
    <row r="41" spans="1:13" x14ac:dyDescent="0.25">
      <c r="A41" t="s">
        <v>534</v>
      </c>
      <c r="B41" s="2">
        <v>0.11666666666666667</v>
      </c>
      <c r="C41">
        <v>18945</v>
      </c>
      <c r="D41">
        <f t="shared" si="1"/>
        <v>0.11666666666666667</v>
      </c>
      <c r="E41">
        <f t="shared" si="0"/>
        <v>565.71428571428578</v>
      </c>
      <c r="F41" t="s">
        <v>492</v>
      </c>
      <c r="G41" t="s">
        <v>384</v>
      </c>
      <c r="H41" t="s">
        <v>386</v>
      </c>
      <c r="I41">
        <v>5000</v>
      </c>
      <c r="M41" s="3" t="s">
        <v>309</v>
      </c>
    </row>
    <row r="42" spans="1:13" x14ac:dyDescent="0.25">
      <c r="A42" t="s">
        <v>401</v>
      </c>
      <c r="B42" s="2">
        <v>0.12708333333333333</v>
      </c>
      <c r="C42">
        <v>18945</v>
      </c>
      <c r="D42">
        <f t="shared" si="1"/>
        <v>0.12708333333333333</v>
      </c>
      <c r="E42">
        <f t="shared" si="0"/>
        <v>519.34426229508199</v>
      </c>
      <c r="H42" t="s">
        <v>391</v>
      </c>
      <c r="I42">
        <v>5000</v>
      </c>
      <c r="M42" s="3" t="s">
        <v>310</v>
      </c>
    </row>
    <row r="43" spans="1:13" x14ac:dyDescent="0.25">
      <c r="A43" t="s">
        <v>411</v>
      </c>
      <c r="B43" s="2">
        <v>0.12291666666666666</v>
      </c>
      <c r="C43">
        <v>18795</v>
      </c>
      <c r="D43">
        <f t="shared" si="1"/>
        <v>0.12291666666666666</v>
      </c>
      <c r="E43">
        <f t="shared" si="0"/>
        <v>524.74576271186447</v>
      </c>
      <c r="H43" t="s">
        <v>389</v>
      </c>
      <c r="I43">
        <v>5000</v>
      </c>
      <c r="M43" s="3" t="s">
        <v>311</v>
      </c>
    </row>
    <row r="44" spans="1:13" x14ac:dyDescent="0.25">
      <c r="A44" t="s">
        <v>410</v>
      </c>
      <c r="B44" s="2">
        <v>0.12430555555555556</v>
      </c>
      <c r="C44">
        <v>19845</v>
      </c>
      <c r="D44">
        <f t="shared" si="1"/>
        <v>0.12430555555555556</v>
      </c>
      <c r="E44">
        <f t="shared" si="0"/>
        <v>603.35195530726253</v>
      </c>
      <c r="M44" s="3" t="s">
        <v>312</v>
      </c>
    </row>
    <row r="45" spans="1:13" x14ac:dyDescent="0.25">
      <c r="A45" t="s">
        <v>568</v>
      </c>
      <c r="B45" s="2">
        <v>0.11597222222222223</v>
      </c>
      <c r="C45">
        <v>17395</v>
      </c>
      <c r="D45">
        <f t="shared" si="1"/>
        <v>0.11597222222222223</v>
      </c>
      <c r="E45">
        <f t="shared" si="0"/>
        <v>435.44910179640721</v>
      </c>
      <c r="G45" t="s">
        <v>385</v>
      </c>
      <c r="H45" t="s">
        <v>387</v>
      </c>
      <c r="I45">
        <v>7500</v>
      </c>
    </row>
    <row r="46" spans="1:13" x14ac:dyDescent="0.25">
      <c r="A46" t="s">
        <v>605</v>
      </c>
      <c r="B46" s="2">
        <v>0.11597222222222223</v>
      </c>
      <c r="C46">
        <v>18695</v>
      </c>
      <c r="D46">
        <f>VALUE(B46)</f>
        <v>0.11597222222222223</v>
      </c>
      <c r="E46">
        <f>(C46-12345)/(D46)/100</f>
        <v>547.54491017964074</v>
      </c>
      <c r="H46" t="s">
        <v>388</v>
      </c>
      <c r="I46">
        <v>7500</v>
      </c>
      <c r="M46" s="3"/>
    </row>
    <row r="47" spans="1:13" x14ac:dyDescent="0.25">
      <c r="A47" t="s">
        <v>707</v>
      </c>
      <c r="B47" s="2">
        <v>0.14374999999999999</v>
      </c>
      <c r="C47">
        <v>23495</v>
      </c>
      <c r="D47">
        <f>VALUE(B47)</f>
        <v>0.14374999999999999</v>
      </c>
      <c r="E47">
        <f>(C47-12345)/(D47)/100</f>
        <v>775.6521739130435</v>
      </c>
      <c r="H47" t="s">
        <v>392</v>
      </c>
      <c r="I47">
        <v>7500</v>
      </c>
      <c r="M47" s="3"/>
    </row>
    <row r="48" spans="1:13" x14ac:dyDescent="0.25">
      <c r="H48" t="s">
        <v>390</v>
      </c>
      <c r="I48">
        <v>10000</v>
      </c>
      <c r="M48" s="3"/>
    </row>
    <row r="49" spans="2:14" x14ac:dyDescent="0.25">
      <c r="H49" t="s">
        <v>393</v>
      </c>
      <c r="I49">
        <v>12500</v>
      </c>
      <c r="M49" s="3"/>
    </row>
    <row r="50" spans="2:14" x14ac:dyDescent="0.25">
      <c r="M50" s="3"/>
    </row>
    <row r="51" spans="2:14" x14ac:dyDescent="0.25">
      <c r="F51" t="s">
        <v>490</v>
      </c>
      <c r="G51" t="s">
        <v>384</v>
      </c>
      <c r="H51" t="s">
        <v>394</v>
      </c>
      <c r="I51">
        <v>5000</v>
      </c>
      <c r="M51" s="3"/>
    </row>
    <row r="52" spans="2:14" x14ac:dyDescent="0.25">
      <c r="H52" t="s">
        <v>398</v>
      </c>
      <c r="I52">
        <v>5000</v>
      </c>
      <c r="M52" s="3"/>
    </row>
    <row r="53" spans="2:14" x14ac:dyDescent="0.25">
      <c r="H53" t="s">
        <v>400</v>
      </c>
      <c r="I53">
        <v>5000</v>
      </c>
      <c r="K53" t="s">
        <v>844</v>
      </c>
      <c r="L53" t="s">
        <v>845</v>
      </c>
      <c r="M53" t="s">
        <v>846</v>
      </c>
      <c r="N53" t="s">
        <v>847</v>
      </c>
    </row>
    <row r="54" spans="2:14" x14ac:dyDescent="0.25">
      <c r="K54" t="s">
        <v>848</v>
      </c>
      <c r="L54" t="s">
        <v>276</v>
      </c>
      <c r="M54" t="s">
        <v>272</v>
      </c>
      <c r="N54" t="s">
        <v>853</v>
      </c>
    </row>
    <row r="55" spans="2:14" x14ac:dyDescent="0.25">
      <c r="G55" t="s">
        <v>385</v>
      </c>
      <c r="H55" t="s">
        <v>399</v>
      </c>
      <c r="I55">
        <v>7500</v>
      </c>
      <c r="K55" t="s">
        <v>849</v>
      </c>
      <c r="L55" t="s">
        <v>854</v>
      </c>
      <c r="M55" t="s">
        <v>855</v>
      </c>
      <c r="N55" t="s">
        <v>856</v>
      </c>
    </row>
    <row r="56" spans="2:14" x14ac:dyDescent="0.25">
      <c r="H56" t="s">
        <v>395</v>
      </c>
      <c r="I56">
        <v>7500</v>
      </c>
      <c r="K56" t="s">
        <v>850</v>
      </c>
      <c r="L56" t="s">
        <v>857</v>
      </c>
      <c r="M56" t="s">
        <v>862</v>
      </c>
      <c r="N56" t="s">
        <v>858</v>
      </c>
    </row>
    <row r="57" spans="2:14" x14ac:dyDescent="0.25">
      <c r="H57" t="s">
        <v>397</v>
      </c>
      <c r="I57">
        <v>7500</v>
      </c>
      <c r="K57" t="s">
        <v>851</v>
      </c>
      <c r="L57" t="s">
        <v>859</v>
      </c>
      <c r="M57" t="s">
        <v>272</v>
      </c>
      <c r="N57" t="s">
        <v>860</v>
      </c>
    </row>
    <row r="58" spans="2:14" x14ac:dyDescent="0.25">
      <c r="B58">
        <v>10</v>
      </c>
      <c r="C58">
        <v>5</v>
      </c>
      <c r="D58" t="s">
        <v>519</v>
      </c>
      <c r="H58" t="s">
        <v>476</v>
      </c>
      <c r="I58">
        <v>10000</v>
      </c>
      <c r="K58" t="s">
        <v>852</v>
      </c>
      <c r="L58" t="s">
        <v>276</v>
      </c>
      <c r="M58" t="s">
        <v>855</v>
      </c>
      <c r="N58" t="s">
        <v>861</v>
      </c>
    </row>
    <row r="59" spans="2:14" x14ac:dyDescent="0.25">
      <c r="B59">
        <v>6</v>
      </c>
      <c r="C59">
        <v>10</v>
      </c>
      <c r="D59" t="s">
        <v>520</v>
      </c>
      <c r="H59" t="s">
        <v>396</v>
      </c>
      <c r="I59">
        <v>12500</v>
      </c>
    </row>
    <row r="61" spans="2:14" x14ac:dyDescent="0.25">
      <c r="B61">
        <v>10</v>
      </c>
      <c r="C61">
        <v>10</v>
      </c>
      <c r="D61" t="s">
        <v>521</v>
      </c>
      <c r="F61" t="s">
        <v>494</v>
      </c>
      <c r="G61" t="s">
        <v>384</v>
      </c>
      <c r="H61" t="s">
        <v>500</v>
      </c>
      <c r="I61">
        <v>5000</v>
      </c>
    </row>
    <row r="62" spans="2:14" x14ac:dyDescent="0.25">
      <c r="B62">
        <v>10</v>
      </c>
      <c r="C62">
        <v>8</v>
      </c>
      <c r="D62" t="s">
        <v>520</v>
      </c>
      <c r="H62" t="s">
        <v>497</v>
      </c>
      <c r="I62">
        <v>5000</v>
      </c>
    </row>
    <row r="63" spans="2:14" x14ac:dyDescent="0.25">
      <c r="B63">
        <v>10</v>
      </c>
      <c r="C63">
        <v>7</v>
      </c>
      <c r="D63" t="s">
        <v>519</v>
      </c>
      <c r="H63" t="s">
        <v>499</v>
      </c>
      <c r="I63">
        <v>5000</v>
      </c>
    </row>
    <row r="64" spans="2:14" x14ac:dyDescent="0.25">
      <c r="B64">
        <v>10</v>
      </c>
      <c r="C64">
        <v>6</v>
      </c>
      <c r="D64" t="s">
        <v>522</v>
      </c>
    </row>
    <row r="65" spans="2:15" x14ac:dyDescent="0.25">
      <c r="B65">
        <v>10</v>
      </c>
      <c r="C65">
        <v>2</v>
      </c>
      <c r="D65" t="s">
        <v>530</v>
      </c>
      <c r="G65" t="s">
        <v>385</v>
      </c>
      <c r="H65" t="s">
        <v>496</v>
      </c>
      <c r="I65">
        <v>7500</v>
      </c>
    </row>
    <row r="66" spans="2:15" x14ac:dyDescent="0.25">
      <c r="B66">
        <v>4</v>
      </c>
      <c r="C66">
        <v>10</v>
      </c>
      <c r="D66" t="s">
        <v>530</v>
      </c>
      <c r="H66" t="s">
        <v>498</v>
      </c>
      <c r="I66">
        <v>7500</v>
      </c>
    </row>
    <row r="67" spans="2:15" x14ac:dyDescent="0.25">
      <c r="B67">
        <v>8</v>
      </c>
      <c r="C67">
        <v>10</v>
      </c>
      <c r="D67" t="s">
        <v>530</v>
      </c>
      <c r="H67" t="s">
        <v>501</v>
      </c>
      <c r="I67">
        <v>7500</v>
      </c>
      <c r="K67" t="s">
        <v>879</v>
      </c>
      <c r="L67" s="4" t="s">
        <v>891</v>
      </c>
      <c r="M67" s="4" t="s">
        <v>872</v>
      </c>
      <c r="N67" s="4" t="s">
        <v>885</v>
      </c>
    </row>
    <row r="68" spans="2:15" x14ac:dyDescent="0.25">
      <c r="B68">
        <v>10</v>
      </c>
      <c r="C68">
        <v>7</v>
      </c>
      <c r="D68" t="s">
        <v>530</v>
      </c>
      <c r="H68" t="s">
        <v>518</v>
      </c>
      <c r="I68">
        <v>10000</v>
      </c>
      <c r="K68" t="s">
        <v>880</v>
      </c>
      <c r="L68" s="4" t="s">
        <v>870</v>
      </c>
      <c r="M68" s="4" t="s">
        <v>873</v>
      </c>
      <c r="N68" s="4" t="s">
        <v>884</v>
      </c>
    </row>
    <row r="69" spans="2:15" ht="15.75" x14ac:dyDescent="0.25">
      <c r="D69" s="7"/>
      <c r="H69" t="s">
        <v>517</v>
      </c>
      <c r="I69">
        <v>12500</v>
      </c>
      <c r="K69" t="s">
        <v>881</v>
      </c>
      <c r="L69" s="4" t="s">
        <v>892</v>
      </c>
      <c r="M69" s="4" t="s">
        <v>620</v>
      </c>
      <c r="N69" s="4" t="s">
        <v>886</v>
      </c>
    </row>
    <row r="70" spans="2:15" ht="15.75" x14ac:dyDescent="0.25">
      <c r="D70" s="7"/>
      <c r="K70" s="4" t="s">
        <v>882</v>
      </c>
      <c r="L70" s="4" t="s">
        <v>888</v>
      </c>
      <c r="M70" s="4" t="s">
        <v>887</v>
      </c>
      <c r="N70" s="4" t="s">
        <v>893</v>
      </c>
    </row>
    <row r="71" spans="2:15" x14ac:dyDescent="0.25">
      <c r="D71" s="8"/>
      <c r="F71" t="s">
        <v>495</v>
      </c>
      <c r="G71" t="s">
        <v>384</v>
      </c>
      <c r="H71" t="s">
        <v>503</v>
      </c>
      <c r="I71">
        <v>5000</v>
      </c>
      <c r="K71" t="s">
        <v>883</v>
      </c>
    </row>
    <row r="72" spans="2:15" ht="15.75" x14ac:dyDescent="0.25">
      <c r="D72" s="8"/>
      <c r="H72" t="s">
        <v>524</v>
      </c>
      <c r="I72">
        <v>5000</v>
      </c>
      <c r="L72" s="7"/>
    </row>
    <row r="73" spans="2:15" x14ac:dyDescent="0.25">
      <c r="H73" t="s">
        <v>515</v>
      </c>
      <c r="I73">
        <v>5000</v>
      </c>
    </row>
    <row r="74" spans="2:15" x14ac:dyDescent="0.25">
      <c r="K74" s="8" t="s">
        <v>505</v>
      </c>
      <c r="M74" s="4" t="s">
        <v>871</v>
      </c>
      <c r="N74" s="4" t="s">
        <v>872</v>
      </c>
    </row>
    <row r="75" spans="2:15" x14ac:dyDescent="0.25">
      <c r="G75" t="s">
        <v>385</v>
      </c>
      <c r="H75" t="s">
        <v>502</v>
      </c>
      <c r="I75">
        <v>7500</v>
      </c>
      <c r="M75" s="4" t="s">
        <v>878</v>
      </c>
      <c r="N75" s="4" t="s">
        <v>888</v>
      </c>
    </row>
    <row r="76" spans="2:15" ht="15.75" x14ac:dyDescent="0.25">
      <c r="B76">
        <v>10</v>
      </c>
      <c r="C76">
        <v>9</v>
      </c>
      <c r="D76" t="s">
        <v>530</v>
      </c>
      <c r="H76" t="s">
        <v>514</v>
      </c>
      <c r="I76">
        <v>7500</v>
      </c>
      <c r="K76" s="7" t="s">
        <v>502</v>
      </c>
      <c r="M76" s="4" t="s">
        <v>874</v>
      </c>
      <c r="N76" s="4" t="s">
        <v>890</v>
      </c>
      <c r="O76" s="4" t="s">
        <v>876</v>
      </c>
    </row>
    <row r="77" spans="2:15" ht="15.75" x14ac:dyDescent="0.25">
      <c r="B77">
        <v>10</v>
      </c>
      <c r="C77">
        <v>9</v>
      </c>
      <c r="D77" t="s">
        <v>520</v>
      </c>
      <c r="H77" t="s">
        <v>516</v>
      </c>
      <c r="I77">
        <v>7500</v>
      </c>
      <c r="K77" s="7" t="s">
        <v>511</v>
      </c>
      <c r="M77" s="4" t="s">
        <v>875</v>
      </c>
      <c r="N77" s="4" t="s">
        <v>887</v>
      </c>
    </row>
    <row r="78" spans="2:15" x14ac:dyDescent="0.25">
      <c r="B78">
        <v>3</v>
      </c>
      <c r="C78">
        <v>10</v>
      </c>
      <c r="D78" t="s">
        <v>521</v>
      </c>
      <c r="H78" t="s">
        <v>507</v>
      </c>
      <c r="I78">
        <v>10000</v>
      </c>
      <c r="M78" s="4" t="s">
        <v>877</v>
      </c>
    </row>
    <row r="79" spans="2:15" ht="15.75" x14ac:dyDescent="0.25">
      <c r="B79">
        <v>6</v>
      </c>
      <c r="C79">
        <v>10</v>
      </c>
      <c r="D79" t="s">
        <v>522</v>
      </c>
      <c r="H79" t="s">
        <v>523</v>
      </c>
      <c r="I79">
        <v>12500</v>
      </c>
      <c r="K79" s="7" t="s">
        <v>503</v>
      </c>
      <c r="M79" s="4" t="s">
        <v>33</v>
      </c>
    </row>
    <row r="80" spans="2:15" ht="15.75" x14ac:dyDescent="0.25">
      <c r="B80">
        <v>10</v>
      </c>
      <c r="C80">
        <v>10</v>
      </c>
      <c r="D80" t="s">
        <v>519</v>
      </c>
      <c r="K80" s="7" t="s">
        <v>516</v>
      </c>
    </row>
    <row r="81" spans="2:13" x14ac:dyDescent="0.25">
      <c r="B81">
        <v>9</v>
      </c>
      <c r="C81">
        <v>10</v>
      </c>
      <c r="D81" t="s">
        <v>521</v>
      </c>
      <c r="F81" t="s">
        <v>489</v>
      </c>
      <c r="G81" t="s">
        <v>384</v>
      </c>
      <c r="H81" t="s">
        <v>447</v>
      </c>
      <c r="I81">
        <v>5000</v>
      </c>
      <c r="M81" t="s">
        <v>864</v>
      </c>
    </row>
    <row r="82" spans="2:13" ht="15.75" x14ac:dyDescent="0.25">
      <c r="B82">
        <v>10</v>
      </c>
      <c r="C82">
        <v>8</v>
      </c>
      <c r="D82" t="s">
        <v>522</v>
      </c>
      <c r="H82" t="s">
        <v>446</v>
      </c>
      <c r="I82">
        <v>5000</v>
      </c>
      <c r="K82" s="7" t="s">
        <v>504</v>
      </c>
    </row>
    <row r="83" spans="2:13" ht="15.75" x14ac:dyDescent="0.25">
      <c r="B83">
        <v>10</v>
      </c>
      <c r="C83">
        <v>8</v>
      </c>
      <c r="D83" t="s">
        <v>522</v>
      </c>
      <c r="H83" t="s">
        <v>448</v>
      </c>
      <c r="I83">
        <v>5000</v>
      </c>
      <c r="K83" s="7" t="s">
        <v>515</v>
      </c>
    </row>
    <row r="84" spans="2:13" x14ac:dyDescent="0.25">
      <c r="B84">
        <v>10</v>
      </c>
      <c r="C84">
        <v>4</v>
      </c>
      <c r="D84" t="s">
        <v>532</v>
      </c>
    </row>
    <row r="85" spans="2:13" ht="15.75" x14ac:dyDescent="0.25">
      <c r="D85" s="7"/>
      <c r="G85" t="s">
        <v>385</v>
      </c>
      <c r="H85" t="s">
        <v>449</v>
      </c>
      <c r="I85">
        <v>7500</v>
      </c>
      <c r="K85" s="7" t="s">
        <v>505</v>
      </c>
    </row>
    <row r="86" spans="2:13" ht="15.75" x14ac:dyDescent="0.25">
      <c r="B86">
        <v>10</v>
      </c>
      <c r="C86">
        <v>9</v>
      </c>
      <c r="D86" t="s">
        <v>530</v>
      </c>
      <c r="H86" t="s">
        <v>444</v>
      </c>
      <c r="I86">
        <v>7500</v>
      </c>
      <c r="K86" s="7" t="s">
        <v>513</v>
      </c>
    </row>
    <row r="87" spans="2:13" ht="15.75" x14ac:dyDescent="0.25">
      <c r="B87">
        <v>10</v>
      </c>
      <c r="C87">
        <v>9</v>
      </c>
      <c r="D87" t="s">
        <v>520</v>
      </c>
      <c r="H87" t="s">
        <v>445</v>
      </c>
      <c r="I87">
        <v>7500</v>
      </c>
      <c r="K87" s="7" t="s">
        <v>509</v>
      </c>
    </row>
    <row r="88" spans="2:13" x14ac:dyDescent="0.25">
      <c r="B88">
        <v>10</v>
      </c>
      <c r="C88">
        <v>10</v>
      </c>
      <c r="D88" t="s">
        <v>519</v>
      </c>
      <c r="H88" t="s">
        <v>443</v>
      </c>
      <c r="I88">
        <v>10000</v>
      </c>
    </row>
    <row r="89" spans="2:13" ht="15.75" x14ac:dyDescent="0.25">
      <c r="B89">
        <v>9</v>
      </c>
      <c r="C89">
        <v>10</v>
      </c>
      <c r="D89" t="s">
        <v>521</v>
      </c>
      <c r="H89" t="s">
        <v>450</v>
      </c>
      <c r="I89">
        <v>12500</v>
      </c>
      <c r="K89" s="7" t="s">
        <v>512</v>
      </c>
    </row>
    <row r="90" spans="2:13" ht="15.75" x14ac:dyDescent="0.25">
      <c r="B90">
        <v>10</v>
      </c>
      <c r="C90">
        <v>8</v>
      </c>
      <c r="D90" t="s">
        <v>522</v>
      </c>
      <c r="K90" s="7" t="s">
        <v>514</v>
      </c>
    </row>
    <row r="91" spans="2:13" x14ac:dyDescent="0.25">
      <c r="B91">
        <v>5</v>
      </c>
      <c r="C91">
        <v>9</v>
      </c>
      <c r="D91" t="s">
        <v>532</v>
      </c>
      <c r="F91" t="s">
        <v>482</v>
      </c>
      <c r="G91" t="s">
        <v>384</v>
      </c>
      <c r="H91" t="s">
        <v>483</v>
      </c>
      <c r="I91">
        <v>5000</v>
      </c>
    </row>
    <row r="92" spans="2:13" ht="15.75" x14ac:dyDescent="0.25">
      <c r="H92" t="s">
        <v>481</v>
      </c>
      <c r="I92">
        <v>5000</v>
      </c>
      <c r="K92" s="7" t="s">
        <v>510</v>
      </c>
    </row>
    <row r="93" spans="2:13" ht="15.75" x14ac:dyDescent="0.25">
      <c r="H93" t="s">
        <v>493</v>
      </c>
      <c r="I93">
        <v>5000</v>
      </c>
      <c r="K93" s="7" t="s">
        <v>508</v>
      </c>
    </row>
    <row r="94" spans="2:13" x14ac:dyDescent="0.25">
      <c r="B94">
        <v>10</v>
      </c>
      <c r="C94">
        <v>10</v>
      </c>
      <c r="D94" t="s">
        <v>532</v>
      </c>
    </row>
    <row r="95" spans="2:13" ht="15.75" x14ac:dyDescent="0.25">
      <c r="B95">
        <v>10</v>
      </c>
      <c r="C95">
        <v>5</v>
      </c>
      <c r="D95" t="s">
        <v>519</v>
      </c>
      <c r="G95" t="s">
        <v>385</v>
      </c>
      <c r="H95" t="s">
        <v>486</v>
      </c>
      <c r="I95">
        <v>7500</v>
      </c>
      <c r="K95" s="7" t="s">
        <v>507</v>
      </c>
    </row>
    <row r="96" spans="2:13" ht="15.75" x14ac:dyDescent="0.25">
      <c r="B96">
        <v>4</v>
      </c>
      <c r="C96">
        <v>10</v>
      </c>
      <c r="D96" t="s">
        <v>522</v>
      </c>
      <c r="H96" t="s">
        <v>484</v>
      </c>
      <c r="I96">
        <v>7500</v>
      </c>
      <c r="K96" s="7" t="s">
        <v>506</v>
      </c>
    </row>
    <row r="97" spans="2:9" x14ac:dyDescent="0.25">
      <c r="B97">
        <v>10</v>
      </c>
      <c r="C97">
        <v>3</v>
      </c>
      <c r="D97" t="s">
        <v>520</v>
      </c>
      <c r="H97" t="s">
        <v>485</v>
      </c>
      <c r="I97">
        <v>7500</v>
      </c>
    </row>
    <row r="98" spans="2:9" x14ac:dyDescent="0.25">
      <c r="B98">
        <v>7</v>
      </c>
      <c r="C98">
        <v>10</v>
      </c>
      <c r="D98" t="s">
        <v>522</v>
      </c>
      <c r="H98" t="s">
        <v>488</v>
      </c>
      <c r="I98">
        <v>10000</v>
      </c>
    </row>
    <row r="99" spans="2:9" x14ac:dyDescent="0.25">
      <c r="B99">
        <v>10</v>
      </c>
      <c r="C99">
        <v>7</v>
      </c>
      <c r="D99" t="s">
        <v>521</v>
      </c>
      <c r="H99" t="s">
        <v>487</v>
      </c>
      <c r="I99">
        <v>12500</v>
      </c>
    </row>
    <row r="103" spans="2:9" x14ac:dyDescent="0.25">
      <c r="B103">
        <v>10</v>
      </c>
      <c r="C103">
        <v>9</v>
      </c>
      <c r="D103" t="s">
        <v>530</v>
      </c>
    </row>
    <row r="104" spans="2:9" x14ac:dyDescent="0.25">
      <c r="B104">
        <v>10</v>
      </c>
      <c r="C104">
        <v>9</v>
      </c>
      <c r="D104" t="s">
        <v>520</v>
      </c>
    </row>
    <row r="105" spans="2:9" x14ac:dyDescent="0.25">
      <c r="B105">
        <v>1</v>
      </c>
      <c r="C105">
        <v>0</v>
      </c>
      <c r="D105" t="s">
        <v>522</v>
      </c>
    </row>
    <row r="107" spans="2:9" x14ac:dyDescent="0.25">
      <c r="B107">
        <v>10</v>
      </c>
      <c r="C107">
        <v>9</v>
      </c>
      <c r="D107" t="s">
        <v>532</v>
      </c>
    </row>
    <row r="108" spans="2:9" x14ac:dyDescent="0.25">
      <c r="B108">
        <v>10</v>
      </c>
      <c r="C108">
        <v>7</v>
      </c>
      <c r="D108" t="s">
        <v>519</v>
      </c>
    </row>
    <row r="109" spans="2:9" x14ac:dyDescent="0.25">
      <c r="B109">
        <v>6</v>
      </c>
      <c r="C109">
        <v>10</v>
      </c>
      <c r="D109" t="s">
        <v>522</v>
      </c>
      <c r="E109" t="s">
        <v>434</v>
      </c>
      <c r="F109" t="s">
        <v>747</v>
      </c>
      <c r="G109" t="s">
        <v>744</v>
      </c>
    </row>
    <row r="110" spans="2:9" x14ac:dyDescent="0.25">
      <c r="B110">
        <v>10</v>
      </c>
      <c r="C110">
        <v>7</v>
      </c>
      <c r="D110" t="s">
        <v>520</v>
      </c>
      <c r="E110" t="s">
        <v>425</v>
      </c>
      <c r="F110" t="s">
        <v>435</v>
      </c>
      <c r="G110" t="s">
        <v>745</v>
      </c>
    </row>
    <row r="111" spans="2:9" x14ac:dyDescent="0.25">
      <c r="B111">
        <v>9</v>
      </c>
      <c r="C111">
        <v>1</v>
      </c>
      <c r="D111" t="s">
        <v>530</v>
      </c>
      <c r="E111" t="s">
        <v>432</v>
      </c>
      <c r="F111" t="s">
        <v>748</v>
      </c>
      <c r="G111" t="s">
        <v>746</v>
      </c>
    </row>
    <row r="112" spans="2:9" x14ac:dyDescent="0.25">
      <c r="B112">
        <v>10</v>
      </c>
      <c r="C112">
        <v>6</v>
      </c>
      <c r="D112" t="s">
        <v>530</v>
      </c>
      <c r="E112" t="s">
        <v>439</v>
      </c>
      <c r="F112" t="s">
        <v>431</v>
      </c>
      <c r="G112" t="s">
        <v>749</v>
      </c>
    </row>
    <row r="113" spans="2:4" x14ac:dyDescent="0.25">
      <c r="B113">
        <v>8</v>
      </c>
      <c r="C113">
        <v>10</v>
      </c>
      <c r="D113" t="s">
        <v>521</v>
      </c>
    </row>
    <row r="114" spans="2:4" x14ac:dyDescent="0.25">
      <c r="B114">
        <v>8</v>
      </c>
      <c r="C114">
        <v>10</v>
      </c>
      <c r="D114" t="s">
        <v>522</v>
      </c>
    </row>
    <row r="116" spans="2:4" x14ac:dyDescent="0.25">
      <c r="B116">
        <v>9</v>
      </c>
      <c r="C116">
        <v>2</v>
      </c>
      <c r="D116" t="s">
        <v>519</v>
      </c>
    </row>
    <row r="117" spans="2:4" x14ac:dyDescent="0.25">
      <c r="B117">
        <v>10</v>
      </c>
      <c r="C117">
        <v>10</v>
      </c>
      <c r="D117" t="s">
        <v>519</v>
      </c>
    </row>
    <row r="119" spans="2:4" x14ac:dyDescent="0.25">
      <c r="B119">
        <v>10</v>
      </c>
      <c r="C119">
        <v>9</v>
      </c>
      <c r="D119" t="s">
        <v>520</v>
      </c>
    </row>
    <row r="120" spans="2:4" x14ac:dyDescent="0.25">
      <c r="B120">
        <v>10</v>
      </c>
      <c r="C120">
        <v>8</v>
      </c>
      <c r="D120" t="s">
        <v>530</v>
      </c>
    </row>
    <row r="121" spans="2:4" x14ac:dyDescent="0.25">
      <c r="B121">
        <v>10</v>
      </c>
      <c r="C121">
        <v>2</v>
      </c>
      <c r="D121" t="s">
        <v>530</v>
      </c>
    </row>
    <row r="122" spans="2:4" x14ac:dyDescent="0.25">
      <c r="B122">
        <v>10</v>
      </c>
      <c r="C122">
        <v>6</v>
      </c>
      <c r="D122" t="s">
        <v>530</v>
      </c>
    </row>
    <row r="123" spans="2:4" x14ac:dyDescent="0.25">
      <c r="B123">
        <v>6</v>
      </c>
      <c r="C123">
        <v>10</v>
      </c>
      <c r="D123" t="s">
        <v>519</v>
      </c>
    </row>
    <row r="124" spans="2:4" x14ac:dyDescent="0.25">
      <c r="B124">
        <v>10</v>
      </c>
      <c r="C124">
        <v>1</v>
      </c>
      <c r="D124" t="s">
        <v>522</v>
      </c>
    </row>
    <row r="125" spans="2:4" x14ac:dyDescent="0.25">
      <c r="B125">
        <v>10</v>
      </c>
      <c r="C125">
        <v>7</v>
      </c>
      <c r="D125" t="s">
        <v>522</v>
      </c>
    </row>
    <row r="126" spans="2:4" x14ac:dyDescent="0.25">
      <c r="B126">
        <v>10</v>
      </c>
      <c r="C126">
        <v>4</v>
      </c>
      <c r="D126" t="s">
        <v>521</v>
      </c>
    </row>
    <row r="127" spans="2:4" x14ac:dyDescent="0.25">
      <c r="B127">
        <v>10</v>
      </c>
      <c r="C127">
        <v>1</v>
      </c>
      <c r="D127" t="s">
        <v>532</v>
      </c>
    </row>
    <row r="128" spans="2:4" x14ac:dyDescent="0.25">
      <c r="B128">
        <v>10</v>
      </c>
      <c r="C128">
        <v>9</v>
      </c>
      <c r="D128" t="s">
        <v>532</v>
      </c>
    </row>
    <row r="130" spans="2:12" x14ac:dyDescent="0.25">
      <c r="B130">
        <v>6</v>
      </c>
      <c r="C130">
        <v>10</v>
      </c>
      <c r="D130" t="s">
        <v>519</v>
      </c>
    </row>
    <row r="131" spans="2:12" x14ac:dyDescent="0.25">
      <c r="B131">
        <v>10</v>
      </c>
      <c r="C131">
        <v>9</v>
      </c>
      <c r="D131" t="s">
        <v>520</v>
      </c>
    </row>
    <row r="132" spans="2:12" x14ac:dyDescent="0.25">
      <c r="B132">
        <v>10</v>
      </c>
      <c r="C132">
        <v>10</v>
      </c>
      <c r="D132" t="s">
        <v>532</v>
      </c>
    </row>
    <row r="133" spans="2:12" x14ac:dyDescent="0.25">
      <c r="B133">
        <v>10</v>
      </c>
      <c r="C133">
        <v>7</v>
      </c>
      <c r="D133" t="s">
        <v>522</v>
      </c>
    </row>
    <row r="134" spans="2:12" x14ac:dyDescent="0.25">
      <c r="B134">
        <v>10</v>
      </c>
      <c r="C134">
        <v>6</v>
      </c>
      <c r="D134" t="s">
        <v>530</v>
      </c>
    </row>
    <row r="135" spans="2:12" x14ac:dyDescent="0.25">
      <c r="B135">
        <v>10</v>
      </c>
      <c r="C135">
        <v>4</v>
      </c>
      <c r="D135" t="s">
        <v>521</v>
      </c>
    </row>
    <row r="137" spans="2:12" x14ac:dyDescent="0.25">
      <c r="B137">
        <v>10</v>
      </c>
      <c r="C137">
        <v>6</v>
      </c>
      <c r="D137" t="s">
        <v>519</v>
      </c>
      <c r="E137">
        <v>10</v>
      </c>
      <c r="F137">
        <v>8</v>
      </c>
      <c r="G137" t="s">
        <v>519</v>
      </c>
      <c r="I137">
        <v>8</v>
      </c>
      <c r="J137">
        <v>10</v>
      </c>
      <c r="K137" t="s">
        <v>519</v>
      </c>
      <c r="L137">
        <v>26</v>
      </c>
    </row>
    <row r="138" spans="2:12" x14ac:dyDescent="0.25">
      <c r="B138">
        <v>10</v>
      </c>
      <c r="C138">
        <v>9</v>
      </c>
      <c r="D138" t="s">
        <v>520</v>
      </c>
      <c r="E138">
        <v>10</v>
      </c>
      <c r="F138">
        <v>5</v>
      </c>
      <c r="G138" t="s">
        <v>520</v>
      </c>
      <c r="I138">
        <v>10</v>
      </c>
      <c r="J138">
        <v>10</v>
      </c>
      <c r="K138" t="s">
        <v>520</v>
      </c>
      <c r="L138">
        <v>24</v>
      </c>
    </row>
    <row r="139" spans="2:12" x14ac:dyDescent="0.25">
      <c r="B139">
        <v>10</v>
      </c>
      <c r="C139">
        <v>10</v>
      </c>
      <c r="D139" t="s">
        <v>532</v>
      </c>
      <c r="E139">
        <v>4</v>
      </c>
      <c r="F139">
        <v>5</v>
      </c>
      <c r="G139" t="s">
        <v>532</v>
      </c>
    </row>
    <row r="140" spans="2:12" x14ac:dyDescent="0.25">
      <c r="B140">
        <v>10</v>
      </c>
      <c r="C140">
        <v>8</v>
      </c>
      <c r="D140" t="s">
        <v>522</v>
      </c>
      <c r="E140">
        <v>10</v>
      </c>
      <c r="F140">
        <v>7</v>
      </c>
      <c r="G140" t="s">
        <v>522</v>
      </c>
      <c r="I140">
        <v>8</v>
      </c>
      <c r="J140">
        <v>10</v>
      </c>
      <c r="K140" t="s">
        <v>522</v>
      </c>
      <c r="L140">
        <v>27</v>
      </c>
    </row>
    <row r="141" spans="2:12" x14ac:dyDescent="0.25">
      <c r="B141">
        <v>10</v>
      </c>
      <c r="C141">
        <v>5</v>
      </c>
      <c r="D141" t="s">
        <v>530</v>
      </c>
      <c r="E141">
        <v>10</v>
      </c>
      <c r="F141">
        <v>5</v>
      </c>
      <c r="G141" t="s">
        <v>530</v>
      </c>
      <c r="I141">
        <v>10</v>
      </c>
      <c r="J141">
        <v>10</v>
      </c>
      <c r="K141" t="s">
        <v>530</v>
      </c>
      <c r="L141">
        <v>20</v>
      </c>
    </row>
    <row r="142" spans="2:12" x14ac:dyDescent="0.25">
      <c r="B142">
        <v>10</v>
      </c>
      <c r="C142">
        <v>6</v>
      </c>
      <c r="D142" t="s">
        <v>521</v>
      </c>
      <c r="E142">
        <v>10</v>
      </c>
      <c r="F142">
        <v>10</v>
      </c>
      <c r="G142" t="s">
        <v>521</v>
      </c>
      <c r="I142">
        <v>10</v>
      </c>
      <c r="J142">
        <v>9</v>
      </c>
      <c r="K142" t="s">
        <v>521</v>
      </c>
      <c r="L142">
        <v>25</v>
      </c>
    </row>
    <row r="145" spans="2:5" x14ac:dyDescent="0.25">
      <c r="B145">
        <v>19</v>
      </c>
      <c r="C145">
        <v>21</v>
      </c>
      <c r="D145" t="s">
        <v>521</v>
      </c>
    </row>
    <row r="146" spans="2:5" x14ac:dyDescent="0.25">
      <c r="B146">
        <v>19</v>
      </c>
      <c r="C146">
        <v>21</v>
      </c>
      <c r="D146" t="s">
        <v>520</v>
      </c>
    </row>
    <row r="147" spans="2:5" x14ac:dyDescent="0.25">
      <c r="B147">
        <v>15</v>
      </c>
      <c r="C147">
        <v>3</v>
      </c>
      <c r="D147" t="s">
        <v>522</v>
      </c>
      <c r="E147">
        <v>5</v>
      </c>
    </row>
    <row r="148" spans="2:5" x14ac:dyDescent="0.25">
      <c r="B148">
        <v>7</v>
      </c>
      <c r="C148">
        <v>22</v>
      </c>
      <c r="D148" t="s">
        <v>519</v>
      </c>
      <c r="E148">
        <v>3</v>
      </c>
    </row>
    <row r="149" spans="2:5" x14ac:dyDescent="0.25">
      <c r="B149">
        <v>22</v>
      </c>
      <c r="C149">
        <v>6</v>
      </c>
      <c r="D149" t="s">
        <v>530</v>
      </c>
      <c r="E149">
        <v>3.6</v>
      </c>
    </row>
    <row r="150" spans="2:5" x14ac:dyDescent="0.25">
      <c r="B150">
        <v>5</v>
      </c>
      <c r="C150">
        <v>1</v>
      </c>
      <c r="D150" t="s">
        <v>532</v>
      </c>
    </row>
    <row r="152" spans="2:5" x14ac:dyDescent="0.25">
      <c r="B152">
        <v>19</v>
      </c>
      <c r="C152">
        <v>21</v>
      </c>
      <c r="D152" t="s">
        <v>519</v>
      </c>
    </row>
    <row r="153" spans="2:5" x14ac:dyDescent="0.25">
      <c r="B153">
        <v>23</v>
      </c>
      <c r="C153">
        <v>3</v>
      </c>
      <c r="D153" t="s">
        <v>522</v>
      </c>
      <c r="E153">
        <v>7</v>
      </c>
    </row>
    <row r="154" spans="2:5" x14ac:dyDescent="0.25">
      <c r="B154">
        <v>4</v>
      </c>
      <c r="C154">
        <v>0</v>
      </c>
      <c r="D154" t="s">
        <v>522</v>
      </c>
    </row>
    <row r="155" spans="2:5" x14ac:dyDescent="0.25">
      <c r="B155">
        <v>24</v>
      </c>
      <c r="C155">
        <v>5</v>
      </c>
      <c r="D155" t="s">
        <v>522</v>
      </c>
      <c r="E155">
        <v>4.8</v>
      </c>
    </row>
    <row r="156" spans="2:5" x14ac:dyDescent="0.25">
      <c r="B156">
        <v>10</v>
      </c>
      <c r="C156">
        <v>2</v>
      </c>
      <c r="D156" t="s">
        <v>522</v>
      </c>
    </row>
    <row r="157" spans="2:5" x14ac:dyDescent="0.25">
      <c r="B157">
        <v>26</v>
      </c>
      <c r="C157">
        <v>20</v>
      </c>
      <c r="D157" t="s">
        <v>522</v>
      </c>
    </row>
    <row r="158" spans="2:5" x14ac:dyDescent="0.25">
      <c r="B158">
        <v>29</v>
      </c>
      <c r="C158">
        <v>13</v>
      </c>
      <c r="D158" t="s">
        <v>522</v>
      </c>
      <c r="E158">
        <v>2.2000000000000002</v>
      </c>
    </row>
    <row r="159" spans="2:5" x14ac:dyDescent="0.25">
      <c r="B159">
        <v>22</v>
      </c>
      <c r="C159">
        <v>19</v>
      </c>
      <c r="D159" t="s">
        <v>522</v>
      </c>
      <c r="E159">
        <v>1.1599999999999999</v>
      </c>
    </row>
    <row r="161" spans="2:5" x14ac:dyDescent="0.25">
      <c r="B161">
        <v>8</v>
      </c>
      <c r="C161">
        <v>3</v>
      </c>
      <c r="D161" t="s">
        <v>532</v>
      </c>
    </row>
    <row r="162" spans="2:5" x14ac:dyDescent="0.25">
      <c r="B162">
        <v>24</v>
      </c>
      <c r="C162">
        <v>16</v>
      </c>
      <c r="D162" t="s">
        <v>532</v>
      </c>
      <c r="E162">
        <v>1.5</v>
      </c>
    </row>
    <row r="164" spans="2:5" x14ac:dyDescent="0.25">
      <c r="B164">
        <v>26</v>
      </c>
      <c r="C164">
        <v>10</v>
      </c>
      <c r="D164" t="s">
        <v>530</v>
      </c>
      <c r="E164">
        <v>2.6</v>
      </c>
    </row>
    <row r="165" spans="2:5" x14ac:dyDescent="0.25">
      <c r="B165">
        <v>23</v>
      </c>
      <c r="C165">
        <v>5</v>
      </c>
      <c r="D165" t="s">
        <v>530</v>
      </c>
      <c r="E165">
        <v>4.5999999999999996</v>
      </c>
    </row>
    <row r="166" spans="2:5" x14ac:dyDescent="0.25">
      <c r="B166">
        <v>16</v>
      </c>
      <c r="C166">
        <v>4</v>
      </c>
      <c r="D166" t="s">
        <v>530</v>
      </c>
      <c r="E166">
        <v>4</v>
      </c>
    </row>
    <row r="167" spans="2:5" x14ac:dyDescent="0.25">
      <c r="B167">
        <v>2</v>
      </c>
      <c r="C167">
        <v>2</v>
      </c>
      <c r="D167" t="s">
        <v>530</v>
      </c>
    </row>
    <row r="169" spans="2:5" ht="15.75" thickBot="1" x14ac:dyDescent="0.3"/>
    <row r="170" spans="2:5" ht="15.75" thickBot="1" x14ac:dyDescent="0.3">
      <c r="B170" s="15" t="s">
        <v>758</v>
      </c>
      <c r="C170" s="38" t="s">
        <v>759</v>
      </c>
      <c r="D170" s="39"/>
      <c r="E170" s="40"/>
    </row>
    <row r="171" spans="2:5" ht="15.75" thickBot="1" x14ac:dyDescent="0.3">
      <c r="B171" s="16" t="s">
        <v>760</v>
      </c>
      <c r="C171" s="17" t="s">
        <v>394</v>
      </c>
      <c r="D171" s="17" t="s">
        <v>761</v>
      </c>
      <c r="E171" s="17" t="s">
        <v>762</v>
      </c>
    </row>
    <row r="172" spans="2:5" ht="15.75" thickBot="1" x14ac:dyDescent="0.3">
      <c r="B172" s="16" t="s">
        <v>763</v>
      </c>
      <c r="C172" s="41" t="s">
        <v>221</v>
      </c>
      <c r="D172" s="35" t="s">
        <v>409</v>
      </c>
      <c r="E172" s="37"/>
    </row>
    <row r="173" spans="2:5" ht="15.75" thickBot="1" x14ac:dyDescent="0.3">
      <c r="B173" s="18"/>
      <c r="C173" s="42"/>
      <c r="D173" s="35" t="s">
        <v>764</v>
      </c>
      <c r="E173" s="37"/>
    </row>
    <row r="174" spans="2:5" ht="26.25" thickBot="1" x14ac:dyDescent="0.3">
      <c r="B174" s="18"/>
      <c r="C174" s="35" t="s">
        <v>765</v>
      </c>
      <c r="D174" s="37"/>
      <c r="E174" s="23" t="s">
        <v>766</v>
      </c>
    </row>
    <row r="175" spans="2:5" ht="15.75" thickBot="1" x14ac:dyDescent="0.3">
      <c r="B175" s="18"/>
      <c r="C175" s="23" t="s">
        <v>767</v>
      </c>
      <c r="D175" s="23" t="s">
        <v>768</v>
      </c>
      <c r="E175" s="23" t="s">
        <v>767</v>
      </c>
    </row>
    <row r="176" spans="2:5" ht="15.75" thickBot="1" x14ac:dyDescent="0.3">
      <c r="B176" s="18"/>
      <c r="C176" s="35" t="s">
        <v>769</v>
      </c>
      <c r="D176" s="36"/>
      <c r="E176" s="37"/>
    </row>
    <row r="177" spans="2:5" ht="15.75" thickBot="1" x14ac:dyDescent="0.3">
      <c r="B177" s="18"/>
      <c r="C177" s="23" t="s">
        <v>770</v>
      </c>
      <c r="D177" s="35" t="s">
        <v>149</v>
      </c>
      <c r="E177" s="37"/>
    </row>
    <row r="178" spans="2:5" ht="15.75" thickBot="1" x14ac:dyDescent="0.3">
      <c r="B178" s="19"/>
      <c r="C178" s="20"/>
      <c r="D178" s="20"/>
      <c r="E178" s="20"/>
    </row>
    <row r="179" spans="2:5" ht="15.75" thickBot="1" x14ac:dyDescent="0.3">
      <c r="B179" s="16" t="s">
        <v>771</v>
      </c>
      <c r="C179" s="35" t="s">
        <v>772</v>
      </c>
      <c r="D179" s="36"/>
      <c r="E179" s="37"/>
    </row>
    <row r="180" spans="2:5" ht="15.75" thickBot="1" x14ac:dyDescent="0.3">
      <c r="B180" s="18"/>
      <c r="C180" s="35" t="s">
        <v>108</v>
      </c>
      <c r="D180" s="36"/>
      <c r="E180" s="37"/>
    </row>
    <row r="181" spans="2:5" ht="15.75" thickBot="1" x14ac:dyDescent="0.3">
      <c r="B181" s="18"/>
      <c r="C181" s="46" t="s">
        <v>773</v>
      </c>
      <c r="D181" s="47"/>
      <c r="E181" s="48"/>
    </row>
    <row r="182" spans="2:5" ht="26.25" thickBot="1" x14ac:dyDescent="0.3">
      <c r="B182" s="18"/>
      <c r="C182" s="22" t="s">
        <v>774</v>
      </c>
      <c r="D182" s="22" t="s">
        <v>775</v>
      </c>
      <c r="E182" s="22" t="s">
        <v>776</v>
      </c>
    </row>
    <row r="183" spans="2:5" ht="15.75" thickBot="1" x14ac:dyDescent="0.3">
      <c r="B183" s="19"/>
      <c r="C183" s="20"/>
      <c r="D183" s="20"/>
      <c r="E183" s="20"/>
    </row>
    <row r="184" spans="2:5" ht="26.25" thickBot="1" x14ac:dyDescent="0.3">
      <c r="B184" s="16" t="s">
        <v>777</v>
      </c>
      <c r="C184" s="17" t="s">
        <v>778</v>
      </c>
      <c r="D184" s="17" t="s">
        <v>779</v>
      </c>
      <c r="E184" s="17" t="s">
        <v>780</v>
      </c>
    </row>
    <row r="185" spans="2:5" ht="15.75" thickBot="1" x14ac:dyDescent="0.3">
      <c r="B185" s="16" t="s">
        <v>771</v>
      </c>
      <c r="C185" s="17" t="s">
        <v>781</v>
      </c>
      <c r="D185" s="17" t="s">
        <v>782</v>
      </c>
      <c r="E185" s="23" t="s">
        <v>783</v>
      </c>
    </row>
    <row r="186" spans="2:5" ht="15.75" thickBot="1" x14ac:dyDescent="0.3">
      <c r="B186" s="18"/>
      <c r="C186" s="23" t="s">
        <v>784</v>
      </c>
      <c r="D186" s="35" t="s">
        <v>111</v>
      </c>
      <c r="E186" s="37"/>
    </row>
    <row r="187" spans="2:5" ht="26.25" thickBot="1" x14ac:dyDescent="0.3">
      <c r="B187" s="18"/>
      <c r="C187" s="17" t="s">
        <v>785</v>
      </c>
      <c r="D187" s="17" t="s">
        <v>786</v>
      </c>
      <c r="E187" s="23" t="s">
        <v>745</v>
      </c>
    </row>
    <row r="188" spans="2:5" ht="15.75" thickBot="1" x14ac:dyDescent="0.3">
      <c r="B188" s="19"/>
      <c r="C188" s="20"/>
      <c r="D188" s="20"/>
      <c r="E188" s="20"/>
    </row>
    <row r="189" spans="2:5" ht="15.75" thickBot="1" x14ac:dyDescent="0.3">
      <c r="B189" s="16" t="s">
        <v>787</v>
      </c>
      <c r="C189" s="23" t="s">
        <v>788</v>
      </c>
      <c r="D189" s="35" t="s">
        <v>97</v>
      </c>
      <c r="E189" s="37"/>
    </row>
    <row r="190" spans="2:5" ht="26.25" thickBot="1" x14ac:dyDescent="0.3">
      <c r="B190" s="18"/>
      <c r="C190" s="23" t="s">
        <v>789</v>
      </c>
      <c r="D190" s="23" t="s">
        <v>790</v>
      </c>
      <c r="E190" s="23" t="s">
        <v>789</v>
      </c>
    </row>
    <row r="191" spans="2:5" ht="15.75" thickBot="1" x14ac:dyDescent="0.3">
      <c r="B191" s="18"/>
      <c r="C191" s="17" t="s">
        <v>791</v>
      </c>
      <c r="D191" s="23" t="s">
        <v>792</v>
      </c>
      <c r="E191" s="17" t="s">
        <v>191</v>
      </c>
    </row>
    <row r="192" spans="2:5" ht="15.75" thickBot="1" x14ac:dyDescent="0.3">
      <c r="B192" s="18"/>
      <c r="C192" s="23" t="s">
        <v>793</v>
      </c>
      <c r="D192" s="23" t="s">
        <v>794</v>
      </c>
      <c r="E192" s="23" t="s">
        <v>192</v>
      </c>
    </row>
    <row r="193" spans="2:5" ht="26.25" thickBot="1" x14ac:dyDescent="0.3">
      <c r="B193" s="18"/>
      <c r="C193" s="24" t="s">
        <v>795</v>
      </c>
      <c r="D193" s="21" t="s">
        <v>796</v>
      </c>
      <c r="E193" s="24" t="s">
        <v>797</v>
      </c>
    </row>
    <row r="194" spans="2:5" ht="15.75" thickBot="1" x14ac:dyDescent="0.3">
      <c r="B194" s="19"/>
      <c r="C194" s="19"/>
      <c r="D194" s="19"/>
      <c r="E194" s="19"/>
    </row>
    <row r="195" spans="2:5" ht="15.75" thickBot="1" x14ac:dyDescent="0.3">
      <c r="B195" s="19"/>
      <c r="C195" s="19"/>
      <c r="D195" s="19"/>
      <c r="E195" s="19"/>
    </row>
    <row r="196" spans="2:5" ht="15.75" thickBot="1" x14ac:dyDescent="0.3">
      <c r="B196" s="19"/>
      <c r="C196" s="19"/>
      <c r="D196" s="19"/>
      <c r="E196" s="19"/>
    </row>
    <row r="197" spans="2:5" ht="15.75" thickBot="1" x14ac:dyDescent="0.3">
      <c r="B197" s="15" t="s">
        <v>758</v>
      </c>
      <c r="C197" s="38" t="s">
        <v>798</v>
      </c>
      <c r="D197" s="39"/>
      <c r="E197" s="40"/>
    </row>
    <row r="198" spans="2:5" ht="15.75" thickBot="1" x14ac:dyDescent="0.3">
      <c r="B198" s="16" t="s">
        <v>760</v>
      </c>
      <c r="C198" s="17" t="s">
        <v>394</v>
      </c>
      <c r="D198" s="17" t="s">
        <v>761</v>
      </c>
      <c r="E198" s="17" t="s">
        <v>762</v>
      </c>
    </row>
    <row r="199" spans="2:5" ht="15.75" thickBot="1" x14ac:dyDescent="0.3">
      <c r="B199" s="19"/>
      <c r="C199" s="20"/>
      <c r="D199" s="20"/>
      <c r="E199" s="20"/>
    </row>
    <row r="200" spans="2:5" ht="26.25" thickBot="1" x14ac:dyDescent="0.3">
      <c r="B200" s="16" t="s">
        <v>799</v>
      </c>
      <c r="C200" s="17" t="s">
        <v>800</v>
      </c>
      <c r="D200" s="17" t="s">
        <v>836</v>
      </c>
      <c r="E200" s="17" t="s">
        <v>801</v>
      </c>
    </row>
    <row r="201" spans="2:5" ht="15.75" thickBot="1" x14ac:dyDescent="0.3">
      <c r="B201" s="16" t="s">
        <v>802</v>
      </c>
      <c r="C201" s="17" t="s">
        <v>803</v>
      </c>
      <c r="D201" s="17" t="s">
        <v>804</v>
      </c>
      <c r="E201" s="17" t="s">
        <v>805</v>
      </c>
    </row>
    <row r="202" spans="2:5" ht="15.75" thickBot="1" x14ac:dyDescent="0.3">
      <c r="B202" s="19"/>
      <c r="C202" s="20"/>
      <c r="D202" s="20"/>
      <c r="E202" s="20"/>
    </row>
    <row r="203" spans="2:5" ht="26.25" thickBot="1" x14ac:dyDescent="0.3">
      <c r="B203" s="16" t="s">
        <v>777</v>
      </c>
      <c r="C203" s="17" t="s">
        <v>778</v>
      </c>
      <c r="D203" s="17" t="s">
        <v>779</v>
      </c>
      <c r="E203" s="17" t="s">
        <v>780</v>
      </c>
    </row>
    <row r="204" spans="2:5" ht="15.75" thickBot="1" x14ac:dyDescent="0.3">
      <c r="B204" s="19"/>
      <c r="C204" s="20"/>
      <c r="D204" s="20"/>
      <c r="E204" s="20"/>
    </row>
    <row r="205" spans="2:5" ht="26.25" thickBot="1" x14ac:dyDescent="0.3">
      <c r="B205" s="16" t="s">
        <v>806</v>
      </c>
      <c r="C205" s="17" t="s">
        <v>807</v>
      </c>
      <c r="D205" s="17" t="s">
        <v>808</v>
      </c>
      <c r="E205" s="17" t="s">
        <v>809</v>
      </c>
    </row>
    <row r="206" spans="2:5" ht="26.25" thickBot="1" x14ac:dyDescent="0.3">
      <c r="B206" s="16" t="s">
        <v>810</v>
      </c>
      <c r="C206" s="17" t="s">
        <v>811</v>
      </c>
      <c r="D206" s="17" t="s">
        <v>812</v>
      </c>
      <c r="E206" s="17" t="s">
        <v>813</v>
      </c>
    </row>
    <row r="207" spans="2:5" ht="26.25" thickBot="1" x14ac:dyDescent="0.3">
      <c r="B207" s="16" t="s">
        <v>802</v>
      </c>
      <c r="C207" s="17" t="s">
        <v>814</v>
      </c>
      <c r="D207" s="17" t="s">
        <v>815</v>
      </c>
      <c r="E207" s="17" t="s">
        <v>816</v>
      </c>
    </row>
    <row r="208" spans="2:5" ht="26.25" thickBot="1" x14ac:dyDescent="0.3">
      <c r="B208" s="16" t="s">
        <v>817</v>
      </c>
      <c r="C208" s="17" t="s">
        <v>818</v>
      </c>
      <c r="D208" s="17" t="s">
        <v>819</v>
      </c>
      <c r="E208" s="17" t="s">
        <v>820</v>
      </c>
    </row>
    <row r="209" spans="2:5" ht="15.75" thickBot="1" x14ac:dyDescent="0.3">
      <c r="B209" s="19"/>
      <c r="C209" s="20"/>
      <c r="D209" s="20"/>
      <c r="E209" s="20"/>
    </row>
    <row r="210" spans="2:5" ht="15.75" thickBot="1" x14ac:dyDescent="0.3">
      <c r="B210" s="18"/>
      <c r="C210" s="43" t="s">
        <v>821</v>
      </c>
      <c r="D210" s="44"/>
      <c r="E210" s="45"/>
    </row>
    <row r="211" spans="2:5" ht="15.75" thickBot="1" x14ac:dyDescent="0.3">
      <c r="B211" s="18"/>
      <c r="C211" s="43" t="s">
        <v>397</v>
      </c>
      <c r="D211" s="44"/>
      <c r="E211" s="45"/>
    </row>
    <row r="213" spans="2:5" ht="15.75" thickBot="1" x14ac:dyDescent="0.3"/>
    <row r="214" spans="2:5" ht="39.75" thickTop="1" thickBot="1" x14ac:dyDescent="0.3">
      <c r="C214" s="25" t="s">
        <v>824</v>
      </c>
      <c r="D214" s="26" t="s">
        <v>825</v>
      </c>
      <c r="E214" s="27" t="s">
        <v>745</v>
      </c>
    </row>
    <row r="215" spans="2:5" ht="27" thickTop="1" thickBot="1" x14ac:dyDescent="0.3">
      <c r="C215" s="28" t="s">
        <v>826</v>
      </c>
      <c r="D215" s="29" t="s">
        <v>827</v>
      </c>
      <c r="E215" s="30" t="s">
        <v>828</v>
      </c>
    </row>
    <row r="216" spans="2:5" ht="27" thickTop="1" thickBot="1" x14ac:dyDescent="0.3">
      <c r="C216" s="31" t="s">
        <v>196</v>
      </c>
      <c r="D216" s="30" t="s">
        <v>829</v>
      </c>
      <c r="E216" s="32" t="s">
        <v>830</v>
      </c>
    </row>
    <row r="217" spans="2:5" ht="39.75" thickTop="1" thickBot="1" x14ac:dyDescent="0.3">
      <c r="C217" s="28" t="s">
        <v>831</v>
      </c>
      <c r="D217" s="32" t="s">
        <v>832</v>
      </c>
      <c r="E217" s="30" t="s">
        <v>833</v>
      </c>
    </row>
    <row r="218" spans="2:5" ht="27" thickTop="1" thickBot="1" x14ac:dyDescent="0.3">
      <c r="C218" s="33" t="s">
        <v>834</v>
      </c>
      <c r="D218" s="34" t="s">
        <v>105</v>
      </c>
      <c r="E218" s="34" t="s">
        <v>835</v>
      </c>
    </row>
    <row r="219" spans="2:5" ht="15.75" thickTop="1" x14ac:dyDescent="0.25"/>
  </sheetData>
  <mergeCells count="15">
    <mergeCell ref="C197:E197"/>
    <mergeCell ref="C210:E210"/>
    <mergeCell ref="C211:E211"/>
    <mergeCell ref="D177:E177"/>
    <mergeCell ref="C179:E179"/>
    <mergeCell ref="C180:E180"/>
    <mergeCell ref="C181:E181"/>
    <mergeCell ref="D186:E186"/>
    <mergeCell ref="D189:E189"/>
    <mergeCell ref="C176:E176"/>
    <mergeCell ref="C170:E170"/>
    <mergeCell ref="C172:C173"/>
    <mergeCell ref="D172:E172"/>
    <mergeCell ref="D173:E173"/>
    <mergeCell ref="C174:D174"/>
  </mergeCells>
  <phoneticPr fontId="1" type="noConversion"/>
  <pageMargins left="0.7" right="0.7" top="0.78740157499999996" bottom="0.78740157499999996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A0B95-90EE-46B8-BE23-0BCA35845872}">
  <dimension ref="A2:K85"/>
  <sheetViews>
    <sheetView workbookViewId="0">
      <selection activeCell="G58" sqref="G58"/>
    </sheetView>
  </sheetViews>
  <sheetFormatPr baseColWidth="10" defaultRowHeight="15" x14ac:dyDescent="0.25"/>
  <cols>
    <col min="2" max="2" width="16.28515625" bestFit="1" customWidth="1"/>
    <col min="3" max="3" width="23" bestFit="1" customWidth="1"/>
    <col min="4" max="4" width="30.42578125" bestFit="1" customWidth="1"/>
    <col min="5" max="5" width="27.140625" bestFit="1" customWidth="1"/>
    <col min="6" max="6" width="30.7109375" bestFit="1" customWidth="1"/>
    <col min="7" max="7" width="20.5703125" bestFit="1" customWidth="1"/>
    <col min="8" max="8" width="15.28515625" bestFit="1" customWidth="1"/>
    <col min="9" max="9" width="21.28515625" bestFit="1" customWidth="1"/>
    <col min="10" max="10" width="20.42578125" bestFit="1" customWidth="1"/>
    <col min="11" max="11" width="17.85546875" bestFit="1" customWidth="1"/>
  </cols>
  <sheetData>
    <row r="2" spans="2:11" x14ac:dyDescent="0.25">
      <c r="B2" t="s">
        <v>401</v>
      </c>
    </row>
    <row r="3" spans="2:11" x14ac:dyDescent="0.25">
      <c r="B3" t="s">
        <v>932</v>
      </c>
      <c r="C3" t="s">
        <v>933</v>
      </c>
      <c r="D3" t="s">
        <v>934</v>
      </c>
      <c r="E3" t="s">
        <v>935</v>
      </c>
      <c r="F3" t="s">
        <v>939</v>
      </c>
      <c r="G3" t="s">
        <v>1061</v>
      </c>
      <c r="H3" t="s">
        <v>957</v>
      </c>
      <c r="I3" t="s">
        <v>958</v>
      </c>
      <c r="K3" t="s">
        <v>952</v>
      </c>
    </row>
    <row r="4" spans="2:11" x14ac:dyDescent="0.25">
      <c r="B4" t="s">
        <v>936</v>
      </c>
      <c r="C4" t="s">
        <v>938</v>
      </c>
      <c r="D4" t="s">
        <v>937</v>
      </c>
      <c r="E4" t="s">
        <v>949</v>
      </c>
      <c r="F4" t="s">
        <v>943</v>
      </c>
      <c r="G4" t="s">
        <v>1062</v>
      </c>
      <c r="H4" t="s">
        <v>959</v>
      </c>
      <c r="K4" t="s">
        <v>953</v>
      </c>
    </row>
    <row r="5" spans="2:11" x14ac:dyDescent="0.25">
      <c r="C5" t="s">
        <v>947</v>
      </c>
      <c r="D5" t="s">
        <v>948</v>
      </c>
      <c r="E5" t="s">
        <v>950</v>
      </c>
      <c r="F5" t="s">
        <v>944</v>
      </c>
      <c r="G5" t="s">
        <v>1063</v>
      </c>
      <c r="H5" t="s">
        <v>999</v>
      </c>
      <c r="K5" t="s">
        <v>954</v>
      </c>
    </row>
    <row r="6" spans="2:11" x14ac:dyDescent="0.25">
      <c r="C6" t="s">
        <v>946</v>
      </c>
      <c r="D6" t="s">
        <v>951</v>
      </c>
      <c r="E6" t="s">
        <v>940</v>
      </c>
      <c r="F6" t="s">
        <v>945</v>
      </c>
      <c r="G6" t="s">
        <v>1064</v>
      </c>
      <c r="K6" t="s">
        <v>955</v>
      </c>
    </row>
    <row r="7" spans="2:11" x14ac:dyDescent="0.25">
      <c r="C7" t="s">
        <v>942</v>
      </c>
      <c r="D7" t="s">
        <v>956</v>
      </c>
      <c r="E7" t="s">
        <v>941</v>
      </c>
      <c r="F7" t="s">
        <v>960</v>
      </c>
      <c r="G7" t="s">
        <v>1065</v>
      </c>
    </row>
    <row r="8" spans="2:11" x14ac:dyDescent="0.25">
      <c r="C8" t="s">
        <v>961</v>
      </c>
      <c r="D8" t="s">
        <v>962</v>
      </c>
      <c r="E8" t="s">
        <v>963</v>
      </c>
      <c r="F8" t="s">
        <v>966</v>
      </c>
      <c r="G8" t="s">
        <v>1081</v>
      </c>
    </row>
    <row r="9" spans="2:11" x14ac:dyDescent="0.25">
      <c r="C9" t="s">
        <v>988</v>
      </c>
      <c r="D9" t="s">
        <v>1000</v>
      </c>
      <c r="E9" t="s">
        <v>995</v>
      </c>
      <c r="F9" t="s">
        <v>967</v>
      </c>
      <c r="G9" t="s">
        <v>1082</v>
      </c>
    </row>
    <row r="10" spans="2:11" x14ac:dyDescent="0.25">
      <c r="C10" t="s">
        <v>973</v>
      </c>
      <c r="D10" t="s">
        <v>972</v>
      </c>
      <c r="E10" t="s">
        <v>989</v>
      </c>
      <c r="F10" t="s">
        <v>968</v>
      </c>
      <c r="G10" t="s">
        <v>1099</v>
      </c>
    </row>
    <row r="11" spans="2:11" x14ac:dyDescent="0.25">
      <c r="C11" t="s">
        <v>1026</v>
      </c>
      <c r="D11" t="s">
        <v>1030</v>
      </c>
      <c r="E11" t="s">
        <v>1025</v>
      </c>
      <c r="F11" t="s">
        <v>969</v>
      </c>
      <c r="G11" t="s">
        <v>1113</v>
      </c>
    </row>
    <row r="12" spans="2:11" x14ac:dyDescent="0.25">
      <c r="C12" t="s">
        <v>1027</v>
      </c>
      <c r="D12" t="s">
        <v>1031</v>
      </c>
      <c r="F12" t="s">
        <v>970</v>
      </c>
      <c r="G12" t="s">
        <v>1105</v>
      </c>
    </row>
    <row r="13" spans="2:11" x14ac:dyDescent="0.25">
      <c r="C13" t="s">
        <v>1028</v>
      </c>
      <c r="D13" t="s">
        <v>1032</v>
      </c>
      <c r="F13" t="s">
        <v>971</v>
      </c>
      <c r="G13" t="s">
        <v>1106</v>
      </c>
    </row>
    <row r="14" spans="2:11" x14ac:dyDescent="0.25">
      <c r="C14" t="s">
        <v>1029</v>
      </c>
      <c r="F14" t="s">
        <v>1066</v>
      </c>
      <c r="G14" t="s">
        <v>1109</v>
      </c>
    </row>
    <row r="15" spans="2:11" x14ac:dyDescent="0.25">
      <c r="F15" t="s">
        <v>1067</v>
      </c>
      <c r="G15" t="s">
        <v>1039</v>
      </c>
    </row>
    <row r="16" spans="2:11" x14ac:dyDescent="0.25">
      <c r="F16" t="s">
        <v>974</v>
      </c>
      <c r="G16" t="s">
        <v>1044</v>
      </c>
      <c r="I16" t="s">
        <v>998</v>
      </c>
    </row>
    <row r="17" spans="1:9" x14ac:dyDescent="0.25">
      <c r="F17" t="s">
        <v>986</v>
      </c>
      <c r="G17" t="s">
        <v>1047</v>
      </c>
      <c r="I17" t="s">
        <v>975</v>
      </c>
    </row>
    <row r="18" spans="1:9" x14ac:dyDescent="0.25">
      <c r="F18" t="s">
        <v>987</v>
      </c>
      <c r="G18" t="s">
        <v>1045</v>
      </c>
      <c r="I18" t="s">
        <v>976</v>
      </c>
    </row>
    <row r="19" spans="1:9" x14ac:dyDescent="0.25">
      <c r="F19" t="s">
        <v>990</v>
      </c>
      <c r="G19" t="s">
        <v>1110</v>
      </c>
      <c r="I19" t="s">
        <v>977</v>
      </c>
    </row>
    <row r="20" spans="1:9" x14ac:dyDescent="0.25">
      <c r="F20" t="s">
        <v>991</v>
      </c>
      <c r="G20" t="s">
        <v>1116</v>
      </c>
      <c r="I20" t="s">
        <v>978</v>
      </c>
    </row>
    <row r="21" spans="1:9" x14ac:dyDescent="0.25">
      <c r="F21" t="s">
        <v>992</v>
      </c>
      <c r="I21" t="s">
        <v>952</v>
      </c>
    </row>
    <row r="22" spans="1:9" x14ac:dyDescent="0.25">
      <c r="A22" t="s">
        <v>0</v>
      </c>
      <c r="C22" t="s">
        <v>1001</v>
      </c>
      <c r="F22" t="s">
        <v>993</v>
      </c>
      <c r="I22" t="s">
        <v>979</v>
      </c>
    </row>
    <row r="23" spans="1:9" x14ac:dyDescent="0.25">
      <c r="C23" t="s">
        <v>356</v>
      </c>
      <c r="F23" t="s">
        <v>994</v>
      </c>
      <c r="I23" t="s">
        <v>980</v>
      </c>
    </row>
    <row r="24" spans="1:9" x14ac:dyDescent="0.25">
      <c r="C24" t="s">
        <v>376</v>
      </c>
      <c r="F24" t="s">
        <v>996</v>
      </c>
      <c r="I24" t="s">
        <v>981</v>
      </c>
    </row>
    <row r="25" spans="1:9" x14ac:dyDescent="0.25">
      <c r="F25" t="s">
        <v>997</v>
      </c>
      <c r="I25" t="s">
        <v>982</v>
      </c>
    </row>
    <row r="26" spans="1:9" x14ac:dyDescent="0.25">
      <c r="A26" t="s">
        <v>1</v>
      </c>
      <c r="B26" t="s">
        <v>1009</v>
      </c>
      <c r="C26" s="49" t="s">
        <v>358</v>
      </c>
      <c r="D26" s="49"/>
      <c r="E26" s="49"/>
      <c r="F26" t="s">
        <v>1033</v>
      </c>
      <c r="I26" t="s">
        <v>983</v>
      </c>
    </row>
    <row r="27" spans="1:9" x14ac:dyDescent="0.25">
      <c r="B27" t="s">
        <v>1008</v>
      </c>
      <c r="C27" s="49" t="s">
        <v>357</v>
      </c>
      <c r="D27" s="49"/>
      <c r="E27" s="49"/>
      <c r="F27" t="s">
        <v>1034</v>
      </c>
      <c r="I27" t="s">
        <v>984</v>
      </c>
    </row>
    <row r="28" spans="1:9" x14ac:dyDescent="0.25">
      <c r="B28" t="s">
        <v>1010</v>
      </c>
      <c r="C28" t="s">
        <v>363</v>
      </c>
      <c r="D28" t="s">
        <v>1007</v>
      </c>
      <c r="E28" t="s">
        <v>374</v>
      </c>
      <c r="F28" t="s">
        <v>1035</v>
      </c>
    </row>
    <row r="29" spans="1:9" x14ac:dyDescent="0.25">
      <c r="B29" t="s">
        <v>1011</v>
      </c>
      <c r="C29" s="49" t="s">
        <v>359</v>
      </c>
      <c r="D29" s="49"/>
      <c r="E29" s="49"/>
      <c r="F29" t="s">
        <v>1036</v>
      </c>
    </row>
    <row r="30" spans="1:9" x14ac:dyDescent="0.25">
      <c r="B30" t="s">
        <v>799</v>
      </c>
      <c r="C30" t="s">
        <v>959</v>
      </c>
      <c r="D30" t="s">
        <v>1018</v>
      </c>
      <c r="E30" t="s">
        <v>1012</v>
      </c>
      <c r="F30" t="s">
        <v>1037</v>
      </c>
    </row>
    <row r="31" spans="1:9" x14ac:dyDescent="0.25">
      <c r="B31" t="s">
        <v>1013</v>
      </c>
      <c r="C31" t="s">
        <v>957</v>
      </c>
      <c r="D31" t="s">
        <v>1006</v>
      </c>
      <c r="E31" t="s">
        <v>1003</v>
      </c>
      <c r="F31" t="s">
        <v>1038</v>
      </c>
    </row>
    <row r="32" spans="1:9" x14ac:dyDescent="0.25">
      <c r="B32" t="s">
        <v>32</v>
      </c>
      <c r="C32" t="s">
        <v>366</v>
      </c>
      <c r="D32" t="s">
        <v>1015</v>
      </c>
      <c r="E32" t="s">
        <v>1005</v>
      </c>
      <c r="F32" t="s">
        <v>1039</v>
      </c>
    </row>
    <row r="33" spans="1:11" x14ac:dyDescent="0.25">
      <c r="B33" t="s">
        <v>142</v>
      </c>
      <c r="C33" t="s">
        <v>364</v>
      </c>
      <c r="D33" t="s">
        <v>360</v>
      </c>
      <c r="E33" t="s">
        <v>375</v>
      </c>
      <c r="F33" t="s">
        <v>1040</v>
      </c>
    </row>
    <row r="34" spans="1:11" x14ac:dyDescent="0.25">
      <c r="B34" t="s">
        <v>1017</v>
      </c>
      <c r="C34" s="49" t="s">
        <v>1004</v>
      </c>
      <c r="D34" s="49"/>
      <c r="E34" s="49"/>
      <c r="F34" t="s">
        <v>1041</v>
      </c>
    </row>
    <row r="35" spans="1:11" x14ac:dyDescent="0.25">
      <c r="F35" t="s">
        <v>1042</v>
      </c>
    </row>
    <row r="36" spans="1:11" x14ac:dyDescent="0.25">
      <c r="F36" t="s">
        <v>1043</v>
      </c>
      <c r="G36" t="s">
        <v>1165</v>
      </c>
      <c r="H36" t="s">
        <v>760</v>
      </c>
      <c r="I36" s="4" t="s">
        <v>1130</v>
      </c>
      <c r="J36" s="4" t="s">
        <v>1131</v>
      </c>
      <c r="K36" s="4" t="s">
        <v>1132</v>
      </c>
    </row>
    <row r="37" spans="1:11" x14ac:dyDescent="0.25">
      <c r="F37" t="s">
        <v>1044</v>
      </c>
      <c r="H37" t="s">
        <v>777</v>
      </c>
      <c r="I37" s="9" t="s">
        <v>1136</v>
      </c>
      <c r="J37" s="9" t="s">
        <v>1135</v>
      </c>
      <c r="K37" s="9" t="s">
        <v>1134</v>
      </c>
    </row>
    <row r="38" spans="1:11" x14ac:dyDescent="0.25">
      <c r="A38" t="s">
        <v>2</v>
      </c>
      <c r="B38" t="s">
        <v>13</v>
      </c>
      <c r="C38" s="49" t="s">
        <v>365</v>
      </c>
      <c r="D38" s="49"/>
      <c r="E38" s="49"/>
      <c r="F38" t="s">
        <v>1045</v>
      </c>
      <c r="H38" t="s">
        <v>1133</v>
      </c>
      <c r="I38" s="9" t="s">
        <v>1140</v>
      </c>
      <c r="J38" s="9" t="s">
        <v>1137</v>
      </c>
      <c r="K38" s="9" t="s">
        <v>1138</v>
      </c>
    </row>
    <row r="39" spans="1:11" x14ac:dyDescent="0.25">
      <c r="B39" t="s">
        <v>15</v>
      </c>
      <c r="C39" t="s">
        <v>965</v>
      </c>
      <c r="D39" t="s">
        <v>1014</v>
      </c>
      <c r="E39" t="s">
        <v>964</v>
      </c>
      <c r="F39" t="s">
        <v>1046</v>
      </c>
      <c r="H39" t="s">
        <v>1143</v>
      </c>
      <c r="I39" s="9" t="s">
        <v>1141</v>
      </c>
      <c r="J39" s="9" t="s">
        <v>1142</v>
      </c>
      <c r="K39" s="9" t="s">
        <v>1139</v>
      </c>
    </row>
    <row r="40" spans="1:11" x14ac:dyDescent="0.25">
      <c r="F40" t="s">
        <v>1047</v>
      </c>
      <c r="H40" t="s">
        <v>1144</v>
      </c>
      <c r="I40" s="9" t="s">
        <v>1149</v>
      </c>
      <c r="J40" s="9" t="s">
        <v>1147</v>
      </c>
      <c r="K40" s="9" t="s">
        <v>1154</v>
      </c>
    </row>
    <row r="41" spans="1:11" x14ac:dyDescent="0.25">
      <c r="F41" t="s">
        <v>1048</v>
      </c>
      <c r="H41" t="s">
        <v>1145</v>
      </c>
      <c r="I41" s="9" t="s">
        <v>1150</v>
      </c>
      <c r="J41" s="9" t="s">
        <v>1148</v>
      </c>
      <c r="K41" s="9" t="s">
        <v>1160</v>
      </c>
    </row>
    <row r="42" spans="1:11" x14ac:dyDescent="0.25">
      <c r="A42" t="s">
        <v>1016</v>
      </c>
      <c r="C42" t="s">
        <v>367</v>
      </c>
      <c r="F42" t="s">
        <v>1049</v>
      </c>
      <c r="H42" t="s">
        <v>1146</v>
      </c>
      <c r="I42" s="9" t="s">
        <v>1151</v>
      </c>
      <c r="J42" s="9" t="s">
        <v>1152</v>
      </c>
      <c r="K42" t="s">
        <v>1158</v>
      </c>
    </row>
    <row r="43" spans="1:11" x14ac:dyDescent="0.25">
      <c r="F43" t="s">
        <v>1050</v>
      </c>
    </row>
    <row r="44" spans="1:11" x14ac:dyDescent="0.25">
      <c r="C44" t="s">
        <v>121</v>
      </c>
      <c r="F44" t="s">
        <v>1051</v>
      </c>
      <c r="G44" t="s">
        <v>936</v>
      </c>
      <c r="H44" t="s">
        <v>1144</v>
      </c>
      <c r="I44" t="s">
        <v>1155</v>
      </c>
      <c r="J44" t="s">
        <v>1161</v>
      </c>
      <c r="K44" t="s">
        <v>1156</v>
      </c>
    </row>
    <row r="45" spans="1:11" x14ac:dyDescent="0.25">
      <c r="C45" t="s">
        <v>839</v>
      </c>
      <c r="F45" t="s">
        <v>1052</v>
      </c>
      <c r="H45" t="s">
        <v>1145</v>
      </c>
      <c r="I45" t="s">
        <v>1162</v>
      </c>
      <c r="J45" t="s">
        <v>1159</v>
      </c>
      <c r="K45" t="s">
        <v>1163</v>
      </c>
    </row>
    <row r="46" spans="1:11" x14ac:dyDescent="0.25">
      <c r="C46" t="s">
        <v>1002</v>
      </c>
      <c r="F46" t="s">
        <v>1068</v>
      </c>
      <c r="I46" t="s">
        <v>1164</v>
      </c>
      <c r="J46" s="9" t="s">
        <v>1153</v>
      </c>
      <c r="K46" t="s">
        <v>1157</v>
      </c>
    </row>
    <row r="47" spans="1:11" x14ac:dyDescent="0.25">
      <c r="F47" t="s">
        <v>1069</v>
      </c>
    </row>
    <row r="48" spans="1:11" x14ac:dyDescent="0.25">
      <c r="F48" t="s">
        <v>1070</v>
      </c>
    </row>
    <row r="49" spans="6:11" x14ac:dyDescent="0.25">
      <c r="F49" t="s">
        <v>1071</v>
      </c>
    </row>
    <row r="50" spans="6:11" x14ac:dyDescent="0.25">
      <c r="F50" t="s">
        <v>1072</v>
      </c>
      <c r="I50" t="s">
        <v>1178</v>
      </c>
      <c r="J50" t="s">
        <v>1181</v>
      </c>
      <c r="K50" t="s">
        <v>1185</v>
      </c>
    </row>
    <row r="51" spans="6:11" x14ac:dyDescent="0.25">
      <c r="F51" t="s">
        <v>1073</v>
      </c>
      <c r="I51" t="s">
        <v>1179</v>
      </c>
      <c r="J51" t="s">
        <v>1173</v>
      </c>
      <c r="K51" t="s">
        <v>1186</v>
      </c>
    </row>
    <row r="52" spans="6:11" x14ac:dyDescent="0.25">
      <c r="F52" t="s">
        <v>1074</v>
      </c>
      <c r="I52" t="s">
        <v>1180</v>
      </c>
      <c r="J52" t="s">
        <v>1182</v>
      </c>
      <c r="K52" t="s">
        <v>1184</v>
      </c>
    </row>
    <row r="53" spans="6:11" x14ac:dyDescent="0.25">
      <c r="F53" t="s">
        <v>1075</v>
      </c>
      <c r="I53" t="s">
        <v>1172</v>
      </c>
      <c r="J53" t="s">
        <v>911</v>
      </c>
      <c r="K53" t="s">
        <v>1183</v>
      </c>
    </row>
    <row r="54" spans="6:11" x14ac:dyDescent="0.25">
      <c r="F54" t="s">
        <v>1076</v>
      </c>
    </row>
    <row r="55" spans="6:11" x14ac:dyDescent="0.25">
      <c r="F55" t="s">
        <v>1077</v>
      </c>
      <c r="I55" t="s">
        <v>590</v>
      </c>
      <c r="J55" t="s">
        <v>1202</v>
      </c>
      <c r="K55" t="s">
        <v>1204</v>
      </c>
    </row>
    <row r="56" spans="6:11" x14ac:dyDescent="0.25">
      <c r="F56" t="s">
        <v>1078</v>
      </c>
      <c r="I56" t="s">
        <v>620</v>
      </c>
      <c r="J56" t="s">
        <v>595</v>
      </c>
      <c r="K56" t="s">
        <v>1205</v>
      </c>
    </row>
    <row r="57" spans="6:11" x14ac:dyDescent="0.25">
      <c r="F57" t="s">
        <v>1079</v>
      </c>
      <c r="I57" t="s">
        <v>599</v>
      </c>
      <c r="J57" t="s">
        <v>598</v>
      </c>
      <c r="K57" t="s">
        <v>1203</v>
      </c>
    </row>
    <row r="58" spans="6:11" x14ac:dyDescent="0.25">
      <c r="F58" t="s">
        <v>1080</v>
      </c>
      <c r="I58" t="s">
        <v>466</v>
      </c>
      <c r="J58" t="s">
        <v>900</v>
      </c>
      <c r="K58" t="s">
        <v>1206</v>
      </c>
    </row>
    <row r="59" spans="6:11" x14ac:dyDescent="0.25">
      <c r="F59" t="s">
        <v>1083</v>
      </c>
    </row>
    <row r="60" spans="6:11" x14ac:dyDescent="0.25">
      <c r="F60" t="s">
        <v>1084</v>
      </c>
    </row>
    <row r="61" spans="6:11" x14ac:dyDescent="0.25">
      <c r="F61" t="s">
        <v>1085</v>
      </c>
    </row>
    <row r="62" spans="6:11" x14ac:dyDescent="0.25">
      <c r="F62" t="s">
        <v>1086</v>
      </c>
    </row>
    <row r="63" spans="6:11" x14ac:dyDescent="0.25">
      <c r="F63" t="s">
        <v>1087</v>
      </c>
    </row>
    <row r="64" spans="6:11" x14ac:dyDescent="0.25">
      <c r="F64" t="s">
        <v>1088</v>
      </c>
    </row>
    <row r="65" spans="6:6" x14ac:dyDescent="0.25">
      <c r="F65" t="s">
        <v>1089</v>
      </c>
    </row>
    <row r="66" spans="6:6" x14ac:dyDescent="0.25">
      <c r="F66" t="s">
        <v>1090</v>
      </c>
    </row>
    <row r="67" spans="6:6" x14ac:dyDescent="0.25">
      <c r="F67" t="s">
        <v>1091</v>
      </c>
    </row>
    <row r="68" spans="6:6" x14ac:dyDescent="0.25">
      <c r="F68" t="s">
        <v>1092</v>
      </c>
    </row>
    <row r="69" spans="6:6" x14ac:dyDescent="0.25">
      <c r="F69" t="s">
        <v>1093</v>
      </c>
    </row>
    <row r="70" spans="6:6" x14ac:dyDescent="0.25">
      <c r="F70" t="s">
        <v>1094</v>
      </c>
    </row>
    <row r="71" spans="6:6" x14ac:dyDescent="0.25">
      <c r="F71" t="s">
        <v>1095</v>
      </c>
    </row>
    <row r="72" spans="6:6" x14ac:dyDescent="0.25">
      <c r="F72" t="s">
        <v>1096</v>
      </c>
    </row>
    <row r="73" spans="6:6" x14ac:dyDescent="0.25">
      <c r="F73" t="s">
        <v>1097</v>
      </c>
    </row>
    <row r="74" spans="6:6" x14ac:dyDescent="0.25">
      <c r="F74" t="s">
        <v>1098</v>
      </c>
    </row>
    <row r="75" spans="6:6" x14ac:dyDescent="0.25">
      <c r="F75" t="s">
        <v>1100</v>
      </c>
    </row>
    <row r="76" spans="6:6" x14ac:dyDescent="0.25">
      <c r="F76" t="s">
        <v>1101</v>
      </c>
    </row>
    <row r="77" spans="6:6" x14ac:dyDescent="0.25">
      <c r="F77" t="s">
        <v>1102</v>
      </c>
    </row>
    <row r="78" spans="6:6" x14ac:dyDescent="0.25">
      <c r="F78" t="s">
        <v>1103</v>
      </c>
    </row>
    <row r="79" spans="6:6" x14ac:dyDescent="0.25">
      <c r="F79" t="s">
        <v>1104</v>
      </c>
    </row>
    <row r="80" spans="6:6" x14ac:dyDescent="0.25">
      <c r="F80" t="s">
        <v>1107</v>
      </c>
    </row>
    <row r="81" spans="6:6" x14ac:dyDescent="0.25">
      <c r="F81" t="s">
        <v>1108</v>
      </c>
    </row>
    <row r="82" spans="6:6" x14ac:dyDescent="0.25">
      <c r="F82" t="s">
        <v>1111</v>
      </c>
    </row>
    <row r="83" spans="6:6" x14ac:dyDescent="0.25">
      <c r="F83" t="s">
        <v>1112</v>
      </c>
    </row>
    <row r="84" spans="6:6" x14ac:dyDescent="0.25">
      <c r="F84" t="s">
        <v>1114</v>
      </c>
    </row>
    <row r="85" spans="6:6" x14ac:dyDescent="0.25">
      <c r="F85" t="s">
        <v>1115</v>
      </c>
    </row>
  </sheetData>
  <mergeCells count="5">
    <mergeCell ref="C26:E26"/>
    <mergeCell ref="C27:E27"/>
    <mergeCell ref="C29:E29"/>
    <mergeCell ref="C38:E38"/>
    <mergeCell ref="C34:E34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Armor Types</vt:lpstr>
      <vt:lpstr>Weapon Types</vt:lpstr>
      <vt:lpstr>Infantry</vt:lpstr>
      <vt:lpstr>Tanks</vt:lpstr>
      <vt:lpstr>Vehicles</vt:lpstr>
      <vt:lpstr>Aircraft</vt:lpstr>
      <vt:lpstr>Defenses</vt:lpstr>
      <vt:lpstr>Tabelle2</vt:lpstr>
      <vt:lpstr>Tabelle3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Helber</dc:creator>
  <cp:lastModifiedBy>Manuel Helber</cp:lastModifiedBy>
  <dcterms:created xsi:type="dcterms:W3CDTF">2024-02-22T19:12:00Z</dcterms:created>
  <dcterms:modified xsi:type="dcterms:W3CDTF">2026-07-10T23:15:22Z</dcterms:modified>
</cp:coreProperties>
</file>